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MISHRA\Documents\VirtualBoxShare\REopt_debugging\"/>
    </mc:Choice>
  </mc:AlternateContent>
  <xr:revisionPtr revIDLastSave="0" documentId="13_ncr:1_{C1D6801F-7561-4BE0-ABB2-99AC8136E9E2}" xr6:coauthVersionLast="45" xr6:coauthVersionMax="45" xr10:uidLastSave="{00000000-0000-0000-0000-000000000000}"/>
  <workbookProtection lockWindows="1"/>
  <bookViews>
    <workbookView xWindow="28680" yWindow="-120" windowWidth="29040" windowHeight="15840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Outputs'!$B$44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Outputs'!$B$97</definedName>
    <definedName name="batt_cbi_fed_deprbas_fed">'Inputs and Outputs'!$E$97</definedName>
    <definedName name="batt_cbi_fed_maxvalue">'Inputs and Outputs'!$C$97</definedName>
    <definedName name="batt_cbi_fed_tax_fed">'Inputs and Outputs'!$D$97</definedName>
    <definedName name="batt_cbi_sta_amount">'Inputs and Outputs'!$B$98</definedName>
    <definedName name="batt_cbi_sta_deprbas_fed">'Inputs and Outputs'!$E$98</definedName>
    <definedName name="batt_cbi_sta_maxvalue">'Inputs and Outputs'!$C$98</definedName>
    <definedName name="batt_cbi_sta_tax_fed">'Inputs and Outputs'!$D$98</definedName>
    <definedName name="batt_cbi_uti_amount">'Inputs and Outputs'!$B$99</definedName>
    <definedName name="batt_cbi_uti_deprbas_fed">'Inputs and Outputs'!$E$99</definedName>
    <definedName name="batt_cbi_uti_maxvalue">'Inputs and Outputs'!$C$99</definedName>
    <definedName name="batt_cbi_uti_tax_fed">'Inputs and Outputs'!$D$99</definedName>
    <definedName name="batt_ibi_sta_percent">'Inputs and Outputs'!$B$94</definedName>
    <definedName name="batt_ibi_sta_percent_deprbas_fed">'Inputs and Outputs'!$E$94</definedName>
    <definedName name="batt_ibi_sta_percent_maxvalue">'Inputs and Outputs'!$C$94</definedName>
    <definedName name="batt_ibi_sta_percent_tax_fed">'Inputs and Outputs'!$D$94</definedName>
    <definedName name="batt_ibi_uti_percent">'Inputs and Outputs'!$B$95</definedName>
    <definedName name="batt_ibi_uti_percent_deprbas_fed">'Inputs and Outputs'!$E$95</definedName>
    <definedName name="batt_ibi_uti_percent_maxvalue">'Inputs and Outputs'!$C$95</definedName>
    <definedName name="batt_ibi_uti_percent_tax_fed">'Inputs and Outputs'!$D$95</definedName>
    <definedName name="batt_itc_fed_percent">'Inputs and Outputs'!$B$89</definedName>
    <definedName name="batt_itc_fed_percent_deprbas_fed">'Inputs and Outputs'!$D$89</definedName>
    <definedName name="batt_itc_fed_percent_maxvalue">'Inputs and Outputs'!$C$89</definedName>
    <definedName name="batt_kw">'Inputs and Outputs'!$B$9</definedName>
    <definedName name="batt_kwh">'Inputs and Outputs'!$B$10</definedName>
    <definedName name="batt_repl_cost_kw">'Inputs and Outputs'!$B$33</definedName>
    <definedName name="batt_repl_cost_kwh">'Inputs and Outputs'!$B$35</definedName>
    <definedName name="batt_repl_kw_year">'Inputs and Outputs'!$B$34</definedName>
    <definedName name="batt_repl_year_kw">'Inputs and Outputs'!$B$34</definedName>
    <definedName name="batt_repl_year_kwh">'Inputs and Outputs'!$B$36</definedName>
    <definedName name="battery_installed_cost">'Inputs and Outputs'!$B$26</definedName>
    <definedName name="BatteryBonusFraction">'Inputs and Outputs'!$C$103</definedName>
    <definedName name="BatteryFederalDepreciation">'Inputs and Outputs'!$C$102</definedName>
    <definedName name="BatteryMACRSBonusFraction">'Inputs and Outputs'!$C$103</definedName>
    <definedName name="BonusFraction">'Inputs and Outputs'!$B$103</definedName>
    <definedName name="CashFlow">'Cash Flow'!$C$105:$CX$105</definedName>
    <definedName name="cbi_fed_amount">'Inputs and Outputs'!$B$63</definedName>
    <definedName name="cbi_fed_deprbas_fed">'Inputs and Outputs'!$E$63</definedName>
    <definedName name="cbi_fed_deprbas_sta">'Inputs and Outputs'!#REF!</definedName>
    <definedName name="cbi_fed_maxvalue">'Inputs and Outputs'!$C$63</definedName>
    <definedName name="cbi_fed_tax_fed">'Inputs and Outputs'!$D$63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Outputs'!$B$64</definedName>
    <definedName name="cbi_sta_deprbas_fed">'Inputs and Outputs'!$E$64</definedName>
    <definedName name="cbi_sta_deprbas_sta">'Inputs and Outputs'!#REF!</definedName>
    <definedName name="cbi_sta_maxvalue">'Inputs and Outputs'!$C$64</definedName>
    <definedName name="cbi_sta_tax_fed">'Inputs and Outputs'!$D$64</definedName>
    <definedName name="cbi_sta_tax_sta">'Inputs and Outputs'!#REF!</definedName>
    <definedName name="cbi_uti_amount">'Inputs and Outputs'!$B$65</definedName>
    <definedName name="cbi_uti_deprbas_fed">'Inputs and Outputs'!$E$65</definedName>
    <definedName name="cbi_uti_deprbas_sta">'Inputs and Outputs'!#REF!</definedName>
    <definedName name="cbi_uti_maxvalue">'Inputs and Outputs'!$C$65</definedName>
    <definedName name="cbi_uti_tax_fed">'Inputs and Outputs'!$D$65</definedName>
    <definedName name="cbi_uti_tax_sta">'Inputs and Outputs'!#REF!</definedName>
    <definedName name="CostFlow">'Cash Flow'!$C$103:$CX$103</definedName>
    <definedName name="CumulativePaybackCashFlowWithExpenses">'Cash Flow'!#REF!</definedName>
    <definedName name="CumulativePaybackNoIncentives">'Cash Flow'!#REF!</definedName>
    <definedName name="debt_fraction">'Inputs and Outputs'!$B$39</definedName>
    <definedName name="diesel_fuel_used_cost">'Inputs and Outputs'!$B$32</definedName>
    <definedName name="EnergyValue">'Inputs and Outputs'!#REF!</definedName>
    <definedName name="escalation_rate">'Inputs and Outputs'!#REF!</definedName>
    <definedName name="escalation_rate_nominal">'Inputs and Outputs'!$B$46</definedName>
    <definedName name="existing_pv">'Inputs and Outputs'!$B$4</definedName>
    <definedName name="federal_tax_rate">'Inputs and Outputs'!$B$50</definedName>
    <definedName name="FederalDepreciation">'Inputs and Outputs'!$B$102</definedName>
    <definedName name="FederalDepreciationAmount">'Inputs and Outputs'!#REF!</definedName>
    <definedName name="FederalDepreciationSchedule">'Inputs and Outputs'!#REF!</definedName>
    <definedName name="fixed_om_cost_generator">'Inputs and Outputs'!$B$30</definedName>
    <definedName name="generator_energy_produced">'Inputs and Outputs'!$B$18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Outputs'!$B$60</definedName>
    <definedName name="ibi_sta_percent_deprbas_fed">'Inputs and Outputs'!$E$60</definedName>
    <definedName name="ibi_sta_percent_deprbas_sta">'Inputs and Outputs'!#REF!</definedName>
    <definedName name="ibi_sta_percent_maxvalue">'Inputs and Outputs'!$C$60</definedName>
    <definedName name="ibi_sta_percent_tax_fed">'Inputs and Outputs'!$D$60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Outputs'!$B$61</definedName>
    <definedName name="ibi_uti_percent_deprbas_fed">'Inputs and Outputs'!$E$61</definedName>
    <definedName name="ibi_uti_percent_deprbas_sta">'Inputs and Outputs'!#REF!</definedName>
    <definedName name="ibi_uti_percent_maxvalue">'Inputs and Outputs'!$C$61</definedName>
    <definedName name="ibi_uti_percent_tax_fed">'Inputs and Outputs'!$D$61</definedName>
    <definedName name="ibi_uti_percent_tax_sta">'Inputs and Outputs'!#REF!</definedName>
    <definedName name="inflation_rate">'Inputs and Outputs'!$B$45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Outputs'!$B$55</definedName>
    <definedName name="itc_fed_percent_deprbas_fed">'Inputs and Outputs'!$D$55</definedName>
    <definedName name="itc_fed_percent_deprbas_sta">'Inputs and Outputs'!#REF!</definedName>
    <definedName name="itc_fed_percent_deprbas_state">'Inputs and Outputs'!#REF!</definedName>
    <definedName name="itc_fed_percent_maxvalue">'Inputs and Outputs'!$C$55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Outputs'!$B$41</definedName>
    <definedName name="loan_term">'Inputs and Outputs'!$B$40</definedName>
    <definedName name="MACRSBonusFraction">'Inputs and Outputs'!$B$103</definedName>
    <definedName name="NominalDiscountRate">'Inputs and Outputs'!$B$47</definedName>
    <definedName name="O_M_cost_escalation_rate__nominal_____year">'Inputs and Outputs'!$B$45</definedName>
    <definedName name="om_capacity">'Inputs and Outputs'!$B$28</definedName>
    <definedName name="om_capacity_escal">'Inputs and Outputs'!#REF!</definedName>
    <definedName name="om_capacity_wind">'Inputs and Outputs'!$B$29</definedName>
    <definedName name="om_cost_escalation_rate_nominal">'Inputs and Outputs'!$B$45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Outputs'!$H$29</definedName>
    <definedName name="outUtilityPBILineItem">'Cash Flow'!#REF!</definedName>
    <definedName name="outYear">'Cash Flow'!$B$2:$CX$2</definedName>
    <definedName name="outYearZeroCashFlow">'Cash Flow'!$B$105</definedName>
    <definedName name="outYearZeroCostFlow">'Cash Flow'!$B$103</definedName>
    <definedName name="pbi_combined_amount">'Inputs and Outputs'!$B$67</definedName>
    <definedName name="pbi_combined_maxvalue">'Inputs and Outputs'!$C$67</definedName>
    <definedName name="pbi_combined_tax_fed">'Inputs and Outputs'!$D$67</definedName>
    <definedName name="pbi_combined_tax_sta">'Inputs and Outputs'!#REF!</definedName>
    <definedName name="pbi_combined_term">'Inputs and Outputs'!$E$67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Outputs'!$B$23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generator">'Inputs and Outputs'!$B$7</definedName>
    <definedName name="system_capacity_wind">'Inputs and Outputs'!$B$6</definedName>
    <definedName name="system_heat_rate">'Inputs and Outputs'!#REF!</definedName>
    <definedName name="total_installed_cost">'Inputs and Outputs'!$B$22</definedName>
    <definedName name="UseDepreciation">'Inputs and Outputs'!#REF!</definedName>
    <definedName name="UseTaxDeductibleInterest">'Inputs and Outputs'!#REF!</definedName>
    <definedName name="variable_om_cost_generator">'Inputs and Outputs'!$B$31</definedName>
    <definedName name="wind_cbi_fed_amount">'Inputs and Outputs'!$B$80</definedName>
    <definedName name="wind_cbi_fed_deprbas_fed">'Inputs and Outputs'!$E$80</definedName>
    <definedName name="wind_cbi_fed_maxvalue">'Inputs and Outputs'!$C$80</definedName>
    <definedName name="wind_cbi_fed_tax_fed">'Inputs and Outputs'!$D$80</definedName>
    <definedName name="wind_cbi_sta_amount">'Inputs and Outputs'!$B$81</definedName>
    <definedName name="wind_cbi_sta_deprbas_fed">'Inputs and Outputs'!$E$81</definedName>
    <definedName name="wind_cbi_sta_maxvalue">'Inputs and Outputs'!$C$81</definedName>
    <definedName name="wind_cbi_sta_tax_fed">'Inputs and Outputs'!$D$81</definedName>
    <definedName name="wind_cbi_uti_amount">'Inputs and Outputs'!$B$82</definedName>
    <definedName name="wind_cbi_uti_deprbas_fed">'Inputs and Outputs'!$E$82</definedName>
    <definedName name="wind_cbi_uti_maxvalue">'Inputs and Outputs'!$C$82</definedName>
    <definedName name="wind_cbi_uti_tax_fed">'Inputs and Outputs'!$D$82</definedName>
    <definedName name="wind_ibi_sta_percent">'Inputs and Outputs'!$B$77</definedName>
    <definedName name="wind_ibi_sta_percent_deprbas_fed">'Inputs and Outputs'!$E$77</definedName>
    <definedName name="wind_ibi_sta_percent_maxvalue">'Inputs and Outputs'!$C$77</definedName>
    <definedName name="wind_ibi_sta_percent_tax_fed">'Inputs and Outputs'!$D$77</definedName>
    <definedName name="wind_ibi_uti_percent">'Inputs and Outputs'!$B$78</definedName>
    <definedName name="wind_ibi_uti_percent_deprbas_fed">'Inputs and Outputs'!$E$78</definedName>
    <definedName name="wind_ibi_uti_percent_maxvalue">'Inputs and Outputs'!$C$78</definedName>
    <definedName name="wind_ibi_uti_percent_tax_fed">'Inputs and Outputs'!$D$78</definedName>
    <definedName name="wind_installed_cost">'Inputs and Outputs'!$B$24</definedName>
    <definedName name="wind_itc_fed_percent">'Inputs and Outputs'!$B$72</definedName>
    <definedName name="wind_itc_fed_percent_deprbas_fed">'Inputs and Outputs'!$D$72</definedName>
    <definedName name="wind_itc_fed_percent_maxvalue">'Inputs and Outputs'!$C$72</definedName>
    <definedName name="wind_pbi_combined_amount">'Inputs and Outputs'!$B$84</definedName>
    <definedName name="wind_pbi_combined_maxvalue">'Inputs and Outputs'!$C$84</definedName>
    <definedName name="wind_pbi_combined_tax_fed">'Inputs and Outputs'!$D$84</definedName>
    <definedName name="wind_pbi_combined_term">'Inputs and Outputs'!$E$84</definedName>
    <definedName name="WindBonusFraction">'Inputs and Outputs'!$D$103</definedName>
    <definedName name="WindFederalDepreciation">'Inputs and Outputs'!$D$102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8" i="2" l="1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D18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D17" i="2"/>
  <c r="C18" i="2"/>
  <c r="CY17" i="2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E117" i="1"/>
  <c r="C111" i="1" l="1"/>
  <c r="C110" i="1"/>
  <c r="B108" i="2" l="1"/>
  <c r="B98" i="2"/>
  <c r="B88" i="2" s="1"/>
  <c r="B89" i="2" s="1"/>
  <c r="AMJ72" i="2"/>
  <c r="AMI72" i="2"/>
  <c r="AMH72" i="2"/>
  <c r="AMG72" i="2"/>
  <c r="AMF72" i="2"/>
  <c r="AME72" i="2"/>
  <c r="AMD72" i="2"/>
  <c r="AMC72" i="2"/>
  <c r="AMB72" i="2"/>
  <c r="AMA72" i="2"/>
  <c r="ALZ72" i="2"/>
  <c r="ALY72" i="2"/>
  <c r="ALX72" i="2"/>
  <c r="ALW72" i="2"/>
  <c r="ALV72" i="2"/>
  <c r="ALU72" i="2"/>
  <c r="ALT72" i="2"/>
  <c r="ALS72" i="2"/>
  <c r="ALR72" i="2"/>
  <c r="ALQ72" i="2"/>
  <c r="ALP72" i="2"/>
  <c r="ALO72" i="2"/>
  <c r="ALN72" i="2"/>
  <c r="ALM72" i="2"/>
  <c r="ALL72" i="2"/>
  <c r="ALK72" i="2"/>
  <c r="ALJ72" i="2"/>
  <c r="ALI72" i="2"/>
  <c r="ALH72" i="2"/>
  <c r="ALG72" i="2"/>
  <c r="ALF72" i="2"/>
  <c r="ALE72" i="2"/>
  <c r="ALD72" i="2"/>
  <c r="ALC72" i="2"/>
  <c r="ALB72" i="2"/>
  <c r="ALA72" i="2"/>
  <c r="AKZ72" i="2"/>
  <c r="AKY72" i="2"/>
  <c r="AKX72" i="2"/>
  <c r="AKW72" i="2"/>
  <c r="AKV72" i="2"/>
  <c r="AKU72" i="2"/>
  <c r="AKT72" i="2"/>
  <c r="AKS72" i="2"/>
  <c r="AKR72" i="2"/>
  <c r="AKQ72" i="2"/>
  <c r="AKP72" i="2"/>
  <c r="AKO72" i="2"/>
  <c r="AKN72" i="2"/>
  <c r="AKM72" i="2"/>
  <c r="AKL72" i="2"/>
  <c r="AKK72" i="2"/>
  <c r="AKJ72" i="2"/>
  <c r="AKI72" i="2"/>
  <c r="AKH72" i="2"/>
  <c r="AKG72" i="2"/>
  <c r="AKF72" i="2"/>
  <c r="AKE72" i="2"/>
  <c r="AKD72" i="2"/>
  <c r="AKC72" i="2"/>
  <c r="AKB72" i="2"/>
  <c r="AKA72" i="2"/>
  <c r="AJZ72" i="2"/>
  <c r="AJY72" i="2"/>
  <c r="AJX72" i="2"/>
  <c r="AJW72" i="2"/>
  <c r="AJV72" i="2"/>
  <c r="AJU72" i="2"/>
  <c r="AJT72" i="2"/>
  <c r="AJS72" i="2"/>
  <c r="AJR72" i="2"/>
  <c r="AJQ72" i="2"/>
  <c r="AJP72" i="2"/>
  <c r="AJO72" i="2"/>
  <c r="AJN72" i="2"/>
  <c r="AJM72" i="2"/>
  <c r="AJL72" i="2"/>
  <c r="AJK72" i="2"/>
  <c r="AJJ72" i="2"/>
  <c r="AJI72" i="2"/>
  <c r="AJH72" i="2"/>
  <c r="AJG72" i="2"/>
  <c r="AJF72" i="2"/>
  <c r="AJE72" i="2"/>
  <c r="AJD72" i="2"/>
  <c r="AJC72" i="2"/>
  <c r="AJB72" i="2"/>
  <c r="AJA72" i="2"/>
  <c r="AIZ72" i="2"/>
  <c r="AIY72" i="2"/>
  <c r="AIX72" i="2"/>
  <c r="AIW72" i="2"/>
  <c r="AIV72" i="2"/>
  <c r="AIU72" i="2"/>
  <c r="AIT72" i="2"/>
  <c r="AIS72" i="2"/>
  <c r="AIR72" i="2"/>
  <c r="AIQ72" i="2"/>
  <c r="AIP72" i="2"/>
  <c r="AIO72" i="2"/>
  <c r="AIN72" i="2"/>
  <c r="AIM72" i="2"/>
  <c r="AIL72" i="2"/>
  <c r="AIK72" i="2"/>
  <c r="AIJ72" i="2"/>
  <c r="AII72" i="2"/>
  <c r="AIH72" i="2"/>
  <c r="AIG72" i="2"/>
  <c r="AIF72" i="2"/>
  <c r="AIE72" i="2"/>
  <c r="AID72" i="2"/>
  <c r="AIC72" i="2"/>
  <c r="AIB72" i="2"/>
  <c r="AIA72" i="2"/>
  <c r="AHZ72" i="2"/>
  <c r="AHY72" i="2"/>
  <c r="AHX72" i="2"/>
  <c r="AHW72" i="2"/>
  <c r="AHV72" i="2"/>
  <c r="AHU72" i="2"/>
  <c r="AHT72" i="2"/>
  <c r="AHS72" i="2"/>
  <c r="AHR72" i="2"/>
  <c r="AHQ72" i="2"/>
  <c r="AHP72" i="2"/>
  <c r="AHO72" i="2"/>
  <c r="AHN72" i="2"/>
  <c r="AHM72" i="2"/>
  <c r="AHL72" i="2"/>
  <c r="AHK72" i="2"/>
  <c r="AHJ72" i="2"/>
  <c r="AHI72" i="2"/>
  <c r="AHH72" i="2"/>
  <c r="AHG72" i="2"/>
  <c r="AHF72" i="2"/>
  <c r="AHE72" i="2"/>
  <c r="AHD72" i="2"/>
  <c r="AHC72" i="2"/>
  <c r="AHB72" i="2"/>
  <c r="AHA72" i="2"/>
  <c r="AGZ72" i="2"/>
  <c r="AGY72" i="2"/>
  <c r="AGX72" i="2"/>
  <c r="AGW72" i="2"/>
  <c r="AGV72" i="2"/>
  <c r="AGU72" i="2"/>
  <c r="AGT72" i="2"/>
  <c r="AGS72" i="2"/>
  <c r="AGR72" i="2"/>
  <c r="AGQ72" i="2"/>
  <c r="AGP72" i="2"/>
  <c r="AGO72" i="2"/>
  <c r="AGN72" i="2"/>
  <c r="AGM72" i="2"/>
  <c r="AGL72" i="2"/>
  <c r="AGK72" i="2"/>
  <c r="AGJ72" i="2"/>
  <c r="AGI72" i="2"/>
  <c r="AGH72" i="2"/>
  <c r="AGG72" i="2"/>
  <c r="AGF72" i="2"/>
  <c r="AGE72" i="2"/>
  <c r="AGD72" i="2"/>
  <c r="AGC72" i="2"/>
  <c r="AGB72" i="2"/>
  <c r="AGA72" i="2"/>
  <c r="AFZ72" i="2"/>
  <c r="AFY72" i="2"/>
  <c r="AFX72" i="2"/>
  <c r="AFW72" i="2"/>
  <c r="AFV72" i="2"/>
  <c r="AFU72" i="2"/>
  <c r="AFT72" i="2"/>
  <c r="AFS72" i="2"/>
  <c r="AFR72" i="2"/>
  <c r="AFQ72" i="2"/>
  <c r="AFP72" i="2"/>
  <c r="AFO72" i="2"/>
  <c r="AFN72" i="2"/>
  <c r="AFM72" i="2"/>
  <c r="AFL72" i="2"/>
  <c r="AFK72" i="2"/>
  <c r="AFJ72" i="2"/>
  <c r="AFI72" i="2"/>
  <c r="AFH72" i="2"/>
  <c r="AFG72" i="2"/>
  <c r="AFF72" i="2"/>
  <c r="AFE72" i="2"/>
  <c r="AFD72" i="2"/>
  <c r="AFC72" i="2"/>
  <c r="AFB72" i="2"/>
  <c r="AFA72" i="2"/>
  <c r="AEZ72" i="2"/>
  <c r="AEY72" i="2"/>
  <c r="AEX72" i="2"/>
  <c r="AEW72" i="2"/>
  <c r="AEV72" i="2"/>
  <c r="AEU72" i="2"/>
  <c r="AET72" i="2"/>
  <c r="AES72" i="2"/>
  <c r="AER72" i="2"/>
  <c r="AEQ72" i="2"/>
  <c r="AEP72" i="2"/>
  <c r="AEO72" i="2"/>
  <c r="AEN72" i="2"/>
  <c r="AEM72" i="2"/>
  <c r="AEL72" i="2"/>
  <c r="AEK72" i="2"/>
  <c r="AEJ72" i="2"/>
  <c r="AEI72" i="2"/>
  <c r="AEH72" i="2"/>
  <c r="AEG72" i="2"/>
  <c r="AEF72" i="2"/>
  <c r="AEE72" i="2"/>
  <c r="AED72" i="2"/>
  <c r="AEC72" i="2"/>
  <c r="AEB72" i="2"/>
  <c r="AEA72" i="2"/>
  <c r="ADZ72" i="2"/>
  <c r="ADY72" i="2"/>
  <c r="ADX72" i="2"/>
  <c r="ADW72" i="2"/>
  <c r="ADV72" i="2"/>
  <c r="ADU72" i="2"/>
  <c r="ADT72" i="2"/>
  <c r="ADS72" i="2"/>
  <c r="ADR72" i="2"/>
  <c r="ADQ72" i="2"/>
  <c r="ADP72" i="2"/>
  <c r="ADO72" i="2"/>
  <c r="ADN72" i="2"/>
  <c r="ADM72" i="2"/>
  <c r="ADL72" i="2"/>
  <c r="ADK72" i="2"/>
  <c r="ADJ72" i="2"/>
  <c r="ADI72" i="2"/>
  <c r="ADH72" i="2"/>
  <c r="ADG72" i="2"/>
  <c r="ADF72" i="2"/>
  <c r="ADE72" i="2"/>
  <c r="ADD72" i="2"/>
  <c r="ADC72" i="2"/>
  <c r="ADB72" i="2"/>
  <c r="ADA72" i="2"/>
  <c r="ACZ72" i="2"/>
  <c r="ACY72" i="2"/>
  <c r="ACX72" i="2"/>
  <c r="ACW72" i="2"/>
  <c r="ACV72" i="2"/>
  <c r="ACU72" i="2"/>
  <c r="ACT72" i="2"/>
  <c r="ACS72" i="2"/>
  <c r="ACR72" i="2"/>
  <c r="ACQ72" i="2"/>
  <c r="ACP72" i="2"/>
  <c r="ACO72" i="2"/>
  <c r="ACN72" i="2"/>
  <c r="ACM72" i="2"/>
  <c r="ACL72" i="2"/>
  <c r="ACK72" i="2"/>
  <c r="ACJ72" i="2"/>
  <c r="ACI72" i="2"/>
  <c r="ACH72" i="2"/>
  <c r="ACG72" i="2"/>
  <c r="ACF72" i="2"/>
  <c r="ACE72" i="2"/>
  <c r="ACD72" i="2"/>
  <c r="ACC72" i="2"/>
  <c r="ACB72" i="2"/>
  <c r="ACA72" i="2"/>
  <c r="ABZ72" i="2"/>
  <c r="ABY72" i="2"/>
  <c r="ABX72" i="2"/>
  <c r="ABW72" i="2"/>
  <c r="ABV72" i="2"/>
  <c r="ABU72" i="2"/>
  <c r="ABT72" i="2"/>
  <c r="ABS72" i="2"/>
  <c r="ABR72" i="2"/>
  <c r="ABQ72" i="2"/>
  <c r="ABP72" i="2"/>
  <c r="ABO72" i="2"/>
  <c r="ABN72" i="2"/>
  <c r="ABM72" i="2"/>
  <c r="ABL72" i="2"/>
  <c r="ABK72" i="2"/>
  <c r="ABJ72" i="2"/>
  <c r="ABI72" i="2"/>
  <c r="ABH72" i="2"/>
  <c r="ABG72" i="2"/>
  <c r="ABF72" i="2"/>
  <c r="ABE72" i="2"/>
  <c r="ABD72" i="2"/>
  <c r="ABC72" i="2"/>
  <c r="ABB72" i="2"/>
  <c r="ABA72" i="2"/>
  <c r="AAZ72" i="2"/>
  <c r="AAY72" i="2"/>
  <c r="AAX72" i="2"/>
  <c r="AAW72" i="2"/>
  <c r="AAV72" i="2"/>
  <c r="AAU72" i="2"/>
  <c r="AAT72" i="2"/>
  <c r="AAS72" i="2"/>
  <c r="AAR72" i="2"/>
  <c r="AAQ72" i="2"/>
  <c r="AAP72" i="2"/>
  <c r="AAO72" i="2"/>
  <c r="AAN72" i="2"/>
  <c r="AAM72" i="2"/>
  <c r="AAL72" i="2"/>
  <c r="AAK72" i="2"/>
  <c r="AAJ72" i="2"/>
  <c r="AAI72" i="2"/>
  <c r="AAH72" i="2"/>
  <c r="AAG72" i="2"/>
  <c r="AAF72" i="2"/>
  <c r="AAE72" i="2"/>
  <c r="AAD72" i="2"/>
  <c r="AAC72" i="2"/>
  <c r="AAB72" i="2"/>
  <c r="AAA72" i="2"/>
  <c r="ZZ72" i="2"/>
  <c r="ZY72" i="2"/>
  <c r="ZX72" i="2"/>
  <c r="ZW72" i="2"/>
  <c r="ZV72" i="2"/>
  <c r="ZU72" i="2"/>
  <c r="ZT72" i="2"/>
  <c r="ZS72" i="2"/>
  <c r="ZR72" i="2"/>
  <c r="ZQ72" i="2"/>
  <c r="ZP72" i="2"/>
  <c r="ZO72" i="2"/>
  <c r="ZN72" i="2"/>
  <c r="ZM72" i="2"/>
  <c r="ZL72" i="2"/>
  <c r="ZK72" i="2"/>
  <c r="ZJ72" i="2"/>
  <c r="ZI72" i="2"/>
  <c r="ZH72" i="2"/>
  <c r="ZG72" i="2"/>
  <c r="ZF72" i="2"/>
  <c r="ZE72" i="2"/>
  <c r="ZD72" i="2"/>
  <c r="ZC72" i="2"/>
  <c r="ZB72" i="2"/>
  <c r="ZA72" i="2"/>
  <c r="YZ72" i="2"/>
  <c r="YY72" i="2"/>
  <c r="YX72" i="2"/>
  <c r="YW72" i="2"/>
  <c r="YV72" i="2"/>
  <c r="YU72" i="2"/>
  <c r="YT72" i="2"/>
  <c r="YS72" i="2"/>
  <c r="YR72" i="2"/>
  <c r="YQ72" i="2"/>
  <c r="YP72" i="2"/>
  <c r="YO72" i="2"/>
  <c r="YN72" i="2"/>
  <c r="YM72" i="2"/>
  <c r="YL72" i="2"/>
  <c r="YK72" i="2"/>
  <c r="YJ72" i="2"/>
  <c r="YI72" i="2"/>
  <c r="YH72" i="2"/>
  <c r="YG72" i="2"/>
  <c r="YF72" i="2"/>
  <c r="YE72" i="2"/>
  <c r="YD72" i="2"/>
  <c r="YC72" i="2"/>
  <c r="YB72" i="2"/>
  <c r="YA72" i="2"/>
  <c r="XZ72" i="2"/>
  <c r="XY72" i="2"/>
  <c r="XX72" i="2"/>
  <c r="XW72" i="2"/>
  <c r="XV72" i="2"/>
  <c r="XU72" i="2"/>
  <c r="XT72" i="2"/>
  <c r="XS72" i="2"/>
  <c r="XR72" i="2"/>
  <c r="XQ72" i="2"/>
  <c r="XP72" i="2"/>
  <c r="XO72" i="2"/>
  <c r="XN72" i="2"/>
  <c r="XM72" i="2"/>
  <c r="XL72" i="2"/>
  <c r="XK72" i="2"/>
  <c r="XJ72" i="2"/>
  <c r="XI72" i="2"/>
  <c r="XH72" i="2"/>
  <c r="XG72" i="2"/>
  <c r="XF72" i="2"/>
  <c r="XE72" i="2"/>
  <c r="XD72" i="2"/>
  <c r="XC72" i="2"/>
  <c r="XB72" i="2"/>
  <c r="XA72" i="2"/>
  <c r="WZ72" i="2"/>
  <c r="WY72" i="2"/>
  <c r="WX72" i="2"/>
  <c r="WW72" i="2"/>
  <c r="WV72" i="2"/>
  <c r="WU72" i="2"/>
  <c r="WT72" i="2"/>
  <c r="WS72" i="2"/>
  <c r="WR72" i="2"/>
  <c r="WQ72" i="2"/>
  <c r="WP72" i="2"/>
  <c r="WO72" i="2"/>
  <c r="WN72" i="2"/>
  <c r="WM72" i="2"/>
  <c r="WL72" i="2"/>
  <c r="WK72" i="2"/>
  <c r="WJ72" i="2"/>
  <c r="WI72" i="2"/>
  <c r="WH72" i="2"/>
  <c r="WG72" i="2"/>
  <c r="WF72" i="2"/>
  <c r="WE72" i="2"/>
  <c r="WD72" i="2"/>
  <c r="WC72" i="2"/>
  <c r="WB72" i="2"/>
  <c r="WA72" i="2"/>
  <c r="VZ72" i="2"/>
  <c r="VY72" i="2"/>
  <c r="VX72" i="2"/>
  <c r="VW72" i="2"/>
  <c r="VV72" i="2"/>
  <c r="VU72" i="2"/>
  <c r="VT72" i="2"/>
  <c r="VS72" i="2"/>
  <c r="VR72" i="2"/>
  <c r="VQ72" i="2"/>
  <c r="VP72" i="2"/>
  <c r="VO72" i="2"/>
  <c r="VN72" i="2"/>
  <c r="VM72" i="2"/>
  <c r="VL72" i="2"/>
  <c r="VK72" i="2"/>
  <c r="VJ72" i="2"/>
  <c r="VI72" i="2"/>
  <c r="VH72" i="2"/>
  <c r="VG72" i="2"/>
  <c r="VF72" i="2"/>
  <c r="VE72" i="2"/>
  <c r="VD72" i="2"/>
  <c r="VC72" i="2"/>
  <c r="VB72" i="2"/>
  <c r="VA72" i="2"/>
  <c r="UZ72" i="2"/>
  <c r="UY72" i="2"/>
  <c r="UX72" i="2"/>
  <c r="UW72" i="2"/>
  <c r="UV72" i="2"/>
  <c r="UU72" i="2"/>
  <c r="UT72" i="2"/>
  <c r="US72" i="2"/>
  <c r="UR72" i="2"/>
  <c r="UQ72" i="2"/>
  <c r="UP72" i="2"/>
  <c r="UO72" i="2"/>
  <c r="UN72" i="2"/>
  <c r="UM72" i="2"/>
  <c r="UL72" i="2"/>
  <c r="UK72" i="2"/>
  <c r="UJ72" i="2"/>
  <c r="UI72" i="2"/>
  <c r="UH72" i="2"/>
  <c r="UG72" i="2"/>
  <c r="UF72" i="2"/>
  <c r="UE72" i="2"/>
  <c r="UD72" i="2"/>
  <c r="UC72" i="2"/>
  <c r="UB72" i="2"/>
  <c r="UA72" i="2"/>
  <c r="TZ72" i="2"/>
  <c r="TY72" i="2"/>
  <c r="TX72" i="2"/>
  <c r="TW72" i="2"/>
  <c r="TV72" i="2"/>
  <c r="TU72" i="2"/>
  <c r="TT72" i="2"/>
  <c r="TS72" i="2"/>
  <c r="TR72" i="2"/>
  <c r="TQ72" i="2"/>
  <c r="TP72" i="2"/>
  <c r="TO72" i="2"/>
  <c r="TN72" i="2"/>
  <c r="TM72" i="2"/>
  <c r="TL72" i="2"/>
  <c r="TK72" i="2"/>
  <c r="TJ72" i="2"/>
  <c r="TI72" i="2"/>
  <c r="TH72" i="2"/>
  <c r="TG72" i="2"/>
  <c r="TF72" i="2"/>
  <c r="TE72" i="2"/>
  <c r="TD72" i="2"/>
  <c r="TC72" i="2"/>
  <c r="TB72" i="2"/>
  <c r="TA72" i="2"/>
  <c r="SZ72" i="2"/>
  <c r="SY72" i="2"/>
  <c r="SX72" i="2"/>
  <c r="SW72" i="2"/>
  <c r="SV72" i="2"/>
  <c r="SU72" i="2"/>
  <c r="ST72" i="2"/>
  <c r="SS72" i="2"/>
  <c r="SR72" i="2"/>
  <c r="SQ72" i="2"/>
  <c r="SP72" i="2"/>
  <c r="SO72" i="2"/>
  <c r="SN72" i="2"/>
  <c r="SM72" i="2"/>
  <c r="SL72" i="2"/>
  <c r="SK72" i="2"/>
  <c r="SJ72" i="2"/>
  <c r="SI72" i="2"/>
  <c r="SH72" i="2"/>
  <c r="SG72" i="2"/>
  <c r="SF72" i="2"/>
  <c r="SE72" i="2"/>
  <c r="SD72" i="2"/>
  <c r="SC72" i="2"/>
  <c r="SB72" i="2"/>
  <c r="SA72" i="2"/>
  <c r="RZ72" i="2"/>
  <c r="RY72" i="2"/>
  <c r="RX72" i="2"/>
  <c r="RW72" i="2"/>
  <c r="RV72" i="2"/>
  <c r="RU72" i="2"/>
  <c r="RT72" i="2"/>
  <c r="RS72" i="2"/>
  <c r="RR72" i="2"/>
  <c r="RQ72" i="2"/>
  <c r="RP72" i="2"/>
  <c r="RO72" i="2"/>
  <c r="RN72" i="2"/>
  <c r="RM72" i="2"/>
  <c r="RL72" i="2"/>
  <c r="RK72" i="2"/>
  <c r="RJ72" i="2"/>
  <c r="RI72" i="2"/>
  <c r="RH72" i="2"/>
  <c r="RG72" i="2"/>
  <c r="RF72" i="2"/>
  <c r="RE72" i="2"/>
  <c r="RD72" i="2"/>
  <c r="RC72" i="2"/>
  <c r="RB72" i="2"/>
  <c r="RA72" i="2"/>
  <c r="QZ72" i="2"/>
  <c r="QY72" i="2"/>
  <c r="QX72" i="2"/>
  <c r="QW72" i="2"/>
  <c r="QV72" i="2"/>
  <c r="QU72" i="2"/>
  <c r="QT72" i="2"/>
  <c r="QS72" i="2"/>
  <c r="QR72" i="2"/>
  <c r="QQ72" i="2"/>
  <c r="QP72" i="2"/>
  <c r="QO72" i="2"/>
  <c r="QN72" i="2"/>
  <c r="QM72" i="2"/>
  <c r="QL72" i="2"/>
  <c r="QK72" i="2"/>
  <c r="QJ72" i="2"/>
  <c r="QI72" i="2"/>
  <c r="QH72" i="2"/>
  <c r="QG72" i="2"/>
  <c r="QF72" i="2"/>
  <c r="QE72" i="2"/>
  <c r="QD72" i="2"/>
  <c r="QC72" i="2"/>
  <c r="QB72" i="2"/>
  <c r="QA72" i="2"/>
  <c r="PZ72" i="2"/>
  <c r="PY72" i="2"/>
  <c r="PX72" i="2"/>
  <c r="PW72" i="2"/>
  <c r="PV72" i="2"/>
  <c r="PU72" i="2"/>
  <c r="PT72" i="2"/>
  <c r="PS72" i="2"/>
  <c r="PR72" i="2"/>
  <c r="PQ72" i="2"/>
  <c r="PP72" i="2"/>
  <c r="PO72" i="2"/>
  <c r="PN72" i="2"/>
  <c r="PM72" i="2"/>
  <c r="PL72" i="2"/>
  <c r="PK72" i="2"/>
  <c r="PJ72" i="2"/>
  <c r="PI72" i="2"/>
  <c r="PH72" i="2"/>
  <c r="PG72" i="2"/>
  <c r="PF72" i="2"/>
  <c r="PE72" i="2"/>
  <c r="PD72" i="2"/>
  <c r="PC72" i="2"/>
  <c r="PB72" i="2"/>
  <c r="PA72" i="2"/>
  <c r="OZ72" i="2"/>
  <c r="OY72" i="2"/>
  <c r="OX72" i="2"/>
  <c r="OW72" i="2"/>
  <c r="OV72" i="2"/>
  <c r="OU72" i="2"/>
  <c r="OT72" i="2"/>
  <c r="OS72" i="2"/>
  <c r="OR72" i="2"/>
  <c r="OQ72" i="2"/>
  <c r="OP72" i="2"/>
  <c r="OO72" i="2"/>
  <c r="ON72" i="2"/>
  <c r="OM72" i="2"/>
  <c r="OL72" i="2"/>
  <c r="OK72" i="2"/>
  <c r="OJ72" i="2"/>
  <c r="OI72" i="2"/>
  <c r="OH72" i="2"/>
  <c r="OG72" i="2"/>
  <c r="OF72" i="2"/>
  <c r="OE72" i="2"/>
  <c r="OD72" i="2"/>
  <c r="OC72" i="2"/>
  <c r="OB72" i="2"/>
  <c r="OA72" i="2"/>
  <c r="NZ72" i="2"/>
  <c r="NY72" i="2"/>
  <c r="NX72" i="2"/>
  <c r="NW72" i="2"/>
  <c r="NV72" i="2"/>
  <c r="NU72" i="2"/>
  <c r="NT72" i="2"/>
  <c r="NS72" i="2"/>
  <c r="NR72" i="2"/>
  <c r="NQ72" i="2"/>
  <c r="NP72" i="2"/>
  <c r="NO72" i="2"/>
  <c r="NN72" i="2"/>
  <c r="NM72" i="2"/>
  <c r="NL72" i="2"/>
  <c r="NK72" i="2"/>
  <c r="NJ72" i="2"/>
  <c r="NI72" i="2"/>
  <c r="NH72" i="2"/>
  <c r="NG72" i="2"/>
  <c r="NF72" i="2"/>
  <c r="NE72" i="2"/>
  <c r="ND72" i="2"/>
  <c r="NC72" i="2"/>
  <c r="NB72" i="2"/>
  <c r="NA72" i="2"/>
  <c r="MZ72" i="2"/>
  <c r="MY72" i="2"/>
  <c r="MX72" i="2"/>
  <c r="MW72" i="2"/>
  <c r="MV72" i="2"/>
  <c r="MU72" i="2"/>
  <c r="MT72" i="2"/>
  <c r="MS72" i="2"/>
  <c r="MR72" i="2"/>
  <c r="MQ72" i="2"/>
  <c r="MP72" i="2"/>
  <c r="MO72" i="2"/>
  <c r="MN72" i="2"/>
  <c r="MM72" i="2"/>
  <c r="ML72" i="2"/>
  <c r="MK72" i="2"/>
  <c r="MJ72" i="2"/>
  <c r="MI72" i="2"/>
  <c r="MH72" i="2"/>
  <c r="MG72" i="2"/>
  <c r="MF72" i="2"/>
  <c r="ME72" i="2"/>
  <c r="MD72" i="2"/>
  <c r="MC72" i="2"/>
  <c r="MB72" i="2"/>
  <c r="MA72" i="2"/>
  <c r="LZ72" i="2"/>
  <c r="LY72" i="2"/>
  <c r="LX72" i="2"/>
  <c r="LW72" i="2"/>
  <c r="LV72" i="2"/>
  <c r="LU72" i="2"/>
  <c r="LT72" i="2"/>
  <c r="LS72" i="2"/>
  <c r="LR72" i="2"/>
  <c r="LQ72" i="2"/>
  <c r="LP72" i="2"/>
  <c r="LO72" i="2"/>
  <c r="LN72" i="2"/>
  <c r="LM72" i="2"/>
  <c r="LL72" i="2"/>
  <c r="LK72" i="2"/>
  <c r="LJ72" i="2"/>
  <c r="LI72" i="2"/>
  <c r="LH72" i="2"/>
  <c r="LG72" i="2"/>
  <c r="LF72" i="2"/>
  <c r="LE72" i="2"/>
  <c r="LD72" i="2"/>
  <c r="LC72" i="2"/>
  <c r="LB72" i="2"/>
  <c r="LA72" i="2"/>
  <c r="KZ72" i="2"/>
  <c r="KY72" i="2"/>
  <c r="KX72" i="2"/>
  <c r="KW72" i="2"/>
  <c r="KV72" i="2"/>
  <c r="KU72" i="2"/>
  <c r="KT72" i="2"/>
  <c r="KS72" i="2"/>
  <c r="KR72" i="2"/>
  <c r="KQ72" i="2"/>
  <c r="KP72" i="2"/>
  <c r="KO72" i="2"/>
  <c r="KN72" i="2"/>
  <c r="KM72" i="2"/>
  <c r="KL72" i="2"/>
  <c r="KK72" i="2"/>
  <c r="KJ72" i="2"/>
  <c r="KI72" i="2"/>
  <c r="KH72" i="2"/>
  <c r="KG72" i="2"/>
  <c r="KF72" i="2"/>
  <c r="KE72" i="2"/>
  <c r="KD72" i="2"/>
  <c r="KC72" i="2"/>
  <c r="KB72" i="2"/>
  <c r="KA72" i="2"/>
  <c r="JZ72" i="2"/>
  <c r="JY72" i="2"/>
  <c r="JX72" i="2"/>
  <c r="JW72" i="2"/>
  <c r="JV72" i="2"/>
  <c r="JU72" i="2"/>
  <c r="JT72" i="2"/>
  <c r="JS72" i="2"/>
  <c r="JR72" i="2"/>
  <c r="JQ72" i="2"/>
  <c r="JP72" i="2"/>
  <c r="JO72" i="2"/>
  <c r="JN72" i="2"/>
  <c r="JM72" i="2"/>
  <c r="JL72" i="2"/>
  <c r="JK72" i="2"/>
  <c r="JJ72" i="2"/>
  <c r="JI72" i="2"/>
  <c r="JH72" i="2"/>
  <c r="JG72" i="2"/>
  <c r="JF72" i="2"/>
  <c r="JE72" i="2"/>
  <c r="JD72" i="2"/>
  <c r="JC72" i="2"/>
  <c r="JB72" i="2"/>
  <c r="JA72" i="2"/>
  <c r="IZ72" i="2"/>
  <c r="IY72" i="2"/>
  <c r="IX72" i="2"/>
  <c r="IW72" i="2"/>
  <c r="IV72" i="2"/>
  <c r="IU72" i="2"/>
  <c r="IT72" i="2"/>
  <c r="IS72" i="2"/>
  <c r="IR72" i="2"/>
  <c r="IQ72" i="2"/>
  <c r="IP72" i="2"/>
  <c r="IO72" i="2"/>
  <c r="IN72" i="2"/>
  <c r="IM72" i="2"/>
  <c r="IL72" i="2"/>
  <c r="IK72" i="2"/>
  <c r="IJ72" i="2"/>
  <c r="II72" i="2"/>
  <c r="IH72" i="2"/>
  <c r="IG72" i="2"/>
  <c r="IF72" i="2"/>
  <c r="IE72" i="2"/>
  <c r="ID72" i="2"/>
  <c r="IC72" i="2"/>
  <c r="IB72" i="2"/>
  <c r="IA72" i="2"/>
  <c r="HZ72" i="2"/>
  <c r="HY72" i="2"/>
  <c r="HX72" i="2"/>
  <c r="HW72" i="2"/>
  <c r="HV72" i="2"/>
  <c r="HU72" i="2"/>
  <c r="HT72" i="2"/>
  <c r="HS72" i="2"/>
  <c r="HR72" i="2"/>
  <c r="HQ72" i="2"/>
  <c r="HP72" i="2"/>
  <c r="HO72" i="2"/>
  <c r="HN72" i="2"/>
  <c r="HM72" i="2"/>
  <c r="HL72" i="2"/>
  <c r="HK72" i="2"/>
  <c r="HJ72" i="2"/>
  <c r="HI72" i="2"/>
  <c r="HH72" i="2"/>
  <c r="HG72" i="2"/>
  <c r="HF72" i="2"/>
  <c r="HE72" i="2"/>
  <c r="HD72" i="2"/>
  <c r="HC72" i="2"/>
  <c r="HB72" i="2"/>
  <c r="HA72" i="2"/>
  <c r="GZ72" i="2"/>
  <c r="GY72" i="2"/>
  <c r="GX72" i="2"/>
  <c r="GW72" i="2"/>
  <c r="GV72" i="2"/>
  <c r="GU72" i="2"/>
  <c r="GT72" i="2"/>
  <c r="GS72" i="2"/>
  <c r="GR72" i="2"/>
  <c r="GQ72" i="2"/>
  <c r="GP72" i="2"/>
  <c r="GO72" i="2"/>
  <c r="GN72" i="2"/>
  <c r="GM72" i="2"/>
  <c r="GL72" i="2"/>
  <c r="GK72" i="2"/>
  <c r="GJ72" i="2"/>
  <c r="GI72" i="2"/>
  <c r="GH72" i="2"/>
  <c r="GG72" i="2"/>
  <c r="GF72" i="2"/>
  <c r="GE72" i="2"/>
  <c r="GD72" i="2"/>
  <c r="GC72" i="2"/>
  <c r="GB72" i="2"/>
  <c r="GA72" i="2"/>
  <c r="FZ72" i="2"/>
  <c r="FY72" i="2"/>
  <c r="FX72" i="2"/>
  <c r="FW72" i="2"/>
  <c r="FV72" i="2"/>
  <c r="FU72" i="2"/>
  <c r="FT72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F72" i="2"/>
  <c r="DE72" i="2"/>
  <c r="DD72" i="2"/>
  <c r="DC72" i="2"/>
  <c r="DB72" i="2"/>
  <c r="DA72" i="2"/>
  <c r="CZ72" i="2"/>
  <c r="CY72" i="2"/>
  <c r="B65" i="2"/>
  <c r="B64" i="2"/>
  <c r="B63" i="2"/>
  <c r="B60" i="2"/>
  <c r="B59" i="2"/>
  <c r="B56" i="2"/>
  <c r="B55" i="2"/>
  <c r="B54" i="2"/>
  <c r="B51" i="2"/>
  <c r="B47" i="2"/>
  <c r="B46" i="2"/>
  <c r="B45" i="2"/>
  <c r="B48" i="2" s="1"/>
  <c r="B42" i="2"/>
  <c r="B41" i="2"/>
  <c r="C32" i="2"/>
  <c r="B7" i="2"/>
  <c r="B6" i="2"/>
  <c r="B5" i="2"/>
  <c r="C2" i="2"/>
  <c r="C112" i="1" s="1"/>
  <c r="C115" i="1"/>
  <c r="C82" i="2" s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C109" i="1"/>
  <c r="C7" i="2" s="1"/>
  <c r="C108" i="1"/>
  <c r="C6" i="2" s="1"/>
  <c r="C107" i="1"/>
  <c r="C5" i="2" s="1"/>
  <c r="C106" i="1"/>
  <c r="B66" i="2" l="1"/>
  <c r="B50" i="2"/>
  <c r="B96" i="2" s="1"/>
  <c r="B83" i="2" s="1"/>
  <c r="B84" i="2" s="1"/>
  <c r="C85" i="2" s="1"/>
  <c r="B57" i="2"/>
  <c r="B61" i="2"/>
  <c r="C113" i="1"/>
  <c r="C99" i="2"/>
  <c r="C108" i="2"/>
  <c r="C69" i="2"/>
  <c r="C34" i="2"/>
  <c r="C19" i="2"/>
  <c r="C33" i="2"/>
  <c r="C16" i="2"/>
  <c r="C68" i="2"/>
  <c r="C20" i="2"/>
  <c r="C14" i="2"/>
  <c r="D2" i="2"/>
  <c r="D108" i="1" s="1"/>
  <c r="C15" i="2"/>
  <c r="C114" i="1"/>
  <c r="C77" i="2" s="1"/>
  <c r="C116" i="1"/>
  <c r="C87" i="2" s="1"/>
  <c r="C90" i="2" s="1"/>
  <c r="C17" i="2"/>
  <c r="B94" i="2"/>
  <c r="B78" i="2" s="1"/>
  <c r="B79" i="2" s="1"/>
  <c r="C80" i="2" s="1"/>
  <c r="B43" i="2"/>
  <c r="C35" i="2" l="1"/>
  <c r="D109" i="1"/>
  <c r="B52" i="2"/>
  <c r="B28" i="2"/>
  <c r="C70" i="2"/>
  <c r="E108" i="1"/>
  <c r="C21" i="2"/>
  <c r="C37" i="2" s="1"/>
  <c r="C73" i="2"/>
  <c r="D69" i="2"/>
  <c r="D33" i="2"/>
  <c r="D68" i="2"/>
  <c r="D73" i="2" s="1"/>
  <c r="D20" i="2"/>
  <c r="D32" i="2"/>
  <c r="D15" i="2"/>
  <c r="D16" i="2"/>
  <c r="D116" i="1"/>
  <c r="D87" i="2" s="1"/>
  <c r="D90" i="2" s="1"/>
  <c r="D114" i="1"/>
  <c r="D77" i="2" s="1"/>
  <c r="D80" i="2" s="1"/>
  <c r="D112" i="1"/>
  <c r="D110" i="1"/>
  <c r="D113" i="1" s="1"/>
  <c r="D34" i="2"/>
  <c r="D19" i="2"/>
  <c r="E2" i="2"/>
  <c r="E109" i="1" s="1"/>
  <c r="D115" i="1"/>
  <c r="D82" i="2" s="1"/>
  <c r="D85" i="2" s="1"/>
  <c r="D14" i="2"/>
  <c r="D107" i="1"/>
  <c r="D5" i="2" s="1"/>
  <c r="D111" i="1"/>
  <c r="D6" i="2"/>
  <c r="D7" i="2"/>
  <c r="D106" i="1"/>
  <c r="B70" i="2"/>
  <c r="C95" i="2"/>
  <c r="C97" i="2"/>
  <c r="C24" i="2" l="1"/>
  <c r="C75" i="2" s="1"/>
  <c r="C91" i="2" s="1"/>
  <c r="C92" i="2" s="1"/>
  <c r="C93" i="2" s="1"/>
  <c r="C100" i="2" s="1"/>
  <c r="C103" i="2" s="1"/>
  <c r="D21" i="2"/>
  <c r="D35" i="2"/>
  <c r="D24" i="2"/>
  <c r="D75" i="2" s="1"/>
  <c r="D91" i="2" s="1"/>
  <c r="D92" i="2" s="1"/>
  <c r="D93" i="2" s="1"/>
  <c r="D100" i="2" s="1"/>
  <c r="D70" i="2"/>
  <c r="D108" i="2"/>
  <c r="B29" i="2"/>
  <c r="B103" i="2" s="1"/>
  <c r="E69" i="2"/>
  <c r="E68" i="2"/>
  <c r="E32" i="2"/>
  <c r="E16" i="2"/>
  <c r="E14" i="2"/>
  <c r="E20" i="2"/>
  <c r="E34" i="2"/>
  <c r="E116" i="1"/>
  <c r="E87" i="2" s="1"/>
  <c r="E90" i="2" s="1"/>
  <c r="E114" i="1"/>
  <c r="E77" i="2" s="1"/>
  <c r="E80" i="2" s="1"/>
  <c r="E112" i="1"/>
  <c r="E110" i="1"/>
  <c r="E113" i="1" s="1"/>
  <c r="E19" i="2"/>
  <c r="E15" i="2"/>
  <c r="E21" i="2" s="1"/>
  <c r="F2" i="2"/>
  <c r="F109" i="1" s="1"/>
  <c r="E115" i="1"/>
  <c r="E82" i="2" s="1"/>
  <c r="E85" i="2" s="1"/>
  <c r="E111" i="1"/>
  <c r="E33" i="2"/>
  <c r="E107" i="1"/>
  <c r="E5" i="2" s="1"/>
  <c r="E7" i="2"/>
  <c r="E106" i="1"/>
  <c r="E6" i="2"/>
  <c r="D37" i="2" l="1"/>
  <c r="D103" i="2" s="1"/>
  <c r="F108" i="1"/>
  <c r="E70" i="2"/>
  <c r="B30" i="2"/>
  <c r="B37" i="2" s="1"/>
  <c r="E35" i="2"/>
  <c r="E37" i="2" s="1"/>
  <c r="E24" i="2"/>
  <c r="E75" i="2" s="1"/>
  <c r="E91" i="2" s="1"/>
  <c r="B109" i="2"/>
  <c r="E73" i="2"/>
  <c r="F69" i="2"/>
  <c r="F33" i="2"/>
  <c r="F68" i="2"/>
  <c r="F32" i="2"/>
  <c r="F20" i="2"/>
  <c r="F34" i="2"/>
  <c r="F19" i="2"/>
  <c r="F16" i="2"/>
  <c r="F15" i="2"/>
  <c r="G2" i="2"/>
  <c r="G108" i="1" s="1"/>
  <c r="F115" i="1"/>
  <c r="F82" i="2" s="1"/>
  <c r="F85" i="2" s="1"/>
  <c r="F14" i="2"/>
  <c r="F112" i="1"/>
  <c r="F107" i="1"/>
  <c r="F5" i="2" s="1"/>
  <c r="F116" i="1"/>
  <c r="F87" i="2" s="1"/>
  <c r="F90" i="2" s="1"/>
  <c r="F111" i="1"/>
  <c r="F7" i="2"/>
  <c r="F114" i="1"/>
  <c r="F77" i="2" s="1"/>
  <c r="F80" i="2" s="1"/>
  <c r="F6" i="2"/>
  <c r="F106" i="1"/>
  <c r="F110" i="1"/>
  <c r="E108" i="2"/>
  <c r="C109" i="2"/>
  <c r="E92" i="2" l="1"/>
  <c r="E93" i="2" s="1"/>
  <c r="E100" i="2" s="1"/>
  <c r="E103" i="2" s="1"/>
  <c r="F70" i="2"/>
  <c r="G109" i="1"/>
  <c r="H109" i="1"/>
  <c r="F21" i="2"/>
  <c r="F113" i="1"/>
  <c r="F35" i="2"/>
  <c r="F24" i="2"/>
  <c r="F75" i="2" s="1"/>
  <c r="F91" i="2" s="1"/>
  <c r="D109" i="2"/>
  <c r="F73" i="2"/>
  <c r="F108" i="2"/>
  <c r="G68" i="2"/>
  <c r="G20" i="2"/>
  <c r="G32" i="2"/>
  <c r="G69" i="2"/>
  <c r="G34" i="2"/>
  <c r="G19" i="2"/>
  <c r="G16" i="2"/>
  <c r="G15" i="2"/>
  <c r="G14" i="2"/>
  <c r="H2" i="2"/>
  <c r="H108" i="1" s="1"/>
  <c r="G115" i="1"/>
  <c r="G82" i="2" s="1"/>
  <c r="G85" i="2" s="1"/>
  <c r="G111" i="1"/>
  <c r="G33" i="2"/>
  <c r="G35" i="2" s="1"/>
  <c r="G116" i="1"/>
  <c r="G87" i="2" s="1"/>
  <c r="G90" i="2" s="1"/>
  <c r="G114" i="1"/>
  <c r="G77" i="2" s="1"/>
  <c r="G80" i="2" s="1"/>
  <c r="G112" i="1"/>
  <c r="G7" i="2"/>
  <c r="G6" i="2"/>
  <c r="G106" i="1"/>
  <c r="G107" i="1"/>
  <c r="G5" i="2" s="1"/>
  <c r="G110" i="1"/>
  <c r="F37" i="2" l="1"/>
  <c r="F92" i="2"/>
  <c r="F93" i="2" s="1"/>
  <c r="F100" i="2" s="1"/>
  <c r="F103" i="2" s="1"/>
  <c r="G70" i="2"/>
  <c r="I108" i="1"/>
  <c r="G21" i="2"/>
  <c r="G37" i="2" s="1"/>
  <c r="G113" i="1"/>
  <c r="G73" i="2"/>
  <c r="G24" i="2"/>
  <c r="G75" i="2" s="1"/>
  <c r="G91" i="2" s="1"/>
  <c r="E109" i="2"/>
  <c r="G108" i="2"/>
  <c r="H69" i="2"/>
  <c r="H68" i="2"/>
  <c r="H34" i="2"/>
  <c r="H19" i="2"/>
  <c r="H20" i="2"/>
  <c r="H15" i="2"/>
  <c r="H14" i="2"/>
  <c r="H33" i="2"/>
  <c r="H35" i="2" s="1"/>
  <c r="H16" i="2"/>
  <c r="I2" i="2"/>
  <c r="I109" i="1" s="1"/>
  <c r="H115" i="1"/>
  <c r="H82" i="2" s="1"/>
  <c r="H85" i="2" s="1"/>
  <c r="H111" i="1"/>
  <c r="H7" i="2"/>
  <c r="H32" i="2"/>
  <c r="H116" i="1"/>
  <c r="H87" i="2" s="1"/>
  <c r="H90" i="2" s="1"/>
  <c r="H114" i="1"/>
  <c r="H77" i="2" s="1"/>
  <c r="H80" i="2" s="1"/>
  <c r="H6" i="2"/>
  <c r="H106" i="1"/>
  <c r="H107" i="1"/>
  <c r="H5" i="2" s="1"/>
  <c r="H112" i="1"/>
  <c r="H110" i="1"/>
  <c r="H108" i="2" s="1"/>
  <c r="G92" i="2" l="1"/>
  <c r="G93" i="2" s="1"/>
  <c r="G100" i="2" s="1"/>
  <c r="G103" i="2" s="1"/>
  <c r="H21" i="2"/>
  <c r="H37" i="2" s="1"/>
  <c r="H70" i="2"/>
  <c r="F109" i="2"/>
  <c r="H113" i="1"/>
  <c r="I34" i="2"/>
  <c r="I32" i="2"/>
  <c r="I15" i="2"/>
  <c r="I19" i="2"/>
  <c r="I69" i="2"/>
  <c r="I16" i="2"/>
  <c r="I33" i="2"/>
  <c r="I115" i="1"/>
  <c r="I82" i="2" s="1"/>
  <c r="I85" i="2" s="1"/>
  <c r="I111" i="1"/>
  <c r="I14" i="2"/>
  <c r="I116" i="1"/>
  <c r="I87" i="2" s="1"/>
  <c r="I90" i="2" s="1"/>
  <c r="I114" i="1"/>
  <c r="I77" i="2" s="1"/>
  <c r="I80" i="2" s="1"/>
  <c r="I112" i="1"/>
  <c r="I110" i="1"/>
  <c r="I113" i="1" s="1"/>
  <c r="I68" i="2"/>
  <c r="I20" i="2"/>
  <c r="I7" i="2"/>
  <c r="I6" i="2"/>
  <c r="I106" i="1"/>
  <c r="J2" i="2"/>
  <c r="J108" i="1" s="1"/>
  <c r="I107" i="1"/>
  <c r="I5" i="2" s="1"/>
  <c r="H73" i="2"/>
  <c r="H24" i="2" l="1"/>
  <c r="H75" i="2" s="1"/>
  <c r="H91" i="2" s="1"/>
  <c r="H92" i="2" s="1"/>
  <c r="H93" i="2" s="1"/>
  <c r="H100" i="2" s="1"/>
  <c r="H103" i="2" s="1"/>
  <c r="J109" i="1"/>
  <c r="I21" i="2"/>
  <c r="I37" i="2" s="1"/>
  <c r="I70" i="2"/>
  <c r="I108" i="2"/>
  <c r="I35" i="2"/>
  <c r="I24" i="2"/>
  <c r="I75" i="2" s="1"/>
  <c r="I91" i="2" s="1"/>
  <c r="J69" i="2"/>
  <c r="J33" i="2"/>
  <c r="J34" i="2"/>
  <c r="J16" i="2"/>
  <c r="J20" i="2"/>
  <c r="J14" i="2"/>
  <c r="J19" i="2"/>
  <c r="J15" i="2"/>
  <c r="J32" i="2"/>
  <c r="J116" i="1"/>
  <c r="J87" i="2" s="1"/>
  <c r="J90" i="2" s="1"/>
  <c r="J114" i="1"/>
  <c r="J77" i="2" s="1"/>
  <c r="J80" i="2" s="1"/>
  <c r="J68" i="2"/>
  <c r="J70" i="2" s="1"/>
  <c r="K2" i="2"/>
  <c r="K108" i="1" s="1"/>
  <c r="J6" i="2"/>
  <c r="J106" i="1"/>
  <c r="J111" i="1"/>
  <c r="J110" i="1"/>
  <c r="J108" i="2" s="1"/>
  <c r="J107" i="1"/>
  <c r="J5" i="2" s="1"/>
  <c r="J7" i="2"/>
  <c r="J115" i="1"/>
  <c r="J82" i="2" s="1"/>
  <c r="J85" i="2" s="1"/>
  <c r="J112" i="1"/>
  <c r="I73" i="2"/>
  <c r="G109" i="2"/>
  <c r="I92" i="2" l="1"/>
  <c r="I93" i="2" s="1"/>
  <c r="I100" i="2" s="1"/>
  <c r="I103" i="2" s="1"/>
  <c r="K109" i="1"/>
  <c r="J21" i="2"/>
  <c r="J37" i="2" s="1"/>
  <c r="J35" i="2"/>
  <c r="J24" i="2"/>
  <c r="J75" i="2" s="1"/>
  <c r="J91" i="2" s="1"/>
  <c r="H109" i="2"/>
  <c r="J113" i="1"/>
  <c r="J73" i="2"/>
  <c r="K69" i="2"/>
  <c r="K32" i="2"/>
  <c r="K34" i="2"/>
  <c r="K19" i="2"/>
  <c r="K16" i="2"/>
  <c r="K33" i="2"/>
  <c r="K20" i="2"/>
  <c r="K15" i="2"/>
  <c r="K68" i="2"/>
  <c r="K70" i="2" s="1"/>
  <c r="K116" i="1"/>
  <c r="K87" i="2" s="1"/>
  <c r="K90" i="2" s="1"/>
  <c r="K114" i="1"/>
  <c r="K77" i="2" s="1"/>
  <c r="K80" i="2" s="1"/>
  <c r="K112" i="1"/>
  <c r="K14" i="2"/>
  <c r="L2" i="2"/>
  <c r="L108" i="1" s="1"/>
  <c r="K115" i="1"/>
  <c r="K82" i="2" s="1"/>
  <c r="K85" i="2" s="1"/>
  <c r="K111" i="1"/>
  <c r="K110" i="1"/>
  <c r="K108" i="2" s="1"/>
  <c r="K107" i="1"/>
  <c r="K5" i="2" s="1"/>
  <c r="K6" i="2"/>
  <c r="K106" i="1"/>
  <c r="K7" i="2"/>
  <c r="J92" i="2" l="1"/>
  <c r="J93" i="2" s="1"/>
  <c r="J100" i="2" s="1"/>
  <c r="J103" i="2" s="1"/>
  <c r="K21" i="2"/>
  <c r="K24" i="2" s="1"/>
  <c r="K75" i="2" s="1"/>
  <c r="K91" i="2" s="1"/>
  <c r="L109" i="1"/>
  <c r="K35" i="2"/>
  <c r="I109" i="2"/>
  <c r="L69" i="2"/>
  <c r="L33" i="2"/>
  <c r="L20" i="2"/>
  <c r="L68" i="2"/>
  <c r="L14" i="2"/>
  <c r="L19" i="2"/>
  <c r="L34" i="2"/>
  <c r="L32" i="2"/>
  <c r="L116" i="1"/>
  <c r="L87" i="2" s="1"/>
  <c r="L90" i="2" s="1"/>
  <c r="L114" i="1"/>
  <c r="L77" i="2" s="1"/>
  <c r="L80" i="2" s="1"/>
  <c r="L112" i="1"/>
  <c r="L110" i="1"/>
  <c r="M2" i="2"/>
  <c r="M108" i="1" s="1"/>
  <c r="L115" i="1"/>
  <c r="L82" i="2" s="1"/>
  <c r="L85" i="2" s="1"/>
  <c r="L16" i="2"/>
  <c r="L15" i="2"/>
  <c r="L107" i="1"/>
  <c r="L5" i="2" s="1"/>
  <c r="L111" i="1"/>
  <c r="L106" i="1"/>
  <c r="L6" i="2"/>
  <c r="L7" i="2"/>
  <c r="K73" i="2"/>
  <c r="K113" i="1"/>
  <c r="K37" i="2" l="1"/>
  <c r="K92" i="2"/>
  <c r="K93" i="2" s="1"/>
  <c r="K100" i="2" s="1"/>
  <c r="L113" i="1"/>
  <c r="M109" i="1"/>
  <c r="M7" i="2" s="1"/>
  <c r="L21" i="2"/>
  <c r="L70" i="2"/>
  <c r="L35" i="2"/>
  <c r="L24" i="2"/>
  <c r="L75" i="2" s="1"/>
  <c r="L91" i="2" s="1"/>
  <c r="L108" i="2"/>
  <c r="J109" i="2"/>
  <c r="M68" i="2"/>
  <c r="M32" i="2"/>
  <c r="M34" i="2"/>
  <c r="M16" i="2"/>
  <c r="M14" i="2"/>
  <c r="M69" i="2"/>
  <c r="M20" i="2"/>
  <c r="M33" i="2"/>
  <c r="M15" i="2"/>
  <c r="M116" i="1"/>
  <c r="M87" i="2" s="1"/>
  <c r="M90" i="2" s="1"/>
  <c r="M114" i="1"/>
  <c r="M77" i="2" s="1"/>
  <c r="M80" i="2" s="1"/>
  <c r="M112" i="1"/>
  <c r="M110" i="1"/>
  <c r="M108" i="2" s="1"/>
  <c r="M19" i="2"/>
  <c r="N2" i="2"/>
  <c r="M115" i="1"/>
  <c r="M82" i="2" s="1"/>
  <c r="M85" i="2" s="1"/>
  <c r="M111" i="1"/>
  <c r="M107" i="1"/>
  <c r="M5" i="2" s="1"/>
  <c r="M6" i="2"/>
  <c r="M106" i="1"/>
  <c r="L73" i="2"/>
  <c r="L37" i="2" l="1"/>
  <c r="K103" i="2"/>
  <c r="L92" i="2"/>
  <c r="L93" i="2" s="1"/>
  <c r="L100" i="2" s="1"/>
  <c r="L103" i="2" s="1"/>
  <c r="M73" i="2"/>
  <c r="N108" i="1"/>
  <c r="N109" i="1"/>
  <c r="M21" i="2"/>
  <c r="M24" i="2" s="1"/>
  <c r="M75" i="2" s="1"/>
  <c r="M91" i="2" s="1"/>
  <c r="M92" i="2" s="1"/>
  <c r="M93" i="2" s="1"/>
  <c r="M100" i="2" s="1"/>
  <c r="O108" i="1"/>
  <c r="M35" i="2"/>
  <c r="K109" i="2"/>
  <c r="N69" i="2"/>
  <c r="N33" i="2"/>
  <c r="N68" i="2"/>
  <c r="N19" i="2"/>
  <c r="N16" i="2"/>
  <c r="N34" i="2"/>
  <c r="N32" i="2"/>
  <c r="N14" i="2"/>
  <c r="O2" i="2"/>
  <c r="N115" i="1"/>
  <c r="N82" i="2" s="1"/>
  <c r="N85" i="2" s="1"/>
  <c r="N20" i="2"/>
  <c r="N15" i="2"/>
  <c r="N116" i="1"/>
  <c r="N87" i="2" s="1"/>
  <c r="N90" i="2" s="1"/>
  <c r="N107" i="1"/>
  <c r="N5" i="2" s="1"/>
  <c r="N110" i="1"/>
  <c r="N114" i="1"/>
  <c r="N77" i="2" s="1"/>
  <c r="N80" i="2" s="1"/>
  <c r="N7" i="2"/>
  <c r="N111" i="1"/>
  <c r="N6" i="2"/>
  <c r="N106" i="1"/>
  <c r="N112" i="1"/>
  <c r="M113" i="1"/>
  <c r="M70" i="2"/>
  <c r="M37" i="2" l="1"/>
  <c r="M103" i="2" s="1"/>
  <c r="N21" i="2"/>
  <c r="O109" i="1"/>
  <c r="N70" i="2"/>
  <c r="N113" i="1"/>
  <c r="N108" i="2"/>
  <c r="N35" i="2"/>
  <c r="N24" i="2"/>
  <c r="N75" i="2" s="1"/>
  <c r="N91" i="2" s="1"/>
  <c r="O68" i="2"/>
  <c r="O20" i="2"/>
  <c r="O69" i="2"/>
  <c r="O32" i="2"/>
  <c r="O19" i="2"/>
  <c r="O33" i="2"/>
  <c r="O14" i="2"/>
  <c r="P2" i="2"/>
  <c r="P108" i="1" s="1"/>
  <c r="O34" i="2"/>
  <c r="O115" i="1"/>
  <c r="O82" i="2" s="1"/>
  <c r="O85" i="2" s="1"/>
  <c r="O111" i="1"/>
  <c r="O15" i="2"/>
  <c r="O16" i="2"/>
  <c r="O116" i="1"/>
  <c r="O87" i="2" s="1"/>
  <c r="O90" i="2" s="1"/>
  <c r="O114" i="1"/>
  <c r="O77" i="2" s="1"/>
  <c r="O80" i="2" s="1"/>
  <c r="O112" i="1"/>
  <c r="O110" i="1"/>
  <c r="O108" i="2" s="1"/>
  <c r="O7" i="2"/>
  <c r="O106" i="1"/>
  <c r="O6" i="2"/>
  <c r="O107" i="1"/>
  <c r="O5" i="2" s="1"/>
  <c r="N73" i="2"/>
  <c r="L109" i="2"/>
  <c r="N37" i="2" l="1"/>
  <c r="O70" i="2"/>
  <c r="P109" i="1"/>
  <c r="O21" i="2"/>
  <c r="N92" i="2"/>
  <c r="N93" i="2" s="1"/>
  <c r="N100" i="2" s="1"/>
  <c r="O35" i="2"/>
  <c r="O24" i="2"/>
  <c r="O75" i="2" s="1"/>
  <c r="O91" i="2" s="1"/>
  <c r="M109" i="2"/>
  <c r="O113" i="1"/>
  <c r="P69" i="2"/>
  <c r="P33" i="2"/>
  <c r="P68" i="2"/>
  <c r="P70" i="2" s="1"/>
  <c r="P32" i="2"/>
  <c r="P19" i="2"/>
  <c r="P34" i="2"/>
  <c r="P15" i="2"/>
  <c r="P14" i="2"/>
  <c r="Q2" i="2"/>
  <c r="Q108" i="1" s="1"/>
  <c r="P115" i="1"/>
  <c r="P82" i="2" s="1"/>
  <c r="P85" i="2" s="1"/>
  <c r="P111" i="1"/>
  <c r="P7" i="2"/>
  <c r="P20" i="2"/>
  <c r="P16" i="2"/>
  <c r="P116" i="1"/>
  <c r="P87" i="2" s="1"/>
  <c r="P90" i="2" s="1"/>
  <c r="P114" i="1"/>
  <c r="P77" i="2" s="1"/>
  <c r="P80" i="2" s="1"/>
  <c r="P6" i="2"/>
  <c r="P106" i="1"/>
  <c r="P110" i="1"/>
  <c r="P112" i="1"/>
  <c r="P107" i="1"/>
  <c r="P5" i="2" s="1"/>
  <c r="O73" i="2"/>
  <c r="O37" i="2" l="1"/>
  <c r="N103" i="2"/>
  <c r="O92" i="2"/>
  <c r="O93" i="2" s="1"/>
  <c r="O100" i="2" s="1"/>
  <c r="P21" i="2"/>
  <c r="P37" i="2" s="1"/>
  <c r="Q109" i="1"/>
  <c r="P113" i="1"/>
  <c r="P35" i="2"/>
  <c r="P24" i="2"/>
  <c r="P75" i="2" s="1"/>
  <c r="P91" i="2" s="1"/>
  <c r="Q34" i="2"/>
  <c r="Q69" i="2"/>
  <c r="Q15" i="2"/>
  <c r="Q68" i="2"/>
  <c r="Q32" i="2"/>
  <c r="Q19" i="2"/>
  <c r="Q33" i="2"/>
  <c r="Q35" i="2" s="1"/>
  <c r="Q14" i="2"/>
  <c r="Q20" i="2"/>
  <c r="Q16" i="2"/>
  <c r="Q115" i="1"/>
  <c r="Q82" i="2" s="1"/>
  <c r="Q85" i="2" s="1"/>
  <c r="Q111" i="1"/>
  <c r="Q116" i="1"/>
  <c r="Q87" i="2" s="1"/>
  <c r="Q90" i="2" s="1"/>
  <c r="Q114" i="1"/>
  <c r="Q77" i="2" s="1"/>
  <c r="Q80" i="2" s="1"/>
  <c r="Q112" i="1"/>
  <c r="Q110" i="1"/>
  <c r="Q7" i="2"/>
  <c r="Q6" i="2"/>
  <c r="Q106" i="1"/>
  <c r="R2" i="2"/>
  <c r="Q107" i="1"/>
  <c r="Q5" i="2" s="1"/>
  <c r="P108" i="2"/>
  <c r="N109" i="2"/>
  <c r="P73" i="2"/>
  <c r="O103" i="2" l="1"/>
  <c r="P92" i="2"/>
  <c r="P93" i="2" s="1"/>
  <c r="P100" i="2" s="1"/>
  <c r="P103" i="2" s="1"/>
  <c r="R109" i="1"/>
  <c r="Q21" i="2"/>
  <c r="Q24" i="2" s="1"/>
  <c r="Q75" i="2" s="1"/>
  <c r="Q91" i="2" s="1"/>
  <c r="R108" i="1"/>
  <c r="Q113" i="1"/>
  <c r="Q73" i="2"/>
  <c r="Q37" i="2"/>
  <c r="R69" i="2"/>
  <c r="R33" i="2"/>
  <c r="R68" i="2"/>
  <c r="R73" i="2" s="1"/>
  <c r="R16" i="2"/>
  <c r="R34" i="2"/>
  <c r="R32" i="2"/>
  <c r="R20" i="2"/>
  <c r="R15" i="2"/>
  <c r="R19" i="2"/>
  <c r="R14" i="2"/>
  <c r="R116" i="1"/>
  <c r="R87" i="2" s="1"/>
  <c r="R90" i="2" s="1"/>
  <c r="R114" i="1"/>
  <c r="R77" i="2" s="1"/>
  <c r="R80" i="2" s="1"/>
  <c r="S2" i="2"/>
  <c r="S108" i="1" s="1"/>
  <c r="R7" i="2"/>
  <c r="R6" i="2"/>
  <c r="R106" i="1"/>
  <c r="R112" i="1"/>
  <c r="R115" i="1"/>
  <c r="R82" i="2" s="1"/>
  <c r="R85" i="2" s="1"/>
  <c r="R107" i="1"/>
  <c r="R5" i="2" s="1"/>
  <c r="R111" i="1"/>
  <c r="R110" i="1"/>
  <c r="R108" i="2" s="1"/>
  <c r="O109" i="2"/>
  <c r="Q70" i="2"/>
  <c r="Q108" i="2"/>
  <c r="R21" i="2" l="1"/>
  <c r="R24" i="2" s="1"/>
  <c r="R75" i="2" s="1"/>
  <c r="R91" i="2" s="1"/>
  <c r="R92" i="2" s="1"/>
  <c r="R93" i="2" s="1"/>
  <c r="R100" i="2" s="1"/>
  <c r="S109" i="1"/>
  <c r="Q92" i="2"/>
  <c r="Q93" i="2" s="1"/>
  <c r="Q100" i="2" s="1"/>
  <c r="Q103" i="2" s="1"/>
  <c r="R35" i="2"/>
  <c r="R70" i="2"/>
  <c r="R113" i="1"/>
  <c r="P109" i="2"/>
  <c r="S69" i="2"/>
  <c r="S32" i="2"/>
  <c r="S34" i="2"/>
  <c r="S19" i="2"/>
  <c r="S16" i="2"/>
  <c r="S20" i="2"/>
  <c r="S14" i="2"/>
  <c r="S68" i="2"/>
  <c r="S70" i="2" s="1"/>
  <c r="S116" i="1"/>
  <c r="S87" i="2" s="1"/>
  <c r="S90" i="2" s="1"/>
  <c r="S114" i="1"/>
  <c r="S77" i="2" s="1"/>
  <c r="S80" i="2" s="1"/>
  <c r="S112" i="1"/>
  <c r="S15" i="2"/>
  <c r="S33" i="2"/>
  <c r="T2" i="2"/>
  <c r="T108" i="1" s="1"/>
  <c r="S115" i="1"/>
  <c r="S82" i="2" s="1"/>
  <c r="S85" i="2" s="1"/>
  <c r="S107" i="1"/>
  <c r="S5" i="2" s="1"/>
  <c r="S7" i="2"/>
  <c r="S6" i="2"/>
  <c r="S106" i="1"/>
  <c r="S111" i="1"/>
  <c r="S110" i="1"/>
  <c r="S113" i="1" s="1"/>
  <c r="R37" i="2" l="1"/>
  <c r="R103" i="2" s="1"/>
  <c r="S21" i="2"/>
  <c r="T109" i="1"/>
  <c r="S35" i="2"/>
  <c r="S37" i="2" s="1"/>
  <c r="S24" i="2"/>
  <c r="S75" i="2" s="1"/>
  <c r="S91" i="2" s="1"/>
  <c r="T69" i="2"/>
  <c r="T33" i="2"/>
  <c r="T32" i="2"/>
  <c r="T34" i="2"/>
  <c r="T20" i="2"/>
  <c r="T15" i="2"/>
  <c r="T68" i="2"/>
  <c r="T16" i="2"/>
  <c r="T116" i="1"/>
  <c r="T87" i="2" s="1"/>
  <c r="T90" i="2" s="1"/>
  <c r="T114" i="1"/>
  <c r="T77" i="2" s="1"/>
  <c r="T80" i="2" s="1"/>
  <c r="T112" i="1"/>
  <c r="T110" i="1"/>
  <c r="U2" i="2"/>
  <c r="T115" i="1"/>
  <c r="T82" i="2" s="1"/>
  <c r="T85" i="2" s="1"/>
  <c r="T19" i="2"/>
  <c r="T14" i="2"/>
  <c r="T21" i="2" s="1"/>
  <c r="T107" i="1"/>
  <c r="T5" i="2" s="1"/>
  <c r="T106" i="1"/>
  <c r="T111" i="1"/>
  <c r="T7" i="2"/>
  <c r="T6" i="2"/>
  <c r="Q109" i="2"/>
  <c r="S73" i="2"/>
  <c r="S108" i="2"/>
  <c r="S92" i="2" l="1"/>
  <c r="S93" i="2" s="1"/>
  <c r="S100" i="2" s="1"/>
  <c r="S103" i="2" s="1"/>
  <c r="U108" i="1"/>
  <c r="U109" i="1"/>
  <c r="T113" i="1"/>
  <c r="T35" i="2"/>
  <c r="T73" i="2"/>
  <c r="T37" i="2"/>
  <c r="T24" i="2"/>
  <c r="T75" i="2" s="1"/>
  <c r="T91" i="2" s="1"/>
  <c r="T108" i="2"/>
  <c r="T70" i="2"/>
  <c r="R109" i="2"/>
  <c r="U69" i="2"/>
  <c r="U68" i="2"/>
  <c r="U70" i="2" s="1"/>
  <c r="U32" i="2"/>
  <c r="U16" i="2"/>
  <c r="U14" i="2"/>
  <c r="U34" i="2"/>
  <c r="U20" i="2"/>
  <c r="U33" i="2"/>
  <c r="U19" i="2"/>
  <c r="U116" i="1"/>
  <c r="U87" i="2" s="1"/>
  <c r="U90" i="2" s="1"/>
  <c r="U114" i="1"/>
  <c r="U77" i="2" s="1"/>
  <c r="U80" i="2" s="1"/>
  <c r="U112" i="1"/>
  <c r="U110" i="1"/>
  <c r="U15" i="2"/>
  <c r="V2" i="2"/>
  <c r="V109" i="1" s="1"/>
  <c r="U115" i="1"/>
  <c r="U82" i="2" s="1"/>
  <c r="U85" i="2" s="1"/>
  <c r="U111" i="1"/>
  <c r="U107" i="1"/>
  <c r="U5" i="2" s="1"/>
  <c r="U106" i="1"/>
  <c r="U7" i="2"/>
  <c r="U6" i="2"/>
  <c r="V108" i="1" l="1"/>
  <c r="U21" i="2"/>
  <c r="T92" i="2"/>
  <c r="T93" i="2" s="1"/>
  <c r="T100" i="2" s="1"/>
  <c r="T103" i="2" s="1"/>
  <c r="U35" i="2"/>
  <c r="U24" i="2"/>
  <c r="U75" i="2" s="1"/>
  <c r="U91" i="2" s="1"/>
  <c r="U113" i="1"/>
  <c r="S109" i="2"/>
  <c r="V69" i="2"/>
  <c r="V33" i="2"/>
  <c r="V15" i="2"/>
  <c r="V14" i="2"/>
  <c r="V68" i="2"/>
  <c r="V70" i="2" s="1"/>
  <c r="V32" i="2"/>
  <c r="V20" i="2"/>
  <c r="V19" i="2"/>
  <c r="V34" i="2"/>
  <c r="V35" i="2" s="1"/>
  <c r="W2" i="2"/>
  <c r="W108" i="1" s="1"/>
  <c r="V115" i="1"/>
  <c r="V82" i="2" s="1"/>
  <c r="V85" i="2" s="1"/>
  <c r="V16" i="2"/>
  <c r="V107" i="1"/>
  <c r="V5" i="2" s="1"/>
  <c r="V114" i="1"/>
  <c r="V77" i="2" s="1"/>
  <c r="V80" i="2" s="1"/>
  <c r="V111" i="1"/>
  <c r="V112" i="1"/>
  <c r="V116" i="1"/>
  <c r="V87" i="2" s="1"/>
  <c r="V90" i="2" s="1"/>
  <c r="V110" i="1"/>
  <c r="V108" i="2" s="1"/>
  <c r="V7" i="2"/>
  <c r="V6" i="2"/>
  <c r="V106" i="1"/>
  <c r="U73" i="2"/>
  <c r="U108" i="2"/>
  <c r="U37" i="2" l="1"/>
  <c r="U92" i="2"/>
  <c r="U93" i="2" s="1"/>
  <c r="U100" i="2" s="1"/>
  <c r="V21" i="2"/>
  <c r="V37" i="2" s="1"/>
  <c r="W109" i="1"/>
  <c r="T109" i="2"/>
  <c r="V113" i="1"/>
  <c r="B10" i="2" s="1" a="1"/>
  <c r="W103" i="2"/>
  <c r="W109" i="2"/>
  <c r="W100" i="2"/>
  <c r="W93" i="2"/>
  <c r="W91" i="2"/>
  <c r="W104" i="2"/>
  <c r="W105" i="2"/>
  <c r="W108" i="2"/>
  <c r="W85" i="2"/>
  <c r="W80" i="2"/>
  <c r="W90" i="2"/>
  <c r="W92" i="2"/>
  <c r="W73" i="2"/>
  <c r="W68" i="2"/>
  <c r="W34" i="2"/>
  <c r="W20" i="2"/>
  <c r="W37" i="2"/>
  <c r="W33" i="2"/>
  <c r="W19" i="2"/>
  <c r="W21" i="2"/>
  <c r="W16" i="2"/>
  <c r="W35" i="2"/>
  <c r="W24" i="2"/>
  <c r="W75" i="2" s="1"/>
  <c r="W32" i="2"/>
  <c r="X2" i="2"/>
  <c r="X109" i="1" s="1"/>
  <c r="W15" i="2"/>
  <c r="W115" i="1"/>
  <c r="W82" i="2" s="1"/>
  <c r="W111" i="1"/>
  <c r="W69" i="2"/>
  <c r="W14" i="2"/>
  <c r="W116" i="1"/>
  <c r="W87" i="2" s="1"/>
  <c r="W114" i="1"/>
  <c r="W77" i="2" s="1"/>
  <c r="W112" i="1"/>
  <c r="W110" i="1"/>
  <c r="W7" i="2"/>
  <c r="W6" i="2"/>
  <c r="W106" i="1"/>
  <c r="W107" i="1"/>
  <c r="W5" i="2" s="1"/>
  <c r="V73" i="2"/>
  <c r="U103" i="2" l="1"/>
  <c r="V24" i="2"/>
  <c r="V75" i="2" s="1"/>
  <c r="V91" i="2" s="1"/>
  <c r="V92" i="2" s="1"/>
  <c r="V93" i="2" s="1"/>
  <c r="V100" i="2" s="1"/>
  <c r="V103" i="2" s="1"/>
  <c r="X108" i="1"/>
  <c r="CS10" i="2"/>
  <c r="CP10" i="2"/>
  <c r="CH10" i="2"/>
  <c r="BZ10" i="2"/>
  <c r="BR10" i="2"/>
  <c r="BJ10" i="2"/>
  <c r="BB10" i="2"/>
  <c r="AT10" i="2"/>
  <c r="AL10" i="2"/>
  <c r="AD10" i="2"/>
  <c r="V10" i="2"/>
  <c r="V104" i="2" s="1"/>
  <c r="N10" i="2"/>
  <c r="N104" i="2" s="1"/>
  <c r="N105" i="2" s="1"/>
  <c r="F10" i="2"/>
  <c r="F104" i="2" s="1"/>
  <c r="F105" i="2" s="1"/>
  <c r="CW10" i="2"/>
  <c r="CN10" i="2"/>
  <c r="CF10" i="2"/>
  <c r="BX10" i="2"/>
  <c r="BP10" i="2"/>
  <c r="BH10" i="2"/>
  <c r="AZ10" i="2"/>
  <c r="AR10" i="2"/>
  <c r="AJ10" i="2"/>
  <c r="AB10" i="2"/>
  <c r="T10" i="2"/>
  <c r="T104" i="2" s="1"/>
  <c r="T105" i="2" s="1"/>
  <c r="L10" i="2"/>
  <c r="L104" i="2" s="1"/>
  <c r="L105" i="2" s="1"/>
  <c r="D10" i="2"/>
  <c r="D104" i="2" s="1"/>
  <c r="D105" i="2" s="1"/>
  <c r="CU10" i="2"/>
  <c r="CL10" i="2"/>
  <c r="CD10" i="2"/>
  <c r="BV10" i="2"/>
  <c r="BN10" i="2"/>
  <c r="BF10" i="2"/>
  <c r="CT10" i="2"/>
  <c r="CK10" i="2"/>
  <c r="CC10" i="2"/>
  <c r="BU10" i="2"/>
  <c r="BM10" i="2"/>
  <c r="BE10" i="2"/>
  <c r="AW10" i="2"/>
  <c r="AO10" i="2"/>
  <c r="AG10" i="2"/>
  <c r="Y10" i="2"/>
  <c r="Q10" i="2"/>
  <c r="Q104" i="2" s="1"/>
  <c r="Q105" i="2" s="1"/>
  <c r="I10" i="2"/>
  <c r="I104" i="2" s="1"/>
  <c r="I105" i="2" s="1"/>
  <c r="B10" i="2"/>
  <c r="B105" i="2" s="1"/>
  <c r="CV10" i="2"/>
  <c r="CE10" i="2"/>
  <c r="BO10" i="2"/>
  <c r="AY10" i="2"/>
  <c r="AM10" i="2"/>
  <c r="Z10" i="2"/>
  <c r="M10" i="2"/>
  <c r="M104" i="2" s="1"/>
  <c r="M105" i="2" s="1"/>
  <c r="CR10" i="2"/>
  <c r="CB10" i="2"/>
  <c r="BL10" i="2"/>
  <c r="AX10" i="2"/>
  <c r="AK10" i="2"/>
  <c r="X10" i="2"/>
  <c r="K10" i="2"/>
  <c r="K104" i="2" s="1"/>
  <c r="K105" i="2" s="1"/>
  <c r="CQ10" i="2"/>
  <c r="CA10" i="2"/>
  <c r="BK10" i="2"/>
  <c r="AV10" i="2"/>
  <c r="AI10" i="2"/>
  <c r="W10" i="2"/>
  <c r="J10" i="2"/>
  <c r="J104" i="2" s="1"/>
  <c r="J105" i="2" s="1"/>
  <c r="CO10" i="2"/>
  <c r="BY10" i="2"/>
  <c r="BI10" i="2"/>
  <c r="AU10" i="2"/>
  <c r="AH10" i="2"/>
  <c r="U10" i="2"/>
  <c r="U104" i="2" s="1"/>
  <c r="U105" i="2" s="1"/>
  <c r="H10" i="2"/>
  <c r="H104" i="2" s="1"/>
  <c r="H105" i="2" s="1"/>
  <c r="CM10" i="2"/>
  <c r="BW10" i="2"/>
  <c r="BG10" i="2"/>
  <c r="AS10" i="2"/>
  <c r="AF10" i="2"/>
  <c r="S10" i="2"/>
  <c r="S104" i="2" s="1"/>
  <c r="S105" i="2" s="1"/>
  <c r="G10" i="2"/>
  <c r="G104" i="2" s="1"/>
  <c r="G105" i="2" s="1"/>
  <c r="CJ10" i="2"/>
  <c r="BT10" i="2"/>
  <c r="BD10" i="2"/>
  <c r="AQ10" i="2"/>
  <c r="AE10" i="2"/>
  <c r="R10" i="2"/>
  <c r="R104" i="2" s="1"/>
  <c r="R105" i="2" s="1"/>
  <c r="E10" i="2"/>
  <c r="E104" i="2" s="1"/>
  <c r="E105" i="2" s="1"/>
  <c r="CI10" i="2"/>
  <c r="BS10" i="2"/>
  <c r="BC10" i="2"/>
  <c r="AP10" i="2"/>
  <c r="AC10" i="2"/>
  <c r="P10" i="2"/>
  <c r="P104" i="2" s="1"/>
  <c r="P105" i="2" s="1"/>
  <c r="C10" i="2"/>
  <c r="C104" i="2" s="1"/>
  <c r="C105" i="2" s="1"/>
  <c r="CX10" i="2"/>
  <c r="CG10" i="2"/>
  <c r="BQ10" i="2"/>
  <c r="BA10" i="2"/>
  <c r="AN10" i="2"/>
  <c r="AA10" i="2"/>
  <c r="O10" i="2"/>
  <c r="O104" i="2" s="1"/>
  <c r="O105" i="2" s="1"/>
  <c r="U109" i="2"/>
  <c r="X108" i="2"/>
  <c r="X104" i="2"/>
  <c r="X109" i="2"/>
  <c r="X93" i="2"/>
  <c r="X105" i="2"/>
  <c r="X103" i="2"/>
  <c r="X92" i="2"/>
  <c r="X90" i="2"/>
  <c r="X100" i="2"/>
  <c r="X80" i="2"/>
  <c r="X91" i="2"/>
  <c r="X85" i="2"/>
  <c r="X73" i="2"/>
  <c r="X35" i="2"/>
  <c r="X69" i="2"/>
  <c r="X37" i="2"/>
  <c r="X21" i="2"/>
  <c r="X33" i="2"/>
  <c r="X19" i="2"/>
  <c r="X68" i="2"/>
  <c r="X32" i="2"/>
  <c r="X20" i="2"/>
  <c r="X24" i="2"/>
  <c r="X75" i="2" s="1"/>
  <c r="X34" i="2"/>
  <c r="Y2" i="2"/>
  <c r="Y109" i="1" s="1"/>
  <c r="X15" i="2"/>
  <c r="X115" i="1"/>
  <c r="X82" i="2" s="1"/>
  <c r="X111" i="1"/>
  <c r="X7" i="2"/>
  <c r="X16" i="2"/>
  <c r="X14" i="2"/>
  <c r="X116" i="1"/>
  <c r="X87" i="2" s="1"/>
  <c r="X114" i="1"/>
  <c r="X77" i="2" s="1"/>
  <c r="X112" i="1"/>
  <c r="X110" i="1"/>
  <c r="X6" i="2"/>
  <c r="X106" i="1"/>
  <c r="X107" i="1"/>
  <c r="X5" i="2" s="1"/>
  <c r="W70" i="2"/>
  <c r="Y108" i="1" l="1"/>
  <c r="X70" i="2"/>
  <c r="V109" i="2"/>
  <c r="V105" i="2"/>
  <c r="Y108" i="2"/>
  <c r="Y109" i="2"/>
  <c r="Y100" i="2"/>
  <c r="Y105" i="2"/>
  <c r="Y104" i="2"/>
  <c r="Y103" i="2"/>
  <c r="Y92" i="2"/>
  <c r="Y90" i="2"/>
  <c r="Y80" i="2"/>
  <c r="Y93" i="2"/>
  <c r="Y91" i="2"/>
  <c r="Y85" i="2"/>
  <c r="Y34" i="2"/>
  <c r="Y73" i="2"/>
  <c r="Y15" i="2"/>
  <c r="Y19" i="2"/>
  <c r="Y68" i="2"/>
  <c r="Y35" i="2"/>
  <c r="Y32" i="2"/>
  <c r="Y24" i="2"/>
  <c r="Y75" i="2" s="1"/>
  <c r="Y21" i="2"/>
  <c r="Y16" i="2"/>
  <c r="Y37" i="2"/>
  <c r="Y14" i="2"/>
  <c r="Y115" i="1"/>
  <c r="Y82" i="2" s="1"/>
  <c r="Y111" i="1"/>
  <c r="Y33" i="2"/>
  <c r="Y20" i="2"/>
  <c r="Y116" i="1"/>
  <c r="Y87" i="2" s="1"/>
  <c r="Y114" i="1"/>
  <c r="Y77" i="2" s="1"/>
  <c r="Y112" i="1"/>
  <c r="Y110" i="1"/>
  <c r="Y69" i="2"/>
  <c r="Z2" i="2"/>
  <c r="Z108" i="1" s="1"/>
  <c r="Y6" i="2"/>
  <c r="Y106" i="1"/>
  <c r="Y7" i="2"/>
  <c r="Y107" i="1"/>
  <c r="Y5" i="2" s="1"/>
  <c r="Z109" i="1" l="1"/>
  <c r="Z104" i="2"/>
  <c r="Z109" i="2"/>
  <c r="Z105" i="2"/>
  <c r="Z103" i="2"/>
  <c r="Z92" i="2"/>
  <c r="Z108" i="2"/>
  <c r="Z100" i="2"/>
  <c r="Z93" i="2"/>
  <c r="Z91" i="2"/>
  <c r="Z85" i="2"/>
  <c r="Z80" i="2"/>
  <c r="Z90" i="2"/>
  <c r="Z73" i="2"/>
  <c r="Z69" i="2"/>
  <c r="Z33" i="2"/>
  <c r="Z35" i="2"/>
  <c r="Z37" i="2"/>
  <c r="Z68" i="2"/>
  <c r="Z32" i="2"/>
  <c r="Z24" i="2"/>
  <c r="Z75" i="2" s="1"/>
  <c r="Z21" i="2"/>
  <c r="Z16" i="2"/>
  <c r="Z20" i="2"/>
  <c r="Z19" i="2"/>
  <c r="Z14" i="2"/>
  <c r="Z34" i="2"/>
  <c r="Z15" i="2"/>
  <c r="Z116" i="1"/>
  <c r="Z87" i="2" s="1"/>
  <c r="Z114" i="1"/>
  <c r="Z77" i="2" s="1"/>
  <c r="AA2" i="2"/>
  <c r="AA108" i="1" s="1"/>
  <c r="Z112" i="1"/>
  <c r="Z6" i="2"/>
  <c r="Z106" i="1"/>
  <c r="Z111" i="1"/>
  <c r="Z110" i="1"/>
  <c r="Z7" i="2"/>
  <c r="Z115" i="1"/>
  <c r="Z82" i="2" s="1"/>
  <c r="Z107" i="1"/>
  <c r="Z5" i="2" s="1"/>
  <c r="Y70" i="2"/>
  <c r="AA109" i="1" l="1"/>
  <c r="AA7" i="2" s="1"/>
  <c r="AA104" i="2"/>
  <c r="AA109" i="2"/>
  <c r="AA100" i="2"/>
  <c r="AA105" i="2"/>
  <c r="AA92" i="2"/>
  <c r="AA90" i="2"/>
  <c r="AA103" i="2"/>
  <c r="AA108" i="2"/>
  <c r="AA80" i="2"/>
  <c r="AA73" i="2"/>
  <c r="AA69" i="2"/>
  <c r="AA93" i="2"/>
  <c r="AA32" i="2"/>
  <c r="AA91" i="2"/>
  <c r="AA34" i="2"/>
  <c r="AA33" i="2"/>
  <c r="AA19" i="2"/>
  <c r="AA68" i="2"/>
  <c r="AA24" i="2"/>
  <c r="AA75" i="2" s="1"/>
  <c r="AA21" i="2"/>
  <c r="AA16" i="2"/>
  <c r="AA35" i="2"/>
  <c r="AA20" i="2"/>
  <c r="AA37" i="2"/>
  <c r="AA15" i="2"/>
  <c r="AA116" i="1"/>
  <c r="AA87" i="2" s="1"/>
  <c r="AA114" i="1"/>
  <c r="AA77" i="2" s="1"/>
  <c r="AA112" i="1"/>
  <c r="AA14" i="2"/>
  <c r="AA85" i="2"/>
  <c r="AB2" i="2"/>
  <c r="AB109" i="1" s="1"/>
  <c r="AA115" i="1"/>
  <c r="AA82" i="2" s="1"/>
  <c r="AA111" i="1"/>
  <c r="AA110" i="1"/>
  <c r="AA107" i="1"/>
  <c r="AA5" i="2" s="1"/>
  <c r="AA6" i="2"/>
  <c r="AA106" i="1"/>
  <c r="Z70" i="2"/>
  <c r="AB108" i="1" l="1"/>
  <c r="AA70" i="2"/>
  <c r="AB109" i="2"/>
  <c r="AB100" i="2"/>
  <c r="AB103" i="2"/>
  <c r="AB108" i="2"/>
  <c r="AB104" i="2"/>
  <c r="AB105" i="2"/>
  <c r="AB93" i="2"/>
  <c r="AB91" i="2"/>
  <c r="AB85" i="2"/>
  <c r="AB90" i="2"/>
  <c r="AB92" i="2"/>
  <c r="AB80" i="2"/>
  <c r="AB73" i="2"/>
  <c r="AB69" i="2"/>
  <c r="AB24" i="2"/>
  <c r="AB75" i="2" s="1"/>
  <c r="AB68" i="2"/>
  <c r="AB20" i="2"/>
  <c r="AB19" i="2"/>
  <c r="AB14" i="2"/>
  <c r="AB15" i="2"/>
  <c r="AB37" i="2"/>
  <c r="AB21" i="2"/>
  <c r="AB116" i="1"/>
  <c r="AB87" i="2" s="1"/>
  <c r="AB114" i="1"/>
  <c r="AB77" i="2" s="1"/>
  <c r="AB112" i="1"/>
  <c r="AB110" i="1"/>
  <c r="AB6" i="2"/>
  <c r="AC2" i="2"/>
  <c r="AC108" i="1" s="1"/>
  <c r="AB115" i="1"/>
  <c r="AB82" i="2" s="1"/>
  <c r="AB107" i="1"/>
  <c r="AB5" i="2" s="1"/>
  <c r="AB106" i="1"/>
  <c r="AB111" i="1"/>
  <c r="AC109" i="1" l="1"/>
  <c r="AC105" i="2"/>
  <c r="AC108" i="2"/>
  <c r="AC109" i="2"/>
  <c r="AC103" i="2"/>
  <c r="AC93" i="2"/>
  <c r="AC91" i="2"/>
  <c r="AC100" i="2"/>
  <c r="AC85" i="2"/>
  <c r="AC104" i="2"/>
  <c r="AC90" i="2"/>
  <c r="AC92" i="2"/>
  <c r="AC73" i="2"/>
  <c r="AC68" i="2"/>
  <c r="AC80" i="2"/>
  <c r="AC21" i="2"/>
  <c r="AC14" i="2"/>
  <c r="AC20" i="2"/>
  <c r="AC37" i="2"/>
  <c r="AC15" i="2"/>
  <c r="AC24" i="2"/>
  <c r="AC75" i="2" s="1"/>
  <c r="AC69" i="2"/>
  <c r="AC116" i="1"/>
  <c r="AC87" i="2" s="1"/>
  <c r="AC114" i="1"/>
  <c r="AC77" i="2" s="1"/>
  <c r="AC112" i="1"/>
  <c r="AC110" i="1"/>
  <c r="AD2" i="2"/>
  <c r="AD108" i="1" s="1"/>
  <c r="AC115" i="1"/>
  <c r="AC82" i="2" s="1"/>
  <c r="AC111" i="1"/>
  <c r="AC19" i="2"/>
  <c r="AC107" i="1"/>
  <c r="AC5" i="2" s="1"/>
  <c r="AC106" i="1"/>
  <c r="AC6" i="2"/>
  <c r="AD109" i="1" l="1"/>
  <c r="AD105" i="2"/>
  <c r="AD103" i="2"/>
  <c r="AD108" i="2"/>
  <c r="AD104" i="2"/>
  <c r="AD109" i="2"/>
  <c r="AD93" i="2"/>
  <c r="AD91" i="2"/>
  <c r="AD100" i="2"/>
  <c r="AD85" i="2"/>
  <c r="AD90" i="2"/>
  <c r="AD80" i="2"/>
  <c r="AD92" i="2"/>
  <c r="AD73" i="2"/>
  <c r="AD69" i="2"/>
  <c r="AD37" i="2"/>
  <c r="AD24" i="2"/>
  <c r="AD75" i="2" s="1"/>
  <c r="AD19" i="2"/>
  <c r="AD21" i="2"/>
  <c r="AE2" i="2"/>
  <c r="AE109" i="1" s="1"/>
  <c r="AD20" i="2"/>
  <c r="AD14" i="2"/>
  <c r="AD115" i="1"/>
  <c r="AD82" i="2" s="1"/>
  <c r="AD68" i="2"/>
  <c r="AD15" i="2"/>
  <c r="AD114" i="1"/>
  <c r="AD77" i="2" s="1"/>
  <c r="AD107" i="1"/>
  <c r="AD5" i="2" s="1"/>
  <c r="AD112" i="1"/>
  <c r="AD110" i="1"/>
  <c r="AD106" i="1"/>
  <c r="AD111" i="1"/>
  <c r="AD6" i="2"/>
  <c r="AD116" i="1"/>
  <c r="AD87" i="2" s="1"/>
  <c r="AE108" i="1" l="1"/>
  <c r="AE103" i="2"/>
  <c r="AE109" i="2"/>
  <c r="AE100" i="2"/>
  <c r="AE105" i="2"/>
  <c r="AE93" i="2"/>
  <c r="AE91" i="2"/>
  <c r="AE108" i="2"/>
  <c r="AE85" i="2"/>
  <c r="AE90" i="2"/>
  <c r="AE104" i="2"/>
  <c r="AE80" i="2"/>
  <c r="AE92" i="2"/>
  <c r="AE73" i="2"/>
  <c r="AE68" i="2"/>
  <c r="AE20" i="2"/>
  <c r="AE69" i="2"/>
  <c r="AE37" i="2"/>
  <c r="AE19" i="2"/>
  <c r="AE15" i="2"/>
  <c r="AE14" i="2"/>
  <c r="AE24" i="2"/>
  <c r="AE75" i="2" s="1"/>
  <c r="AE21" i="2"/>
  <c r="AF2" i="2"/>
  <c r="AF109" i="1" s="1"/>
  <c r="AE115" i="1"/>
  <c r="AE82" i="2" s="1"/>
  <c r="AE111" i="1"/>
  <c r="AE116" i="1"/>
  <c r="AE87" i="2" s="1"/>
  <c r="AE114" i="1"/>
  <c r="AE77" i="2" s="1"/>
  <c r="AE112" i="1"/>
  <c r="AE106" i="1"/>
  <c r="AE110" i="1"/>
  <c r="AE6" i="2"/>
  <c r="AE107" i="1"/>
  <c r="AE5" i="2" s="1"/>
  <c r="AF108" i="1" l="1"/>
  <c r="AF108" i="2"/>
  <c r="AF104" i="2"/>
  <c r="AF109" i="2"/>
  <c r="AF103" i="2"/>
  <c r="AF93" i="2"/>
  <c r="AF100" i="2"/>
  <c r="AF92" i="2"/>
  <c r="AF90" i="2"/>
  <c r="AF105" i="2"/>
  <c r="AF80" i="2"/>
  <c r="AF91" i="2"/>
  <c r="AF85" i="2"/>
  <c r="AF73" i="2"/>
  <c r="AF69" i="2"/>
  <c r="AF37" i="2"/>
  <c r="AF21" i="2"/>
  <c r="AF19" i="2"/>
  <c r="AF68" i="2"/>
  <c r="AF24" i="2"/>
  <c r="AF75" i="2" s="1"/>
  <c r="AG2" i="2"/>
  <c r="AG109" i="1" s="1"/>
  <c r="AF115" i="1"/>
  <c r="AF82" i="2" s="1"/>
  <c r="AF111" i="1"/>
  <c r="AF20" i="2"/>
  <c r="AF14" i="2"/>
  <c r="AF116" i="1"/>
  <c r="AF87" i="2" s="1"/>
  <c r="AF114" i="1"/>
  <c r="AF77" i="2" s="1"/>
  <c r="AF15" i="2"/>
  <c r="AF106" i="1"/>
  <c r="AF6" i="2"/>
  <c r="AF107" i="1"/>
  <c r="AF5" i="2" s="1"/>
  <c r="AF112" i="1"/>
  <c r="AF110" i="1"/>
  <c r="AG108" i="1" l="1"/>
  <c r="AG6" i="2" s="1"/>
  <c r="AG108" i="2"/>
  <c r="AG109" i="2"/>
  <c r="AG100" i="2"/>
  <c r="AG105" i="2"/>
  <c r="AG92" i="2"/>
  <c r="AG90" i="2"/>
  <c r="AG80" i="2"/>
  <c r="AG104" i="2"/>
  <c r="AG93" i="2"/>
  <c r="AG85" i="2"/>
  <c r="AG91" i="2"/>
  <c r="AG73" i="2"/>
  <c r="AG103" i="2"/>
  <c r="AG15" i="2"/>
  <c r="AG19" i="2"/>
  <c r="AG69" i="2"/>
  <c r="AG37" i="2"/>
  <c r="AG24" i="2"/>
  <c r="AG75" i="2" s="1"/>
  <c r="AG21" i="2"/>
  <c r="AG20" i="2"/>
  <c r="AG115" i="1"/>
  <c r="AG82" i="2" s="1"/>
  <c r="AG111" i="1"/>
  <c r="AG14" i="2"/>
  <c r="AG68" i="2"/>
  <c r="AG116" i="1"/>
  <c r="AG87" i="2" s="1"/>
  <c r="AG114" i="1"/>
  <c r="AG77" i="2" s="1"/>
  <c r="AG112" i="1"/>
  <c r="AG110" i="1"/>
  <c r="AH2" i="2"/>
  <c r="AH109" i="1" s="1"/>
  <c r="AG106" i="1"/>
  <c r="AG107" i="1"/>
  <c r="AG5" i="2" s="1"/>
  <c r="AH108" i="1" l="1"/>
  <c r="AH104" i="2"/>
  <c r="AH109" i="2"/>
  <c r="AH105" i="2"/>
  <c r="AH103" i="2"/>
  <c r="AH108" i="2"/>
  <c r="AH100" i="2"/>
  <c r="AH92" i="2"/>
  <c r="AH90" i="2"/>
  <c r="AH91" i="2"/>
  <c r="AH93" i="2"/>
  <c r="AH73" i="2"/>
  <c r="AH69" i="2"/>
  <c r="AH80" i="2"/>
  <c r="AH37" i="2"/>
  <c r="AH68" i="2"/>
  <c r="AH24" i="2"/>
  <c r="AH75" i="2" s="1"/>
  <c r="AH21" i="2"/>
  <c r="AH20" i="2"/>
  <c r="AH14" i="2"/>
  <c r="AH116" i="1"/>
  <c r="AH87" i="2" s="1"/>
  <c r="AH114" i="1"/>
  <c r="AH77" i="2" s="1"/>
  <c r="AH85" i="2"/>
  <c r="AH19" i="2"/>
  <c r="AH15" i="2"/>
  <c r="AI2" i="2"/>
  <c r="AI109" i="1" s="1"/>
  <c r="AH106" i="1"/>
  <c r="AH6" i="2"/>
  <c r="AH115" i="1"/>
  <c r="AH82" i="2" s="1"/>
  <c r="AH110" i="1"/>
  <c r="AH107" i="1"/>
  <c r="AH5" i="2" s="1"/>
  <c r="AH112" i="1"/>
  <c r="AH111" i="1"/>
  <c r="AI108" i="1" l="1"/>
  <c r="AI104" i="2"/>
  <c r="AI109" i="2"/>
  <c r="AI100" i="2"/>
  <c r="AI105" i="2"/>
  <c r="AI108" i="2"/>
  <c r="AI92" i="2"/>
  <c r="AI90" i="2"/>
  <c r="AI91" i="2"/>
  <c r="AI103" i="2"/>
  <c r="AI93" i="2"/>
  <c r="AI73" i="2"/>
  <c r="AI69" i="2"/>
  <c r="AI85" i="2"/>
  <c r="AI80" i="2"/>
  <c r="AI19" i="2"/>
  <c r="AI68" i="2"/>
  <c r="AI24" i="2"/>
  <c r="AI75" i="2" s="1"/>
  <c r="AI21" i="2"/>
  <c r="AI20" i="2"/>
  <c r="AI14" i="2"/>
  <c r="AI15" i="2"/>
  <c r="AI37" i="2"/>
  <c r="AI116" i="1"/>
  <c r="AI87" i="2" s="1"/>
  <c r="AI114" i="1"/>
  <c r="AI77" i="2" s="1"/>
  <c r="AI112" i="1"/>
  <c r="AJ2" i="2"/>
  <c r="AJ109" i="1" s="1"/>
  <c r="AI115" i="1"/>
  <c r="AI82" i="2" s="1"/>
  <c r="AI6" i="2"/>
  <c r="AI110" i="1"/>
  <c r="AI107" i="1"/>
  <c r="AI5" i="2" s="1"/>
  <c r="AI111" i="1"/>
  <c r="AI106" i="1"/>
  <c r="AJ108" i="1" l="1"/>
  <c r="AJ109" i="2"/>
  <c r="AJ100" i="2"/>
  <c r="AJ103" i="2"/>
  <c r="AJ108" i="2"/>
  <c r="AJ104" i="2"/>
  <c r="AJ93" i="2"/>
  <c r="AJ91" i="2"/>
  <c r="AJ105" i="2"/>
  <c r="AJ92" i="2"/>
  <c r="AJ85" i="2"/>
  <c r="AJ73" i="2"/>
  <c r="AJ69" i="2"/>
  <c r="AJ90" i="2"/>
  <c r="AJ80" i="2"/>
  <c r="AJ24" i="2"/>
  <c r="AJ75" i="2" s="1"/>
  <c r="AJ37" i="2"/>
  <c r="AJ68" i="2"/>
  <c r="AJ21" i="2"/>
  <c r="AJ20" i="2"/>
  <c r="AJ15" i="2"/>
  <c r="AJ14" i="2"/>
  <c r="AJ116" i="1"/>
  <c r="AJ87" i="2" s="1"/>
  <c r="AJ114" i="1"/>
  <c r="AJ77" i="2" s="1"/>
  <c r="AJ112" i="1"/>
  <c r="AJ110" i="1"/>
  <c r="AJ6" i="2"/>
  <c r="AJ19" i="2"/>
  <c r="AK2" i="2"/>
  <c r="AK109" i="1" s="1"/>
  <c r="AJ115" i="1"/>
  <c r="AJ82" i="2" s="1"/>
  <c r="AJ107" i="1"/>
  <c r="AJ5" i="2" s="1"/>
  <c r="AJ106" i="1"/>
  <c r="AJ111" i="1"/>
  <c r="AK108" i="1" l="1"/>
  <c r="AK105" i="2"/>
  <c r="AK93" i="2"/>
  <c r="AK108" i="2"/>
  <c r="AK100" i="2"/>
  <c r="AK104" i="2"/>
  <c r="AK91" i="2"/>
  <c r="AK92" i="2"/>
  <c r="AK85" i="2"/>
  <c r="AK109" i="2"/>
  <c r="AK103" i="2"/>
  <c r="AK90" i="2"/>
  <c r="AK73" i="2"/>
  <c r="AK80" i="2"/>
  <c r="AK69" i="2"/>
  <c r="AK68" i="2"/>
  <c r="AK14" i="2"/>
  <c r="AK24" i="2"/>
  <c r="AK75" i="2" s="1"/>
  <c r="AK20" i="2"/>
  <c r="AK21" i="2"/>
  <c r="AK19" i="2"/>
  <c r="AK116" i="1"/>
  <c r="AK87" i="2" s="1"/>
  <c r="AK114" i="1"/>
  <c r="AK77" i="2" s="1"/>
  <c r="AK112" i="1"/>
  <c r="AK110" i="1"/>
  <c r="AL2" i="2"/>
  <c r="AL108" i="1" s="1"/>
  <c r="AK15" i="2"/>
  <c r="AK115" i="1"/>
  <c r="AK82" i="2" s="1"/>
  <c r="AK111" i="1"/>
  <c r="AK37" i="2"/>
  <c r="AK107" i="1"/>
  <c r="AK5" i="2" s="1"/>
  <c r="AK6" i="2"/>
  <c r="AK106" i="1"/>
  <c r="AL109" i="1" l="1"/>
  <c r="AL105" i="2"/>
  <c r="AL103" i="2"/>
  <c r="AL108" i="2"/>
  <c r="AL104" i="2"/>
  <c r="AL91" i="2"/>
  <c r="AL93" i="2"/>
  <c r="AL92" i="2"/>
  <c r="AL85" i="2"/>
  <c r="AL109" i="2"/>
  <c r="AL80" i="2"/>
  <c r="AL73" i="2"/>
  <c r="AL69" i="2"/>
  <c r="AL90" i="2"/>
  <c r="AL100" i="2"/>
  <c r="AL37" i="2"/>
  <c r="AL21" i="2"/>
  <c r="AL68" i="2"/>
  <c r="AL15" i="2"/>
  <c r="AL14" i="2"/>
  <c r="AL20" i="2"/>
  <c r="AL19" i="2"/>
  <c r="AM2" i="2"/>
  <c r="AM108" i="1" s="1"/>
  <c r="AL115" i="1"/>
  <c r="AL82" i="2" s="1"/>
  <c r="AL24" i="2"/>
  <c r="AL75" i="2" s="1"/>
  <c r="AL107" i="1"/>
  <c r="AL5" i="2" s="1"/>
  <c r="AL111" i="1"/>
  <c r="AL110" i="1"/>
  <c r="AL6" i="2"/>
  <c r="AL114" i="1"/>
  <c r="AL77" i="2" s="1"/>
  <c r="AL112" i="1"/>
  <c r="AL106" i="1"/>
  <c r="AL116" i="1"/>
  <c r="AL87" i="2" s="1"/>
  <c r="AM109" i="1" l="1"/>
  <c r="AM103" i="2"/>
  <c r="AM109" i="2"/>
  <c r="AM100" i="2"/>
  <c r="AM91" i="2"/>
  <c r="AM104" i="2"/>
  <c r="AM93" i="2"/>
  <c r="AM85" i="2"/>
  <c r="AM80" i="2"/>
  <c r="AM108" i="2"/>
  <c r="AM90" i="2"/>
  <c r="AM105" i="2"/>
  <c r="AM92" i="2"/>
  <c r="AM68" i="2"/>
  <c r="AM73" i="2"/>
  <c r="AM24" i="2"/>
  <c r="AM75" i="2" s="1"/>
  <c r="AM20" i="2"/>
  <c r="AM69" i="2"/>
  <c r="AM19" i="2"/>
  <c r="AM21" i="2"/>
  <c r="AM37" i="2"/>
  <c r="AN2" i="2"/>
  <c r="AN109" i="1" s="1"/>
  <c r="AM115" i="1"/>
  <c r="AM82" i="2" s="1"/>
  <c r="AM111" i="1"/>
  <c r="AM15" i="2"/>
  <c r="AM116" i="1"/>
  <c r="AM87" i="2" s="1"/>
  <c r="AM114" i="1"/>
  <c r="AM77" i="2" s="1"/>
  <c r="AM112" i="1"/>
  <c r="AM14" i="2"/>
  <c r="AM110" i="1"/>
  <c r="AM106" i="1"/>
  <c r="AM6" i="2"/>
  <c r="AM107" i="1"/>
  <c r="AM5" i="2" s="1"/>
  <c r="AN108" i="1" l="1"/>
  <c r="AO108" i="1"/>
  <c r="AN108" i="2"/>
  <c r="AN104" i="2"/>
  <c r="AN109" i="2"/>
  <c r="AN93" i="2"/>
  <c r="AN105" i="2"/>
  <c r="AN103" i="2"/>
  <c r="AN92" i="2"/>
  <c r="AN90" i="2"/>
  <c r="AN80" i="2"/>
  <c r="AN91" i="2"/>
  <c r="AN100" i="2"/>
  <c r="AN85" i="2"/>
  <c r="AN73" i="2"/>
  <c r="AN69" i="2"/>
  <c r="AN37" i="2"/>
  <c r="AN21" i="2"/>
  <c r="AN68" i="2"/>
  <c r="AN19" i="2"/>
  <c r="AN15" i="2"/>
  <c r="AN14" i="2"/>
  <c r="AN20" i="2"/>
  <c r="AO2" i="2"/>
  <c r="AO109" i="1" s="1"/>
  <c r="AN115" i="1"/>
  <c r="AN82" i="2" s="1"/>
  <c r="AN111" i="1"/>
  <c r="AN116" i="1"/>
  <c r="AN87" i="2" s="1"/>
  <c r="AN114" i="1"/>
  <c r="AN77" i="2" s="1"/>
  <c r="AN24" i="2"/>
  <c r="AN75" i="2" s="1"/>
  <c r="AN110" i="1"/>
  <c r="AN106" i="1"/>
  <c r="AN107" i="1"/>
  <c r="AN5" i="2" s="1"/>
  <c r="AN112" i="1"/>
  <c r="AN6" i="2"/>
  <c r="AO108" i="2" l="1"/>
  <c r="AO109" i="2"/>
  <c r="AO100" i="2"/>
  <c r="AO105" i="2"/>
  <c r="AO93" i="2"/>
  <c r="AO104" i="2"/>
  <c r="AO103" i="2"/>
  <c r="AO92" i="2"/>
  <c r="AO90" i="2"/>
  <c r="AO80" i="2"/>
  <c r="AO91" i="2"/>
  <c r="AO85" i="2"/>
  <c r="AO73" i="2"/>
  <c r="AO15" i="2"/>
  <c r="AO69" i="2"/>
  <c r="AO19" i="2"/>
  <c r="AO37" i="2"/>
  <c r="AO24" i="2"/>
  <c r="AO75" i="2" s="1"/>
  <c r="AO115" i="1"/>
  <c r="AO82" i="2" s="1"/>
  <c r="AO111" i="1"/>
  <c r="AO20" i="2"/>
  <c r="AO68" i="2"/>
  <c r="AO116" i="1"/>
  <c r="AO87" i="2" s="1"/>
  <c r="AO114" i="1"/>
  <c r="AO77" i="2" s="1"/>
  <c r="AO112" i="1"/>
  <c r="AO110" i="1"/>
  <c r="AO14" i="2"/>
  <c r="AO21" i="2"/>
  <c r="AO106" i="1"/>
  <c r="AO6" i="2"/>
  <c r="AO107" i="1"/>
  <c r="AO5" i="2" s="1"/>
  <c r="AP2" i="2"/>
  <c r="AP108" i="1" s="1"/>
  <c r="AP109" i="1" l="1"/>
  <c r="AP104" i="2"/>
  <c r="AP109" i="2"/>
  <c r="AP105" i="2"/>
  <c r="AP103" i="2"/>
  <c r="AP92" i="2"/>
  <c r="AP91" i="2"/>
  <c r="AP108" i="2"/>
  <c r="AP93" i="2"/>
  <c r="AP90" i="2"/>
  <c r="AP85" i="2"/>
  <c r="AP80" i="2"/>
  <c r="AP100" i="2"/>
  <c r="AP73" i="2"/>
  <c r="AP69" i="2"/>
  <c r="AP37" i="2"/>
  <c r="AP21" i="2"/>
  <c r="AP20" i="2"/>
  <c r="AP19" i="2"/>
  <c r="AP24" i="2"/>
  <c r="AP75" i="2" s="1"/>
  <c r="AP68" i="2"/>
  <c r="AP15" i="2"/>
  <c r="AP116" i="1"/>
  <c r="AP87" i="2" s="1"/>
  <c r="AP114" i="1"/>
  <c r="AP77" i="2" s="1"/>
  <c r="AP14" i="2"/>
  <c r="AQ2" i="2"/>
  <c r="AQ109" i="1" s="1"/>
  <c r="AP106" i="1"/>
  <c r="AP115" i="1"/>
  <c r="AP82" i="2" s="1"/>
  <c r="AP111" i="1"/>
  <c r="AP6" i="2"/>
  <c r="AP112" i="1"/>
  <c r="AP110" i="1"/>
  <c r="AP107" i="1"/>
  <c r="AP5" i="2" s="1"/>
  <c r="AQ108" i="1" l="1"/>
  <c r="AQ104" i="2"/>
  <c r="AQ109" i="2"/>
  <c r="AQ100" i="2"/>
  <c r="AQ105" i="2"/>
  <c r="AQ92" i="2"/>
  <c r="AQ90" i="2"/>
  <c r="AQ103" i="2"/>
  <c r="AQ108" i="2"/>
  <c r="AQ93" i="2"/>
  <c r="AQ85" i="2"/>
  <c r="AQ80" i="2"/>
  <c r="AQ91" i="2"/>
  <c r="AQ73" i="2"/>
  <c r="AQ69" i="2"/>
  <c r="AQ19" i="2"/>
  <c r="AQ37" i="2"/>
  <c r="AQ24" i="2"/>
  <c r="AQ75" i="2" s="1"/>
  <c r="AQ21" i="2"/>
  <c r="AQ20" i="2"/>
  <c r="AQ68" i="2"/>
  <c r="AQ14" i="2"/>
  <c r="AQ15" i="2"/>
  <c r="AQ116" i="1"/>
  <c r="AQ87" i="2" s="1"/>
  <c r="AQ114" i="1"/>
  <c r="AQ77" i="2" s="1"/>
  <c r="AQ112" i="1"/>
  <c r="AR2" i="2"/>
  <c r="AR109" i="1" s="1"/>
  <c r="AQ115" i="1"/>
  <c r="AQ82" i="2" s="1"/>
  <c r="AQ111" i="1"/>
  <c r="AQ6" i="2"/>
  <c r="AQ107" i="1"/>
  <c r="AQ5" i="2" s="1"/>
  <c r="AQ110" i="1"/>
  <c r="AQ106" i="1"/>
  <c r="AR108" i="1" l="1"/>
  <c r="AR109" i="2"/>
  <c r="AR100" i="2"/>
  <c r="AR103" i="2"/>
  <c r="AR108" i="2"/>
  <c r="AR104" i="2"/>
  <c r="AR105" i="2"/>
  <c r="AR91" i="2"/>
  <c r="AR93" i="2"/>
  <c r="AR90" i="2"/>
  <c r="AR85" i="2"/>
  <c r="AR92" i="2"/>
  <c r="AR80" i="2"/>
  <c r="AR73" i="2"/>
  <c r="AR69" i="2"/>
  <c r="AR24" i="2"/>
  <c r="AR75" i="2" s="1"/>
  <c r="AR37" i="2"/>
  <c r="AR21" i="2"/>
  <c r="AR20" i="2"/>
  <c r="AR68" i="2"/>
  <c r="AR19" i="2"/>
  <c r="AR14" i="2"/>
  <c r="AR15" i="2"/>
  <c r="AR116" i="1"/>
  <c r="AR87" i="2" s="1"/>
  <c r="AR114" i="1"/>
  <c r="AR77" i="2" s="1"/>
  <c r="AR112" i="1"/>
  <c r="AR110" i="1"/>
  <c r="AR6" i="2"/>
  <c r="AS2" i="2"/>
  <c r="AS109" i="1" s="1"/>
  <c r="AR115" i="1"/>
  <c r="AR82" i="2" s="1"/>
  <c r="AR107" i="1"/>
  <c r="AR5" i="2" s="1"/>
  <c r="AR106" i="1"/>
  <c r="AR111" i="1"/>
  <c r="AS108" i="1" l="1"/>
  <c r="AS105" i="2"/>
  <c r="AS93" i="2"/>
  <c r="AS108" i="2"/>
  <c r="AS103" i="2"/>
  <c r="AS91" i="2"/>
  <c r="AS100" i="2"/>
  <c r="AS109" i="2"/>
  <c r="AS104" i="2"/>
  <c r="AS90" i="2"/>
  <c r="AS85" i="2"/>
  <c r="AS73" i="2"/>
  <c r="AS92" i="2"/>
  <c r="AS68" i="2"/>
  <c r="AS69" i="2"/>
  <c r="AS14" i="2"/>
  <c r="AS21" i="2"/>
  <c r="AS20" i="2"/>
  <c r="AS24" i="2"/>
  <c r="AS75" i="2" s="1"/>
  <c r="AS80" i="2"/>
  <c r="AS37" i="2"/>
  <c r="AS15" i="2"/>
  <c r="AS116" i="1"/>
  <c r="AS87" i="2" s="1"/>
  <c r="AS114" i="1"/>
  <c r="AS77" i="2" s="1"/>
  <c r="AS112" i="1"/>
  <c r="AS110" i="1"/>
  <c r="AS19" i="2"/>
  <c r="AT2" i="2"/>
  <c r="AT108" i="1" s="1"/>
  <c r="AS115" i="1"/>
  <c r="AS82" i="2" s="1"/>
  <c r="AS111" i="1"/>
  <c r="AS6" i="2"/>
  <c r="AS107" i="1"/>
  <c r="AS5" i="2" s="1"/>
  <c r="AS106" i="1"/>
  <c r="AT109" i="1" l="1"/>
  <c r="AT105" i="2"/>
  <c r="AT103" i="2"/>
  <c r="AT108" i="2"/>
  <c r="AT104" i="2"/>
  <c r="AT91" i="2"/>
  <c r="AT100" i="2"/>
  <c r="AT109" i="2"/>
  <c r="AT93" i="2"/>
  <c r="AT90" i="2"/>
  <c r="AT85" i="2"/>
  <c r="AT80" i="2"/>
  <c r="AT92" i="2"/>
  <c r="AT73" i="2"/>
  <c r="AT69" i="2"/>
  <c r="AT37" i="2"/>
  <c r="AT24" i="2"/>
  <c r="AT75" i="2" s="1"/>
  <c r="AT68" i="2"/>
  <c r="AT19" i="2"/>
  <c r="AT20" i="2"/>
  <c r="AT15" i="2"/>
  <c r="AU2" i="2"/>
  <c r="AU108" i="1" s="1"/>
  <c r="AT115" i="1"/>
  <c r="AT82" i="2" s="1"/>
  <c r="AT14" i="2"/>
  <c r="AT21" i="2"/>
  <c r="AT107" i="1"/>
  <c r="AT5" i="2" s="1"/>
  <c r="AT112" i="1"/>
  <c r="AT116" i="1"/>
  <c r="AT87" i="2" s="1"/>
  <c r="AT106" i="1"/>
  <c r="AT110" i="1"/>
  <c r="AT114" i="1"/>
  <c r="AT77" i="2" s="1"/>
  <c r="AT111" i="1"/>
  <c r="AT6" i="2"/>
  <c r="AU109" i="1" l="1"/>
  <c r="AU103" i="2"/>
  <c r="AU109" i="2"/>
  <c r="AU100" i="2"/>
  <c r="AU91" i="2"/>
  <c r="AU105" i="2"/>
  <c r="AU93" i="2"/>
  <c r="AU108" i="2"/>
  <c r="AU85" i="2"/>
  <c r="AU80" i="2"/>
  <c r="AU92" i="2"/>
  <c r="AU90" i="2"/>
  <c r="AU104" i="2"/>
  <c r="AU68" i="2"/>
  <c r="AU73" i="2"/>
  <c r="AU37" i="2"/>
  <c r="AU21" i="2"/>
  <c r="AU20" i="2"/>
  <c r="AU19" i="2"/>
  <c r="AU15" i="2"/>
  <c r="AU14" i="2"/>
  <c r="AU24" i="2"/>
  <c r="AU75" i="2" s="1"/>
  <c r="AU69" i="2"/>
  <c r="AV2" i="2"/>
  <c r="AV109" i="1" s="1"/>
  <c r="AU115" i="1"/>
  <c r="AU82" i="2" s="1"/>
  <c r="AU111" i="1"/>
  <c r="AU116" i="1"/>
  <c r="AU87" i="2" s="1"/>
  <c r="AU114" i="1"/>
  <c r="AU77" i="2" s="1"/>
  <c r="AU112" i="1"/>
  <c r="AU106" i="1"/>
  <c r="AU110" i="1"/>
  <c r="AU6" i="2"/>
  <c r="AU107" i="1"/>
  <c r="AU5" i="2" s="1"/>
  <c r="AV108" i="1" l="1"/>
  <c r="AV108" i="2"/>
  <c r="AV104" i="2"/>
  <c r="AV109" i="2"/>
  <c r="AV103" i="2"/>
  <c r="AV105" i="2"/>
  <c r="AV100" i="2"/>
  <c r="AV93" i="2"/>
  <c r="AV92" i="2"/>
  <c r="AV90" i="2"/>
  <c r="AV80" i="2"/>
  <c r="AV91" i="2"/>
  <c r="AV85" i="2"/>
  <c r="AV73" i="2"/>
  <c r="AV69" i="2"/>
  <c r="AV37" i="2"/>
  <c r="AV21" i="2"/>
  <c r="AV24" i="2"/>
  <c r="AV75" i="2" s="1"/>
  <c r="AV68" i="2"/>
  <c r="AV19" i="2"/>
  <c r="AW2" i="2"/>
  <c r="AW109" i="1" s="1"/>
  <c r="AV115" i="1"/>
  <c r="AV82" i="2" s="1"/>
  <c r="AV111" i="1"/>
  <c r="AV14" i="2"/>
  <c r="AV116" i="1"/>
  <c r="AV87" i="2" s="1"/>
  <c r="AV114" i="1"/>
  <c r="AV77" i="2" s="1"/>
  <c r="AV20" i="2"/>
  <c r="AV15" i="2"/>
  <c r="AV112" i="1"/>
  <c r="AV106" i="1"/>
  <c r="AV110" i="1"/>
  <c r="AV107" i="1"/>
  <c r="AV5" i="2" s="1"/>
  <c r="AV6" i="2"/>
  <c r="AW108" i="1" l="1"/>
  <c r="AW108" i="2"/>
  <c r="AW109" i="2"/>
  <c r="AW100" i="2"/>
  <c r="AW105" i="2"/>
  <c r="AW93" i="2"/>
  <c r="AW92" i="2"/>
  <c r="AW90" i="2"/>
  <c r="AW80" i="2"/>
  <c r="AW103" i="2"/>
  <c r="AW104" i="2"/>
  <c r="AW85" i="2"/>
  <c r="AW91" i="2"/>
  <c r="AW15" i="2"/>
  <c r="AW68" i="2"/>
  <c r="AW19" i="2"/>
  <c r="AW14" i="2"/>
  <c r="AW37" i="2"/>
  <c r="AW24" i="2"/>
  <c r="AW75" i="2" s="1"/>
  <c r="AW69" i="2"/>
  <c r="AW20" i="2"/>
  <c r="AW115" i="1"/>
  <c r="AW82" i="2" s="1"/>
  <c r="AW111" i="1"/>
  <c r="AW116" i="1"/>
  <c r="AW87" i="2" s="1"/>
  <c r="AW114" i="1"/>
  <c r="AW77" i="2" s="1"/>
  <c r="AW112" i="1"/>
  <c r="AW110" i="1"/>
  <c r="AW21" i="2"/>
  <c r="AW73" i="2"/>
  <c r="AW106" i="1"/>
  <c r="AW6" i="2"/>
  <c r="AW107" i="1"/>
  <c r="AW5" i="2" s="1"/>
  <c r="AX2" i="2"/>
  <c r="AX108" i="1" s="1"/>
  <c r="AX109" i="1" l="1"/>
  <c r="AX104" i="2"/>
  <c r="AX109" i="2"/>
  <c r="AX105" i="2"/>
  <c r="AX103" i="2"/>
  <c r="AX93" i="2"/>
  <c r="AX100" i="2"/>
  <c r="AX92" i="2"/>
  <c r="AX108" i="2"/>
  <c r="AX91" i="2"/>
  <c r="AX90" i="2"/>
  <c r="AX73" i="2"/>
  <c r="AX69" i="2"/>
  <c r="AX80" i="2"/>
  <c r="AX85" i="2"/>
  <c r="AX68" i="2"/>
  <c r="AX15" i="2"/>
  <c r="AX20" i="2"/>
  <c r="AX21" i="2"/>
  <c r="AX19" i="2"/>
  <c r="AX14" i="2"/>
  <c r="AX116" i="1"/>
  <c r="AX87" i="2" s="1"/>
  <c r="AX114" i="1"/>
  <c r="AX77" i="2" s="1"/>
  <c r="AX24" i="2"/>
  <c r="AX75" i="2" s="1"/>
  <c r="AX37" i="2"/>
  <c r="AY2" i="2"/>
  <c r="AY108" i="1" s="1"/>
  <c r="AX115" i="1"/>
  <c r="AX82" i="2" s="1"/>
  <c r="AX106" i="1"/>
  <c r="AX110" i="1"/>
  <c r="AX112" i="1"/>
  <c r="AX6" i="2"/>
  <c r="AX107" i="1"/>
  <c r="AX5" i="2" s="1"/>
  <c r="AX111" i="1"/>
  <c r="AY109" i="1" l="1"/>
  <c r="AY104" i="2"/>
  <c r="AY109" i="2"/>
  <c r="AY100" i="2"/>
  <c r="AY105" i="2"/>
  <c r="AY92" i="2"/>
  <c r="AY90" i="2"/>
  <c r="AY108" i="2"/>
  <c r="AY93" i="2"/>
  <c r="AY103" i="2"/>
  <c r="AY91" i="2"/>
  <c r="AY73" i="2"/>
  <c r="AY69" i="2"/>
  <c r="AY85" i="2"/>
  <c r="AY80" i="2"/>
  <c r="AY19" i="2"/>
  <c r="AY20" i="2"/>
  <c r="AY37" i="2"/>
  <c r="AY24" i="2"/>
  <c r="AY75" i="2" s="1"/>
  <c r="AY68" i="2"/>
  <c r="AY21" i="2"/>
  <c r="AY14" i="2"/>
  <c r="AY116" i="1"/>
  <c r="AY87" i="2" s="1"/>
  <c r="AY114" i="1"/>
  <c r="AY77" i="2" s="1"/>
  <c r="AY112" i="1"/>
  <c r="AZ2" i="2"/>
  <c r="AZ109" i="1" s="1"/>
  <c r="AY15" i="2"/>
  <c r="AY115" i="1"/>
  <c r="AY82" i="2" s="1"/>
  <c r="AY110" i="1"/>
  <c r="AY6" i="2"/>
  <c r="AY107" i="1"/>
  <c r="AY5" i="2" s="1"/>
  <c r="AY111" i="1"/>
  <c r="AY106" i="1"/>
  <c r="AZ108" i="1" l="1"/>
  <c r="AZ109" i="2"/>
  <c r="AZ100" i="2"/>
  <c r="AZ103" i="2"/>
  <c r="AZ108" i="2"/>
  <c r="AZ105" i="2"/>
  <c r="AZ104" i="2"/>
  <c r="AZ91" i="2"/>
  <c r="AZ92" i="2"/>
  <c r="AZ85" i="2"/>
  <c r="AZ90" i="2"/>
  <c r="AZ73" i="2"/>
  <c r="AZ69" i="2"/>
  <c r="AZ93" i="2"/>
  <c r="AZ80" i="2"/>
  <c r="AZ24" i="2"/>
  <c r="AZ75" i="2" s="1"/>
  <c r="AZ20" i="2"/>
  <c r="AZ37" i="2"/>
  <c r="AZ21" i="2"/>
  <c r="AZ68" i="2"/>
  <c r="AZ14" i="2"/>
  <c r="AZ19" i="2"/>
  <c r="AZ116" i="1"/>
  <c r="AZ87" i="2" s="1"/>
  <c r="AZ114" i="1"/>
  <c r="AZ77" i="2" s="1"/>
  <c r="AZ112" i="1"/>
  <c r="AZ110" i="1"/>
  <c r="AZ6" i="2"/>
  <c r="BA2" i="2"/>
  <c r="BA109" i="1" s="1"/>
  <c r="AZ15" i="2"/>
  <c r="AZ115" i="1"/>
  <c r="AZ82" i="2" s="1"/>
  <c r="AZ107" i="1"/>
  <c r="AZ5" i="2" s="1"/>
  <c r="AZ106" i="1"/>
  <c r="AZ111" i="1"/>
  <c r="BA108" i="1" l="1"/>
  <c r="BA105" i="2"/>
  <c r="BA93" i="2"/>
  <c r="BA108" i="2"/>
  <c r="BA100" i="2"/>
  <c r="BA109" i="2"/>
  <c r="BA104" i="2"/>
  <c r="BA91" i="2"/>
  <c r="BA103" i="2"/>
  <c r="BA92" i="2"/>
  <c r="BA85" i="2"/>
  <c r="BA90" i="2"/>
  <c r="BA73" i="2"/>
  <c r="BA80" i="2"/>
  <c r="BA69" i="2"/>
  <c r="BA68" i="2"/>
  <c r="BA14" i="2"/>
  <c r="BA20" i="2"/>
  <c r="BA37" i="2"/>
  <c r="BA21" i="2"/>
  <c r="BA24" i="2"/>
  <c r="BA75" i="2" s="1"/>
  <c r="BA19" i="2"/>
  <c r="BA15" i="2"/>
  <c r="BA116" i="1"/>
  <c r="BA87" i="2" s="1"/>
  <c r="BA114" i="1"/>
  <c r="BA77" i="2" s="1"/>
  <c r="BA112" i="1"/>
  <c r="BA110" i="1"/>
  <c r="BB2" i="2"/>
  <c r="BB108" i="1" s="1"/>
  <c r="BA115" i="1"/>
  <c r="BA82" i="2" s="1"/>
  <c r="BA111" i="1"/>
  <c r="BA6" i="2"/>
  <c r="BA107" i="1"/>
  <c r="BA5" i="2" s="1"/>
  <c r="BA106" i="1"/>
  <c r="BB109" i="1" l="1"/>
  <c r="BC108" i="1"/>
  <c r="BB105" i="2"/>
  <c r="BB103" i="2"/>
  <c r="BB108" i="2"/>
  <c r="BB104" i="2"/>
  <c r="BB109" i="2"/>
  <c r="BB91" i="2"/>
  <c r="BB92" i="2"/>
  <c r="BB85" i="2"/>
  <c r="BB90" i="2"/>
  <c r="BB80" i="2"/>
  <c r="BB100" i="2"/>
  <c r="BB93" i="2"/>
  <c r="BB73" i="2"/>
  <c r="BB69" i="2"/>
  <c r="BB37" i="2"/>
  <c r="BB21" i="2"/>
  <c r="BB24" i="2"/>
  <c r="BB75" i="2" s="1"/>
  <c r="BB20" i="2"/>
  <c r="BB19" i="2"/>
  <c r="BB15" i="2"/>
  <c r="BB14" i="2"/>
  <c r="BB68" i="2"/>
  <c r="BC2" i="2"/>
  <c r="BC109" i="1" s="1"/>
  <c r="BB115" i="1"/>
  <c r="BB82" i="2" s="1"/>
  <c r="BB110" i="1"/>
  <c r="BB6" i="2"/>
  <c r="BB107" i="1"/>
  <c r="BB5" i="2" s="1"/>
  <c r="BB111" i="1"/>
  <c r="BB116" i="1"/>
  <c r="BB87" i="2" s="1"/>
  <c r="BB106" i="1"/>
  <c r="BB112" i="1"/>
  <c r="BB114" i="1"/>
  <c r="BB77" i="2" s="1"/>
  <c r="BC103" i="2" l="1"/>
  <c r="BC109" i="2"/>
  <c r="BC100" i="2"/>
  <c r="BC108" i="2"/>
  <c r="BC91" i="2"/>
  <c r="BC104" i="2"/>
  <c r="BC93" i="2"/>
  <c r="BC85" i="2"/>
  <c r="BC90" i="2"/>
  <c r="BC80" i="2"/>
  <c r="BC105" i="2"/>
  <c r="BC92" i="2"/>
  <c r="BC73" i="2"/>
  <c r="BC68" i="2"/>
  <c r="BC20" i="2"/>
  <c r="BC37" i="2"/>
  <c r="BC24" i="2"/>
  <c r="BC75" i="2" s="1"/>
  <c r="BC19" i="2"/>
  <c r="BC69" i="2"/>
  <c r="BC21" i="2"/>
  <c r="BC14" i="2"/>
  <c r="BD2" i="2"/>
  <c r="BD109" i="1" s="1"/>
  <c r="BC115" i="1"/>
  <c r="BC82" i="2" s="1"/>
  <c r="BC111" i="1"/>
  <c r="BC15" i="2"/>
  <c r="BC116" i="1"/>
  <c r="BC87" i="2" s="1"/>
  <c r="BC114" i="1"/>
  <c r="BC77" i="2" s="1"/>
  <c r="BC112" i="1"/>
  <c r="BC106" i="1"/>
  <c r="BC110" i="1"/>
  <c r="BC6" i="2"/>
  <c r="BC107" i="1"/>
  <c r="BC5" i="2" s="1"/>
  <c r="BD108" i="1" l="1"/>
  <c r="BE108" i="1"/>
  <c r="BD108" i="2"/>
  <c r="BD104" i="2"/>
  <c r="BD109" i="2"/>
  <c r="BD93" i="2"/>
  <c r="BD103" i="2"/>
  <c r="BD92" i="2"/>
  <c r="BD90" i="2"/>
  <c r="BD80" i="2"/>
  <c r="BD91" i="2"/>
  <c r="BD100" i="2"/>
  <c r="BD73" i="2"/>
  <c r="BD105" i="2"/>
  <c r="BD85" i="2"/>
  <c r="BD69" i="2"/>
  <c r="BD37" i="2"/>
  <c r="BD21" i="2"/>
  <c r="BD19" i="2"/>
  <c r="BD68" i="2"/>
  <c r="BD20" i="2"/>
  <c r="BD15" i="2"/>
  <c r="BD14" i="2"/>
  <c r="BE2" i="2"/>
  <c r="BE109" i="1" s="1"/>
  <c r="BD115" i="1"/>
  <c r="BD82" i="2" s="1"/>
  <c r="BD111" i="1"/>
  <c r="BD24" i="2"/>
  <c r="BD75" i="2" s="1"/>
  <c r="BD116" i="1"/>
  <c r="BD87" i="2" s="1"/>
  <c r="BD114" i="1"/>
  <c r="BD77" i="2" s="1"/>
  <c r="BD106" i="1"/>
  <c r="BD6" i="2"/>
  <c r="BD112" i="1"/>
  <c r="BD110" i="1"/>
  <c r="BD107" i="1"/>
  <c r="BD5" i="2" s="1"/>
  <c r="BE108" i="2" l="1"/>
  <c r="BE109" i="2"/>
  <c r="BE100" i="2"/>
  <c r="BE105" i="2"/>
  <c r="BE104" i="2"/>
  <c r="BE93" i="2"/>
  <c r="BE103" i="2"/>
  <c r="BE92" i="2"/>
  <c r="BE90" i="2"/>
  <c r="BE80" i="2"/>
  <c r="BE91" i="2"/>
  <c r="BE85" i="2"/>
  <c r="BE73" i="2"/>
  <c r="BE24" i="2"/>
  <c r="BE75" i="2" s="1"/>
  <c r="BE21" i="2"/>
  <c r="BE15" i="2"/>
  <c r="BE19" i="2"/>
  <c r="BE68" i="2"/>
  <c r="BE69" i="2"/>
  <c r="BE115" i="1"/>
  <c r="BE82" i="2" s="1"/>
  <c r="BE111" i="1"/>
  <c r="BE116" i="1"/>
  <c r="BE87" i="2" s="1"/>
  <c r="BE114" i="1"/>
  <c r="BE77" i="2" s="1"/>
  <c r="BE112" i="1"/>
  <c r="BE110" i="1"/>
  <c r="BE37" i="2"/>
  <c r="BE20" i="2"/>
  <c r="BE14" i="2"/>
  <c r="BE106" i="1"/>
  <c r="BF2" i="2"/>
  <c r="BF109" i="1" s="1"/>
  <c r="BE6" i="2"/>
  <c r="BE107" i="1"/>
  <c r="BE5" i="2" s="1"/>
  <c r="BF108" i="1" l="1"/>
  <c r="BF104" i="2"/>
  <c r="BF109" i="2"/>
  <c r="BF105" i="2"/>
  <c r="BF103" i="2"/>
  <c r="BF108" i="2"/>
  <c r="BF93" i="2"/>
  <c r="BF92" i="2"/>
  <c r="BF91" i="2"/>
  <c r="BF90" i="2"/>
  <c r="BF100" i="2"/>
  <c r="BF80" i="2"/>
  <c r="BF85" i="2"/>
  <c r="BF73" i="2"/>
  <c r="BF69" i="2"/>
  <c r="BF37" i="2"/>
  <c r="BF68" i="2"/>
  <c r="BF20" i="2"/>
  <c r="BF14" i="2"/>
  <c r="BF21" i="2"/>
  <c r="BF19" i="2"/>
  <c r="BF24" i="2"/>
  <c r="BF75" i="2" s="1"/>
  <c r="BF15" i="2"/>
  <c r="BF116" i="1"/>
  <c r="BF87" i="2" s="1"/>
  <c r="BF114" i="1"/>
  <c r="BF77" i="2" s="1"/>
  <c r="BG2" i="2"/>
  <c r="BG109" i="1" s="1"/>
  <c r="BF106" i="1"/>
  <c r="BF111" i="1"/>
  <c r="BF115" i="1"/>
  <c r="BF82" i="2" s="1"/>
  <c r="BF112" i="1"/>
  <c r="BF6" i="2"/>
  <c r="BF107" i="1"/>
  <c r="BF5" i="2" s="1"/>
  <c r="BF110" i="1"/>
  <c r="BG108" i="1" l="1"/>
  <c r="BG104" i="2"/>
  <c r="BG109" i="2"/>
  <c r="BG100" i="2"/>
  <c r="BG105" i="2"/>
  <c r="BG93" i="2"/>
  <c r="BG92" i="2"/>
  <c r="BG90" i="2"/>
  <c r="BG103" i="2"/>
  <c r="BG108" i="2"/>
  <c r="BG91" i="2"/>
  <c r="BG80" i="2"/>
  <c r="BG85" i="2"/>
  <c r="BG73" i="2"/>
  <c r="BG69" i="2"/>
  <c r="BG68" i="2"/>
  <c r="BG19" i="2"/>
  <c r="BG20" i="2"/>
  <c r="BG15" i="2"/>
  <c r="BG24" i="2"/>
  <c r="BG75" i="2" s="1"/>
  <c r="BG116" i="1"/>
  <c r="BG87" i="2" s="1"/>
  <c r="BG114" i="1"/>
  <c r="BG77" i="2" s="1"/>
  <c r="BG112" i="1"/>
  <c r="BG37" i="2"/>
  <c r="BG21" i="2"/>
  <c r="BH2" i="2"/>
  <c r="BH108" i="1" s="1"/>
  <c r="BG14" i="2"/>
  <c r="BG115" i="1"/>
  <c r="BG82" i="2" s="1"/>
  <c r="BG111" i="1"/>
  <c r="BG6" i="2"/>
  <c r="BG107" i="1"/>
  <c r="BG5" i="2" s="1"/>
  <c r="BG110" i="1"/>
  <c r="BG106" i="1"/>
  <c r="BH109" i="1" l="1"/>
  <c r="BH109" i="2"/>
  <c r="BH100" i="2"/>
  <c r="BH103" i="2"/>
  <c r="BH108" i="2"/>
  <c r="BH104" i="2"/>
  <c r="BH91" i="2"/>
  <c r="BH90" i="2"/>
  <c r="BH85" i="2"/>
  <c r="BH105" i="2"/>
  <c r="BH92" i="2"/>
  <c r="BH80" i="2"/>
  <c r="BH93" i="2"/>
  <c r="BH73" i="2"/>
  <c r="BH69" i="2"/>
  <c r="BH24" i="2"/>
  <c r="BH75" i="2" s="1"/>
  <c r="BH68" i="2"/>
  <c r="BH20" i="2"/>
  <c r="BH21" i="2"/>
  <c r="BH19" i="2"/>
  <c r="BH37" i="2"/>
  <c r="BH116" i="1"/>
  <c r="BH87" i="2" s="1"/>
  <c r="BH114" i="1"/>
  <c r="BH77" i="2" s="1"/>
  <c r="BH112" i="1"/>
  <c r="BH110" i="1"/>
  <c r="BH6" i="2"/>
  <c r="BH15" i="2"/>
  <c r="BI2" i="2"/>
  <c r="BI108" i="1" s="1"/>
  <c r="BH14" i="2"/>
  <c r="BH115" i="1"/>
  <c r="BH82" i="2" s="1"/>
  <c r="BH107" i="1"/>
  <c r="BH5" i="2" s="1"/>
  <c r="BH111" i="1"/>
  <c r="BH106" i="1"/>
  <c r="BI109" i="1" l="1"/>
  <c r="BI105" i="2"/>
  <c r="BI93" i="2"/>
  <c r="BI108" i="2"/>
  <c r="BI109" i="2"/>
  <c r="BI103" i="2"/>
  <c r="BI91" i="2"/>
  <c r="BI100" i="2"/>
  <c r="BI85" i="2"/>
  <c r="BI104" i="2"/>
  <c r="BI73" i="2"/>
  <c r="BI92" i="2"/>
  <c r="BI68" i="2"/>
  <c r="BI90" i="2"/>
  <c r="BI14" i="2"/>
  <c r="BI20" i="2"/>
  <c r="BI69" i="2"/>
  <c r="BI80" i="2"/>
  <c r="BI21" i="2"/>
  <c r="BI37" i="2"/>
  <c r="BI24" i="2"/>
  <c r="BI75" i="2" s="1"/>
  <c r="BI19" i="2"/>
  <c r="BI116" i="1"/>
  <c r="BI87" i="2" s="1"/>
  <c r="BI114" i="1"/>
  <c r="BI77" i="2" s="1"/>
  <c r="BI112" i="1"/>
  <c r="BI110" i="1"/>
  <c r="BI15" i="2"/>
  <c r="BJ2" i="2"/>
  <c r="BJ108" i="1" s="1"/>
  <c r="BI115" i="1"/>
  <c r="BI82" i="2" s="1"/>
  <c r="BI111" i="1"/>
  <c r="BI107" i="1"/>
  <c r="BI5" i="2" s="1"/>
  <c r="BI6" i="2"/>
  <c r="BI106" i="1"/>
  <c r="BJ109" i="1" l="1"/>
  <c r="BJ105" i="2"/>
  <c r="BJ103" i="2"/>
  <c r="BJ108" i="2"/>
  <c r="BJ104" i="2"/>
  <c r="BJ109" i="2"/>
  <c r="BJ91" i="2"/>
  <c r="BJ100" i="2"/>
  <c r="BJ85" i="2"/>
  <c r="BJ80" i="2"/>
  <c r="BJ93" i="2"/>
  <c r="BJ92" i="2"/>
  <c r="BJ90" i="2"/>
  <c r="BJ73" i="2"/>
  <c r="BJ69" i="2"/>
  <c r="BJ37" i="2"/>
  <c r="BJ68" i="2"/>
  <c r="BJ21" i="2"/>
  <c r="BJ24" i="2"/>
  <c r="BJ75" i="2" s="1"/>
  <c r="BJ19" i="2"/>
  <c r="BJ15" i="2"/>
  <c r="BJ14" i="2"/>
  <c r="BK2" i="2"/>
  <c r="BK108" i="1" s="1"/>
  <c r="BJ115" i="1"/>
  <c r="BJ82" i="2" s="1"/>
  <c r="BJ20" i="2"/>
  <c r="BJ107" i="1"/>
  <c r="BJ5" i="2" s="1"/>
  <c r="BJ6" i="2"/>
  <c r="BJ116" i="1"/>
  <c r="BJ87" i="2" s="1"/>
  <c r="BJ111" i="1"/>
  <c r="BJ112" i="1"/>
  <c r="BJ110" i="1"/>
  <c r="BJ114" i="1"/>
  <c r="BJ77" i="2" s="1"/>
  <c r="BJ106" i="1"/>
  <c r="BK109" i="1" l="1"/>
  <c r="BK103" i="2"/>
  <c r="BK109" i="2"/>
  <c r="BK100" i="2"/>
  <c r="BK91" i="2"/>
  <c r="BK105" i="2"/>
  <c r="BK108" i="2"/>
  <c r="BK85" i="2"/>
  <c r="BK80" i="2"/>
  <c r="BK93" i="2"/>
  <c r="BK92" i="2"/>
  <c r="BK104" i="2"/>
  <c r="BK90" i="2"/>
  <c r="BK73" i="2"/>
  <c r="BK68" i="2"/>
  <c r="BK20" i="2"/>
  <c r="BK69" i="2"/>
  <c r="BK21" i="2"/>
  <c r="BK15" i="2"/>
  <c r="BK24" i="2"/>
  <c r="BK75" i="2" s="1"/>
  <c r="BK37" i="2"/>
  <c r="BK19" i="2"/>
  <c r="BK14" i="2"/>
  <c r="BL2" i="2"/>
  <c r="BL109" i="1" s="1"/>
  <c r="BK115" i="1"/>
  <c r="BK82" i="2" s="1"/>
  <c r="BK111" i="1"/>
  <c r="BK116" i="1"/>
  <c r="BK87" i="2" s="1"/>
  <c r="BK114" i="1"/>
  <c r="BK77" i="2" s="1"/>
  <c r="BK112" i="1"/>
  <c r="BK6" i="2"/>
  <c r="BK110" i="1"/>
  <c r="BK106" i="1"/>
  <c r="BK107" i="1"/>
  <c r="BK5" i="2" s="1"/>
  <c r="BL108" i="1" l="1"/>
  <c r="BL108" i="2"/>
  <c r="BL104" i="2"/>
  <c r="BL109" i="2"/>
  <c r="BL103" i="2"/>
  <c r="BL100" i="2"/>
  <c r="BL105" i="2"/>
  <c r="BL93" i="2"/>
  <c r="BL92" i="2"/>
  <c r="BL90" i="2"/>
  <c r="BL80" i="2"/>
  <c r="BL91" i="2"/>
  <c r="BL85" i="2"/>
  <c r="BL73" i="2"/>
  <c r="BL69" i="2"/>
  <c r="BL37" i="2"/>
  <c r="BL21" i="2"/>
  <c r="BL24" i="2"/>
  <c r="BL75" i="2" s="1"/>
  <c r="BL19" i="2"/>
  <c r="BL68" i="2"/>
  <c r="BL15" i="2"/>
  <c r="BM2" i="2"/>
  <c r="BM109" i="1" s="1"/>
  <c r="BL115" i="1"/>
  <c r="BL82" i="2" s="1"/>
  <c r="BL111" i="1"/>
  <c r="BL20" i="2"/>
  <c r="BL14" i="2"/>
  <c r="BL116" i="1"/>
  <c r="BL87" i="2" s="1"/>
  <c r="BL114" i="1"/>
  <c r="BL77" i="2" s="1"/>
  <c r="BL110" i="1"/>
  <c r="BL106" i="1"/>
  <c r="BL112" i="1"/>
  <c r="BL107" i="1"/>
  <c r="BL5" i="2" s="1"/>
  <c r="BL6" i="2"/>
  <c r="BM108" i="1" l="1"/>
  <c r="BM108" i="2"/>
  <c r="BM109" i="2"/>
  <c r="BM100" i="2"/>
  <c r="BM105" i="2"/>
  <c r="BM93" i="2"/>
  <c r="BM92" i="2"/>
  <c r="BM90" i="2"/>
  <c r="BM80" i="2"/>
  <c r="BM104" i="2"/>
  <c r="BM85" i="2"/>
  <c r="BM91" i="2"/>
  <c r="BM103" i="2"/>
  <c r="BM73" i="2"/>
  <c r="BM15" i="2"/>
  <c r="BM69" i="2"/>
  <c r="BM19" i="2"/>
  <c r="BM37" i="2"/>
  <c r="BM14" i="2"/>
  <c r="BM24" i="2"/>
  <c r="BM75" i="2" s="1"/>
  <c r="BM20" i="2"/>
  <c r="BM115" i="1"/>
  <c r="BM82" i="2" s="1"/>
  <c r="BM111" i="1"/>
  <c r="BM68" i="2"/>
  <c r="BM21" i="2"/>
  <c r="BM116" i="1"/>
  <c r="BM87" i="2" s="1"/>
  <c r="BM114" i="1"/>
  <c r="BM77" i="2" s="1"/>
  <c r="BM112" i="1"/>
  <c r="BM110" i="1"/>
  <c r="BM106" i="1"/>
  <c r="BM6" i="2"/>
  <c r="BN2" i="2"/>
  <c r="BN108" i="1" s="1"/>
  <c r="BM107" i="1"/>
  <c r="BM5" i="2" s="1"/>
  <c r="BN109" i="1" l="1"/>
  <c r="BN104" i="2"/>
  <c r="BN109" i="2"/>
  <c r="BN105" i="2"/>
  <c r="BN103" i="2"/>
  <c r="BN100" i="2"/>
  <c r="BN93" i="2"/>
  <c r="BN92" i="2"/>
  <c r="BN108" i="2"/>
  <c r="BN91" i="2"/>
  <c r="BN90" i="2"/>
  <c r="BN85" i="2"/>
  <c r="BN73" i="2"/>
  <c r="BN69" i="2"/>
  <c r="BN80" i="2"/>
  <c r="BN24" i="2"/>
  <c r="BN75" i="2" s="1"/>
  <c r="BN21" i="2"/>
  <c r="BN37" i="2"/>
  <c r="BN20" i="2"/>
  <c r="BN68" i="2"/>
  <c r="BN15" i="2"/>
  <c r="BN14" i="2"/>
  <c r="BN116" i="1"/>
  <c r="BN87" i="2" s="1"/>
  <c r="BN114" i="1"/>
  <c r="BN77" i="2" s="1"/>
  <c r="BO2" i="2"/>
  <c r="BO109" i="1" s="1"/>
  <c r="BN19" i="2"/>
  <c r="BN110" i="1"/>
  <c r="BN106" i="1"/>
  <c r="BN112" i="1"/>
  <c r="BN115" i="1"/>
  <c r="BN82" i="2" s="1"/>
  <c r="BN107" i="1"/>
  <c r="BN5" i="2" s="1"/>
  <c r="BN111" i="1"/>
  <c r="BN6" i="2"/>
  <c r="BO108" i="1" l="1"/>
  <c r="BO104" i="2"/>
  <c r="BO109" i="2"/>
  <c r="BO100" i="2"/>
  <c r="BO105" i="2"/>
  <c r="BO93" i="2"/>
  <c r="BO92" i="2"/>
  <c r="BO90" i="2"/>
  <c r="BO108" i="2"/>
  <c r="BO91" i="2"/>
  <c r="BO103" i="2"/>
  <c r="BO85" i="2"/>
  <c r="BO73" i="2"/>
  <c r="BO69" i="2"/>
  <c r="BO68" i="2"/>
  <c r="BO19" i="2"/>
  <c r="BO80" i="2"/>
  <c r="BO20" i="2"/>
  <c r="BO14" i="2"/>
  <c r="BO24" i="2"/>
  <c r="BO75" i="2" s="1"/>
  <c r="BO15" i="2"/>
  <c r="BO37" i="2"/>
  <c r="BO21" i="2"/>
  <c r="BO116" i="1"/>
  <c r="BO87" i="2" s="1"/>
  <c r="BO114" i="1"/>
  <c r="BO77" i="2" s="1"/>
  <c r="BO112" i="1"/>
  <c r="BP2" i="2"/>
  <c r="BP109" i="1" s="1"/>
  <c r="BO115" i="1"/>
  <c r="BO82" i="2" s="1"/>
  <c r="BO107" i="1"/>
  <c r="BO5" i="2" s="1"/>
  <c r="BO110" i="1"/>
  <c r="BO106" i="1"/>
  <c r="BO111" i="1"/>
  <c r="BO6" i="2"/>
  <c r="BP108" i="1" l="1"/>
  <c r="BP109" i="2"/>
  <c r="BP100" i="2"/>
  <c r="BP103" i="2"/>
  <c r="BP108" i="2"/>
  <c r="BP93" i="2"/>
  <c r="BP105" i="2"/>
  <c r="BP104" i="2"/>
  <c r="BP91" i="2"/>
  <c r="BP92" i="2"/>
  <c r="BP90" i="2"/>
  <c r="BP85" i="2"/>
  <c r="BP73" i="2"/>
  <c r="BP69" i="2"/>
  <c r="BP80" i="2"/>
  <c r="BP24" i="2"/>
  <c r="BP75" i="2" s="1"/>
  <c r="BP37" i="2"/>
  <c r="BP20" i="2"/>
  <c r="BP68" i="2"/>
  <c r="BP21" i="2"/>
  <c r="BP116" i="1"/>
  <c r="BP87" i="2" s="1"/>
  <c r="BP114" i="1"/>
  <c r="BP77" i="2" s="1"/>
  <c r="BP112" i="1"/>
  <c r="BP110" i="1"/>
  <c r="BP6" i="2"/>
  <c r="BP14" i="2"/>
  <c r="BQ2" i="2"/>
  <c r="BQ109" i="1" s="1"/>
  <c r="BP115" i="1"/>
  <c r="BP82" i="2" s="1"/>
  <c r="BP19" i="2"/>
  <c r="BP15" i="2"/>
  <c r="BP107" i="1"/>
  <c r="BP5" i="2" s="1"/>
  <c r="BP111" i="1"/>
  <c r="BP106" i="1"/>
  <c r="BQ108" i="1" l="1"/>
  <c r="BQ105" i="2"/>
  <c r="BQ93" i="2"/>
  <c r="BQ108" i="2"/>
  <c r="BQ100" i="2"/>
  <c r="BQ104" i="2"/>
  <c r="BQ91" i="2"/>
  <c r="BQ109" i="2"/>
  <c r="BQ92" i="2"/>
  <c r="BQ90" i="2"/>
  <c r="BQ85" i="2"/>
  <c r="BQ73" i="2"/>
  <c r="BQ80" i="2"/>
  <c r="BQ69" i="2"/>
  <c r="BQ68" i="2"/>
  <c r="BQ103" i="2"/>
  <c r="BQ14" i="2"/>
  <c r="BQ20" i="2"/>
  <c r="BQ15" i="2"/>
  <c r="BQ37" i="2"/>
  <c r="BQ21" i="2"/>
  <c r="BQ19" i="2"/>
  <c r="BQ116" i="1"/>
  <c r="BQ87" i="2" s="1"/>
  <c r="BQ114" i="1"/>
  <c r="BQ77" i="2" s="1"/>
  <c r="BQ112" i="1"/>
  <c r="BQ110" i="1"/>
  <c r="BQ24" i="2"/>
  <c r="BQ75" i="2" s="1"/>
  <c r="BR2" i="2"/>
  <c r="BR108" i="1" s="1"/>
  <c r="BQ115" i="1"/>
  <c r="BQ82" i="2" s="1"/>
  <c r="BQ111" i="1"/>
  <c r="BQ107" i="1"/>
  <c r="BQ5" i="2" s="1"/>
  <c r="BQ6" i="2"/>
  <c r="BQ106" i="1"/>
  <c r="BR109" i="1" l="1"/>
  <c r="BR105" i="2"/>
  <c r="BR103" i="2"/>
  <c r="BR108" i="2"/>
  <c r="BR104" i="2"/>
  <c r="BR91" i="2"/>
  <c r="BR109" i="2"/>
  <c r="BR92" i="2"/>
  <c r="BR100" i="2"/>
  <c r="BR90" i="2"/>
  <c r="BR85" i="2"/>
  <c r="BR93" i="2"/>
  <c r="BR80" i="2"/>
  <c r="BR73" i="2"/>
  <c r="BR69" i="2"/>
  <c r="BR37" i="2"/>
  <c r="BR68" i="2"/>
  <c r="BR21" i="2"/>
  <c r="BR24" i="2"/>
  <c r="BR75" i="2" s="1"/>
  <c r="BR20" i="2"/>
  <c r="BR19" i="2"/>
  <c r="BR14" i="2"/>
  <c r="BS2" i="2"/>
  <c r="BS108" i="1" s="1"/>
  <c r="BR115" i="1"/>
  <c r="BR82" i="2" s="1"/>
  <c r="BR15" i="2"/>
  <c r="BR112" i="1"/>
  <c r="BR107" i="1"/>
  <c r="BR5" i="2" s="1"/>
  <c r="BR116" i="1"/>
  <c r="BR87" i="2" s="1"/>
  <c r="BR111" i="1"/>
  <c r="BR6" i="2"/>
  <c r="BR114" i="1"/>
  <c r="BR77" i="2" s="1"/>
  <c r="BR110" i="1"/>
  <c r="BR106" i="1"/>
  <c r="BS109" i="1" l="1"/>
  <c r="BS103" i="2"/>
  <c r="BS109" i="2"/>
  <c r="BS100" i="2"/>
  <c r="BS105" i="2"/>
  <c r="BS91" i="2"/>
  <c r="BS104" i="2"/>
  <c r="BS108" i="2"/>
  <c r="BS90" i="2"/>
  <c r="BS85" i="2"/>
  <c r="BS93" i="2"/>
  <c r="BS80" i="2"/>
  <c r="BS92" i="2"/>
  <c r="BS68" i="2"/>
  <c r="BS69" i="2"/>
  <c r="BS20" i="2"/>
  <c r="BS15" i="2"/>
  <c r="BS21" i="2"/>
  <c r="BS24" i="2"/>
  <c r="BS75" i="2" s="1"/>
  <c r="BS19" i="2"/>
  <c r="BS14" i="2"/>
  <c r="BT2" i="2"/>
  <c r="BT109" i="1" s="1"/>
  <c r="BS115" i="1"/>
  <c r="BS82" i="2" s="1"/>
  <c r="BS111" i="1"/>
  <c r="BS37" i="2"/>
  <c r="BS73" i="2"/>
  <c r="BS116" i="1"/>
  <c r="BS87" i="2" s="1"/>
  <c r="BS114" i="1"/>
  <c r="BS77" i="2" s="1"/>
  <c r="BS112" i="1"/>
  <c r="BS6" i="2"/>
  <c r="BS106" i="1"/>
  <c r="BS110" i="1"/>
  <c r="BS107" i="1"/>
  <c r="BS5" i="2" s="1"/>
  <c r="BT108" i="1" l="1"/>
  <c r="BT108" i="2"/>
  <c r="BT104" i="2"/>
  <c r="BT109" i="2"/>
  <c r="BT105" i="2"/>
  <c r="BT103" i="2"/>
  <c r="BT92" i="2"/>
  <c r="BT90" i="2"/>
  <c r="BT100" i="2"/>
  <c r="BT93" i="2"/>
  <c r="BT80" i="2"/>
  <c r="BT91" i="2"/>
  <c r="BT73" i="2"/>
  <c r="BT85" i="2"/>
  <c r="BT69" i="2"/>
  <c r="BT37" i="2"/>
  <c r="BT21" i="2"/>
  <c r="BT68" i="2"/>
  <c r="BT24" i="2"/>
  <c r="BT75" i="2" s="1"/>
  <c r="BT19" i="2"/>
  <c r="BT20" i="2"/>
  <c r="BT14" i="2"/>
  <c r="BU2" i="2"/>
  <c r="BU109" i="1" s="1"/>
  <c r="BT115" i="1"/>
  <c r="BT82" i="2" s="1"/>
  <c r="BT111" i="1"/>
  <c r="BT15" i="2"/>
  <c r="BT116" i="1"/>
  <c r="BT87" i="2" s="1"/>
  <c r="BT114" i="1"/>
  <c r="BT77" i="2" s="1"/>
  <c r="BT6" i="2"/>
  <c r="BT106" i="1"/>
  <c r="BT107" i="1"/>
  <c r="BT5" i="2" s="1"/>
  <c r="BT112" i="1"/>
  <c r="BT110" i="1"/>
  <c r="BU108" i="1" l="1"/>
  <c r="BU108" i="2"/>
  <c r="BU109" i="2"/>
  <c r="BU100" i="2"/>
  <c r="BU105" i="2"/>
  <c r="BU104" i="2"/>
  <c r="BU103" i="2"/>
  <c r="BU92" i="2"/>
  <c r="BU90" i="2"/>
  <c r="BU93" i="2"/>
  <c r="BU80" i="2"/>
  <c r="BU91" i="2"/>
  <c r="BU85" i="2"/>
  <c r="BU73" i="2"/>
  <c r="BU15" i="2"/>
  <c r="BU68" i="2"/>
  <c r="BU24" i="2"/>
  <c r="BU75" i="2" s="1"/>
  <c r="BU21" i="2"/>
  <c r="BU19" i="2"/>
  <c r="BU37" i="2"/>
  <c r="BU14" i="2"/>
  <c r="BU115" i="1"/>
  <c r="BU82" i="2" s="1"/>
  <c r="BU111" i="1"/>
  <c r="BU20" i="2"/>
  <c r="BU69" i="2"/>
  <c r="BU116" i="1"/>
  <c r="BU87" i="2" s="1"/>
  <c r="BU114" i="1"/>
  <c r="BU77" i="2" s="1"/>
  <c r="BU112" i="1"/>
  <c r="BU110" i="1"/>
  <c r="BU106" i="1"/>
  <c r="BV2" i="2"/>
  <c r="BV108" i="1" s="1"/>
  <c r="BU6" i="2"/>
  <c r="BU107" i="1"/>
  <c r="BU5" i="2" s="1"/>
  <c r="BV109" i="1" l="1"/>
  <c r="BV104" i="2"/>
  <c r="BV109" i="2"/>
  <c r="BV105" i="2"/>
  <c r="BV103" i="2"/>
  <c r="BV108" i="2"/>
  <c r="BV92" i="2"/>
  <c r="BV93" i="2"/>
  <c r="BV91" i="2"/>
  <c r="BV100" i="2"/>
  <c r="BV80" i="2"/>
  <c r="BV73" i="2"/>
  <c r="BV69" i="2"/>
  <c r="BV85" i="2"/>
  <c r="BV90" i="2"/>
  <c r="BV68" i="2"/>
  <c r="BV37" i="2"/>
  <c r="BV20" i="2"/>
  <c r="BV14" i="2"/>
  <c r="BV21" i="2"/>
  <c r="BV19" i="2"/>
  <c r="BV15" i="2"/>
  <c r="BV24" i="2"/>
  <c r="BV75" i="2" s="1"/>
  <c r="BV116" i="1"/>
  <c r="BV87" i="2" s="1"/>
  <c r="BV114" i="1"/>
  <c r="BV77" i="2" s="1"/>
  <c r="BW2" i="2"/>
  <c r="BW108" i="1" s="1"/>
  <c r="BV106" i="1"/>
  <c r="BV111" i="1"/>
  <c r="BV110" i="1"/>
  <c r="BV107" i="1"/>
  <c r="BV5" i="2" s="1"/>
  <c r="BV115" i="1"/>
  <c r="BV82" i="2" s="1"/>
  <c r="BV112" i="1"/>
  <c r="BV6" i="2"/>
  <c r="BW109" i="1" l="1"/>
  <c r="BW104" i="2"/>
  <c r="BW109" i="2"/>
  <c r="BW100" i="2"/>
  <c r="BW105" i="2"/>
  <c r="BW108" i="2"/>
  <c r="BW92" i="2"/>
  <c r="BW90" i="2"/>
  <c r="BW103" i="2"/>
  <c r="BW93" i="2"/>
  <c r="BW80" i="2"/>
  <c r="BW73" i="2"/>
  <c r="BW69" i="2"/>
  <c r="BW85" i="2"/>
  <c r="BW68" i="2"/>
  <c r="BW24" i="2"/>
  <c r="BW75" i="2" s="1"/>
  <c r="BW21" i="2"/>
  <c r="BW19" i="2"/>
  <c r="BW37" i="2"/>
  <c r="BW20" i="2"/>
  <c r="BW91" i="2"/>
  <c r="BW15" i="2"/>
  <c r="BW116" i="1"/>
  <c r="BW87" i="2" s="1"/>
  <c r="BW114" i="1"/>
  <c r="BW77" i="2" s="1"/>
  <c r="BW112" i="1"/>
  <c r="BX2" i="2"/>
  <c r="BX109" i="1" s="1"/>
  <c r="BW115" i="1"/>
  <c r="BW82" i="2" s="1"/>
  <c r="BW14" i="2"/>
  <c r="BW111" i="1"/>
  <c r="BW110" i="1"/>
  <c r="BW107" i="1"/>
  <c r="BW5" i="2" s="1"/>
  <c r="BW106" i="1"/>
  <c r="BW6" i="2"/>
  <c r="BX108" i="1" l="1"/>
  <c r="BX109" i="2"/>
  <c r="BX100" i="2"/>
  <c r="BX103" i="2"/>
  <c r="BX108" i="2"/>
  <c r="BX104" i="2"/>
  <c r="BX93" i="2"/>
  <c r="BX91" i="2"/>
  <c r="BX105" i="2"/>
  <c r="BX85" i="2"/>
  <c r="BX92" i="2"/>
  <c r="BX90" i="2"/>
  <c r="BX80" i="2"/>
  <c r="BX73" i="2"/>
  <c r="BX69" i="2"/>
  <c r="BX24" i="2"/>
  <c r="BX75" i="2" s="1"/>
  <c r="BX37" i="2"/>
  <c r="BX20" i="2"/>
  <c r="BX14" i="2"/>
  <c r="BX21" i="2"/>
  <c r="BX19" i="2"/>
  <c r="BX68" i="2"/>
  <c r="BX116" i="1"/>
  <c r="BX87" i="2" s="1"/>
  <c r="BX114" i="1"/>
  <c r="BX77" i="2" s="1"/>
  <c r="BX112" i="1"/>
  <c r="BX110" i="1"/>
  <c r="BX6" i="2"/>
  <c r="BX15" i="2"/>
  <c r="BY2" i="2"/>
  <c r="BY109" i="1" s="1"/>
  <c r="BX115" i="1"/>
  <c r="BX82" i="2" s="1"/>
  <c r="BX107" i="1"/>
  <c r="BX5" i="2" s="1"/>
  <c r="BX106" i="1"/>
  <c r="BX111" i="1"/>
  <c r="BY108" i="1" l="1"/>
  <c r="BY105" i="2"/>
  <c r="BY93" i="2"/>
  <c r="BY108" i="2"/>
  <c r="BY103" i="2"/>
  <c r="BY91" i="2"/>
  <c r="BY100" i="2"/>
  <c r="BY109" i="2"/>
  <c r="BY104" i="2"/>
  <c r="BY85" i="2"/>
  <c r="BY80" i="2"/>
  <c r="BY73" i="2"/>
  <c r="BY92" i="2"/>
  <c r="BY90" i="2"/>
  <c r="BY68" i="2"/>
  <c r="BY14" i="2"/>
  <c r="BY20" i="2"/>
  <c r="BY69" i="2"/>
  <c r="BY15" i="2"/>
  <c r="BY24" i="2"/>
  <c r="BY75" i="2" s="1"/>
  <c r="BY116" i="1"/>
  <c r="BY87" i="2" s="1"/>
  <c r="BY114" i="1"/>
  <c r="BY77" i="2" s="1"/>
  <c r="BY112" i="1"/>
  <c r="BY110" i="1"/>
  <c r="BY21" i="2"/>
  <c r="BY37" i="2"/>
  <c r="BZ2" i="2"/>
  <c r="BZ108" i="1" s="1"/>
  <c r="BY115" i="1"/>
  <c r="BY82" i="2" s="1"/>
  <c r="BY111" i="1"/>
  <c r="BY19" i="2"/>
  <c r="BY107" i="1"/>
  <c r="BY5" i="2" s="1"/>
  <c r="BY6" i="2"/>
  <c r="BY106" i="1"/>
  <c r="BZ109" i="1" l="1"/>
  <c r="BZ105" i="2"/>
  <c r="BZ103" i="2"/>
  <c r="BZ108" i="2"/>
  <c r="BZ104" i="2"/>
  <c r="BZ93" i="2"/>
  <c r="BZ91" i="2"/>
  <c r="BZ100" i="2"/>
  <c r="BZ109" i="2"/>
  <c r="BZ85" i="2"/>
  <c r="BZ80" i="2"/>
  <c r="BZ92" i="2"/>
  <c r="BZ90" i="2"/>
  <c r="BZ73" i="2"/>
  <c r="BZ69" i="2"/>
  <c r="BZ37" i="2"/>
  <c r="BZ21" i="2"/>
  <c r="BZ19" i="2"/>
  <c r="BZ68" i="2"/>
  <c r="BZ24" i="2"/>
  <c r="BZ75" i="2" s="1"/>
  <c r="BZ20" i="2"/>
  <c r="CA2" i="2"/>
  <c r="CA108" i="1" s="1"/>
  <c r="BZ15" i="2"/>
  <c r="BZ115" i="1"/>
  <c r="BZ82" i="2" s="1"/>
  <c r="BZ14" i="2"/>
  <c r="BZ116" i="1"/>
  <c r="BZ87" i="2" s="1"/>
  <c r="BZ107" i="1"/>
  <c r="BZ5" i="2" s="1"/>
  <c r="BZ110" i="1"/>
  <c r="BZ114" i="1"/>
  <c r="BZ77" i="2" s="1"/>
  <c r="BZ6" i="2"/>
  <c r="BZ106" i="1"/>
  <c r="BZ111" i="1"/>
  <c r="BZ112" i="1"/>
  <c r="CA109" i="1" l="1"/>
  <c r="CA103" i="2"/>
  <c r="CA109" i="2"/>
  <c r="CA100" i="2"/>
  <c r="CA108" i="2"/>
  <c r="CA91" i="2"/>
  <c r="CA85" i="2"/>
  <c r="CA104" i="2"/>
  <c r="CA105" i="2"/>
  <c r="CA80" i="2"/>
  <c r="CA92" i="2"/>
  <c r="CA90" i="2"/>
  <c r="CA93" i="2"/>
  <c r="CA68" i="2"/>
  <c r="CA37" i="2"/>
  <c r="CA20" i="2"/>
  <c r="CA15" i="2"/>
  <c r="CA73" i="2"/>
  <c r="CA21" i="2"/>
  <c r="CA19" i="2"/>
  <c r="CA24" i="2"/>
  <c r="CA75" i="2" s="1"/>
  <c r="CB2" i="2"/>
  <c r="CB109" i="1" s="1"/>
  <c r="CA115" i="1"/>
  <c r="CA82" i="2" s="1"/>
  <c r="CA111" i="1"/>
  <c r="CA69" i="2"/>
  <c r="CA14" i="2"/>
  <c r="CA116" i="1"/>
  <c r="CA87" i="2" s="1"/>
  <c r="CA114" i="1"/>
  <c r="CA77" i="2" s="1"/>
  <c r="CA112" i="1"/>
  <c r="CA110" i="1"/>
  <c r="CA6" i="2"/>
  <c r="CA106" i="1"/>
  <c r="CA107" i="1"/>
  <c r="CA5" i="2" s="1"/>
  <c r="CB108" i="1" l="1"/>
  <c r="CB108" i="2"/>
  <c r="CB104" i="2"/>
  <c r="CB109" i="2"/>
  <c r="CB103" i="2"/>
  <c r="CB100" i="2"/>
  <c r="CB92" i="2"/>
  <c r="CB90" i="2"/>
  <c r="CB105" i="2"/>
  <c r="CB80" i="2"/>
  <c r="CB93" i="2"/>
  <c r="CB91" i="2"/>
  <c r="CB85" i="2"/>
  <c r="CB73" i="2"/>
  <c r="CB69" i="2"/>
  <c r="CB37" i="2"/>
  <c r="CB21" i="2"/>
  <c r="CB19" i="2"/>
  <c r="CB24" i="2"/>
  <c r="CB75" i="2" s="1"/>
  <c r="CB15" i="2"/>
  <c r="CB68" i="2"/>
  <c r="CB14" i="2"/>
  <c r="CC2" i="2"/>
  <c r="CC109" i="1" s="1"/>
  <c r="CB20" i="2"/>
  <c r="CB115" i="1"/>
  <c r="CB82" i="2" s="1"/>
  <c r="CB111" i="1"/>
  <c r="CB116" i="1"/>
  <c r="CB87" i="2" s="1"/>
  <c r="CB114" i="1"/>
  <c r="CB77" i="2" s="1"/>
  <c r="CB6" i="2"/>
  <c r="CB106" i="1"/>
  <c r="CB110" i="1"/>
  <c r="CB107" i="1"/>
  <c r="CB5" i="2" s="1"/>
  <c r="CB112" i="1"/>
  <c r="CC108" i="1" l="1"/>
  <c r="CC108" i="2"/>
  <c r="CC109" i="2"/>
  <c r="CC100" i="2"/>
  <c r="CC105" i="2"/>
  <c r="CC92" i="2"/>
  <c r="CC90" i="2"/>
  <c r="CC104" i="2"/>
  <c r="CC80" i="2"/>
  <c r="CC103" i="2"/>
  <c r="CC85" i="2"/>
  <c r="CC93" i="2"/>
  <c r="CC91" i="2"/>
  <c r="CC15" i="2"/>
  <c r="CC19" i="2"/>
  <c r="CC73" i="2"/>
  <c r="CC24" i="2"/>
  <c r="CC75" i="2" s="1"/>
  <c r="CC21" i="2"/>
  <c r="CC69" i="2"/>
  <c r="CC68" i="2"/>
  <c r="CC14" i="2"/>
  <c r="CC20" i="2"/>
  <c r="CC115" i="1"/>
  <c r="CC82" i="2" s="1"/>
  <c r="CC111" i="1"/>
  <c r="CC37" i="2"/>
  <c r="CC116" i="1"/>
  <c r="CC87" i="2" s="1"/>
  <c r="CC114" i="1"/>
  <c r="CC77" i="2" s="1"/>
  <c r="CC112" i="1"/>
  <c r="CC110" i="1"/>
  <c r="CC6" i="2"/>
  <c r="CC106" i="1"/>
  <c r="CD2" i="2"/>
  <c r="CD109" i="1" s="1"/>
  <c r="CC107" i="1"/>
  <c r="CC5" i="2" s="1"/>
  <c r="CD108" i="1" l="1"/>
  <c r="CD104" i="2"/>
  <c r="CD109" i="2"/>
  <c r="CD105" i="2"/>
  <c r="CD103" i="2"/>
  <c r="CD100" i="2"/>
  <c r="CD92" i="2"/>
  <c r="CD93" i="2"/>
  <c r="CD90" i="2"/>
  <c r="CD91" i="2"/>
  <c r="CD68" i="2"/>
  <c r="CD108" i="2"/>
  <c r="CD85" i="2"/>
  <c r="CD73" i="2"/>
  <c r="CD69" i="2"/>
  <c r="CD80" i="2"/>
  <c r="CD24" i="2"/>
  <c r="CD75" i="2" s="1"/>
  <c r="CD21" i="2"/>
  <c r="CD20" i="2"/>
  <c r="CD37" i="2"/>
  <c r="CD15" i="2"/>
  <c r="CD116" i="1"/>
  <c r="CD87" i="2" s="1"/>
  <c r="CD114" i="1"/>
  <c r="CD77" i="2" s="1"/>
  <c r="CD19" i="2"/>
  <c r="CD14" i="2"/>
  <c r="CE2" i="2"/>
  <c r="CE108" i="1" s="1"/>
  <c r="CD106" i="1"/>
  <c r="CD112" i="1"/>
  <c r="CD6" i="2"/>
  <c r="CD115" i="1"/>
  <c r="CD82" i="2" s="1"/>
  <c r="CD107" i="1"/>
  <c r="CD5" i="2" s="1"/>
  <c r="CD111" i="1"/>
  <c r="CD110" i="1"/>
  <c r="CE109" i="1" l="1"/>
  <c r="CE104" i="2"/>
  <c r="CE109" i="2"/>
  <c r="CE100" i="2"/>
  <c r="CE105" i="2"/>
  <c r="CE92" i="2"/>
  <c r="CE90" i="2"/>
  <c r="CE93" i="2"/>
  <c r="CE103" i="2"/>
  <c r="CE91" i="2"/>
  <c r="CE108" i="2"/>
  <c r="CE80" i="2"/>
  <c r="CE85" i="2"/>
  <c r="CE73" i="2"/>
  <c r="CE69" i="2"/>
  <c r="CE19" i="2"/>
  <c r="CE68" i="2"/>
  <c r="CE20" i="2"/>
  <c r="CE14" i="2"/>
  <c r="CE24" i="2"/>
  <c r="CE75" i="2" s="1"/>
  <c r="CE37" i="2"/>
  <c r="CE21" i="2"/>
  <c r="CE15" i="2"/>
  <c r="CE116" i="1"/>
  <c r="CE87" i="2" s="1"/>
  <c r="CE114" i="1"/>
  <c r="CE77" i="2" s="1"/>
  <c r="CE112" i="1"/>
  <c r="CE110" i="1"/>
  <c r="CF2" i="2"/>
  <c r="CF109" i="1" s="1"/>
  <c r="CE115" i="1"/>
  <c r="CE82" i="2" s="1"/>
  <c r="CE107" i="1"/>
  <c r="CE5" i="2" s="1"/>
  <c r="CE6" i="2"/>
  <c r="CE111" i="1"/>
  <c r="CE106" i="1"/>
  <c r="CF108" i="1" l="1"/>
  <c r="CF109" i="2"/>
  <c r="CF100" i="2"/>
  <c r="CF103" i="2"/>
  <c r="CF108" i="2"/>
  <c r="CF93" i="2"/>
  <c r="CF105" i="2"/>
  <c r="CF104" i="2"/>
  <c r="CF91" i="2"/>
  <c r="CF90" i="2"/>
  <c r="CF92" i="2"/>
  <c r="CF85" i="2"/>
  <c r="CF73" i="2"/>
  <c r="CF69" i="2"/>
  <c r="CF80" i="2"/>
  <c r="CF68" i="2"/>
  <c r="CF24" i="2"/>
  <c r="CF75" i="2" s="1"/>
  <c r="CF21" i="2"/>
  <c r="CF20" i="2"/>
  <c r="CF37" i="2"/>
  <c r="CF15" i="2"/>
  <c r="CF116" i="1"/>
  <c r="CF87" i="2" s="1"/>
  <c r="CF114" i="1"/>
  <c r="CF77" i="2" s="1"/>
  <c r="CF112" i="1"/>
  <c r="CF110" i="1"/>
  <c r="CF6" i="2"/>
  <c r="CF19" i="2"/>
  <c r="CF14" i="2"/>
  <c r="CG2" i="2"/>
  <c r="CG108" i="1" s="1"/>
  <c r="CF115" i="1"/>
  <c r="CF82" i="2" s="1"/>
  <c r="CF107" i="1"/>
  <c r="CF5" i="2" s="1"/>
  <c r="CF111" i="1"/>
  <c r="CF106" i="1"/>
  <c r="CG109" i="1" l="1"/>
  <c r="CG105" i="2"/>
  <c r="CG93" i="2"/>
  <c r="CG108" i="2"/>
  <c r="CG100" i="2"/>
  <c r="CG109" i="2"/>
  <c r="CG104" i="2"/>
  <c r="CG91" i="2"/>
  <c r="CG90" i="2"/>
  <c r="CG92" i="2"/>
  <c r="CG103" i="2"/>
  <c r="CG85" i="2"/>
  <c r="CG73" i="2"/>
  <c r="CG69" i="2"/>
  <c r="CG80" i="2"/>
  <c r="CG24" i="2"/>
  <c r="CG75" i="2" s="1"/>
  <c r="CG14" i="2"/>
  <c r="CG68" i="2"/>
  <c r="CG20" i="2"/>
  <c r="CG37" i="2"/>
  <c r="CG15" i="2"/>
  <c r="CG19" i="2"/>
  <c r="CG116" i="1"/>
  <c r="CG87" i="2" s="1"/>
  <c r="CG114" i="1"/>
  <c r="CG77" i="2" s="1"/>
  <c r="CG112" i="1"/>
  <c r="CG110" i="1"/>
  <c r="CH2" i="2"/>
  <c r="CH108" i="1" s="1"/>
  <c r="CG115" i="1"/>
  <c r="CG82" i="2" s="1"/>
  <c r="CG111" i="1"/>
  <c r="CG21" i="2"/>
  <c r="CG107" i="1"/>
  <c r="CG5" i="2" s="1"/>
  <c r="CG6" i="2"/>
  <c r="CG106" i="1"/>
  <c r="CH109" i="1" l="1"/>
  <c r="CH105" i="2"/>
  <c r="CH93" i="2"/>
  <c r="CH103" i="2"/>
  <c r="CH108" i="2"/>
  <c r="CH104" i="2"/>
  <c r="CH109" i="2"/>
  <c r="CH91" i="2"/>
  <c r="CH92" i="2"/>
  <c r="CH85" i="2"/>
  <c r="CH80" i="2"/>
  <c r="CH100" i="2"/>
  <c r="CH73" i="2"/>
  <c r="CH69" i="2"/>
  <c r="CH90" i="2"/>
  <c r="CH68" i="2"/>
  <c r="CH37" i="2"/>
  <c r="CH14" i="2"/>
  <c r="CH24" i="2"/>
  <c r="CH75" i="2" s="1"/>
  <c r="CH20" i="2"/>
  <c r="CH19" i="2"/>
  <c r="CH21" i="2"/>
  <c r="CH15" i="2"/>
  <c r="CI2" i="2"/>
  <c r="CI109" i="1" s="1"/>
  <c r="CH115" i="1"/>
  <c r="CH82" i="2" s="1"/>
  <c r="CH107" i="1"/>
  <c r="CH5" i="2" s="1"/>
  <c r="CH114" i="1"/>
  <c r="CH77" i="2" s="1"/>
  <c r="CH111" i="1"/>
  <c r="CH112" i="1"/>
  <c r="CH116" i="1"/>
  <c r="CH87" i="2" s="1"/>
  <c r="CH6" i="2"/>
  <c r="CH106" i="1"/>
  <c r="CH110" i="1"/>
  <c r="CI108" i="1" l="1"/>
  <c r="CI103" i="2"/>
  <c r="CI109" i="2"/>
  <c r="CI100" i="2"/>
  <c r="CI93" i="2"/>
  <c r="CI91" i="2"/>
  <c r="CI104" i="2"/>
  <c r="CI105" i="2"/>
  <c r="CI108" i="2"/>
  <c r="CI85" i="2"/>
  <c r="CI80" i="2"/>
  <c r="CI90" i="2"/>
  <c r="CI92" i="2"/>
  <c r="CI68" i="2"/>
  <c r="CI73" i="2"/>
  <c r="CI20" i="2"/>
  <c r="CI37" i="2"/>
  <c r="CI15" i="2"/>
  <c r="CI69" i="2"/>
  <c r="CI19" i="2"/>
  <c r="CI21" i="2"/>
  <c r="CJ2" i="2"/>
  <c r="CJ109" i="1" s="1"/>
  <c r="CI14" i="2"/>
  <c r="CI115" i="1"/>
  <c r="CI82" i="2" s="1"/>
  <c r="CI111" i="1"/>
  <c r="CI116" i="1"/>
  <c r="CI87" i="2" s="1"/>
  <c r="CI114" i="1"/>
  <c r="CI77" i="2" s="1"/>
  <c r="CI112" i="1"/>
  <c r="CI24" i="2"/>
  <c r="CI75" i="2" s="1"/>
  <c r="CI6" i="2"/>
  <c r="CI106" i="1"/>
  <c r="CI110" i="1"/>
  <c r="CI107" i="1"/>
  <c r="CI5" i="2" s="1"/>
  <c r="CJ108" i="1" l="1"/>
  <c r="CJ6" i="2" s="1"/>
  <c r="CJ108" i="2"/>
  <c r="CJ104" i="2"/>
  <c r="CJ109" i="2"/>
  <c r="CJ93" i="2"/>
  <c r="CJ105" i="2"/>
  <c r="CJ103" i="2"/>
  <c r="CJ92" i="2"/>
  <c r="CJ90" i="2"/>
  <c r="CJ80" i="2"/>
  <c r="CJ91" i="2"/>
  <c r="CJ100" i="2"/>
  <c r="CJ85" i="2"/>
  <c r="CJ68" i="2"/>
  <c r="CJ73" i="2"/>
  <c r="CJ69" i="2"/>
  <c r="CJ37" i="2"/>
  <c r="CJ21" i="2"/>
  <c r="CJ19" i="2"/>
  <c r="CJ24" i="2"/>
  <c r="CJ75" i="2" s="1"/>
  <c r="CJ20" i="2"/>
  <c r="CJ15" i="2"/>
  <c r="CK2" i="2"/>
  <c r="CK109" i="1" s="1"/>
  <c r="CJ14" i="2"/>
  <c r="CJ115" i="1"/>
  <c r="CJ82" i="2" s="1"/>
  <c r="CJ111" i="1"/>
  <c r="CJ116" i="1"/>
  <c r="CJ87" i="2" s="1"/>
  <c r="CJ114" i="1"/>
  <c r="CJ77" i="2" s="1"/>
  <c r="CJ112" i="1"/>
  <c r="CJ106" i="1"/>
  <c r="CJ110" i="1"/>
  <c r="CJ107" i="1"/>
  <c r="CJ5" i="2" s="1"/>
  <c r="CK108" i="1" l="1"/>
  <c r="CK108" i="2"/>
  <c r="CK109" i="2"/>
  <c r="CK100" i="2"/>
  <c r="CK105" i="2"/>
  <c r="CK104" i="2"/>
  <c r="CK103" i="2"/>
  <c r="CK92" i="2"/>
  <c r="CK90" i="2"/>
  <c r="CK80" i="2"/>
  <c r="CK91" i="2"/>
  <c r="CK93" i="2"/>
  <c r="CK85" i="2"/>
  <c r="CK68" i="2"/>
  <c r="CK73" i="2"/>
  <c r="CK15" i="2"/>
  <c r="CK69" i="2"/>
  <c r="CK19" i="2"/>
  <c r="CK24" i="2"/>
  <c r="CK75" i="2" s="1"/>
  <c r="CK21" i="2"/>
  <c r="CK37" i="2"/>
  <c r="CK14" i="2"/>
  <c r="CK20" i="2"/>
  <c r="CK115" i="1"/>
  <c r="CK82" i="2" s="1"/>
  <c r="CK111" i="1"/>
  <c r="CK116" i="1"/>
  <c r="CK87" i="2" s="1"/>
  <c r="CK114" i="1"/>
  <c r="CK77" i="2" s="1"/>
  <c r="CK112" i="1"/>
  <c r="CK110" i="1"/>
  <c r="CL2" i="2"/>
  <c r="CL108" i="1" s="1"/>
  <c r="CK6" i="2"/>
  <c r="CK106" i="1"/>
  <c r="CK107" i="1"/>
  <c r="CK5" i="2" s="1"/>
  <c r="CL109" i="1" l="1"/>
  <c r="CL104" i="2"/>
  <c r="CL109" i="2"/>
  <c r="CL105" i="2"/>
  <c r="CL103" i="2"/>
  <c r="CL92" i="2"/>
  <c r="CL108" i="2"/>
  <c r="CL91" i="2"/>
  <c r="CL93" i="2"/>
  <c r="CL100" i="2"/>
  <c r="CL85" i="2"/>
  <c r="CL68" i="2"/>
  <c r="CL90" i="2"/>
  <c r="CL80" i="2"/>
  <c r="CL73" i="2"/>
  <c r="CL69" i="2"/>
  <c r="CL37" i="2"/>
  <c r="CL24" i="2"/>
  <c r="CL75" i="2" s="1"/>
  <c r="CL21" i="2"/>
  <c r="CL20" i="2"/>
  <c r="CL19" i="2"/>
  <c r="CL14" i="2"/>
  <c r="CL116" i="1"/>
  <c r="CL87" i="2" s="1"/>
  <c r="CL114" i="1"/>
  <c r="CL77" i="2" s="1"/>
  <c r="CM2" i="2"/>
  <c r="CM109" i="1" s="1"/>
  <c r="CL15" i="2"/>
  <c r="CL112" i="1"/>
  <c r="CL6" i="2"/>
  <c r="CL106" i="1"/>
  <c r="CL111" i="1"/>
  <c r="CL110" i="1"/>
  <c r="CL115" i="1"/>
  <c r="CL82" i="2" s="1"/>
  <c r="CL107" i="1"/>
  <c r="CL5" i="2" s="1"/>
  <c r="CM108" i="1" l="1"/>
  <c r="CM104" i="2"/>
  <c r="CM109" i="2"/>
  <c r="CM100" i="2"/>
  <c r="CM105" i="2"/>
  <c r="CM92" i="2"/>
  <c r="CM90" i="2"/>
  <c r="CM103" i="2"/>
  <c r="CM108" i="2"/>
  <c r="CM93" i="2"/>
  <c r="CM80" i="2"/>
  <c r="CM73" i="2"/>
  <c r="CM69" i="2"/>
  <c r="CM19" i="2"/>
  <c r="CM68" i="2"/>
  <c r="CM24" i="2"/>
  <c r="CM75" i="2" s="1"/>
  <c r="CM21" i="2"/>
  <c r="CM91" i="2"/>
  <c r="CM85" i="2"/>
  <c r="CM20" i="2"/>
  <c r="CM15" i="2"/>
  <c r="CM37" i="2"/>
  <c r="CM14" i="2"/>
  <c r="CM116" i="1"/>
  <c r="CM87" i="2" s="1"/>
  <c r="CM114" i="1"/>
  <c r="CM77" i="2" s="1"/>
  <c r="CM112" i="1"/>
  <c r="CM110" i="1"/>
  <c r="CN2" i="2"/>
  <c r="CN108" i="1" s="1"/>
  <c r="CM115" i="1"/>
  <c r="CM82" i="2" s="1"/>
  <c r="CM111" i="1"/>
  <c r="CM107" i="1"/>
  <c r="CM5" i="2" s="1"/>
  <c r="CM6" i="2"/>
  <c r="CM106" i="1"/>
  <c r="CN109" i="1" l="1"/>
  <c r="CN109" i="2"/>
  <c r="CN100" i="2"/>
  <c r="CN103" i="2"/>
  <c r="CN108" i="2"/>
  <c r="CN104" i="2"/>
  <c r="CN105" i="2"/>
  <c r="CN93" i="2"/>
  <c r="CN91" i="2"/>
  <c r="CN85" i="2"/>
  <c r="CN90" i="2"/>
  <c r="CN92" i="2"/>
  <c r="CN73" i="2"/>
  <c r="CN69" i="2"/>
  <c r="CN80" i="2"/>
  <c r="CN68" i="2"/>
  <c r="CN24" i="2"/>
  <c r="CN75" i="2" s="1"/>
  <c r="CN20" i="2"/>
  <c r="CN19" i="2"/>
  <c r="CN14" i="2"/>
  <c r="CN21" i="2"/>
  <c r="CN37" i="2"/>
  <c r="CN116" i="1"/>
  <c r="CN87" i="2" s="1"/>
  <c r="CN114" i="1"/>
  <c r="CN77" i="2" s="1"/>
  <c r="CN112" i="1"/>
  <c r="CN110" i="1"/>
  <c r="CN6" i="2"/>
  <c r="CO2" i="2"/>
  <c r="CO109" i="1" s="1"/>
  <c r="CN115" i="1"/>
  <c r="CN82" i="2" s="1"/>
  <c r="CN15" i="2"/>
  <c r="CN107" i="1"/>
  <c r="CN5" i="2" s="1"/>
  <c r="CN111" i="1"/>
  <c r="CN106" i="1"/>
  <c r="CO108" i="1" l="1"/>
  <c r="CO105" i="2"/>
  <c r="CO93" i="2"/>
  <c r="CO108" i="2"/>
  <c r="CO109" i="2"/>
  <c r="CO103" i="2"/>
  <c r="CO91" i="2"/>
  <c r="CO100" i="2"/>
  <c r="CO85" i="2"/>
  <c r="CO90" i="2"/>
  <c r="CO104" i="2"/>
  <c r="CO92" i="2"/>
  <c r="CO73" i="2"/>
  <c r="CO80" i="2"/>
  <c r="CO68" i="2"/>
  <c r="CO21" i="2"/>
  <c r="CO14" i="2"/>
  <c r="CO69" i="2"/>
  <c r="CO20" i="2"/>
  <c r="CO37" i="2"/>
  <c r="CO116" i="1"/>
  <c r="CO87" i="2" s="1"/>
  <c r="CO114" i="1"/>
  <c r="CO77" i="2" s="1"/>
  <c r="CO112" i="1"/>
  <c r="CO110" i="1"/>
  <c r="CO19" i="2"/>
  <c r="CP2" i="2"/>
  <c r="CP108" i="1" s="1"/>
  <c r="CO115" i="1"/>
  <c r="CO82" i="2" s="1"/>
  <c r="CO111" i="1"/>
  <c r="CO15" i="2"/>
  <c r="CO24" i="2"/>
  <c r="CO75" i="2" s="1"/>
  <c r="CO107" i="1"/>
  <c r="CO5" i="2" s="1"/>
  <c r="CO6" i="2"/>
  <c r="CO106" i="1"/>
  <c r="CP109" i="1" l="1"/>
  <c r="CP105" i="2"/>
  <c r="CP93" i="2"/>
  <c r="CP103" i="2"/>
  <c r="CP108" i="2"/>
  <c r="CP104" i="2"/>
  <c r="CP109" i="2"/>
  <c r="CP91" i="2"/>
  <c r="CP100" i="2"/>
  <c r="CP85" i="2"/>
  <c r="CP90" i="2"/>
  <c r="CP80" i="2"/>
  <c r="CP92" i="2"/>
  <c r="CP73" i="2"/>
  <c r="CP69" i="2"/>
  <c r="CP68" i="2"/>
  <c r="CP37" i="2"/>
  <c r="CP24" i="2"/>
  <c r="CP75" i="2" s="1"/>
  <c r="CP19" i="2"/>
  <c r="CP21" i="2"/>
  <c r="CP15" i="2"/>
  <c r="CQ2" i="2"/>
  <c r="CQ108" i="1" s="1"/>
  <c r="CP115" i="1"/>
  <c r="CP82" i="2" s="1"/>
  <c r="CP20" i="2"/>
  <c r="CP14" i="2"/>
  <c r="CP114" i="1"/>
  <c r="CP77" i="2" s="1"/>
  <c r="CP107" i="1"/>
  <c r="CP5" i="2" s="1"/>
  <c r="CP110" i="1"/>
  <c r="CP112" i="1"/>
  <c r="CP111" i="1"/>
  <c r="CP106" i="1"/>
  <c r="CP116" i="1"/>
  <c r="CP87" i="2" s="1"/>
  <c r="CP6" i="2"/>
  <c r="CQ109" i="1" l="1"/>
  <c r="CQ103" i="2"/>
  <c r="CQ109" i="2"/>
  <c r="CQ100" i="2"/>
  <c r="CQ105" i="2"/>
  <c r="CQ91" i="2"/>
  <c r="CQ108" i="2"/>
  <c r="CQ93" i="2"/>
  <c r="CQ85" i="2"/>
  <c r="CQ90" i="2"/>
  <c r="CQ80" i="2"/>
  <c r="CQ92" i="2"/>
  <c r="CQ104" i="2"/>
  <c r="CQ68" i="2"/>
  <c r="CQ73" i="2"/>
  <c r="CQ69" i="2"/>
  <c r="CQ20" i="2"/>
  <c r="CQ15" i="2"/>
  <c r="CQ37" i="2"/>
  <c r="CQ19" i="2"/>
  <c r="CQ14" i="2"/>
  <c r="CR2" i="2"/>
  <c r="CR108" i="1" s="1"/>
  <c r="CQ115" i="1"/>
  <c r="CQ82" i="2" s="1"/>
  <c r="CQ111" i="1"/>
  <c r="CQ24" i="2"/>
  <c r="CQ75" i="2" s="1"/>
  <c r="CQ21" i="2"/>
  <c r="CQ116" i="1"/>
  <c r="CQ87" i="2" s="1"/>
  <c r="CQ114" i="1"/>
  <c r="CQ77" i="2" s="1"/>
  <c r="CQ112" i="1"/>
  <c r="CQ110" i="1"/>
  <c r="CQ106" i="1"/>
  <c r="CQ6" i="2"/>
  <c r="CQ107" i="1"/>
  <c r="CQ5" i="2" s="1"/>
  <c r="CR109" i="1" l="1"/>
  <c r="CR108" i="2"/>
  <c r="CR104" i="2"/>
  <c r="CR109" i="2"/>
  <c r="CR103" i="2"/>
  <c r="CR100" i="2"/>
  <c r="CR93" i="2"/>
  <c r="CR92" i="2"/>
  <c r="CR90" i="2"/>
  <c r="CR105" i="2"/>
  <c r="CR80" i="2"/>
  <c r="CR91" i="2"/>
  <c r="CR68" i="2"/>
  <c r="CR85" i="2"/>
  <c r="CR73" i="2"/>
  <c r="CR69" i="2"/>
  <c r="CR37" i="2"/>
  <c r="CR21" i="2"/>
  <c r="CR19" i="2"/>
  <c r="CR15" i="2"/>
  <c r="CR24" i="2"/>
  <c r="CR75" i="2" s="1"/>
  <c r="CS2" i="2"/>
  <c r="CS109" i="1" s="1"/>
  <c r="CR115" i="1"/>
  <c r="CR82" i="2" s="1"/>
  <c r="CR111" i="1"/>
  <c r="CR116" i="1"/>
  <c r="CR87" i="2" s="1"/>
  <c r="CR114" i="1"/>
  <c r="CR77" i="2" s="1"/>
  <c r="CR20" i="2"/>
  <c r="CR14" i="2"/>
  <c r="CR106" i="1"/>
  <c r="CR6" i="2"/>
  <c r="CR110" i="1"/>
  <c r="CR112" i="1"/>
  <c r="CR107" i="1"/>
  <c r="CR5" i="2" s="1"/>
  <c r="CS108" i="1" l="1"/>
  <c r="CS108" i="2"/>
  <c r="CS109" i="2"/>
  <c r="CS100" i="2"/>
  <c r="CS105" i="2"/>
  <c r="CS93" i="2"/>
  <c r="CS92" i="2"/>
  <c r="CS90" i="2"/>
  <c r="CS80" i="2"/>
  <c r="CS103" i="2"/>
  <c r="CS85" i="2"/>
  <c r="CS91" i="2"/>
  <c r="CS73" i="2"/>
  <c r="CS104" i="2"/>
  <c r="CS15" i="2"/>
  <c r="CS19" i="2"/>
  <c r="CS37" i="2"/>
  <c r="CS21" i="2"/>
  <c r="CS68" i="2"/>
  <c r="CS24" i="2"/>
  <c r="CS75" i="2" s="1"/>
  <c r="CS20" i="2"/>
  <c r="CS115" i="1"/>
  <c r="CS82" i="2" s="1"/>
  <c r="CS111" i="1"/>
  <c r="CS69" i="2"/>
  <c r="CS116" i="1"/>
  <c r="CS87" i="2" s="1"/>
  <c r="CS114" i="1"/>
  <c r="CS77" i="2" s="1"/>
  <c r="CS112" i="1"/>
  <c r="CS110" i="1"/>
  <c r="CS14" i="2"/>
  <c r="CT2" i="2"/>
  <c r="CT108" i="1" s="1"/>
  <c r="CS106" i="1"/>
  <c r="CS6" i="2"/>
  <c r="CS107" i="1"/>
  <c r="CS5" i="2" s="1"/>
  <c r="CT109" i="1" l="1"/>
  <c r="CT104" i="2"/>
  <c r="CT109" i="2"/>
  <c r="CT105" i="2"/>
  <c r="CT103" i="2"/>
  <c r="CT93" i="2"/>
  <c r="CT108" i="2"/>
  <c r="CT100" i="2"/>
  <c r="CT92" i="2"/>
  <c r="CT90" i="2"/>
  <c r="CT91" i="2"/>
  <c r="CT68" i="2"/>
  <c r="CT80" i="2"/>
  <c r="CT73" i="2"/>
  <c r="CT69" i="2"/>
  <c r="CT85" i="2"/>
  <c r="CT37" i="2"/>
  <c r="CT24" i="2"/>
  <c r="CT75" i="2" s="1"/>
  <c r="CT21" i="2"/>
  <c r="CT20" i="2"/>
  <c r="CT14" i="2"/>
  <c r="CT19" i="2"/>
  <c r="CT116" i="1"/>
  <c r="CT87" i="2" s="1"/>
  <c r="CT114" i="1"/>
  <c r="CT77" i="2" s="1"/>
  <c r="CT15" i="2"/>
  <c r="CU2" i="2"/>
  <c r="CU108" i="1" s="1"/>
  <c r="CT106" i="1"/>
  <c r="CT6" i="2"/>
  <c r="CT115" i="1"/>
  <c r="CT82" i="2" s="1"/>
  <c r="CT107" i="1"/>
  <c r="CT5" i="2" s="1"/>
  <c r="CT110" i="1"/>
  <c r="CT112" i="1"/>
  <c r="CT111" i="1"/>
  <c r="CU109" i="1" l="1"/>
  <c r="CU104" i="2"/>
  <c r="CU109" i="2"/>
  <c r="CU100" i="2"/>
  <c r="CU105" i="2"/>
  <c r="CU108" i="2"/>
  <c r="CU92" i="2"/>
  <c r="CU90" i="2"/>
  <c r="CU103" i="2"/>
  <c r="CU93" i="2"/>
  <c r="CU91" i="2"/>
  <c r="CU80" i="2"/>
  <c r="CU73" i="2"/>
  <c r="CU69" i="2"/>
  <c r="CU85" i="2"/>
  <c r="CU19" i="2"/>
  <c r="CU24" i="2"/>
  <c r="CU75" i="2" s="1"/>
  <c r="CU21" i="2"/>
  <c r="CU20" i="2"/>
  <c r="CU15" i="2"/>
  <c r="CU14" i="2"/>
  <c r="CU116" i="1"/>
  <c r="CU87" i="2" s="1"/>
  <c r="CU114" i="1"/>
  <c r="CU77" i="2" s="1"/>
  <c r="CU112" i="1"/>
  <c r="CU110" i="1"/>
  <c r="CV2" i="2"/>
  <c r="CV109" i="1" s="1"/>
  <c r="CU115" i="1"/>
  <c r="CU82" i="2" s="1"/>
  <c r="CU68" i="2"/>
  <c r="CU37" i="2"/>
  <c r="CU6" i="2"/>
  <c r="CU107" i="1"/>
  <c r="CU5" i="2" s="1"/>
  <c r="CU111" i="1"/>
  <c r="CU106" i="1"/>
  <c r="CV108" i="1" l="1"/>
  <c r="CV109" i="2"/>
  <c r="CV100" i="2"/>
  <c r="CV103" i="2"/>
  <c r="CV108" i="2"/>
  <c r="CV92" i="2"/>
  <c r="CV104" i="2"/>
  <c r="CV91" i="2"/>
  <c r="CV93" i="2"/>
  <c r="CV85" i="2"/>
  <c r="CV80" i="2"/>
  <c r="CV90" i="2"/>
  <c r="CV73" i="2"/>
  <c r="CV69" i="2"/>
  <c r="CV105" i="2"/>
  <c r="CV68" i="2"/>
  <c r="CV24" i="2"/>
  <c r="CV75" i="2" s="1"/>
  <c r="CV37" i="2"/>
  <c r="CV21" i="2"/>
  <c r="CV20" i="2"/>
  <c r="CV19" i="2"/>
  <c r="CV116" i="1"/>
  <c r="CV87" i="2" s="1"/>
  <c r="CV114" i="1"/>
  <c r="CV77" i="2" s="1"/>
  <c r="CV112" i="1"/>
  <c r="CV110" i="1"/>
  <c r="CV6" i="2"/>
  <c r="CV15" i="2"/>
  <c r="CV14" i="2"/>
  <c r="CW2" i="2"/>
  <c r="CW109" i="1" s="1"/>
  <c r="CV115" i="1"/>
  <c r="CV82" i="2" s="1"/>
  <c r="CV107" i="1"/>
  <c r="CV5" i="2" s="1"/>
  <c r="CV106" i="1"/>
  <c r="CV111" i="1"/>
  <c r="CW108" i="1" l="1"/>
  <c r="CW109" i="2"/>
  <c r="CW105" i="2"/>
  <c r="CW93" i="2"/>
  <c r="CW108" i="2"/>
  <c r="CW100" i="2"/>
  <c r="CW104" i="2"/>
  <c r="CW91" i="2"/>
  <c r="CW92" i="2"/>
  <c r="CW85" i="2"/>
  <c r="CW90" i="2"/>
  <c r="CW73" i="2"/>
  <c r="CW103" i="2"/>
  <c r="CW69" i="2"/>
  <c r="CW80" i="2"/>
  <c r="CW14" i="2"/>
  <c r="CW24" i="2"/>
  <c r="CW75" i="2" s="1"/>
  <c r="CW20" i="2"/>
  <c r="CW68" i="2"/>
  <c r="CW15" i="2"/>
  <c r="CW19" i="2"/>
  <c r="CW116" i="1"/>
  <c r="CW87" i="2" s="1"/>
  <c r="CW114" i="1"/>
  <c r="CW77" i="2" s="1"/>
  <c r="CW112" i="1"/>
  <c r="CW110" i="1"/>
  <c r="CX2" i="2"/>
  <c r="CX108" i="1" s="1"/>
  <c r="CW115" i="1"/>
  <c r="CW82" i="2" s="1"/>
  <c r="CW111" i="1"/>
  <c r="CW21" i="2"/>
  <c r="CW37" i="2"/>
  <c r="CW107" i="1"/>
  <c r="CW5" i="2" s="1"/>
  <c r="CW6" i="2"/>
  <c r="CW106" i="1"/>
  <c r="CX109" i="1" l="1"/>
  <c r="CX109" i="2"/>
  <c r="E13" i="1" s="1"/>
  <c r="CX105" i="2"/>
  <c r="CX93" i="2"/>
  <c r="CX103" i="2"/>
  <c r="CX108" i="2"/>
  <c r="E12" i="1" s="1"/>
  <c r="CX104" i="2"/>
  <c r="CX91" i="2"/>
  <c r="CX92" i="2"/>
  <c r="CX85" i="2"/>
  <c r="CX100" i="2"/>
  <c r="CX80" i="2"/>
  <c r="CX90" i="2"/>
  <c r="CX73" i="2"/>
  <c r="CX69" i="2"/>
  <c r="CX68" i="2"/>
  <c r="CX37" i="2"/>
  <c r="CX21" i="2"/>
  <c r="CX14" i="2"/>
  <c r="CX24" i="2"/>
  <c r="CX75" i="2" s="1"/>
  <c r="CX20" i="2"/>
  <c r="CX19" i="2"/>
  <c r="CX15" i="2"/>
  <c r="CX115" i="1"/>
  <c r="CX82" i="2" s="1"/>
  <c r="CX107" i="1"/>
  <c r="CX5" i="2" s="1"/>
  <c r="CX111" i="1"/>
  <c r="CX114" i="1"/>
  <c r="CX77" i="2" s="1"/>
  <c r="CX112" i="1"/>
  <c r="CX106" i="1"/>
  <c r="CX6" i="2"/>
  <c r="CX116" i="1"/>
  <c r="CX87" i="2" s="1"/>
  <c r="CX110" i="1"/>
  <c r="E15" i="1" l="1"/>
  <c r="E14" i="1"/>
</calcChain>
</file>

<file path=xl/sharedStrings.xml><?xml version="1.0" encoding="utf-8"?>
<sst xmlns="http://schemas.openxmlformats.org/spreadsheetml/2006/main" count="300" uniqueCount="182">
  <si>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</si>
  <si>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</si>
  <si>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</si>
  <si>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</si>
  <si>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</si>
  <si>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</si>
  <si>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</si>
  <si>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</si>
  <si>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</si>
  <si>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Battery power (kW)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</si>
  <si>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</si>
  <si>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</si>
  <si>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</si>
  <si>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</si>
  <si>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</si>
  <si>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</si>
  <si>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</si>
  <si>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</si>
  <si>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NOTE: This NPV can differ slightly (&lt;1%) from the Webtool/API results due to rounding and the tolerance in the optimizer.</t>
  </si>
  <si>
    <t>Year 1 export credits with system ($/year)</t>
  </si>
  <si>
    <t>IRR, %</t>
  </si>
  <si>
    <t>Year 1 net PV energy produced with system (kWh/year)</t>
  </si>
  <si>
    <t>Year 1 net wind energy produced with system (kWh/year)</t>
  </si>
  <si>
    <t>Year 1 net Generator energy produced with system (kWh/year)</t>
  </si>
  <si>
    <t>Year 1 net energy produced with system (kWh/year)</t>
  </si>
  <si>
    <t>SYSTEM COSTS</t>
  </si>
  <si>
    <t>Total Installed Cost ($)</t>
  </si>
  <si>
    <t>PV Installed Cost ($)</t>
  </si>
  <si>
    <t>Wind Installed Cost ($)</t>
  </si>
  <si>
    <t>Generator Installed Cost ($)</t>
  </si>
  <si>
    <t>Battery Installed Cost ($)</t>
  </si>
  <si>
    <t>Operation and Maintenance (O&amp;M)</t>
  </si>
  <si>
    <t>Fixed PV O&amp;M ($/kW-yr)</t>
  </si>
  <si>
    <t>Fixed Wind O&amp;M ($/kW-yr)</t>
  </si>
  <si>
    <t>Fixed Generator O&amp;M ($/kW-yr)</t>
  </si>
  <si>
    <t>Variable Generator O&amp;M ($/kWh)</t>
  </si>
  <si>
    <t>Diesel fuel used cost ($)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</si>
  <si>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</si>
  <si>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</si>
  <si>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</si>
  <si>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</si>
  <si>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</si>
  <si>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</si>
  <si>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</si>
  <si>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</si>
  <si>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</si>
  <si>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</si>
  <si>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</si>
  <si>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</si>
  <si>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</si>
  <si>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</si>
  <si>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</si>
  <si>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</si>
  <si>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</si>
  <si>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</si>
  <si>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</si>
  <si>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</si>
  <si>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</si>
  <si>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</si>
  <si>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</si>
  <si>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</si>
  <si>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</si>
  <si>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</si>
  <si>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</si>
  <si>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</si>
  <si>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</si>
  <si>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</si>
  <si>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</si>
  <si>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</si>
  <si>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</si>
  <si>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</si>
  <si>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</si>
  <si>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</si>
  <si>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</si>
  <si>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</si>
  <si>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</si>
  <si>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</si>
  <si>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</si>
  <si>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</si>
  <si>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WIND TAX CREDITS</t>
  </si>
  <si>
    <t>WIND DIRECT CASH INCENTIVES</t>
  </si>
  <si>
    <t>BATTERY TAX CREDITS</t>
  </si>
  <si>
    <t>BATTERY DIRECT CASH INCENTIVES</t>
  </si>
  <si>
    <t>MACRS SCHEDULES (INFORMATIONAL ONLY)</t>
  </si>
  <si>
    <t>Year</t>
  </si>
  <si>
    <t>5-year</t>
  </si>
  <si>
    <t>PV</t>
  </si>
  <si>
    <t>Battery</t>
  </si>
  <si>
    <t>Wind</t>
  </si>
  <si>
    <t>7-year</t>
  </si>
  <si>
    <t>Federal (years)</t>
  </si>
  <si>
    <t>Federal bonus fraction</t>
  </si>
  <si>
    <t>ANNUAL VALUES</t>
  </si>
  <si>
    <t>Total Annual energy (kWh)</t>
  </si>
  <si>
    <t>PV Annual energy (kWh)</t>
  </si>
  <si>
    <t>Wind Annual energy (kWh)</t>
  </si>
  <si>
    <t>Generator 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</si>
  <si>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</si>
  <si>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</si>
  <si>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</si>
  <si>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</si>
  <si>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</si>
  <si>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Wind Federal depreciation percentages (fraction)</t>
  </si>
  <si>
    <t>Battery Federal depreciation percentages (fraction)</t>
  </si>
  <si>
    <t>Commercial Cash Flow</t>
  </si>
  <si>
    <t>Operating Year</t>
  </si>
  <si>
    <t>Production</t>
  </si>
  <si>
    <t>PV Annual energy (AC kWh)</t>
  </si>
  <si>
    <t>Wind Annual energy (AC kWh)</t>
  </si>
  <si>
    <t>Generator Annual energy (AC kWh)</t>
  </si>
  <si>
    <t>Savings</t>
  </si>
  <si>
    <t>Operating Expenses</t>
  </si>
  <si>
    <t>PV cost in $/kW</t>
  </si>
  <si>
    <t>Wind cost in $/kW</t>
  </si>
  <si>
    <t>Generator cost in $/kW</t>
  </si>
  <si>
    <t>Generator cost in $/kWh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</si>
  <si>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</si>
  <si>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</si>
  <si>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</si>
  <si>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</si>
  <si>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</si>
  <si>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</si>
  <si>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</si>
  <si>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</si>
  <si>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</si>
  <si>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</si>
  <si>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</si>
  <si>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</si>
  <si>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</si>
  <si>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</si>
  <si>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</si>
  <si>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</si>
  <si>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</si>
  <si>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</si>
  <si>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</si>
  <si>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</si>
  <si>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</si>
  <si>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</si>
  <si>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</si>
  <si>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</si>
  <si>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</si>
  <si>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Wind Investment-based incentives (IBI)</t>
  </si>
  <si>
    <t>Wind Capacity-based incentives (CBI)</t>
  </si>
  <si>
    <t>Battery Investment-based incentives (IBI)</t>
  </si>
  <si>
    <t>Battery Capacity-based incentives (CBI)</t>
  </si>
  <si>
    <t>Production-based incentives (PBI)</t>
  </si>
  <si>
    <t>PV Combined PBI</t>
  </si>
  <si>
    <t>Wind 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</si>
  <si>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</si>
  <si>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</si>
  <si>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</si>
  <si>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</si>
  <si>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</si>
  <si>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</si>
  <si>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</si>
  <si>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</si>
  <si>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</si>
  <si>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</si>
  <si>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Wind Depreciation, Commercial only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</si>
  <si>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</si>
  <si>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</si>
  <si>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</si>
  <si>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</si>
  <si>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</si>
  <si>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</si>
  <si>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Wind</t>
  </si>
  <si>
    <t>Federal ITC amount: Wind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</si>
  <si>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</si>
  <si>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</si>
  <si>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</si>
  <si>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</si>
  <si>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</si>
  <si>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</si>
  <si>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</si>
  <si>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</si>
  <si>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</si>
  <si>
    <t>DEPRECIATION</t>
  </si>
  <si>
    <t>Generator diesel fuel cost ($)</t>
  </si>
  <si>
    <t>Outage expected to occur</t>
  </si>
  <si>
    <t>Wind Nameplate capacity (kW), purchased</t>
  </si>
  <si>
    <t>Generator Nameplate capacity (kW), purchased</t>
  </si>
  <si>
    <t>Generator Nameplate capacity (kW), existing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</si>
</sst>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3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  <fill>
      <patternFill patternType="solid">
        <fgColor rgb="FF95B3D7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3">
    <xf numFmtId="0" fontId="0" fillId="0" borderId="0" xfId="0"/>
    <xf numFmtId="0" fontId="3" fillId="2" borderId="1" xfId="2" applyFont="1" applyFill="1" applyBorder="1" applyAlignment="1">
      <alignment horizontal="left"/>
    </xf>
    <xf numFmtId="0" fontId="2" fillId="2" borderId="0" xfId="0" applyFont="1" applyFill="1"/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3" fontId="2" fillId="0" borderId="4" xfId="2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>
      <alignment horizontal="center"/>
    </xf>
    <xf numFmtId="2" fontId="2" fillId="0" borderId="0" xfId="0" applyNumberFormat="1" applyFont="1"/>
    <xf numFmtId="0" fontId="2" fillId="0" borderId="0" xfId="2" applyFont="1" applyAlignment="1">
      <alignment horizontal="left"/>
    </xf>
    <xf numFmtId="10" fontId="2" fillId="0" borderId="0" xfId="2" applyNumberFormat="1" applyFont="1" applyAlignment="1">
      <alignment horizontal="center"/>
    </xf>
    <xf numFmtId="164" fontId="2" fillId="0" borderId="0" xfId="0" applyNumberFormat="1" applyFont="1"/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/>
    </xf>
    <xf numFmtId="165" fontId="2" fillId="0" borderId="0" xfId="0" applyNumberFormat="1" applyFont="1"/>
    <xf numFmtId="9" fontId="2" fillId="0" borderId="0" xfId="0" applyNumberFormat="1" applyFont="1" applyAlignment="1">
      <alignment horizontal="center"/>
    </xf>
    <xf numFmtId="0" fontId="2" fillId="0" borderId="5" xfId="0" applyFont="1" applyBorder="1"/>
    <xf numFmtId="3" fontId="2" fillId="0" borderId="5" xfId="2" applyNumberFormat="1" applyFont="1" applyBorder="1" applyAlignment="1">
      <alignment horizontal="right"/>
    </xf>
    <xf numFmtId="166" fontId="2" fillId="0" borderId="0" xfId="2" applyNumberFormat="1" applyFont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Font="1" applyBorder="1" applyAlignment="1">
      <alignment horizontal="left" indent="1"/>
    </xf>
    <xf numFmtId="0" fontId="4" fillId="3" borderId="2" xfId="2" applyFont="1" applyFill="1" applyBorder="1" applyAlignment="1">
      <alignment horizontal="left"/>
    </xf>
    <xf numFmtId="0" fontId="4" fillId="3" borderId="3" xfId="2" applyFont="1" applyFill="1" applyBorder="1" applyAlignment="1">
      <alignment horizontal="center"/>
    </xf>
    <xf numFmtId="2" fontId="2" fillId="0" borderId="3" xfId="2" applyNumberFormat="1" applyFont="1" applyBorder="1" applyAlignment="1">
      <alignment horizontal="right"/>
    </xf>
    <xf numFmtId="0" fontId="2" fillId="0" borderId="4" xfId="2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2" fontId="2" fillId="0" borderId="4" xfId="1" applyNumberFormat="1" applyFont="1" applyBorder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2" applyFont="1"/>
    <xf numFmtId="0" fontId="4" fillId="3" borderId="6" xfId="2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166" fontId="2" fillId="0" borderId="4" xfId="2" applyNumberFormat="1" applyFont="1" applyBorder="1" applyAlignment="1">
      <alignment horizontal="left" indent="3"/>
    </xf>
    <xf numFmtId="11" fontId="2" fillId="0" borderId="4" xfId="2" applyNumberFormat="1" applyFont="1" applyBorder="1" applyAlignment="1">
      <alignment horizontal="right"/>
    </xf>
    <xf numFmtId="0" fontId="4" fillId="0" borderId="0" xfId="2" applyFont="1"/>
    <xf numFmtId="166" fontId="2" fillId="0" borderId="0" xfId="2" applyNumberFormat="1" applyFont="1" applyAlignment="1">
      <alignment horizontal="left"/>
    </xf>
    <xf numFmtId="0" fontId="4" fillId="3" borderId="10" xfId="2" applyFont="1" applyFill="1" applyBorder="1" applyAlignment="1">
      <alignment horizontal="left"/>
    </xf>
    <xf numFmtId="0" fontId="4" fillId="3" borderId="11" xfId="2" applyFont="1" applyFill="1" applyBorder="1" applyAlignment="1">
      <alignment horizontal="center"/>
    </xf>
    <xf numFmtId="0" fontId="4" fillId="0" borderId="2" xfId="2" applyFont="1" applyBorder="1" applyAlignment="1">
      <alignment horizontal="left"/>
    </xf>
    <xf numFmtId="0" fontId="2" fillId="0" borderId="6" xfId="2" applyFont="1" applyBorder="1" applyAlignment="1">
      <alignment horizontal="center"/>
    </xf>
    <xf numFmtId="166" fontId="2" fillId="0" borderId="2" xfId="2" applyNumberFormat="1" applyFont="1" applyBorder="1" applyAlignment="1">
      <alignment horizontal="center"/>
    </xf>
    <xf numFmtId="166" fontId="2" fillId="0" borderId="2" xfId="2" applyNumberFormat="1" applyFont="1" applyBorder="1" applyAlignment="1">
      <alignment horizontal="left"/>
    </xf>
    <xf numFmtId="166" fontId="2" fillId="0" borderId="13" xfId="2" applyNumberFormat="1" applyFont="1" applyBorder="1" applyAlignment="1">
      <alignment horizontal="center"/>
    </xf>
    <xf numFmtId="166" fontId="2" fillId="0" borderId="12" xfId="2" applyNumberFormat="1" applyFont="1" applyBorder="1" applyAlignment="1">
      <alignment horizontal="center"/>
    </xf>
    <xf numFmtId="0" fontId="2" fillId="0" borderId="4" xfId="2" applyFont="1" applyBorder="1" applyAlignment="1">
      <alignment horizontal="left" indent="3"/>
    </xf>
    <xf numFmtId="0" fontId="2" fillId="0" borderId="4" xfId="2" applyFont="1" applyBorder="1" applyAlignment="1">
      <alignment horizontal="center"/>
    </xf>
    <xf numFmtId="0" fontId="4" fillId="0" borderId="7" xfId="2" applyFont="1" applyBorder="1" applyAlignment="1">
      <alignment horizontal="left"/>
    </xf>
    <xf numFmtId="0" fontId="2" fillId="0" borderId="12" xfId="2" applyFont="1" applyBorder="1" applyAlignment="1">
      <alignment horizontal="center"/>
    </xf>
    <xf numFmtId="166" fontId="2" fillId="0" borderId="14" xfId="2" applyNumberFormat="1" applyFont="1" applyBorder="1" applyAlignment="1">
      <alignment horizontal="left"/>
    </xf>
    <xf numFmtId="11" fontId="2" fillId="0" borderId="5" xfId="2" applyNumberFormat="1" applyFont="1" applyBorder="1" applyAlignment="1">
      <alignment horizontal="right"/>
    </xf>
    <xf numFmtId="0" fontId="2" fillId="0" borderId="5" xfId="2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Border="1" applyAlignment="1">
      <alignment horizontal="center"/>
    </xf>
    <xf numFmtId="0" fontId="2" fillId="0" borderId="0" xfId="2" applyFont="1" applyAlignment="1">
      <alignment horizontal="left" indent="3"/>
    </xf>
    <xf numFmtId="0" fontId="2" fillId="0" borderId="0" xfId="2" applyFont="1" applyAlignment="1">
      <alignment horizontal="right"/>
    </xf>
    <xf numFmtId="11" fontId="2" fillId="0" borderId="0" xfId="2" applyNumberFormat="1" applyFont="1" applyAlignment="1">
      <alignment horizontal="right"/>
    </xf>
    <xf numFmtId="0" fontId="2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11" fontId="2" fillId="0" borderId="0" xfId="2" applyNumberFormat="1" applyFont="1" applyAlignment="1">
      <alignment horizontal="center"/>
    </xf>
    <xf numFmtId="0" fontId="4" fillId="3" borderId="15" xfId="2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Border="1" applyAlignment="1">
      <alignment horizontal="center"/>
    </xf>
    <xf numFmtId="0" fontId="2" fillId="0" borderId="2" xfId="2" applyFont="1" applyBorder="1" applyAlignment="1">
      <alignment horizontal="left"/>
    </xf>
    <xf numFmtId="0" fontId="2" fillId="5" borderId="4" xfId="2" applyFont="1" applyFill="1" applyBorder="1" applyAlignment="1">
      <alignment horizontal="center"/>
    </xf>
    <xf numFmtId="0" fontId="2" fillId="0" borderId="4" xfId="2" applyFont="1" applyBorder="1" applyAlignment="1">
      <alignment horizontal="left" wrapText="1"/>
    </xf>
    <xf numFmtId="0" fontId="4" fillId="6" borderId="2" xfId="2" applyFont="1" applyFill="1" applyBorder="1" applyAlignment="1">
      <alignment horizontal="left"/>
    </xf>
    <xf numFmtId="0" fontId="4" fillId="6" borderId="6" xfId="2" applyFont="1" applyFill="1" applyBorder="1" applyAlignment="1">
      <alignment horizontal="center"/>
    </xf>
    <xf numFmtId="0" fontId="2" fillId="0" borderId="4" xfId="2" applyFont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Font="1" applyFill="1" applyBorder="1" applyAlignment="1">
      <alignment horizontal="left"/>
    </xf>
    <xf numFmtId="167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Font="1" applyFill="1" applyBorder="1" applyAlignment="1">
      <alignment horizontal="right"/>
    </xf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0" fontId="7" fillId="6" borderId="2" xfId="2" applyFont="1" applyFill="1" applyBorder="1" applyAlignment="1">
      <alignment horizontal="right"/>
    </xf>
    <xf numFmtId="0" fontId="7" fillId="6" borderId="3" xfId="2" applyFont="1" applyFill="1" applyBorder="1" applyAlignment="1">
      <alignment horizontal="right"/>
    </xf>
    <xf numFmtId="3" fontId="0" fillId="0" borderId="0" xfId="2" applyNumberFormat="1" applyFont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Font="1" applyAlignment="1">
      <alignment horizontal="left"/>
    </xf>
    <xf numFmtId="0" fontId="8" fillId="0" borderId="0" xfId="0" applyFont="1"/>
    <xf numFmtId="4" fontId="0" fillId="0" borderId="0" xfId="0" applyNumberFormat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6" xfId="2" applyFont="1" applyBorder="1" applyAlignment="1">
      <alignment horizontal="left"/>
    </xf>
    <xf numFmtId="4" fontId="0" fillId="6" borderId="6" xfId="2" applyNumberFormat="1" applyFont="1" applyFill="1" applyBorder="1" applyAlignment="1">
      <alignment horizontal="right"/>
    </xf>
    <xf numFmtId="0" fontId="7" fillId="6" borderId="2" xfId="2" applyFont="1" applyFill="1" applyBorder="1"/>
    <xf numFmtId="0" fontId="0" fillId="6" borderId="6" xfId="2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1"/>
    </xf>
    <xf numFmtId="0" fontId="0" fillId="0" borderId="6" xfId="2" applyFont="1" applyBorder="1"/>
    <xf numFmtId="0" fontId="0" fillId="0" borderId="6" xfId="2" applyFont="1" applyBorder="1" applyAlignment="1">
      <alignment horizontal="right"/>
    </xf>
    <xf numFmtId="3" fontId="0" fillId="0" borderId="6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2" applyFont="1"/>
    <xf numFmtId="0" fontId="0" fillId="0" borderId="0" xfId="2" applyFont="1" applyAlignment="1">
      <alignment horizontal="right"/>
    </xf>
    <xf numFmtId="4" fontId="0" fillId="0" borderId="0" xfId="2" applyNumberFormat="1" applyFont="1" applyAlignment="1">
      <alignment horizontal="right"/>
    </xf>
    <xf numFmtId="0" fontId="9" fillId="6" borderId="6" xfId="2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Font="1" applyAlignment="1">
      <alignment horizontal="left" indent="3"/>
    </xf>
    <xf numFmtId="0" fontId="0" fillId="0" borderId="0" xfId="0"/>
    <xf numFmtId="3" fontId="0" fillId="0" borderId="8" xfId="2" applyNumberFormat="1" applyFont="1" applyBorder="1" applyAlignment="1">
      <alignment horizontal="right"/>
    </xf>
    <xf numFmtId="0" fontId="7" fillId="0" borderId="0" xfId="2" applyFont="1"/>
    <xf numFmtId="3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Font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0" fontId="11" fillId="0" borderId="0" xfId="0" applyFont="1"/>
    <xf numFmtId="0" fontId="2" fillId="5" borderId="0" xfId="0" applyFont="1" applyFill="1"/>
    <xf numFmtId="0" fontId="2" fillId="5" borderId="8" xfId="0" applyFont="1" applyFill="1" applyBorder="1"/>
    <xf numFmtId="3" fontId="12" fillId="0" borderId="4" xfId="2" applyNumberFormat="1" applyFont="1" applyBorder="1" applyAlignment="1">
      <alignment horizontal="center"/>
    </xf>
    <xf numFmtId="4" fontId="2" fillId="9" borderId="4" xfId="2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10" fillId="0" borderId="0" xfId="2" applyFont="1" applyAlignment="1">
      <alignment horizontal="left" indent="1"/>
    </xf>
  </cellXfs>
  <cellStyles count="3">
    <cellStyle name="Explanatory Text" xfId="2" builtinId="53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17"/>
  <sheetViews>
    <sheetView windowProtection="1" tabSelected="1" zoomScale="160" zoomScaleNormal="160" workbookViewId="0">
      <selection activeCell="A9" sqref="A9"/>
    </sheetView>
  </sheetViews>
  <sheetFormatPr defaultRowHeight="13.8" x14ac:dyDescent="0.3"/>
  <cols>
    <col min="1" max="1" width="50.21875" style="68" customWidth="1"/>
    <col min="2" max="2" width="14" style="4" customWidth="1"/>
    <col min="3" max="3" width="16.109375" style="68" customWidth="1"/>
    <col min="4" max="4" width="19.5546875" style="4" customWidth="1"/>
    <col min="5" max="5" width="19.44140625" style="4" customWidth="1"/>
    <col min="6" max="6" width="19.44140625" style="68" customWidth="1"/>
    <col min="7" max="7" width="19.44140625" style="4" customWidth="1"/>
    <col min="8" max="8" width="18.5546875" style="4" customWidth="1"/>
    <col min="9" max="9" width="15.33203125" style="4" customWidth="1"/>
    <col min="10" max="10" width="21.5546875" style="4" customWidth="1"/>
    <col min="11" max="33" width="15.88671875" style="4" customWidth="1"/>
    <col min="34" max="1025" width="15.5546875" style="4" customWidth="1"/>
  </cols>
  <sheetData>
    <row r="1" spans="1:100" ht="20.399999999999999" customHeight="1" x14ac:dyDescent="0.45">
      <c r="A1" s="1" t="s">
        <v>0</v>
      </c>
      <c r="B1" s="2"/>
    </row>
    <row r="2" spans="1:100" x14ac:dyDescent="0.3">
      <c r="A2" s="27" t="s">
        <v>1</v>
      </c>
      <c r="B2" s="28"/>
      <c r="C2" s="4"/>
      <c r="F2" s="4"/>
    </row>
    <row r="3" spans="1:100" s="4" customFormat="1" x14ac:dyDescent="0.3">
      <c r="A3" s="62" t="s">
        <v>2</v>
      </c>
      <c r="B3" s="30">
        <v>34.968200000000003</v>
      </c>
      <c r="D3" s="3" t="s">
        <v>3</v>
      </c>
    </row>
    <row r="4" spans="1:100" x14ac:dyDescent="0.3">
      <c r="A4" s="62" t="s">
        <v>4</v>
      </c>
      <c r="B4" s="30">
        <v>5</v>
      </c>
      <c r="C4" s="4"/>
      <c r="D4" s="5" t="s">
        <v>5</v>
      </c>
      <c r="F4" s="4"/>
      <c r="CV4" s="4" t="s">
        <v>6</v>
      </c>
    </row>
    <row r="5" spans="1:100" x14ac:dyDescent="0.3">
      <c r="A5" s="62" t="s">
        <v>7</v>
      </c>
      <c r="B5" s="30">
        <v>0.5</v>
      </c>
      <c r="C5" s="4"/>
      <c r="D5" s="6" t="s">
        <v>8</v>
      </c>
      <c r="F5" s="4"/>
      <c r="CV5" s="4">
        <v>5</v>
      </c>
    </row>
    <row r="6" spans="1:100" x14ac:dyDescent="0.3">
      <c r="A6" s="62" t="s">
        <v>179</v>
      </c>
      <c r="B6" s="30">
        <v>0</v>
      </c>
      <c r="C6" s="4"/>
      <c r="D6" s="127"/>
      <c r="F6" s="4"/>
    </row>
    <row r="7" spans="1:100" x14ac:dyDescent="0.3">
      <c r="A7" s="62" t="s">
        <v>180</v>
      </c>
      <c r="B7" s="30">
        <v>2</v>
      </c>
      <c r="C7" s="4"/>
      <c r="D7" s="127"/>
      <c r="F7" s="4"/>
    </row>
    <row r="8" spans="1:100" x14ac:dyDescent="0.3">
      <c r="A8" s="62" t="s">
        <v>181</v>
      </c>
      <c r="B8" s="30">
        <v>7</v>
      </c>
      <c r="C8" s="4"/>
      <c r="D8" s="127"/>
      <c r="F8" s="4"/>
    </row>
    <row r="9" spans="1:100" x14ac:dyDescent="0.3">
      <c r="A9" s="62" t="s">
        <v>9</v>
      </c>
      <c r="B9" s="62">
        <v>0</v>
      </c>
      <c r="C9" s="4"/>
      <c r="D9" s="127"/>
      <c r="F9" s="4"/>
    </row>
    <row r="10" spans="1:100" x14ac:dyDescent="0.3">
      <c r="A10" s="62" t="s">
        <v>10</v>
      </c>
      <c r="B10" s="7">
        <v>0</v>
      </c>
      <c r="C10" s="4"/>
      <c r="D10" s="128"/>
      <c r="F10" s="4"/>
      <c r="CV10" s="4">
        <v>7</v>
      </c>
    </row>
    <row r="11" spans="1:100" x14ac:dyDescent="0.3">
      <c r="B11" s="127"/>
      <c r="D11" s="27" t="s">
        <v>11</v>
      </c>
      <c r="E11" s="28"/>
    </row>
    <row r="12" spans="1:100" x14ac:dyDescent="0.3">
      <c r="A12" s="27" t="s">
        <v>12</v>
      </c>
      <c r="B12" s="28"/>
      <c r="C12" s="4"/>
      <c r="D12" s="8" t="s">
        <v>13</v>
      </c>
      <c r="E12" s="9">
        <f>-('Cash Flow'!B108+NPV(NominalDiscountRate/100, 'Cash Flow'!C108:CX108))</f>
        <v>104016.38927066597</v>
      </c>
      <c r="F12" s="4"/>
    </row>
    <row r="13" spans="1:100" x14ac:dyDescent="0.3">
      <c r="A13" s="62" t="s">
        <v>14</v>
      </c>
      <c r="B13" s="10">
        <v>11649.73</v>
      </c>
      <c r="C13" s="4"/>
      <c r="D13" s="8" t="s">
        <v>15</v>
      </c>
      <c r="E13" s="9">
        <f>-('Cash Flow'!B109+NPV(NominalDiscountRate/100, 'Cash Flow'!C109:CX109))</f>
        <v>86101.117075693357</v>
      </c>
      <c r="F13" s="4"/>
    </row>
    <row r="14" spans="1:100" x14ac:dyDescent="0.3">
      <c r="A14" s="62" t="s">
        <v>16</v>
      </c>
      <c r="B14" s="10">
        <v>8423.2900000000009</v>
      </c>
      <c r="C14" s="4"/>
      <c r="D14" s="8" t="s">
        <v>17</v>
      </c>
      <c r="E14" s="11">
        <f>'Cash Flow'!B105+NPV(NominalDiscountRate/100,'Cash Flow'!C105:CX105)</f>
        <v>17915.272194972611</v>
      </c>
      <c r="F14" s="4" t="s">
        <v>18</v>
      </c>
    </row>
    <row r="15" spans="1:100" x14ac:dyDescent="0.3">
      <c r="A15" s="62" t="s">
        <v>19</v>
      </c>
      <c r="B15" s="10">
        <v>0</v>
      </c>
      <c r="C15" s="4"/>
      <c r="D15" s="62" t="s">
        <v>20</v>
      </c>
      <c r="E15" s="12">
        <f>IF(loan_term=0,IRR('Cash Flow'!B105:CX105, NominalDiscountRate/100),IRR('Cash Flow'!C105:CX105, NominalDiscountRate/100))</f>
        <v>0.31821503330846257</v>
      </c>
      <c r="F15" s="4"/>
    </row>
    <row r="16" spans="1:100" x14ac:dyDescent="0.3">
      <c r="A16" s="62" t="s">
        <v>21</v>
      </c>
      <c r="B16" s="7">
        <v>67893</v>
      </c>
      <c r="C16" s="4"/>
      <c r="F16" s="4"/>
    </row>
    <row r="17" spans="1:8" x14ac:dyDescent="0.3">
      <c r="A17" s="62" t="s">
        <v>22</v>
      </c>
      <c r="B17" s="7">
        <v>0</v>
      </c>
      <c r="C17" s="4"/>
      <c r="F17" s="4"/>
    </row>
    <row r="18" spans="1:8" x14ac:dyDescent="0.3">
      <c r="A18" s="62" t="s">
        <v>23</v>
      </c>
      <c r="B18" s="7">
        <v>0</v>
      </c>
      <c r="C18" s="4"/>
      <c r="F18" s="4"/>
    </row>
    <row r="19" spans="1:8" x14ac:dyDescent="0.3">
      <c r="A19" s="62" t="s">
        <v>24</v>
      </c>
      <c r="B19" s="7">
        <v>67893</v>
      </c>
      <c r="C19" s="4"/>
      <c r="F19" s="4"/>
    </row>
    <row r="20" spans="1:8" x14ac:dyDescent="0.3">
      <c r="A20" s="14"/>
      <c r="B20" s="15"/>
      <c r="C20" s="4"/>
      <c r="F20" s="13"/>
    </row>
    <row r="21" spans="1:8" x14ac:dyDescent="0.3">
      <c r="A21" s="27" t="s">
        <v>25</v>
      </c>
      <c r="B21" s="28"/>
      <c r="C21" s="4"/>
      <c r="F21" s="16"/>
      <c r="G21" s="17"/>
      <c r="H21" s="18"/>
    </row>
    <row r="22" spans="1:8" x14ac:dyDescent="0.3">
      <c r="A22" s="21" t="s">
        <v>26</v>
      </c>
      <c r="B22" s="22">
        <v>9742.0500000000011</v>
      </c>
      <c r="C22" s="4"/>
      <c r="F22" s="16"/>
      <c r="G22" s="19"/>
      <c r="H22" s="20"/>
    </row>
    <row r="23" spans="1:8" x14ac:dyDescent="0.3">
      <c r="A23" s="62" t="s">
        <v>27</v>
      </c>
      <c r="B23" s="7">
        <v>8742.0500000000011</v>
      </c>
      <c r="C23" s="4"/>
      <c r="F23" s="16"/>
      <c r="G23" s="19"/>
      <c r="H23" s="20"/>
    </row>
    <row r="24" spans="1:8" x14ac:dyDescent="0.3">
      <c r="A24" s="62" t="s">
        <v>28</v>
      </c>
      <c r="B24" s="7">
        <v>0</v>
      </c>
      <c r="C24" s="4"/>
      <c r="F24" s="16"/>
      <c r="G24" s="19"/>
      <c r="H24" s="20"/>
    </row>
    <row r="25" spans="1:8" x14ac:dyDescent="0.3">
      <c r="A25" s="62" t="s">
        <v>29</v>
      </c>
      <c r="B25" s="7">
        <v>1000</v>
      </c>
      <c r="C25" s="4"/>
      <c r="F25" s="16"/>
      <c r="G25" s="19"/>
      <c r="H25" s="20"/>
    </row>
    <row r="26" spans="1:8" x14ac:dyDescent="0.3">
      <c r="A26" s="62" t="s">
        <v>30</v>
      </c>
      <c r="B26" s="7">
        <v>0</v>
      </c>
      <c r="C26" s="4"/>
      <c r="F26" s="16"/>
      <c r="G26" s="19"/>
      <c r="H26" s="20"/>
    </row>
    <row r="27" spans="1:8" x14ac:dyDescent="0.3">
      <c r="A27" s="24" t="s">
        <v>31</v>
      </c>
      <c r="B27" s="25"/>
      <c r="C27" s="4"/>
      <c r="F27" s="4"/>
      <c r="H27" s="23"/>
    </row>
    <row r="28" spans="1:8" x14ac:dyDescent="0.3">
      <c r="A28" s="26" t="s">
        <v>32</v>
      </c>
      <c r="B28" s="7">
        <v>16</v>
      </c>
      <c r="C28" s="4"/>
      <c r="F28" s="4"/>
      <c r="H28" s="23"/>
    </row>
    <row r="29" spans="1:8" x14ac:dyDescent="0.3">
      <c r="A29" s="26" t="s">
        <v>33</v>
      </c>
      <c r="B29" s="7">
        <v>35</v>
      </c>
      <c r="C29" s="4"/>
      <c r="H29" s="23"/>
    </row>
    <row r="30" spans="1:8" x14ac:dyDescent="0.3">
      <c r="A30" s="26" t="s">
        <v>34</v>
      </c>
      <c r="B30" s="7">
        <v>10</v>
      </c>
      <c r="C30" s="4"/>
      <c r="H30" s="23"/>
    </row>
    <row r="31" spans="1:8" x14ac:dyDescent="0.3">
      <c r="A31" s="26" t="s">
        <v>35</v>
      </c>
      <c r="B31" s="7">
        <v>0.01</v>
      </c>
      <c r="C31" s="4"/>
      <c r="F31" s="4"/>
    </row>
    <row r="32" spans="1:8" x14ac:dyDescent="0.3">
      <c r="A32" s="26" t="s">
        <v>36</v>
      </c>
      <c r="B32" s="7">
        <v>0</v>
      </c>
      <c r="C32" s="4"/>
      <c r="F32" s="4"/>
    </row>
    <row r="33" spans="1:6" x14ac:dyDescent="0.3">
      <c r="A33" s="26" t="s">
        <v>37</v>
      </c>
      <c r="B33" s="7">
        <v>460</v>
      </c>
      <c r="C33" s="4"/>
      <c r="F33" s="4"/>
    </row>
    <row r="34" spans="1:6" x14ac:dyDescent="0.3">
      <c r="A34" s="26" t="s">
        <v>38</v>
      </c>
      <c r="B34" s="7">
        <v>10</v>
      </c>
      <c r="C34" s="4"/>
      <c r="F34" s="4"/>
    </row>
    <row r="35" spans="1:6" x14ac:dyDescent="0.3">
      <c r="A35" s="26" t="s">
        <v>39</v>
      </c>
      <c r="B35" s="7">
        <v>230</v>
      </c>
      <c r="C35" s="4"/>
      <c r="F35" s="4"/>
    </row>
    <row r="36" spans="1:6" x14ac:dyDescent="0.3">
      <c r="A36" s="26" t="s">
        <v>40</v>
      </c>
      <c r="B36" s="7">
        <v>10</v>
      </c>
      <c r="C36" s="4"/>
      <c r="F36" s="4"/>
    </row>
    <row r="37" spans="1:6" s="4" customFormat="1" x14ac:dyDescent="0.3">
      <c r="A37" s="65"/>
      <c r="B37" s="65"/>
    </row>
    <row r="38" spans="1:6" s="4" customFormat="1" x14ac:dyDescent="0.3">
      <c r="A38" s="27" t="s">
        <v>41</v>
      </c>
      <c r="B38" s="28"/>
    </row>
    <row r="39" spans="1:6" s="4" customFormat="1" x14ac:dyDescent="0.3">
      <c r="A39" s="79" t="s">
        <v>42</v>
      </c>
      <c r="B39" s="31">
        <v>0</v>
      </c>
    </row>
    <row r="40" spans="1:6" s="4" customFormat="1" x14ac:dyDescent="0.3">
      <c r="A40" s="79" t="s">
        <v>43</v>
      </c>
      <c r="B40" s="30">
        <v>0</v>
      </c>
    </row>
    <row r="41" spans="1:6" s="4" customFormat="1" x14ac:dyDescent="0.3">
      <c r="A41" s="79" t="s">
        <v>44</v>
      </c>
      <c r="B41" s="31">
        <v>0</v>
      </c>
    </row>
    <row r="42" spans="1:6" s="4" customFormat="1" x14ac:dyDescent="0.3">
      <c r="A42" s="74"/>
      <c r="B42" s="29"/>
    </row>
    <row r="43" spans="1:6" s="4" customFormat="1" x14ac:dyDescent="0.3">
      <c r="A43" s="27" t="s">
        <v>45</v>
      </c>
      <c r="B43" s="28"/>
    </row>
    <row r="44" spans="1:6" s="4" customFormat="1" x14ac:dyDescent="0.3">
      <c r="A44" s="79" t="s">
        <v>46</v>
      </c>
      <c r="B44" s="30">
        <v>20</v>
      </c>
    </row>
    <row r="45" spans="1:6" s="4" customFormat="1" x14ac:dyDescent="0.3">
      <c r="A45" s="79" t="s">
        <v>47</v>
      </c>
      <c r="B45" s="31">
        <v>2.5</v>
      </c>
    </row>
    <row r="46" spans="1:6" s="4" customFormat="1" x14ac:dyDescent="0.3">
      <c r="A46" s="79" t="s">
        <v>48</v>
      </c>
      <c r="B46" s="32">
        <v>2.6</v>
      </c>
    </row>
    <row r="47" spans="1:6" s="4" customFormat="1" x14ac:dyDescent="0.3">
      <c r="A47" s="79" t="s">
        <v>49</v>
      </c>
      <c r="B47" s="32">
        <v>8.1</v>
      </c>
    </row>
    <row r="48" spans="1:6" s="4" customFormat="1" x14ac:dyDescent="0.3">
      <c r="A48" s="33"/>
    </row>
    <row r="49" spans="1:13 1026:16384" s="4" customFormat="1" x14ac:dyDescent="0.3">
      <c r="A49" s="27" t="s">
        <v>50</v>
      </c>
      <c r="B49" s="28"/>
    </row>
    <row r="50" spans="1:13 1026:16384" x14ac:dyDescent="0.3">
      <c r="A50" s="79" t="s">
        <v>51</v>
      </c>
      <c r="B50" s="31">
        <v>26</v>
      </c>
      <c r="C50" s="4"/>
      <c r="F50" s="4"/>
      <c r="AML50" s="4"/>
      <c r="AMM50" s="4"/>
      <c r="AMN50" s="4"/>
      <c r="AMO50" s="4"/>
      <c r="AMP50" s="4"/>
      <c r="AMQ50" s="4"/>
      <c r="AMR50" s="4"/>
      <c r="AMS50" s="4"/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4"/>
      <c r="ANK50" s="4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  <c r="ASV50" s="4"/>
      <c r="ASW50" s="4"/>
      <c r="ASX50" s="4"/>
      <c r="ASY50" s="4"/>
      <c r="ASZ50" s="4"/>
      <c r="ATA50" s="4"/>
      <c r="ATB50" s="4"/>
      <c r="ATC50" s="4"/>
      <c r="ATD50" s="4"/>
      <c r="ATE50" s="4"/>
      <c r="ATF50" s="4"/>
      <c r="ATG50" s="4"/>
      <c r="ATH50" s="4"/>
      <c r="ATI50" s="4"/>
      <c r="ATJ50" s="4"/>
      <c r="ATK50" s="4"/>
      <c r="ATL50" s="4"/>
      <c r="ATM50" s="4"/>
      <c r="ATN50" s="4"/>
      <c r="ATO50" s="4"/>
      <c r="ATP50" s="4"/>
      <c r="ATQ50" s="4"/>
      <c r="ATR50" s="4"/>
      <c r="ATS50" s="4"/>
      <c r="ATT50" s="4"/>
      <c r="ATU50" s="4"/>
      <c r="ATV50" s="4"/>
      <c r="ATW50" s="4"/>
      <c r="ATX50" s="4"/>
      <c r="ATY50" s="4"/>
      <c r="ATZ50" s="4"/>
      <c r="AUA50" s="4"/>
      <c r="AUB50" s="4"/>
      <c r="AUC50" s="4"/>
      <c r="AUD50" s="4"/>
      <c r="AUE50" s="4"/>
      <c r="AUF50" s="4"/>
      <c r="AUG50" s="4"/>
      <c r="AUH50" s="4"/>
      <c r="AUI50" s="4"/>
      <c r="AUJ50" s="4"/>
      <c r="AUK50" s="4"/>
      <c r="AUL50" s="4"/>
      <c r="AUM50" s="4"/>
      <c r="AUN50" s="4"/>
      <c r="AUO50" s="4"/>
      <c r="AUP50" s="4"/>
      <c r="AUQ50" s="4"/>
      <c r="AUR50" s="4"/>
      <c r="AUS50" s="4"/>
      <c r="AUT50" s="4"/>
      <c r="AUU50" s="4"/>
      <c r="AUV50" s="4"/>
      <c r="AUW50" s="4"/>
      <c r="AUX50" s="4"/>
      <c r="AUY50" s="4"/>
      <c r="AUZ50" s="4"/>
      <c r="AVA50" s="4"/>
      <c r="AVB50" s="4"/>
      <c r="AVC50" s="4"/>
      <c r="AVD50" s="4"/>
      <c r="AVE50" s="4"/>
      <c r="AVF50" s="4"/>
      <c r="AVG50" s="4"/>
      <c r="AVH50" s="4"/>
      <c r="AVI50" s="4"/>
      <c r="AVJ50" s="4"/>
      <c r="AVK50" s="4"/>
      <c r="AVL50" s="4"/>
      <c r="AVM50" s="4"/>
      <c r="AVN50" s="4"/>
      <c r="AVO50" s="4"/>
      <c r="AVP50" s="4"/>
      <c r="AVQ50" s="4"/>
      <c r="AVR50" s="4"/>
      <c r="AVS50" s="4"/>
      <c r="AVT50" s="4"/>
      <c r="AVU50" s="4"/>
      <c r="AVV50" s="4"/>
      <c r="AVW50" s="4"/>
      <c r="AVX50" s="4"/>
      <c r="AVY50" s="4"/>
      <c r="AVZ50" s="4"/>
      <c r="AWA50" s="4"/>
      <c r="AWB50" s="4"/>
      <c r="AWC50" s="4"/>
      <c r="AWD50" s="4"/>
      <c r="AWE50" s="4"/>
      <c r="AWF50" s="4"/>
      <c r="AWG50" s="4"/>
      <c r="AWH50" s="4"/>
      <c r="AWI50" s="4"/>
      <c r="AWJ50" s="4"/>
      <c r="AWK50" s="4"/>
      <c r="AWL50" s="4"/>
      <c r="AWM50" s="4"/>
      <c r="AWN50" s="4"/>
      <c r="AWO50" s="4"/>
      <c r="AWP50" s="4"/>
      <c r="AWQ50" s="4"/>
      <c r="AWR50" s="4"/>
      <c r="AWS50" s="4"/>
      <c r="AWT50" s="4"/>
      <c r="AWU50" s="4"/>
      <c r="AWV50" s="4"/>
      <c r="AWW50" s="4"/>
      <c r="AWX50" s="4"/>
      <c r="AWY50" s="4"/>
      <c r="AWZ50" s="4"/>
      <c r="AXA50" s="4"/>
      <c r="AXB50" s="4"/>
      <c r="AXC50" s="4"/>
      <c r="AXD50" s="4"/>
      <c r="AXE50" s="4"/>
      <c r="AXF50" s="4"/>
      <c r="AXG50" s="4"/>
      <c r="AXH50" s="4"/>
      <c r="AXI50" s="4"/>
      <c r="AXJ50" s="4"/>
      <c r="AXK50" s="4"/>
      <c r="AXL50" s="4"/>
      <c r="AXM50" s="4"/>
      <c r="AXN50" s="4"/>
      <c r="AXO50" s="4"/>
      <c r="AXP50" s="4"/>
      <c r="AXQ50" s="4"/>
      <c r="AXR50" s="4"/>
      <c r="AXS50" s="4"/>
      <c r="AXT50" s="4"/>
      <c r="AXU50" s="4"/>
      <c r="AXV50" s="4"/>
      <c r="AXW50" s="4"/>
      <c r="AXX50" s="4"/>
      <c r="AXY50" s="4"/>
      <c r="AXZ50" s="4"/>
      <c r="AYA50" s="4"/>
      <c r="AYB50" s="4"/>
      <c r="AYC50" s="4"/>
      <c r="AYD50" s="4"/>
      <c r="AYE50" s="4"/>
      <c r="AYF50" s="4"/>
      <c r="AYG50" s="4"/>
      <c r="AYH50" s="4"/>
      <c r="AYI50" s="4"/>
      <c r="AYJ50" s="4"/>
      <c r="AYK50" s="4"/>
      <c r="AYL50" s="4"/>
      <c r="AYM50" s="4"/>
      <c r="AYN50" s="4"/>
      <c r="AYO50" s="4"/>
      <c r="AYP50" s="4"/>
      <c r="AYQ50" s="4"/>
      <c r="AYR50" s="4"/>
      <c r="AYS50" s="4"/>
      <c r="AYT50" s="4"/>
      <c r="AYU50" s="4"/>
      <c r="AYV50" s="4"/>
      <c r="AYW50" s="4"/>
      <c r="AYX50" s="4"/>
      <c r="AYY50" s="4"/>
      <c r="AYZ50" s="4"/>
      <c r="AZA50" s="4"/>
      <c r="AZB50" s="4"/>
      <c r="AZC50" s="4"/>
      <c r="AZD50" s="4"/>
      <c r="AZE50" s="4"/>
      <c r="AZF50" s="4"/>
      <c r="AZG50" s="4"/>
      <c r="AZH50" s="4"/>
      <c r="AZI50" s="4"/>
      <c r="AZJ50" s="4"/>
      <c r="AZK50" s="4"/>
      <c r="AZL50" s="4"/>
      <c r="AZM50" s="4"/>
      <c r="AZN50" s="4"/>
      <c r="AZO50" s="4"/>
      <c r="AZP50" s="4"/>
      <c r="AZQ50" s="4"/>
      <c r="AZR50" s="4"/>
      <c r="AZS50" s="4"/>
      <c r="AZT50" s="4"/>
      <c r="AZU50" s="4"/>
      <c r="AZV50" s="4"/>
      <c r="AZW50" s="4"/>
      <c r="AZX50" s="4"/>
      <c r="AZY50" s="4"/>
      <c r="AZZ50" s="4"/>
      <c r="BAA50" s="4"/>
      <c r="BAB50" s="4"/>
      <c r="BAC50" s="4"/>
      <c r="BAD50" s="4"/>
      <c r="BAE50" s="4"/>
      <c r="BAF50" s="4"/>
      <c r="BAG50" s="4"/>
      <c r="BAH50" s="4"/>
      <c r="BAI50" s="4"/>
      <c r="BAJ50" s="4"/>
      <c r="BAK50" s="4"/>
      <c r="BAL50" s="4"/>
      <c r="BAM50" s="4"/>
      <c r="BAN50" s="4"/>
      <c r="BAO50" s="4"/>
      <c r="BAP50" s="4"/>
      <c r="BAQ50" s="4"/>
      <c r="BAR50" s="4"/>
      <c r="BAS50" s="4"/>
      <c r="BAT50" s="4"/>
      <c r="BAU50" s="4"/>
      <c r="BAV50" s="4"/>
      <c r="BAW50" s="4"/>
      <c r="BAX50" s="4"/>
      <c r="BAY50" s="4"/>
      <c r="BAZ50" s="4"/>
      <c r="BBA50" s="4"/>
      <c r="BBB50" s="4"/>
      <c r="BBC50" s="4"/>
      <c r="BBD50" s="4"/>
      <c r="BBE50" s="4"/>
      <c r="BBF50" s="4"/>
      <c r="BBG50" s="4"/>
      <c r="BBH50" s="4"/>
      <c r="BBI50" s="4"/>
      <c r="BBJ50" s="4"/>
      <c r="BBK50" s="4"/>
      <c r="BBL50" s="4"/>
      <c r="BBM50" s="4"/>
      <c r="BBN50" s="4"/>
      <c r="BBO50" s="4"/>
      <c r="BBP50" s="4"/>
      <c r="BBQ50" s="4"/>
      <c r="BBR50" s="4"/>
      <c r="BBS50" s="4"/>
      <c r="BBT50" s="4"/>
      <c r="BBU50" s="4"/>
      <c r="BBV50" s="4"/>
      <c r="BBW50" s="4"/>
      <c r="BBX50" s="4"/>
      <c r="BBY50" s="4"/>
      <c r="BBZ50" s="4"/>
      <c r="BCA50" s="4"/>
      <c r="BCB50" s="4"/>
      <c r="BCC50" s="4"/>
      <c r="BCD50" s="4"/>
      <c r="BCE50" s="4"/>
      <c r="BCF50" s="4"/>
      <c r="BCG50" s="4"/>
      <c r="BCH50" s="4"/>
      <c r="BCI50" s="4"/>
      <c r="BCJ50" s="4"/>
      <c r="BCK50" s="4"/>
      <c r="BCL50" s="4"/>
      <c r="BCM50" s="4"/>
      <c r="BCN50" s="4"/>
      <c r="BCO50" s="4"/>
      <c r="BCP50" s="4"/>
      <c r="BCQ50" s="4"/>
      <c r="BCR50" s="4"/>
      <c r="BCS50" s="4"/>
      <c r="BCT50" s="4"/>
      <c r="BCU50" s="4"/>
      <c r="BCV50" s="4"/>
      <c r="BCW50" s="4"/>
      <c r="BCX50" s="4"/>
      <c r="BCY50" s="4"/>
      <c r="BCZ50" s="4"/>
      <c r="BDA50" s="4"/>
      <c r="BDB50" s="4"/>
      <c r="BDC50" s="4"/>
      <c r="BDD50" s="4"/>
      <c r="BDE50" s="4"/>
      <c r="BDF50" s="4"/>
      <c r="BDG50" s="4"/>
      <c r="BDH50" s="4"/>
      <c r="BDI50" s="4"/>
      <c r="BDJ50" s="4"/>
      <c r="BDK50" s="4"/>
      <c r="BDL50" s="4"/>
      <c r="BDM50" s="4"/>
      <c r="BDN50" s="4"/>
      <c r="BDO50" s="4"/>
      <c r="BDP50" s="4"/>
      <c r="BDQ50" s="4"/>
      <c r="BDR50" s="4"/>
      <c r="BDS50" s="4"/>
      <c r="BDT50" s="4"/>
      <c r="BDU50" s="4"/>
      <c r="BDV50" s="4"/>
      <c r="BDW50" s="4"/>
      <c r="BDX50" s="4"/>
      <c r="BDY50" s="4"/>
      <c r="BDZ50" s="4"/>
      <c r="BEA50" s="4"/>
      <c r="BEB50" s="4"/>
      <c r="BEC50" s="4"/>
      <c r="BED50" s="4"/>
      <c r="BEE50" s="4"/>
      <c r="BEF50" s="4"/>
      <c r="BEG50" s="4"/>
      <c r="BEH50" s="4"/>
      <c r="BEI50" s="4"/>
      <c r="BEJ50" s="4"/>
      <c r="BEK50" s="4"/>
      <c r="BEL50" s="4"/>
      <c r="BEM50" s="4"/>
      <c r="BEN50" s="4"/>
      <c r="BEO50" s="4"/>
      <c r="BEP50" s="4"/>
      <c r="BEQ50" s="4"/>
      <c r="BER50" s="4"/>
      <c r="BES50" s="4"/>
      <c r="BET50" s="4"/>
      <c r="BEU50" s="4"/>
      <c r="BEV50" s="4"/>
      <c r="BEW50" s="4"/>
      <c r="BEX50" s="4"/>
      <c r="BEY50" s="4"/>
      <c r="BEZ50" s="4"/>
      <c r="BFA50" s="4"/>
      <c r="BFB50" s="4"/>
      <c r="BFC50" s="4"/>
      <c r="BFD50" s="4"/>
      <c r="BFE50" s="4"/>
      <c r="BFF50" s="4"/>
      <c r="BFG50" s="4"/>
      <c r="BFH50" s="4"/>
      <c r="BFI50" s="4"/>
      <c r="BFJ50" s="4"/>
      <c r="BFK50" s="4"/>
      <c r="BFL50" s="4"/>
      <c r="BFM50" s="4"/>
      <c r="BFN50" s="4"/>
      <c r="BFO50" s="4"/>
      <c r="BFP50" s="4"/>
      <c r="BFQ50" s="4"/>
      <c r="BFR50" s="4"/>
      <c r="BFS50" s="4"/>
      <c r="BFT50" s="4"/>
      <c r="BFU50" s="4"/>
      <c r="BFV50" s="4"/>
      <c r="BFW50" s="4"/>
      <c r="BFX50" s="4"/>
      <c r="BFY50" s="4"/>
      <c r="BFZ50" s="4"/>
      <c r="BGA50" s="4"/>
      <c r="BGB50" s="4"/>
      <c r="BGC50" s="4"/>
      <c r="BGD50" s="4"/>
      <c r="BGE50" s="4"/>
      <c r="BGF50" s="4"/>
      <c r="BGG50" s="4"/>
      <c r="BGH50" s="4"/>
      <c r="BGI50" s="4"/>
      <c r="BGJ50" s="4"/>
      <c r="BGK50" s="4"/>
      <c r="BGL50" s="4"/>
      <c r="BGM50" s="4"/>
      <c r="BGN50" s="4"/>
      <c r="BGO50" s="4"/>
      <c r="BGP50" s="4"/>
      <c r="BGQ50" s="4"/>
      <c r="BGR50" s="4"/>
      <c r="BGS50" s="4"/>
      <c r="BGT50" s="4"/>
      <c r="BGU50" s="4"/>
      <c r="BGV50" s="4"/>
      <c r="BGW50" s="4"/>
      <c r="BGX50" s="4"/>
      <c r="BGY50" s="4"/>
      <c r="BGZ50" s="4"/>
      <c r="BHA50" s="4"/>
      <c r="BHB50" s="4"/>
      <c r="BHC50" s="4"/>
      <c r="BHD50" s="4"/>
      <c r="BHE50" s="4"/>
      <c r="BHF50" s="4"/>
      <c r="BHG50" s="4"/>
      <c r="BHH50" s="4"/>
      <c r="BHI50" s="4"/>
      <c r="BHJ50" s="4"/>
      <c r="BHK50" s="4"/>
      <c r="BHL50" s="4"/>
      <c r="BHM50" s="4"/>
      <c r="BHN50" s="4"/>
      <c r="BHO50" s="4"/>
      <c r="BHP50" s="4"/>
      <c r="BHQ50" s="4"/>
      <c r="BHR50" s="4"/>
      <c r="BHS50" s="4"/>
      <c r="BHT50" s="4"/>
      <c r="BHU50" s="4"/>
      <c r="BHV50" s="4"/>
      <c r="BHW50" s="4"/>
      <c r="BHX50" s="4"/>
      <c r="BHY50" s="4"/>
      <c r="BHZ50" s="4"/>
      <c r="BIA50" s="4"/>
      <c r="BIB50" s="4"/>
      <c r="BIC50" s="4"/>
      <c r="BID50" s="4"/>
      <c r="BIE50" s="4"/>
      <c r="BIF50" s="4"/>
      <c r="BIG50" s="4"/>
      <c r="BIH50" s="4"/>
      <c r="BII50" s="4"/>
      <c r="BIJ50" s="4"/>
      <c r="BIK50" s="4"/>
      <c r="BIL50" s="4"/>
      <c r="BIM50" s="4"/>
      <c r="BIN50" s="4"/>
      <c r="BIO50" s="4"/>
      <c r="BIP50" s="4"/>
      <c r="BIQ50" s="4"/>
      <c r="BIR50" s="4"/>
      <c r="BIS50" s="4"/>
      <c r="BIT50" s="4"/>
      <c r="BIU50" s="4"/>
      <c r="BIV50" s="4"/>
      <c r="BIW50" s="4"/>
      <c r="BIX50" s="4"/>
      <c r="BIY50" s="4"/>
      <c r="BIZ50" s="4"/>
      <c r="BJA50" s="4"/>
      <c r="BJB50" s="4"/>
      <c r="BJC50" s="4"/>
      <c r="BJD50" s="4"/>
      <c r="BJE50" s="4"/>
      <c r="BJF50" s="4"/>
      <c r="BJG50" s="4"/>
      <c r="BJH50" s="4"/>
      <c r="BJI50" s="4"/>
      <c r="BJJ50" s="4"/>
      <c r="BJK50" s="4"/>
      <c r="BJL50" s="4"/>
      <c r="BJM50" s="4"/>
      <c r="BJN50" s="4"/>
      <c r="BJO50" s="4"/>
      <c r="BJP50" s="4"/>
      <c r="BJQ50" s="4"/>
      <c r="BJR50" s="4"/>
      <c r="BJS50" s="4"/>
      <c r="BJT50" s="4"/>
      <c r="BJU50" s="4"/>
      <c r="BJV50" s="4"/>
      <c r="BJW50" s="4"/>
      <c r="BJX50" s="4"/>
      <c r="BJY50" s="4"/>
      <c r="BJZ50" s="4"/>
      <c r="BKA50" s="4"/>
      <c r="BKB50" s="4"/>
      <c r="BKC50" s="4"/>
      <c r="BKD50" s="4"/>
      <c r="BKE50" s="4"/>
      <c r="BKF50" s="4"/>
      <c r="BKG50" s="4"/>
      <c r="BKH50" s="4"/>
      <c r="BKI50" s="4"/>
      <c r="BKJ50" s="4"/>
      <c r="BKK50" s="4"/>
      <c r="BKL50" s="4"/>
      <c r="BKM50" s="4"/>
      <c r="BKN50" s="4"/>
      <c r="BKO50" s="4"/>
      <c r="BKP50" s="4"/>
      <c r="BKQ50" s="4"/>
      <c r="BKR50" s="4"/>
      <c r="BKS50" s="4"/>
      <c r="BKT50" s="4"/>
      <c r="BKU50" s="4"/>
      <c r="BKV50" s="4"/>
      <c r="BKW50" s="4"/>
      <c r="BKX50" s="4"/>
      <c r="BKY50" s="4"/>
      <c r="BKZ50" s="4"/>
      <c r="BLA50" s="4"/>
      <c r="BLB50" s="4"/>
      <c r="BLC50" s="4"/>
      <c r="BLD50" s="4"/>
      <c r="BLE50" s="4"/>
      <c r="BLF50" s="4"/>
      <c r="BLG50" s="4"/>
      <c r="BLH50" s="4"/>
      <c r="BLI50" s="4"/>
      <c r="BLJ50" s="4"/>
      <c r="BLK50" s="4"/>
      <c r="BLL50" s="4"/>
      <c r="BLM50" s="4"/>
      <c r="BLN50" s="4"/>
      <c r="BLO50" s="4"/>
      <c r="BLP50" s="4"/>
      <c r="BLQ50" s="4"/>
      <c r="BLR50" s="4"/>
      <c r="BLS50" s="4"/>
      <c r="BLT50" s="4"/>
      <c r="BLU50" s="4"/>
      <c r="BLV50" s="4"/>
      <c r="BLW50" s="4"/>
      <c r="BLX50" s="4"/>
      <c r="BLY50" s="4"/>
      <c r="BLZ50" s="4"/>
      <c r="BMA50" s="4"/>
      <c r="BMB50" s="4"/>
      <c r="BMC50" s="4"/>
      <c r="BMD50" s="4"/>
      <c r="BME50" s="4"/>
      <c r="BMF50" s="4"/>
      <c r="BMG50" s="4"/>
      <c r="BMH50" s="4"/>
      <c r="BMI50" s="4"/>
      <c r="BMJ50" s="4"/>
      <c r="BMK50" s="4"/>
      <c r="BML50" s="4"/>
      <c r="BMM50" s="4"/>
      <c r="BMN50" s="4"/>
      <c r="BMO50" s="4"/>
      <c r="BMP50" s="4"/>
      <c r="BMQ50" s="4"/>
      <c r="BMR50" s="4"/>
      <c r="BMS50" s="4"/>
      <c r="BMT50" s="4"/>
      <c r="BMU50" s="4"/>
      <c r="BMV50" s="4"/>
      <c r="BMW50" s="4"/>
      <c r="BMX50" s="4"/>
      <c r="BMY50" s="4"/>
      <c r="BMZ50" s="4"/>
      <c r="BNA50" s="4"/>
      <c r="BNB50" s="4"/>
      <c r="BNC50" s="4"/>
      <c r="BND50" s="4"/>
      <c r="BNE50" s="4"/>
      <c r="BNF50" s="4"/>
      <c r="BNG50" s="4"/>
      <c r="BNH50" s="4"/>
      <c r="BNI50" s="4"/>
      <c r="BNJ50" s="4"/>
      <c r="BNK50" s="4"/>
      <c r="BNL50" s="4"/>
      <c r="BNM50" s="4"/>
      <c r="BNN50" s="4"/>
      <c r="BNO50" s="4"/>
      <c r="BNP50" s="4"/>
      <c r="BNQ50" s="4"/>
      <c r="BNR50" s="4"/>
      <c r="BNS50" s="4"/>
      <c r="BNT50" s="4"/>
      <c r="BNU50" s="4"/>
      <c r="BNV50" s="4"/>
      <c r="BNW50" s="4"/>
      <c r="BNX50" s="4"/>
      <c r="BNY50" s="4"/>
      <c r="BNZ50" s="4"/>
      <c r="BOA50" s="4"/>
      <c r="BOB50" s="4"/>
      <c r="BOC50" s="4"/>
      <c r="BOD50" s="4"/>
      <c r="BOE50" s="4"/>
      <c r="BOF50" s="4"/>
      <c r="BOG50" s="4"/>
      <c r="BOH50" s="4"/>
      <c r="BOI50" s="4"/>
      <c r="BOJ50" s="4"/>
      <c r="BOK50" s="4"/>
      <c r="BOL50" s="4"/>
      <c r="BOM50" s="4"/>
      <c r="BON50" s="4"/>
      <c r="BOO50" s="4"/>
      <c r="BOP50" s="4"/>
      <c r="BOQ50" s="4"/>
      <c r="BOR50" s="4"/>
      <c r="BOS50" s="4"/>
      <c r="BOT50" s="4"/>
      <c r="BOU50" s="4"/>
      <c r="BOV50" s="4"/>
      <c r="BOW50" s="4"/>
      <c r="BOX50" s="4"/>
      <c r="BOY50" s="4"/>
      <c r="BOZ50" s="4"/>
      <c r="BPA50" s="4"/>
      <c r="BPB50" s="4"/>
      <c r="BPC50" s="4"/>
      <c r="BPD50" s="4"/>
      <c r="BPE50" s="4"/>
      <c r="BPF50" s="4"/>
      <c r="BPG50" s="4"/>
      <c r="BPH50" s="4"/>
      <c r="BPI50" s="4"/>
      <c r="BPJ50" s="4"/>
      <c r="BPK50" s="4"/>
      <c r="BPL50" s="4"/>
      <c r="BPM50" s="4"/>
      <c r="BPN50" s="4"/>
      <c r="BPO50" s="4"/>
      <c r="BPP50" s="4"/>
      <c r="BPQ50" s="4"/>
      <c r="BPR50" s="4"/>
      <c r="BPS50" s="4"/>
      <c r="BPT50" s="4"/>
      <c r="BPU50" s="4"/>
      <c r="BPV50" s="4"/>
      <c r="BPW50" s="4"/>
      <c r="BPX50" s="4"/>
      <c r="BPY50" s="4"/>
      <c r="BPZ50" s="4"/>
      <c r="BQA50" s="4"/>
      <c r="BQB50" s="4"/>
      <c r="BQC50" s="4"/>
      <c r="BQD50" s="4"/>
      <c r="BQE50" s="4"/>
      <c r="BQF50" s="4"/>
      <c r="BQG50" s="4"/>
      <c r="BQH50" s="4"/>
      <c r="BQI50" s="4"/>
      <c r="BQJ50" s="4"/>
      <c r="BQK50" s="4"/>
      <c r="BQL50" s="4"/>
      <c r="BQM50" s="4"/>
      <c r="BQN50" s="4"/>
      <c r="BQO50" s="4"/>
      <c r="BQP50" s="4"/>
      <c r="BQQ50" s="4"/>
      <c r="BQR50" s="4"/>
      <c r="BQS50" s="4"/>
      <c r="BQT50" s="4"/>
      <c r="BQU50" s="4"/>
      <c r="BQV50" s="4"/>
      <c r="BQW50" s="4"/>
      <c r="BQX50" s="4"/>
      <c r="BQY50" s="4"/>
      <c r="BQZ50" s="4"/>
      <c r="BRA50" s="4"/>
      <c r="BRB50" s="4"/>
      <c r="BRC50" s="4"/>
      <c r="BRD50" s="4"/>
      <c r="BRE50" s="4"/>
      <c r="BRF50" s="4"/>
      <c r="BRG50" s="4"/>
      <c r="BRH50" s="4"/>
      <c r="BRI50" s="4"/>
      <c r="BRJ50" s="4"/>
      <c r="BRK50" s="4"/>
      <c r="BRL50" s="4"/>
      <c r="BRM50" s="4"/>
      <c r="BRN50" s="4"/>
      <c r="BRO50" s="4"/>
      <c r="BRP50" s="4"/>
      <c r="BRQ50" s="4"/>
      <c r="BRR50" s="4"/>
      <c r="BRS50" s="4"/>
      <c r="BRT50" s="4"/>
      <c r="BRU50" s="4"/>
      <c r="BRV50" s="4"/>
      <c r="BRW50" s="4"/>
      <c r="BRX50" s="4"/>
      <c r="BRY50" s="4"/>
      <c r="BRZ50" s="4"/>
      <c r="BSA50" s="4"/>
      <c r="BSB50" s="4"/>
      <c r="BSC50" s="4"/>
      <c r="BSD50" s="4"/>
      <c r="BSE50" s="4"/>
      <c r="BSF50" s="4"/>
      <c r="BSG50" s="4"/>
      <c r="BSH50" s="4"/>
      <c r="BSI50" s="4"/>
      <c r="BSJ50" s="4"/>
      <c r="BSK50" s="4"/>
      <c r="BSL50" s="4"/>
      <c r="BSM50" s="4"/>
      <c r="BSN50" s="4"/>
      <c r="BSO50" s="4"/>
      <c r="BSP50" s="4"/>
      <c r="BSQ50" s="4"/>
      <c r="BSR50" s="4"/>
      <c r="BSS50" s="4"/>
      <c r="BST50" s="4"/>
      <c r="BSU50" s="4"/>
      <c r="BSV50" s="4"/>
      <c r="BSW50" s="4"/>
      <c r="BSX50" s="4"/>
      <c r="BSY50" s="4"/>
      <c r="BSZ50" s="4"/>
      <c r="BTA50" s="4"/>
      <c r="BTB50" s="4"/>
      <c r="BTC50" s="4"/>
      <c r="BTD50" s="4"/>
      <c r="BTE50" s="4"/>
      <c r="BTF50" s="4"/>
      <c r="BTG50" s="4"/>
      <c r="BTH50" s="4"/>
      <c r="BTI50" s="4"/>
      <c r="BTJ50" s="4"/>
      <c r="BTK50" s="4"/>
      <c r="BTL50" s="4"/>
      <c r="BTM50" s="4"/>
      <c r="BTN50" s="4"/>
      <c r="BTO50" s="4"/>
      <c r="BTP50" s="4"/>
      <c r="BTQ50" s="4"/>
      <c r="BTR50" s="4"/>
      <c r="BTS50" s="4"/>
      <c r="BTT50" s="4"/>
      <c r="BTU50" s="4"/>
      <c r="BTV50" s="4"/>
      <c r="BTW50" s="4"/>
      <c r="BTX50" s="4"/>
      <c r="BTY50" s="4"/>
      <c r="BTZ50" s="4"/>
      <c r="BUA50" s="4"/>
      <c r="BUB50" s="4"/>
      <c r="BUC50" s="4"/>
      <c r="BUD50" s="4"/>
      <c r="BUE50" s="4"/>
      <c r="BUF50" s="4"/>
      <c r="BUG50" s="4"/>
      <c r="BUH50" s="4"/>
      <c r="BUI50" s="4"/>
      <c r="BUJ50" s="4"/>
      <c r="BUK50" s="4"/>
      <c r="BUL50" s="4"/>
      <c r="BUM50" s="4"/>
      <c r="BUN50" s="4"/>
      <c r="BUO50" s="4"/>
      <c r="BUP50" s="4"/>
      <c r="BUQ50" s="4"/>
      <c r="BUR50" s="4"/>
      <c r="BUS50" s="4"/>
      <c r="BUT50" s="4"/>
      <c r="BUU50" s="4"/>
      <c r="BUV50" s="4"/>
      <c r="BUW50" s="4"/>
      <c r="BUX50" s="4"/>
      <c r="BUY50" s="4"/>
      <c r="BUZ50" s="4"/>
      <c r="BVA50" s="4"/>
      <c r="BVB50" s="4"/>
      <c r="BVC50" s="4"/>
      <c r="BVD50" s="4"/>
      <c r="BVE50" s="4"/>
      <c r="BVF50" s="4"/>
      <c r="BVG50" s="4"/>
      <c r="BVH50" s="4"/>
      <c r="BVI50" s="4"/>
      <c r="BVJ50" s="4"/>
      <c r="BVK50" s="4"/>
      <c r="BVL50" s="4"/>
      <c r="BVM50" s="4"/>
      <c r="BVN50" s="4"/>
      <c r="BVO50" s="4"/>
      <c r="BVP50" s="4"/>
      <c r="BVQ50" s="4"/>
      <c r="BVR50" s="4"/>
      <c r="BVS50" s="4"/>
      <c r="BVT50" s="4"/>
      <c r="BVU50" s="4"/>
      <c r="BVV50" s="4"/>
      <c r="BVW50" s="4"/>
      <c r="BVX50" s="4"/>
      <c r="BVY50" s="4"/>
      <c r="BVZ50" s="4"/>
      <c r="BWA50" s="4"/>
      <c r="BWB50" s="4"/>
      <c r="BWC50" s="4"/>
      <c r="BWD50" s="4"/>
      <c r="BWE50" s="4"/>
      <c r="BWF50" s="4"/>
      <c r="BWG50" s="4"/>
      <c r="BWH50" s="4"/>
      <c r="BWI50" s="4"/>
      <c r="BWJ50" s="4"/>
      <c r="BWK50" s="4"/>
      <c r="BWL50" s="4"/>
      <c r="BWM50" s="4"/>
      <c r="BWN50" s="4"/>
      <c r="BWO50" s="4"/>
      <c r="BWP50" s="4"/>
      <c r="BWQ50" s="4"/>
      <c r="BWR50" s="4"/>
      <c r="BWS50" s="4"/>
      <c r="BWT50" s="4"/>
      <c r="BWU50" s="4"/>
      <c r="BWV50" s="4"/>
      <c r="BWW50" s="4"/>
      <c r="BWX50" s="4"/>
      <c r="BWY50" s="4"/>
      <c r="BWZ50" s="4"/>
      <c r="BXA50" s="4"/>
      <c r="BXB50" s="4"/>
      <c r="BXC50" s="4"/>
      <c r="BXD50" s="4"/>
      <c r="BXE50" s="4"/>
      <c r="BXF50" s="4"/>
      <c r="BXG50" s="4"/>
      <c r="BXH50" s="4"/>
      <c r="BXI50" s="4"/>
      <c r="BXJ50" s="4"/>
      <c r="BXK50" s="4"/>
      <c r="BXL50" s="4"/>
      <c r="BXM50" s="4"/>
      <c r="BXN50" s="4"/>
      <c r="BXO50" s="4"/>
      <c r="BXP50" s="4"/>
      <c r="BXQ50" s="4"/>
      <c r="BXR50" s="4"/>
      <c r="BXS50" s="4"/>
      <c r="BXT50" s="4"/>
      <c r="BXU50" s="4"/>
      <c r="BXV50" s="4"/>
      <c r="BXW50" s="4"/>
      <c r="BXX50" s="4"/>
      <c r="BXY50" s="4"/>
      <c r="BXZ50" s="4"/>
      <c r="BYA50" s="4"/>
      <c r="BYB50" s="4"/>
      <c r="BYC50" s="4"/>
      <c r="BYD50" s="4"/>
      <c r="BYE50" s="4"/>
      <c r="BYF50" s="4"/>
      <c r="BYG50" s="4"/>
      <c r="BYH50" s="4"/>
      <c r="BYI50" s="4"/>
      <c r="BYJ50" s="4"/>
      <c r="BYK50" s="4"/>
      <c r="BYL50" s="4"/>
      <c r="BYM50" s="4"/>
      <c r="BYN50" s="4"/>
      <c r="BYO50" s="4"/>
      <c r="BYP50" s="4"/>
      <c r="BYQ50" s="4"/>
      <c r="BYR50" s="4"/>
      <c r="BYS50" s="4"/>
      <c r="BYT50" s="4"/>
      <c r="BYU50" s="4"/>
      <c r="BYV50" s="4"/>
      <c r="BYW50" s="4"/>
      <c r="BYX50" s="4"/>
      <c r="BYY50" s="4"/>
      <c r="BYZ50" s="4"/>
      <c r="BZA50" s="4"/>
      <c r="BZB50" s="4"/>
      <c r="BZC50" s="4"/>
      <c r="BZD50" s="4"/>
      <c r="BZE50" s="4"/>
      <c r="BZF50" s="4"/>
      <c r="BZG50" s="4"/>
      <c r="BZH50" s="4"/>
      <c r="BZI50" s="4"/>
      <c r="BZJ50" s="4"/>
      <c r="BZK50" s="4"/>
      <c r="BZL50" s="4"/>
      <c r="BZM50" s="4"/>
      <c r="BZN50" s="4"/>
      <c r="BZO50" s="4"/>
      <c r="BZP50" s="4"/>
      <c r="BZQ50" s="4"/>
      <c r="BZR50" s="4"/>
      <c r="BZS50" s="4"/>
      <c r="BZT50" s="4"/>
      <c r="BZU50" s="4"/>
      <c r="BZV50" s="4"/>
      <c r="BZW50" s="4"/>
      <c r="BZX50" s="4"/>
      <c r="BZY50" s="4"/>
      <c r="BZZ50" s="4"/>
      <c r="CAA50" s="4"/>
      <c r="CAB50" s="4"/>
      <c r="CAC50" s="4"/>
      <c r="CAD50" s="4"/>
      <c r="CAE50" s="4"/>
      <c r="CAF50" s="4"/>
      <c r="CAG50" s="4"/>
      <c r="CAH50" s="4"/>
      <c r="CAI50" s="4"/>
      <c r="CAJ50" s="4"/>
      <c r="CAK50" s="4"/>
      <c r="CAL50" s="4"/>
      <c r="CAM50" s="4"/>
      <c r="CAN50" s="4"/>
      <c r="CAO50" s="4"/>
      <c r="CAP50" s="4"/>
      <c r="CAQ50" s="4"/>
      <c r="CAR50" s="4"/>
      <c r="CAS50" s="4"/>
      <c r="CAT50" s="4"/>
      <c r="CAU50" s="4"/>
      <c r="CAV50" s="4"/>
      <c r="CAW50" s="4"/>
      <c r="CAX50" s="4"/>
      <c r="CAY50" s="4"/>
      <c r="CAZ50" s="4"/>
      <c r="CBA50" s="4"/>
      <c r="CBB50" s="4"/>
      <c r="CBC50" s="4"/>
      <c r="CBD50" s="4"/>
      <c r="CBE50" s="4"/>
      <c r="CBF50" s="4"/>
      <c r="CBG50" s="4"/>
      <c r="CBH50" s="4"/>
      <c r="CBI50" s="4"/>
      <c r="CBJ50" s="4"/>
      <c r="CBK50" s="4"/>
      <c r="CBL50" s="4"/>
      <c r="CBM50" s="4"/>
      <c r="CBN50" s="4"/>
      <c r="CBO50" s="4"/>
      <c r="CBP50" s="4"/>
      <c r="CBQ50" s="4"/>
      <c r="CBR50" s="4"/>
      <c r="CBS50" s="4"/>
      <c r="CBT50" s="4"/>
      <c r="CBU50" s="4"/>
      <c r="CBV50" s="4"/>
      <c r="CBW50" s="4"/>
      <c r="CBX50" s="4"/>
      <c r="CBY50" s="4"/>
      <c r="CBZ50" s="4"/>
      <c r="CCA50" s="4"/>
      <c r="CCB50" s="4"/>
      <c r="CCC50" s="4"/>
      <c r="CCD50" s="4"/>
      <c r="CCE50" s="4"/>
      <c r="CCF50" s="4"/>
      <c r="CCG50" s="4"/>
      <c r="CCH50" s="4"/>
      <c r="CCI50" s="4"/>
      <c r="CCJ50" s="4"/>
      <c r="CCK50" s="4"/>
      <c r="CCL50" s="4"/>
      <c r="CCM50" s="4"/>
      <c r="CCN50" s="4"/>
      <c r="CCO50" s="4"/>
      <c r="CCP50" s="4"/>
      <c r="CCQ50" s="4"/>
      <c r="CCR50" s="4"/>
      <c r="CCS50" s="4"/>
      <c r="CCT50" s="4"/>
      <c r="CCU50" s="4"/>
      <c r="CCV50" s="4"/>
      <c r="CCW50" s="4"/>
      <c r="CCX50" s="4"/>
      <c r="CCY50" s="4"/>
      <c r="CCZ50" s="4"/>
      <c r="CDA50" s="4"/>
      <c r="CDB50" s="4"/>
      <c r="CDC50" s="4"/>
      <c r="CDD50" s="4"/>
      <c r="CDE50" s="4"/>
      <c r="CDF50" s="4"/>
      <c r="CDG50" s="4"/>
      <c r="CDH50" s="4"/>
      <c r="CDI50" s="4"/>
      <c r="CDJ50" s="4"/>
      <c r="CDK50" s="4"/>
      <c r="CDL50" s="4"/>
      <c r="CDM50" s="4"/>
      <c r="CDN50" s="4"/>
      <c r="CDO50" s="4"/>
      <c r="CDP50" s="4"/>
      <c r="CDQ50" s="4"/>
      <c r="CDR50" s="4"/>
      <c r="CDS50" s="4"/>
      <c r="CDT50" s="4"/>
      <c r="CDU50" s="4"/>
      <c r="CDV50" s="4"/>
      <c r="CDW50" s="4"/>
      <c r="CDX50" s="4"/>
      <c r="CDY50" s="4"/>
      <c r="CDZ50" s="4"/>
      <c r="CEA50" s="4"/>
      <c r="CEB50" s="4"/>
      <c r="CEC50" s="4"/>
      <c r="CED50" s="4"/>
      <c r="CEE50" s="4"/>
      <c r="CEF50" s="4"/>
      <c r="CEG50" s="4"/>
      <c r="CEH50" s="4"/>
      <c r="CEI50" s="4"/>
      <c r="CEJ50" s="4"/>
      <c r="CEK50" s="4"/>
      <c r="CEL50" s="4"/>
      <c r="CEM50" s="4"/>
      <c r="CEN50" s="4"/>
      <c r="CEO50" s="4"/>
      <c r="CEP50" s="4"/>
      <c r="CEQ50" s="4"/>
      <c r="CER50" s="4"/>
      <c r="CES50" s="4"/>
      <c r="CET50" s="4"/>
      <c r="CEU50" s="4"/>
      <c r="CEV50" s="4"/>
      <c r="CEW50" s="4"/>
      <c r="CEX50" s="4"/>
      <c r="CEY50" s="4"/>
      <c r="CEZ50" s="4"/>
      <c r="CFA50" s="4"/>
      <c r="CFB50" s="4"/>
      <c r="CFC50" s="4"/>
      <c r="CFD50" s="4"/>
      <c r="CFE50" s="4"/>
      <c r="CFF50" s="4"/>
      <c r="CFG50" s="4"/>
      <c r="CFH50" s="4"/>
      <c r="CFI50" s="4"/>
      <c r="CFJ50" s="4"/>
      <c r="CFK50" s="4"/>
      <c r="CFL50" s="4"/>
      <c r="CFM50" s="4"/>
      <c r="CFN50" s="4"/>
      <c r="CFO50" s="4"/>
      <c r="CFP50" s="4"/>
      <c r="CFQ50" s="4"/>
      <c r="CFR50" s="4"/>
      <c r="CFS50" s="4"/>
      <c r="CFT50" s="4"/>
      <c r="CFU50" s="4"/>
      <c r="CFV50" s="4"/>
      <c r="CFW50" s="4"/>
      <c r="CFX50" s="4"/>
      <c r="CFY50" s="4"/>
      <c r="CFZ50" s="4"/>
      <c r="CGA50" s="4"/>
      <c r="CGB50" s="4"/>
      <c r="CGC50" s="4"/>
      <c r="CGD50" s="4"/>
      <c r="CGE50" s="4"/>
      <c r="CGF50" s="4"/>
      <c r="CGG50" s="4"/>
      <c r="CGH50" s="4"/>
      <c r="CGI50" s="4"/>
      <c r="CGJ50" s="4"/>
      <c r="CGK50" s="4"/>
      <c r="CGL50" s="4"/>
      <c r="CGM50" s="4"/>
      <c r="CGN50" s="4"/>
      <c r="CGO50" s="4"/>
      <c r="CGP50" s="4"/>
      <c r="CGQ50" s="4"/>
      <c r="CGR50" s="4"/>
      <c r="CGS50" s="4"/>
      <c r="CGT50" s="4"/>
      <c r="CGU50" s="4"/>
      <c r="CGV50" s="4"/>
      <c r="CGW50" s="4"/>
      <c r="CGX50" s="4"/>
      <c r="CGY50" s="4"/>
      <c r="CGZ50" s="4"/>
      <c r="CHA50" s="4"/>
      <c r="CHB50" s="4"/>
      <c r="CHC50" s="4"/>
      <c r="CHD50" s="4"/>
      <c r="CHE50" s="4"/>
      <c r="CHF50" s="4"/>
      <c r="CHG50" s="4"/>
      <c r="CHH50" s="4"/>
      <c r="CHI50" s="4"/>
      <c r="CHJ50" s="4"/>
      <c r="CHK50" s="4"/>
      <c r="CHL50" s="4"/>
      <c r="CHM50" s="4"/>
      <c r="CHN50" s="4"/>
      <c r="CHO50" s="4"/>
      <c r="CHP50" s="4"/>
      <c r="CHQ50" s="4"/>
      <c r="CHR50" s="4"/>
      <c r="CHS50" s="4"/>
      <c r="CHT50" s="4"/>
      <c r="CHU50" s="4"/>
      <c r="CHV50" s="4"/>
      <c r="CHW50" s="4"/>
      <c r="CHX50" s="4"/>
      <c r="CHY50" s="4"/>
      <c r="CHZ50" s="4"/>
      <c r="CIA50" s="4"/>
      <c r="CIB50" s="4"/>
      <c r="CIC50" s="4"/>
      <c r="CID50" s="4"/>
      <c r="CIE50" s="4"/>
      <c r="CIF50" s="4"/>
      <c r="CIG50" s="4"/>
      <c r="CIH50" s="4"/>
      <c r="CII50" s="4"/>
      <c r="CIJ50" s="4"/>
      <c r="CIK50" s="4"/>
      <c r="CIL50" s="4"/>
      <c r="CIM50" s="4"/>
      <c r="CIN50" s="4"/>
      <c r="CIO50" s="4"/>
      <c r="CIP50" s="4"/>
      <c r="CIQ50" s="4"/>
      <c r="CIR50" s="4"/>
      <c r="CIS50" s="4"/>
      <c r="CIT50" s="4"/>
      <c r="CIU50" s="4"/>
      <c r="CIV50" s="4"/>
      <c r="CIW50" s="4"/>
      <c r="CIX50" s="4"/>
      <c r="CIY50" s="4"/>
      <c r="CIZ50" s="4"/>
      <c r="CJA50" s="4"/>
      <c r="CJB50" s="4"/>
      <c r="CJC50" s="4"/>
      <c r="CJD50" s="4"/>
      <c r="CJE50" s="4"/>
      <c r="CJF50" s="4"/>
      <c r="CJG50" s="4"/>
      <c r="CJH50" s="4"/>
      <c r="CJI50" s="4"/>
      <c r="CJJ50" s="4"/>
      <c r="CJK50" s="4"/>
      <c r="CJL50" s="4"/>
      <c r="CJM50" s="4"/>
      <c r="CJN50" s="4"/>
      <c r="CJO50" s="4"/>
      <c r="CJP50" s="4"/>
      <c r="CJQ50" s="4"/>
      <c r="CJR50" s="4"/>
      <c r="CJS50" s="4"/>
      <c r="CJT50" s="4"/>
      <c r="CJU50" s="4"/>
      <c r="CJV50" s="4"/>
      <c r="CJW50" s="4"/>
      <c r="CJX50" s="4"/>
      <c r="CJY50" s="4"/>
      <c r="CJZ50" s="4"/>
      <c r="CKA50" s="4"/>
      <c r="CKB50" s="4"/>
      <c r="CKC50" s="4"/>
      <c r="CKD50" s="4"/>
      <c r="CKE50" s="4"/>
      <c r="CKF50" s="4"/>
      <c r="CKG50" s="4"/>
      <c r="CKH50" s="4"/>
      <c r="CKI50" s="4"/>
      <c r="CKJ50" s="4"/>
      <c r="CKK50" s="4"/>
      <c r="CKL50" s="4"/>
      <c r="CKM50" s="4"/>
      <c r="CKN50" s="4"/>
      <c r="CKO50" s="4"/>
      <c r="CKP50" s="4"/>
      <c r="CKQ50" s="4"/>
      <c r="CKR50" s="4"/>
      <c r="CKS50" s="4"/>
      <c r="CKT50" s="4"/>
      <c r="CKU50" s="4"/>
      <c r="CKV50" s="4"/>
      <c r="CKW50" s="4"/>
      <c r="CKX50" s="4"/>
      <c r="CKY50" s="4"/>
      <c r="CKZ50" s="4"/>
      <c r="CLA50" s="4"/>
      <c r="CLB50" s="4"/>
      <c r="CLC50" s="4"/>
      <c r="CLD50" s="4"/>
      <c r="CLE50" s="4"/>
      <c r="CLF50" s="4"/>
      <c r="CLG50" s="4"/>
      <c r="CLH50" s="4"/>
      <c r="CLI50" s="4"/>
      <c r="CLJ50" s="4"/>
      <c r="CLK50" s="4"/>
      <c r="CLL50" s="4"/>
      <c r="CLM50" s="4"/>
      <c r="CLN50" s="4"/>
      <c r="CLO50" s="4"/>
      <c r="CLP50" s="4"/>
      <c r="CLQ50" s="4"/>
      <c r="CLR50" s="4"/>
      <c r="CLS50" s="4"/>
      <c r="CLT50" s="4"/>
      <c r="CLU50" s="4"/>
      <c r="CLV50" s="4"/>
      <c r="CLW50" s="4"/>
      <c r="CLX50" s="4"/>
      <c r="CLY50" s="4"/>
      <c r="CLZ50" s="4"/>
      <c r="CMA50" s="4"/>
      <c r="CMB50" s="4"/>
      <c r="CMC50" s="4"/>
      <c r="CMD50" s="4"/>
      <c r="CME50" s="4"/>
      <c r="CMF50" s="4"/>
      <c r="CMG50" s="4"/>
      <c r="CMH50" s="4"/>
      <c r="CMI50" s="4"/>
      <c r="CMJ50" s="4"/>
      <c r="CMK50" s="4"/>
      <c r="CML50" s="4"/>
      <c r="CMM50" s="4"/>
      <c r="CMN50" s="4"/>
      <c r="CMO50" s="4"/>
      <c r="CMP50" s="4"/>
      <c r="CMQ50" s="4"/>
      <c r="CMR50" s="4"/>
      <c r="CMS50" s="4"/>
      <c r="CMT50" s="4"/>
      <c r="CMU50" s="4"/>
      <c r="CMV50" s="4"/>
      <c r="CMW50" s="4"/>
      <c r="CMX50" s="4"/>
      <c r="CMY50" s="4"/>
      <c r="CMZ50" s="4"/>
      <c r="CNA50" s="4"/>
      <c r="CNB50" s="4"/>
      <c r="CNC50" s="4"/>
      <c r="CND50" s="4"/>
      <c r="CNE50" s="4"/>
      <c r="CNF50" s="4"/>
      <c r="CNG50" s="4"/>
      <c r="CNH50" s="4"/>
      <c r="CNI50" s="4"/>
      <c r="CNJ50" s="4"/>
      <c r="CNK50" s="4"/>
      <c r="CNL50" s="4"/>
      <c r="CNM50" s="4"/>
      <c r="CNN50" s="4"/>
      <c r="CNO50" s="4"/>
      <c r="CNP50" s="4"/>
      <c r="CNQ50" s="4"/>
      <c r="CNR50" s="4"/>
      <c r="CNS50" s="4"/>
      <c r="CNT50" s="4"/>
      <c r="CNU50" s="4"/>
      <c r="CNV50" s="4"/>
      <c r="CNW50" s="4"/>
      <c r="CNX50" s="4"/>
      <c r="CNY50" s="4"/>
      <c r="CNZ50" s="4"/>
      <c r="COA50" s="4"/>
      <c r="COB50" s="4"/>
      <c r="COC50" s="4"/>
      <c r="COD50" s="4"/>
      <c r="COE50" s="4"/>
      <c r="COF50" s="4"/>
      <c r="COG50" s="4"/>
      <c r="COH50" s="4"/>
      <c r="COI50" s="4"/>
      <c r="COJ50" s="4"/>
      <c r="COK50" s="4"/>
      <c r="COL50" s="4"/>
      <c r="COM50" s="4"/>
      <c r="CON50" s="4"/>
      <c r="COO50" s="4"/>
      <c r="COP50" s="4"/>
      <c r="COQ50" s="4"/>
      <c r="COR50" s="4"/>
      <c r="COS50" s="4"/>
      <c r="COT50" s="4"/>
      <c r="COU50" s="4"/>
      <c r="COV50" s="4"/>
      <c r="COW50" s="4"/>
      <c r="COX50" s="4"/>
      <c r="COY50" s="4"/>
      <c r="COZ50" s="4"/>
      <c r="CPA50" s="4"/>
      <c r="CPB50" s="4"/>
      <c r="CPC50" s="4"/>
      <c r="CPD50" s="4"/>
      <c r="CPE50" s="4"/>
      <c r="CPF50" s="4"/>
      <c r="CPG50" s="4"/>
      <c r="CPH50" s="4"/>
      <c r="CPI50" s="4"/>
      <c r="CPJ50" s="4"/>
      <c r="CPK50" s="4"/>
      <c r="CPL50" s="4"/>
      <c r="CPM50" s="4"/>
      <c r="CPN50" s="4"/>
      <c r="CPO50" s="4"/>
      <c r="CPP50" s="4"/>
      <c r="CPQ50" s="4"/>
      <c r="CPR50" s="4"/>
      <c r="CPS50" s="4"/>
      <c r="CPT50" s="4"/>
      <c r="CPU50" s="4"/>
      <c r="CPV50" s="4"/>
      <c r="CPW50" s="4"/>
      <c r="CPX50" s="4"/>
      <c r="CPY50" s="4"/>
      <c r="CPZ50" s="4"/>
      <c r="CQA50" s="4"/>
      <c r="CQB50" s="4"/>
      <c r="CQC50" s="4"/>
      <c r="CQD50" s="4"/>
      <c r="CQE50" s="4"/>
      <c r="CQF50" s="4"/>
      <c r="CQG50" s="4"/>
      <c r="CQH50" s="4"/>
      <c r="CQI50" s="4"/>
      <c r="CQJ50" s="4"/>
      <c r="CQK50" s="4"/>
      <c r="CQL50" s="4"/>
      <c r="CQM50" s="4"/>
      <c r="CQN50" s="4"/>
      <c r="CQO50" s="4"/>
      <c r="CQP50" s="4"/>
      <c r="CQQ50" s="4"/>
      <c r="CQR50" s="4"/>
      <c r="CQS50" s="4"/>
      <c r="CQT50" s="4"/>
      <c r="CQU50" s="4"/>
      <c r="CQV50" s="4"/>
      <c r="CQW50" s="4"/>
      <c r="CQX50" s="4"/>
      <c r="CQY50" s="4"/>
      <c r="CQZ50" s="4"/>
      <c r="CRA50" s="4"/>
      <c r="CRB50" s="4"/>
      <c r="CRC50" s="4"/>
      <c r="CRD50" s="4"/>
      <c r="CRE50" s="4"/>
      <c r="CRF50" s="4"/>
      <c r="CRG50" s="4"/>
      <c r="CRH50" s="4"/>
      <c r="CRI50" s="4"/>
      <c r="CRJ50" s="4"/>
      <c r="CRK50" s="4"/>
      <c r="CRL50" s="4"/>
      <c r="CRM50" s="4"/>
      <c r="CRN50" s="4"/>
      <c r="CRO50" s="4"/>
      <c r="CRP50" s="4"/>
      <c r="CRQ50" s="4"/>
      <c r="CRR50" s="4"/>
      <c r="CRS50" s="4"/>
      <c r="CRT50" s="4"/>
      <c r="CRU50" s="4"/>
      <c r="CRV50" s="4"/>
      <c r="CRW50" s="4"/>
      <c r="CRX50" s="4"/>
      <c r="CRY50" s="4"/>
      <c r="CRZ50" s="4"/>
      <c r="CSA50" s="4"/>
      <c r="CSB50" s="4"/>
      <c r="CSC50" s="4"/>
      <c r="CSD50" s="4"/>
      <c r="CSE50" s="4"/>
      <c r="CSF50" s="4"/>
      <c r="CSG50" s="4"/>
      <c r="CSH50" s="4"/>
      <c r="CSI50" s="4"/>
      <c r="CSJ50" s="4"/>
      <c r="CSK50" s="4"/>
      <c r="CSL50" s="4"/>
      <c r="CSM50" s="4"/>
      <c r="CSN50" s="4"/>
      <c r="CSO50" s="4"/>
      <c r="CSP50" s="4"/>
      <c r="CSQ50" s="4"/>
      <c r="CSR50" s="4"/>
      <c r="CSS50" s="4"/>
      <c r="CST50" s="4"/>
      <c r="CSU50" s="4"/>
      <c r="CSV50" s="4"/>
      <c r="CSW50" s="4"/>
      <c r="CSX50" s="4"/>
      <c r="CSY50" s="4"/>
      <c r="CSZ50" s="4"/>
      <c r="CTA50" s="4"/>
      <c r="CTB50" s="4"/>
      <c r="CTC50" s="4"/>
      <c r="CTD50" s="4"/>
      <c r="CTE50" s="4"/>
      <c r="CTF50" s="4"/>
      <c r="CTG50" s="4"/>
      <c r="CTH50" s="4"/>
      <c r="CTI50" s="4"/>
      <c r="CTJ50" s="4"/>
      <c r="CTK50" s="4"/>
      <c r="CTL50" s="4"/>
      <c r="CTM50" s="4"/>
      <c r="CTN50" s="4"/>
      <c r="CTO50" s="4"/>
      <c r="CTP50" s="4"/>
      <c r="CTQ50" s="4"/>
      <c r="CTR50" s="4"/>
      <c r="CTS50" s="4"/>
      <c r="CTT50" s="4"/>
      <c r="CTU50" s="4"/>
      <c r="CTV50" s="4"/>
      <c r="CTW50" s="4"/>
      <c r="CTX50" s="4"/>
      <c r="CTY50" s="4"/>
      <c r="CTZ50" s="4"/>
      <c r="CUA50" s="4"/>
      <c r="CUB50" s="4"/>
      <c r="CUC50" s="4"/>
      <c r="CUD50" s="4"/>
      <c r="CUE50" s="4"/>
      <c r="CUF50" s="4"/>
      <c r="CUG50" s="4"/>
      <c r="CUH50" s="4"/>
      <c r="CUI50" s="4"/>
      <c r="CUJ50" s="4"/>
      <c r="CUK50" s="4"/>
      <c r="CUL50" s="4"/>
      <c r="CUM50" s="4"/>
      <c r="CUN50" s="4"/>
      <c r="CUO50" s="4"/>
      <c r="CUP50" s="4"/>
      <c r="CUQ50" s="4"/>
      <c r="CUR50" s="4"/>
      <c r="CUS50" s="4"/>
      <c r="CUT50" s="4"/>
      <c r="CUU50" s="4"/>
      <c r="CUV50" s="4"/>
      <c r="CUW50" s="4"/>
      <c r="CUX50" s="4"/>
      <c r="CUY50" s="4"/>
      <c r="CUZ50" s="4"/>
      <c r="CVA50" s="4"/>
      <c r="CVB50" s="4"/>
      <c r="CVC50" s="4"/>
      <c r="CVD50" s="4"/>
      <c r="CVE50" s="4"/>
      <c r="CVF50" s="4"/>
      <c r="CVG50" s="4"/>
      <c r="CVH50" s="4"/>
      <c r="CVI50" s="4"/>
      <c r="CVJ50" s="4"/>
      <c r="CVK50" s="4"/>
      <c r="CVL50" s="4"/>
      <c r="CVM50" s="4"/>
      <c r="CVN50" s="4"/>
      <c r="CVO50" s="4"/>
      <c r="CVP50" s="4"/>
      <c r="CVQ50" s="4"/>
      <c r="CVR50" s="4"/>
      <c r="CVS50" s="4"/>
      <c r="CVT50" s="4"/>
      <c r="CVU50" s="4"/>
      <c r="CVV50" s="4"/>
      <c r="CVW50" s="4"/>
      <c r="CVX50" s="4"/>
      <c r="CVY50" s="4"/>
      <c r="CVZ50" s="4"/>
      <c r="CWA50" s="4"/>
      <c r="CWB50" s="4"/>
      <c r="CWC50" s="4"/>
      <c r="CWD50" s="4"/>
      <c r="CWE50" s="4"/>
      <c r="CWF50" s="4"/>
      <c r="CWG50" s="4"/>
      <c r="CWH50" s="4"/>
      <c r="CWI50" s="4"/>
      <c r="CWJ50" s="4"/>
      <c r="CWK50" s="4"/>
      <c r="CWL50" s="4"/>
      <c r="CWM50" s="4"/>
      <c r="CWN50" s="4"/>
      <c r="CWO50" s="4"/>
      <c r="CWP50" s="4"/>
      <c r="CWQ50" s="4"/>
      <c r="CWR50" s="4"/>
      <c r="CWS50" s="4"/>
      <c r="CWT50" s="4"/>
      <c r="CWU50" s="4"/>
      <c r="CWV50" s="4"/>
      <c r="CWW50" s="4"/>
      <c r="CWX50" s="4"/>
      <c r="CWY50" s="4"/>
      <c r="CWZ50" s="4"/>
      <c r="CXA50" s="4"/>
      <c r="CXB50" s="4"/>
      <c r="CXC50" s="4"/>
      <c r="CXD50" s="4"/>
      <c r="CXE50" s="4"/>
      <c r="CXF50" s="4"/>
      <c r="CXG50" s="4"/>
      <c r="CXH50" s="4"/>
      <c r="CXI50" s="4"/>
      <c r="CXJ50" s="4"/>
      <c r="CXK50" s="4"/>
      <c r="CXL50" s="4"/>
      <c r="CXM50" s="4"/>
      <c r="CXN50" s="4"/>
      <c r="CXO50" s="4"/>
      <c r="CXP50" s="4"/>
      <c r="CXQ50" s="4"/>
      <c r="CXR50" s="4"/>
      <c r="CXS50" s="4"/>
      <c r="CXT50" s="4"/>
      <c r="CXU50" s="4"/>
      <c r="CXV50" s="4"/>
      <c r="CXW50" s="4"/>
      <c r="CXX50" s="4"/>
      <c r="CXY50" s="4"/>
      <c r="CXZ50" s="4"/>
      <c r="CYA50" s="4"/>
      <c r="CYB50" s="4"/>
      <c r="CYC50" s="4"/>
      <c r="CYD50" s="4"/>
      <c r="CYE50" s="4"/>
      <c r="CYF50" s="4"/>
      <c r="CYG50" s="4"/>
      <c r="CYH50" s="4"/>
      <c r="CYI50" s="4"/>
      <c r="CYJ50" s="4"/>
      <c r="CYK50" s="4"/>
      <c r="CYL50" s="4"/>
      <c r="CYM50" s="4"/>
      <c r="CYN50" s="4"/>
      <c r="CYO50" s="4"/>
      <c r="CYP50" s="4"/>
      <c r="CYQ50" s="4"/>
      <c r="CYR50" s="4"/>
      <c r="CYS50" s="4"/>
      <c r="CYT50" s="4"/>
      <c r="CYU50" s="4"/>
      <c r="CYV50" s="4"/>
      <c r="CYW50" s="4"/>
      <c r="CYX50" s="4"/>
      <c r="CYY50" s="4"/>
      <c r="CYZ50" s="4"/>
      <c r="CZA50" s="4"/>
      <c r="CZB50" s="4"/>
      <c r="CZC50" s="4"/>
      <c r="CZD50" s="4"/>
      <c r="CZE50" s="4"/>
      <c r="CZF50" s="4"/>
      <c r="CZG50" s="4"/>
      <c r="CZH50" s="4"/>
      <c r="CZI50" s="4"/>
      <c r="CZJ50" s="4"/>
      <c r="CZK50" s="4"/>
      <c r="CZL50" s="4"/>
      <c r="CZM50" s="4"/>
      <c r="CZN50" s="4"/>
      <c r="CZO50" s="4"/>
      <c r="CZP50" s="4"/>
      <c r="CZQ50" s="4"/>
      <c r="CZR50" s="4"/>
      <c r="CZS50" s="4"/>
      <c r="CZT50" s="4"/>
      <c r="CZU50" s="4"/>
      <c r="CZV50" s="4"/>
      <c r="CZW50" s="4"/>
      <c r="CZX50" s="4"/>
      <c r="CZY50" s="4"/>
      <c r="CZZ50" s="4"/>
      <c r="DAA50" s="4"/>
      <c r="DAB50" s="4"/>
      <c r="DAC50" s="4"/>
      <c r="DAD50" s="4"/>
      <c r="DAE50" s="4"/>
      <c r="DAF50" s="4"/>
      <c r="DAG50" s="4"/>
      <c r="DAH50" s="4"/>
      <c r="DAI50" s="4"/>
      <c r="DAJ50" s="4"/>
      <c r="DAK50" s="4"/>
      <c r="DAL50" s="4"/>
      <c r="DAM50" s="4"/>
      <c r="DAN50" s="4"/>
      <c r="DAO50" s="4"/>
      <c r="DAP50" s="4"/>
      <c r="DAQ50" s="4"/>
      <c r="DAR50" s="4"/>
      <c r="DAS50" s="4"/>
      <c r="DAT50" s="4"/>
      <c r="DAU50" s="4"/>
      <c r="DAV50" s="4"/>
      <c r="DAW50" s="4"/>
      <c r="DAX50" s="4"/>
      <c r="DAY50" s="4"/>
      <c r="DAZ50" s="4"/>
      <c r="DBA50" s="4"/>
      <c r="DBB50" s="4"/>
      <c r="DBC50" s="4"/>
      <c r="DBD50" s="4"/>
      <c r="DBE50" s="4"/>
      <c r="DBF50" s="4"/>
      <c r="DBG50" s="4"/>
      <c r="DBH50" s="4"/>
      <c r="DBI50" s="4"/>
      <c r="DBJ50" s="4"/>
      <c r="DBK50" s="4"/>
      <c r="DBL50" s="4"/>
      <c r="DBM50" s="4"/>
      <c r="DBN50" s="4"/>
      <c r="DBO50" s="4"/>
      <c r="DBP50" s="4"/>
      <c r="DBQ50" s="4"/>
      <c r="DBR50" s="4"/>
      <c r="DBS50" s="4"/>
      <c r="DBT50" s="4"/>
      <c r="DBU50" s="4"/>
      <c r="DBV50" s="4"/>
      <c r="DBW50" s="4"/>
      <c r="DBX50" s="4"/>
      <c r="DBY50" s="4"/>
      <c r="DBZ50" s="4"/>
      <c r="DCA50" s="4"/>
      <c r="DCB50" s="4"/>
      <c r="DCC50" s="4"/>
      <c r="DCD50" s="4"/>
      <c r="DCE50" s="4"/>
      <c r="DCF50" s="4"/>
      <c r="DCG50" s="4"/>
      <c r="DCH50" s="4"/>
      <c r="DCI50" s="4"/>
      <c r="DCJ50" s="4"/>
      <c r="DCK50" s="4"/>
      <c r="DCL50" s="4"/>
      <c r="DCM50" s="4"/>
      <c r="DCN50" s="4"/>
      <c r="DCO50" s="4"/>
      <c r="DCP50" s="4"/>
      <c r="DCQ50" s="4"/>
      <c r="DCR50" s="4"/>
      <c r="DCS50" s="4"/>
      <c r="DCT50" s="4"/>
      <c r="DCU50" s="4"/>
      <c r="DCV50" s="4"/>
      <c r="DCW50" s="4"/>
      <c r="DCX50" s="4"/>
      <c r="DCY50" s="4"/>
      <c r="DCZ50" s="4"/>
      <c r="DDA50" s="4"/>
      <c r="DDB50" s="4"/>
      <c r="DDC50" s="4"/>
      <c r="DDD50" s="4"/>
      <c r="DDE50" s="4"/>
      <c r="DDF50" s="4"/>
      <c r="DDG50" s="4"/>
      <c r="DDH50" s="4"/>
      <c r="DDI50" s="4"/>
      <c r="DDJ50" s="4"/>
      <c r="DDK50" s="4"/>
      <c r="DDL50" s="4"/>
      <c r="DDM50" s="4"/>
      <c r="DDN50" s="4"/>
      <c r="DDO50" s="4"/>
      <c r="DDP50" s="4"/>
      <c r="DDQ50" s="4"/>
      <c r="DDR50" s="4"/>
      <c r="DDS50" s="4"/>
      <c r="DDT50" s="4"/>
      <c r="DDU50" s="4"/>
      <c r="DDV50" s="4"/>
      <c r="DDW50" s="4"/>
      <c r="DDX50" s="4"/>
      <c r="DDY50" s="4"/>
      <c r="DDZ50" s="4"/>
      <c r="DEA50" s="4"/>
      <c r="DEB50" s="4"/>
      <c r="DEC50" s="4"/>
      <c r="DED50" s="4"/>
      <c r="DEE50" s="4"/>
      <c r="DEF50" s="4"/>
      <c r="DEG50" s="4"/>
      <c r="DEH50" s="4"/>
      <c r="DEI50" s="4"/>
      <c r="DEJ50" s="4"/>
      <c r="DEK50" s="4"/>
      <c r="DEL50" s="4"/>
      <c r="DEM50" s="4"/>
      <c r="DEN50" s="4"/>
      <c r="DEO50" s="4"/>
      <c r="DEP50" s="4"/>
      <c r="DEQ50" s="4"/>
      <c r="DER50" s="4"/>
      <c r="DES50" s="4"/>
      <c r="DET50" s="4"/>
      <c r="DEU50" s="4"/>
      <c r="DEV50" s="4"/>
      <c r="DEW50" s="4"/>
      <c r="DEX50" s="4"/>
      <c r="DEY50" s="4"/>
      <c r="DEZ50" s="4"/>
      <c r="DFA50" s="4"/>
      <c r="DFB50" s="4"/>
      <c r="DFC50" s="4"/>
      <c r="DFD50" s="4"/>
      <c r="DFE50" s="4"/>
      <c r="DFF50" s="4"/>
      <c r="DFG50" s="4"/>
      <c r="DFH50" s="4"/>
      <c r="DFI50" s="4"/>
      <c r="DFJ50" s="4"/>
      <c r="DFK50" s="4"/>
      <c r="DFL50" s="4"/>
      <c r="DFM50" s="4"/>
      <c r="DFN50" s="4"/>
      <c r="DFO50" s="4"/>
      <c r="DFP50" s="4"/>
      <c r="DFQ50" s="4"/>
      <c r="DFR50" s="4"/>
      <c r="DFS50" s="4"/>
      <c r="DFT50" s="4"/>
      <c r="DFU50" s="4"/>
      <c r="DFV50" s="4"/>
      <c r="DFW50" s="4"/>
      <c r="DFX50" s="4"/>
      <c r="DFY50" s="4"/>
      <c r="DFZ50" s="4"/>
      <c r="DGA50" s="4"/>
      <c r="DGB50" s="4"/>
      <c r="DGC50" s="4"/>
      <c r="DGD50" s="4"/>
      <c r="DGE50" s="4"/>
      <c r="DGF50" s="4"/>
      <c r="DGG50" s="4"/>
      <c r="DGH50" s="4"/>
      <c r="DGI50" s="4"/>
      <c r="DGJ50" s="4"/>
      <c r="DGK50" s="4"/>
      <c r="DGL50" s="4"/>
      <c r="DGM50" s="4"/>
      <c r="DGN50" s="4"/>
      <c r="DGO50" s="4"/>
      <c r="DGP50" s="4"/>
      <c r="DGQ50" s="4"/>
      <c r="DGR50" s="4"/>
      <c r="DGS50" s="4"/>
      <c r="DGT50" s="4"/>
      <c r="DGU50" s="4"/>
      <c r="DGV50" s="4"/>
      <c r="DGW50" s="4"/>
      <c r="DGX50" s="4"/>
      <c r="DGY50" s="4"/>
      <c r="DGZ50" s="4"/>
      <c r="DHA50" s="4"/>
      <c r="DHB50" s="4"/>
      <c r="DHC50" s="4"/>
      <c r="DHD50" s="4"/>
      <c r="DHE50" s="4"/>
      <c r="DHF50" s="4"/>
      <c r="DHG50" s="4"/>
      <c r="DHH50" s="4"/>
      <c r="DHI50" s="4"/>
      <c r="DHJ50" s="4"/>
      <c r="DHK50" s="4"/>
      <c r="DHL50" s="4"/>
      <c r="DHM50" s="4"/>
      <c r="DHN50" s="4"/>
      <c r="DHO50" s="4"/>
      <c r="DHP50" s="4"/>
      <c r="DHQ50" s="4"/>
      <c r="DHR50" s="4"/>
      <c r="DHS50" s="4"/>
      <c r="DHT50" s="4"/>
      <c r="DHU50" s="4"/>
      <c r="DHV50" s="4"/>
      <c r="DHW50" s="4"/>
      <c r="DHX50" s="4"/>
      <c r="DHY50" s="4"/>
      <c r="DHZ50" s="4"/>
      <c r="DIA50" s="4"/>
      <c r="DIB50" s="4"/>
      <c r="DIC50" s="4"/>
      <c r="DID50" s="4"/>
      <c r="DIE50" s="4"/>
      <c r="DIF50" s="4"/>
      <c r="DIG50" s="4"/>
      <c r="DIH50" s="4"/>
      <c r="DII50" s="4"/>
      <c r="DIJ50" s="4"/>
      <c r="DIK50" s="4"/>
      <c r="DIL50" s="4"/>
      <c r="DIM50" s="4"/>
      <c r="DIN50" s="4"/>
      <c r="DIO50" s="4"/>
      <c r="DIP50" s="4"/>
      <c r="DIQ50" s="4"/>
      <c r="DIR50" s="4"/>
      <c r="DIS50" s="4"/>
      <c r="DIT50" s="4"/>
      <c r="DIU50" s="4"/>
      <c r="DIV50" s="4"/>
      <c r="DIW50" s="4"/>
      <c r="DIX50" s="4"/>
      <c r="DIY50" s="4"/>
      <c r="DIZ50" s="4"/>
      <c r="DJA50" s="4"/>
      <c r="DJB50" s="4"/>
      <c r="DJC50" s="4"/>
      <c r="DJD50" s="4"/>
      <c r="DJE50" s="4"/>
      <c r="DJF50" s="4"/>
      <c r="DJG50" s="4"/>
      <c r="DJH50" s="4"/>
      <c r="DJI50" s="4"/>
      <c r="DJJ50" s="4"/>
      <c r="DJK50" s="4"/>
      <c r="DJL50" s="4"/>
      <c r="DJM50" s="4"/>
      <c r="DJN50" s="4"/>
      <c r="DJO50" s="4"/>
      <c r="DJP50" s="4"/>
      <c r="DJQ50" s="4"/>
      <c r="DJR50" s="4"/>
      <c r="DJS50" s="4"/>
      <c r="DJT50" s="4"/>
      <c r="DJU50" s="4"/>
      <c r="DJV50" s="4"/>
      <c r="DJW50" s="4"/>
      <c r="DJX50" s="4"/>
      <c r="DJY50" s="4"/>
      <c r="DJZ50" s="4"/>
      <c r="DKA50" s="4"/>
      <c r="DKB50" s="4"/>
      <c r="DKC50" s="4"/>
      <c r="DKD50" s="4"/>
      <c r="DKE50" s="4"/>
      <c r="DKF50" s="4"/>
      <c r="DKG50" s="4"/>
      <c r="DKH50" s="4"/>
      <c r="DKI50" s="4"/>
      <c r="DKJ50" s="4"/>
      <c r="DKK50" s="4"/>
      <c r="DKL50" s="4"/>
      <c r="DKM50" s="4"/>
      <c r="DKN50" s="4"/>
      <c r="DKO50" s="4"/>
      <c r="DKP50" s="4"/>
      <c r="DKQ50" s="4"/>
      <c r="DKR50" s="4"/>
      <c r="DKS50" s="4"/>
      <c r="DKT50" s="4"/>
      <c r="DKU50" s="4"/>
      <c r="DKV50" s="4"/>
      <c r="DKW50" s="4"/>
      <c r="DKX50" s="4"/>
      <c r="DKY50" s="4"/>
      <c r="DKZ50" s="4"/>
      <c r="DLA50" s="4"/>
      <c r="DLB50" s="4"/>
      <c r="DLC50" s="4"/>
      <c r="DLD50" s="4"/>
      <c r="DLE50" s="4"/>
      <c r="DLF50" s="4"/>
      <c r="DLG50" s="4"/>
      <c r="DLH50" s="4"/>
      <c r="DLI50" s="4"/>
      <c r="DLJ50" s="4"/>
      <c r="DLK50" s="4"/>
      <c r="DLL50" s="4"/>
      <c r="DLM50" s="4"/>
      <c r="DLN50" s="4"/>
      <c r="DLO50" s="4"/>
      <c r="DLP50" s="4"/>
      <c r="DLQ50" s="4"/>
      <c r="DLR50" s="4"/>
      <c r="DLS50" s="4"/>
      <c r="DLT50" s="4"/>
      <c r="DLU50" s="4"/>
      <c r="DLV50" s="4"/>
      <c r="DLW50" s="4"/>
      <c r="DLX50" s="4"/>
      <c r="DLY50" s="4"/>
      <c r="DLZ50" s="4"/>
      <c r="DMA50" s="4"/>
      <c r="DMB50" s="4"/>
      <c r="DMC50" s="4"/>
      <c r="DMD50" s="4"/>
      <c r="DME50" s="4"/>
      <c r="DMF50" s="4"/>
      <c r="DMG50" s="4"/>
      <c r="DMH50" s="4"/>
      <c r="DMI50" s="4"/>
      <c r="DMJ50" s="4"/>
      <c r="DMK50" s="4"/>
      <c r="DML50" s="4"/>
      <c r="DMM50" s="4"/>
      <c r="DMN50" s="4"/>
      <c r="DMO50" s="4"/>
      <c r="DMP50" s="4"/>
      <c r="DMQ50" s="4"/>
      <c r="DMR50" s="4"/>
      <c r="DMS50" s="4"/>
      <c r="DMT50" s="4"/>
      <c r="DMU50" s="4"/>
      <c r="DMV50" s="4"/>
      <c r="DMW50" s="4"/>
      <c r="DMX50" s="4"/>
      <c r="DMY50" s="4"/>
      <c r="DMZ50" s="4"/>
      <c r="DNA50" s="4"/>
      <c r="DNB50" s="4"/>
      <c r="DNC50" s="4"/>
      <c r="DND50" s="4"/>
      <c r="DNE50" s="4"/>
      <c r="DNF50" s="4"/>
      <c r="DNG50" s="4"/>
      <c r="DNH50" s="4"/>
      <c r="DNI50" s="4"/>
      <c r="DNJ50" s="4"/>
      <c r="DNK50" s="4"/>
      <c r="DNL50" s="4"/>
      <c r="DNM50" s="4"/>
      <c r="DNN50" s="4"/>
      <c r="DNO50" s="4"/>
      <c r="DNP50" s="4"/>
      <c r="DNQ50" s="4"/>
      <c r="DNR50" s="4"/>
      <c r="DNS50" s="4"/>
      <c r="DNT50" s="4"/>
      <c r="DNU50" s="4"/>
      <c r="DNV50" s="4"/>
      <c r="DNW50" s="4"/>
      <c r="DNX50" s="4"/>
      <c r="DNY50" s="4"/>
      <c r="DNZ50" s="4"/>
      <c r="DOA50" s="4"/>
      <c r="DOB50" s="4"/>
      <c r="DOC50" s="4"/>
      <c r="DOD50" s="4"/>
      <c r="DOE50" s="4"/>
      <c r="DOF50" s="4"/>
      <c r="DOG50" s="4"/>
      <c r="DOH50" s="4"/>
      <c r="DOI50" s="4"/>
      <c r="DOJ50" s="4"/>
      <c r="DOK50" s="4"/>
      <c r="DOL50" s="4"/>
      <c r="DOM50" s="4"/>
      <c r="DON50" s="4"/>
      <c r="DOO50" s="4"/>
      <c r="DOP50" s="4"/>
      <c r="DOQ50" s="4"/>
      <c r="DOR50" s="4"/>
      <c r="DOS50" s="4"/>
      <c r="DOT50" s="4"/>
      <c r="DOU50" s="4"/>
      <c r="DOV50" s="4"/>
      <c r="DOW50" s="4"/>
      <c r="DOX50" s="4"/>
      <c r="DOY50" s="4"/>
      <c r="DOZ50" s="4"/>
      <c r="DPA50" s="4"/>
      <c r="DPB50" s="4"/>
      <c r="DPC50" s="4"/>
      <c r="DPD50" s="4"/>
      <c r="DPE50" s="4"/>
      <c r="DPF50" s="4"/>
      <c r="DPG50" s="4"/>
      <c r="DPH50" s="4"/>
      <c r="DPI50" s="4"/>
      <c r="DPJ50" s="4"/>
      <c r="DPK50" s="4"/>
      <c r="DPL50" s="4"/>
      <c r="DPM50" s="4"/>
      <c r="DPN50" s="4"/>
      <c r="DPO50" s="4"/>
      <c r="DPP50" s="4"/>
      <c r="DPQ50" s="4"/>
      <c r="DPR50" s="4"/>
      <c r="DPS50" s="4"/>
      <c r="DPT50" s="4"/>
      <c r="DPU50" s="4"/>
      <c r="DPV50" s="4"/>
      <c r="DPW50" s="4"/>
      <c r="DPX50" s="4"/>
      <c r="DPY50" s="4"/>
      <c r="DPZ50" s="4"/>
      <c r="DQA50" s="4"/>
      <c r="DQB50" s="4"/>
      <c r="DQC50" s="4"/>
      <c r="DQD50" s="4"/>
      <c r="DQE50" s="4"/>
      <c r="DQF50" s="4"/>
      <c r="DQG50" s="4"/>
      <c r="DQH50" s="4"/>
      <c r="DQI50" s="4"/>
      <c r="DQJ50" s="4"/>
      <c r="DQK50" s="4"/>
      <c r="DQL50" s="4"/>
      <c r="DQM50" s="4"/>
      <c r="DQN50" s="4"/>
      <c r="DQO50" s="4"/>
      <c r="DQP50" s="4"/>
      <c r="DQQ50" s="4"/>
      <c r="DQR50" s="4"/>
      <c r="DQS50" s="4"/>
      <c r="DQT50" s="4"/>
      <c r="DQU50" s="4"/>
      <c r="DQV50" s="4"/>
      <c r="DQW50" s="4"/>
      <c r="DQX50" s="4"/>
      <c r="DQY50" s="4"/>
      <c r="DQZ50" s="4"/>
      <c r="DRA50" s="4"/>
      <c r="DRB50" s="4"/>
      <c r="DRC50" s="4"/>
      <c r="DRD50" s="4"/>
      <c r="DRE50" s="4"/>
      <c r="DRF50" s="4"/>
      <c r="DRG50" s="4"/>
      <c r="DRH50" s="4"/>
      <c r="DRI50" s="4"/>
      <c r="DRJ50" s="4"/>
      <c r="DRK50" s="4"/>
      <c r="DRL50" s="4"/>
      <c r="DRM50" s="4"/>
      <c r="DRN50" s="4"/>
      <c r="DRO50" s="4"/>
      <c r="DRP50" s="4"/>
      <c r="DRQ50" s="4"/>
      <c r="DRR50" s="4"/>
      <c r="DRS50" s="4"/>
      <c r="DRT50" s="4"/>
      <c r="DRU50" s="4"/>
      <c r="DRV50" s="4"/>
      <c r="DRW50" s="4"/>
      <c r="DRX50" s="4"/>
      <c r="DRY50" s="4"/>
      <c r="DRZ50" s="4"/>
      <c r="DSA50" s="4"/>
      <c r="DSB50" s="4"/>
      <c r="DSC50" s="4"/>
      <c r="DSD50" s="4"/>
      <c r="DSE50" s="4"/>
      <c r="DSF50" s="4"/>
      <c r="DSG50" s="4"/>
      <c r="DSH50" s="4"/>
      <c r="DSI50" s="4"/>
      <c r="DSJ50" s="4"/>
      <c r="DSK50" s="4"/>
      <c r="DSL50" s="4"/>
      <c r="DSM50" s="4"/>
      <c r="DSN50" s="4"/>
      <c r="DSO50" s="4"/>
      <c r="DSP50" s="4"/>
      <c r="DSQ50" s="4"/>
      <c r="DSR50" s="4"/>
      <c r="DSS50" s="4"/>
      <c r="DST50" s="4"/>
      <c r="DSU50" s="4"/>
      <c r="DSV50" s="4"/>
      <c r="DSW50" s="4"/>
      <c r="DSX50" s="4"/>
      <c r="DSY50" s="4"/>
      <c r="DSZ50" s="4"/>
      <c r="DTA50" s="4"/>
      <c r="DTB50" s="4"/>
      <c r="DTC50" s="4"/>
      <c r="DTD50" s="4"/>
      <c r="DTE50" s="4"/>
      <c r="DTF50" s="4"/>
      <c r="DTG50" s="4"/>
      <c r="DTH50" s="4"/>
      <c r="DTI50" s="4"/>
      <c r="DTJ50" s="4"/>
      <c r="DTK50" s="4"/>
      <c r="DTL50" s="4"/>
      <c r="DTM50" s="4"/>
      <c r="DTN50" s="4"/>
      <c r="DTO50" s="4"/>
      <c r="DTP50" s="4"/>
      <c r="DTQ50" s="4"/>
      <c r="DTR50" s="4"/>
      <c r="DTS50" s="4"/>
      <c r="DTT50" s="4"/>
      <c r="DTU50" s="4"/>
      <c r="DTV50" s="4"/>
      <c r="DTW50" s="4"/>
      <c r="DTX50" s="4"/>
      <c r="DTY50" s="4"/>
      <c r="DTZ50" s="4"/>
      <c r="DUA50" s="4"/>
      <c r="DUB50" s="4"/>
      <c r="DUC50" s="4"/>
      <c r="DUD50" s="4"/>
      <c r="DUE50" s="4"/>
      <c r="DUF50" s="4"/>
      <c r="DUG50" s="4"/>
      <c r="DUH50" s="4"/>
      <c r="DUI50" s="4"/>
      <c r="DUJ50" s="4"/>
      <c r="DUK50" s="4"/>
      <c r="DUL50" s="4"/>
      <c r="DUM50" s="4"/>
      <c r="DUN50" s="4"/>
      <c r="DUO50" s="4"/>
      <c r="DUP50" s="4"/>
      <c r="DUQ50" s="4"/>
      <c r="DUR50" s="4"/>
      <c r="DUS50" s="4"/>
      <c r="DUT50" s="4"/>
      <c r="DUU50" s="4"/>
      <c r="DUV50" s="4"/>
      <c r="DUW50" s="4"/>
      <c r="DUX50" s="4"/>
      <c r="DUY50" s="4"/>
      <c r="DUZ50" s="4"/>
      <c r="DVA50" s="4"/>
      <c r="DVB50" s="4"/>
      <c r="DVC50" s="4"/>
      <c r="DVD50" s="4"/>
      <c r="DVE50" s="4"/>
      <c r="DVF50" s="4"/>
      <c r="DVG50" s="4"/>
      <c r="DVH50" s="4"/>
      <c r="DVI50" s="4"/>
      <c r="DVJ50" s="4"/>
      <c r="DVK50" s="4"/>
      <c r="DVL50" s="4"/>
      <c r="DVM50" s="4"/>
      <c r="DVN50" s="4"/>
      <c r="DVO50" s="4"/>
      <c r="DVP50" s="4"/>
      <c r="DVQ50" s="4"/>
      <c r="DVR50" s="4"/>
      <c r="DVS50" s="4"/>
      <c r="DVT50" s="4"/>
      <c r="DVU50" s="4"/>
      <c r="DVV50" s="4"/>
      <c r="DVW50" s="4"/>
      <c r="DVX50" s="4"/>
      <c r="DVY50" s="4"/>
      <c r="DVZ50" s="4"/>
      <c r="DWA50" s="4"/>
      <c r="DWB50" s="4"/>
      <c r="DWC50" s="4"/>
      <c r="DWD50" s="4"/>
      <c r="DWE50" s="4"/>
      <c r="DWF50" s="4"/>
      <c r="DWG50" s="4"/>
      <c r="DWH50" s="4"/>
      <c r="DWI50" s="4"/>
      <c r="DWJ50" s="4"/>
      <c r="DWK50" s="4"/>
      <c r="DWL50" s="4"/>
      <c r="DWM50" s="4"/>
      <c r="DWN50" s="4"/>
      <c r="DWO50" s="4"/>
      <c r="DWP50" s="4"/>
      <c r="DWQ50" s="4"/>
      <c r="DWR50" s="4"/>
      <c r="DWS50" s="4"/>
      <c r="DWT50" s="4"/>
      <c r="DWU50" s="4"/>
      <c r="DWV50" s="4"/>
      <c r="DWW50" s="4"/>
      <c r="DWX50" s="4"/>
      <c r="DWY50" s="4"/>
      <c r="DWZ50" s="4"/>
      <c r="DXA50" s="4"/>
      <c r="DXB50" s="4"/>
      <c r="DXC50" s="4"/>
      <c r="DXD50" s="4"/>
      <c r="DXE50" s="4"/>
      <c r="DXF50" s="4"/>
      <c r="DXG50" s="4"/>
      <c r="DXH50" s="4"/>
      <c r="DXI50" s="4"/>
      <c r="DXJ50" s="4"/>
      <c r="DXK50" s="4"/>
      <c r="DXL50" s="4"/>
      <c r="DXM50" s="4"/>
      <c r="DXN50" s="4"/>
      <c r="DXO50" s="4"/>
      <c r="DXP50" s="4"/>
      <c r="DXQ50" s="4"/>
      <c r="DXR50" s="4"/>
      <c r="DXS50" s="4"/>
      <c r="DXT50" s="4"/>
      <c r="DXU50" s="4"/>
      <c r="DXV50" s="4"/>
      <c r="DXW50" s="4"/>
      <c r="DXX50" s="4"/>
      <c r="DXY50" s="4"/>
      <c r="DXZ50" s="4"/>
      <c r="DYA50" s="4"/>
      <c r="DYB50" s="4"/>
      <c r="DYC50" s="4"/>
      <c r="DYD50" s="4"/>
      <c r="DYE50" s="4"/>
      <c r="DYF50" s="4"/>
      <c r="DYG50" s="4"/>
      <c r="DYH50" s="4"/>
      <c r="DYI50" s="4"/>
      <c r="DYJ50" s="4"/>
      <c r="DYK50" s="4"/>
      <c r="DYL50" s="4"/>
      <c r="DYM50" s="4"/>
      <c r="DYN50" s="4"/>
      <c r="DYO50" s="4"/>
      <c r="DYP50" s="4"/>
      <c r="DYQ50" s="4"/>
      <c r="DYR50" s="4"/>
      <c r="DYS50" s="4"/>
      <c r="DYT50" s="4"/>
      <c r="DYU50" s="4"/>
      <c r="DYV50" s="4"/>
      <c r="DYW50" s="4"/>
      <c r="DYX50" s="4"/>
      <c r="DYY50" s="4"/>
      <c r="DYZ50" s="4"/>
      <c r="DZA50" s="4"/>
      <c r="DZB50" s="4"/>
      <c r="DZC50" s="4"/>
      <c r="DZD50" s="4"/>
      <c r="DZE50" s="4"/>
      <c r="DZF50" s="4"/>
      <c r="DZG50" s="4"/>
      <c r="DZH50" s="4"/>
      <c r="DZI50" s="4"/>
      <c r="DZJ50" s="4"/>
      <c r="DZK50" s="4"/>
      <c r="DZL50" s="4"/>
      <c r="DZM50" s="4"/>
      <c r="DZN50" s="4"/>
      <c r="DZO50" s="4"/>
      <c r="DZP50" s="4"/>
      <c r="DZQ50" s="4"/>
      <c r="DZR50" s="4"/>
      <c r="DZS50" s="4"/>
      <c r="DZT50" s="4"/>
      <c r="DZU50" s="4"/>
      <c r="DZV50" s="4"/>
      <c r="DZW50" s="4"/>
      <c r="DZX50" s="4"/>
      <c r="DZY50" s="4"/>
      <c r="DZZ50" s="4"/>
      <c r="EAA50" s="4"/>
      <c r="EAB50" s="4"/>
      <c r="EAC50" s="4"/>
      <c r="EAD50" s="4"/>
      <c r="EAE50" s="4"/>
      <c r="EAF50" s="4"/>
      <c r="EAG50" s="4"/>
      <c r="EAH50" s="4"/>
      <c r="EAI50" s="4"/>
      <c r="EAJ50" s="4"/>
      <c r="EAK50" s="4"/>
      <c r="EAL50" s="4"/>
      <c r="EAM50" s="4"/>
      <c r="EAN50" s="4"/>
      <c r="EAO50" s="4"/>
      <c r="EAP50" s="4"/>
      <c r="EAQ50" s="4"/>
      <c r="EAR50" s="4"/>
      <c r="EAS50" s="4"/>
      <c r="EAT50" s="4"/>
      <c r="EAU50" s="4"/>
      <c r="EAV50" s="4"/>
      <c r="EAW50" s="4"/>
      <c r="EAX50" s="4"/>
      <c r="EAY50" s="4"/>
      <c r="EAZ50" s="4"/>
      <c r="EBA50" s="4"/>
      <c r="EBB50" s="4"/>
      <c r="EBC50" s="4"/>
      <c r="EBD50" s="4"/>
      <c r="EBE50" s="4"/>
      <c r="EBF50" s="4"/>
      <c r="EBG50" s="4"/>
      <c r="EBH50" s="4"/>
      <c r="EBI50" s="4"/>
      <c r="EBJ50" s="4"/>
      <c r="EBK50" s="4"/>
      <c r="EBL50" s="4"/>
      <c r="EBM50" s="4"/>
      <c r="EBN50" s="4"/>
      <c r="EBO50" s="4"/>
      <c r="EBP50" s="4"/>
      <c r="EBQ50" s="4"/>
      <c r="EBR50" s="4"/>
      <c r="EBS50" s="4"/>
      <c r="EBT50" s="4"/>
      <c r="EBU50" s="4"/>
      <c r="EBV50" s="4"/>
      <c r="EBW50" s="4"/>
      <c r="EBX50" s="4"/>
      <c r="EBY50" s="4"/>
      <c r="EBZ50" s="4"/>
      <c r="ECA50" s="4"/>
      <c r="ECB50" s="4"/>
      <c r="ECC50" s="4"/>
      <c r="ECD50" s="4"/>
      <c r="ECE50" s="4"/>
      <c r="ECF50" s="4"/>
      <c r="ECG50" s="4"/>
      <c r="ECH50" s="4"/>
      <c r="ECI50" s="4"/>
      <c r="ECJ50" s="4"/>
      <c r="ECK50" s="4"/>
      <c r="ECL50" s="4"/>
      <c r="ECM50" s="4"/>
      <c r="ECN50" s="4"/>
      <c r="ECO50" s="4"/>
      <c r="ECP50" s="4"/>
      <c r="ECQ50" s="4"/>
      <c r="ECR50" s="4"/>
      <c r="ECS50" s="4"/>
      <c r="ECT50" s="4"/>
      <c r="ECU50" s="4"/>
      <c r="ECV50" s="4"/>
      <c r="ECW50" s="4"/>
      <c r="ECX50" s="4"/>
      <c r="ECY50" s="4"/>
      <c r="ECZ50" s="4"/>
      <c r="EDA50" s="4"/>
      <c r="EDB50" s="4"/>
      <c r="EDC50" s="4"/>
      <c r="EDD50" s="4"/>
      <c r="EDE50" s="4"/>
      <c r="EDF50" s="4"/>
      <c r="EDG50" s="4"/>
      <c r="EDH50" s="4"/>
      <c r="EDI50" s="4"/>
      <c r="EDJ50" s="4"/>
      <c r="EDK50" s="4"/>
      <c r="EDL50" s="4"/>
      <c r="EDM50" s="4"/>
      <c r="EDN50" s="4"/>
      <c r="EDO50" s="4"/>
      <c r="EDP50" s="4"/>
      <c r="EDQ50" s="4"/>
      <c r="EDR50" s="4"/>
      <c r="EDS50" s="4"/>
      <c r="EDT50" s="4"/>
      <c r="EDU50" s="4"/>
      <c r="EDV50" s="4"/>
      <c r="EDW50" s="4"/>
      <c r="EDX50" s="4"/>
      <c r="EDY50" s="4"/>
      <c r="EDZ50" s="4"/>
      <c r="EEA50" s="4"/>
      <c r="EEB50" s="4"/>
      <c r="EEC50" s="4"/>
      <c r="EED50" s="4"/>
      <c r="EEE50" s="4"/>
      <c r="EEF50" s="4"/>
      <c r="EEG50" s="4"/>
      <c r="EEH50" s="4"/>
      <c r="EEI50" s="4"/>
      <c r="EEJ50" s="4"/>
      <c r="EEK50" s="4"/>
      <c r="EEL50" s="4"/>
      <c r="EEM50" s="4"/>
      <c r="EEN50" s="4"/>
      <c r="EEO50" s="4"/>
      <c r="EEP50" s="4"/>
      <c r="EEQ50" s="4"/>
      <c r="EER50" s="4"/>
      <c r="EES50" s="4"/>
      <c r="EET50" s="4"/>
      <c r="EEU50" s="4"/>
      <c r="EEV50" s="4"/>
      <c r="EEW50" s="4"/>
      <c r="EEX50" s="4"/>
      <c r="EEY50" s="4"/>
      <c r="EEZ50" s="4"/>
      <c r="EFA50" s="4"/>
      <c r="EFB50" s="4"/>
      <c r="EFC50" s="4"/>
      <c r="EFD50" s="4"/>
      <c r="EFE50" s="4"/>
      <c r="EFF50" s="4"/>
      <c r="EFG50" s="4"/>
      <c r="EFH50" s="4"/>
      <c r="EFI50" s="4"/>
      <c r="EFJ50" s="4"/>
      <c r="EFK50" s="4"/>
      <c r="EFL50" s="4"/>
      <c r="EFM50" s="4"/>
      <c r="EFN50" s="4"/>
      <c r="EFO50" s="4"/>
      <c r="EFP50" s="4"/>
      <c r="EFQ50" s="4"/>
      <c r="EFR50" s="4"/>
      <c r="EFS50" s="4"/>
      <c r="EFT50" s="4"/>
      <c r="EFU50" s="4"/>
      <c r="EFV50" s="4"/>
      <c r="EFW50" s="4"/>
      <c r="EFX50" s="4"/>
      <c r="EFY50" s="4"/>
      <c r="EFZ50" s="4"/>
      <c r="EGA50" s="4"/>
      <c r="EGB50" s="4"/>
      <c r="EGC50" s="4"/>
      <c r="EGD50" s="4"/>
      <c r="EGE50" s="4"/>
      <c r="EGF50" s="4"/>
      <c r="EGG50" s="4"/>
      <c r="EGH50" s="4"/>
      <c r="EGI50" s="4"/>
      <c r="EGJ50" s="4"/>
      <c r="EGK50" s="4"/>
      <c r="EGL50" s="4"/>
      <c r="EGM50" s="4"/>
      <c r="EGN50" s="4"/>
      <c r="EGO50" s="4"/>
      <c r="EGP50" s="4"/>
      <c r="EGQ50" s="4"/>
      <c r="EGR50" s="4"/>
      <c r="EGS50" s="4"/>
      <c r="EGT50" s="4"/>
      <c r="EGU50" s="4"/>
      <c r="EGV50" s="4"/>
      <c r="EGW50" s="4"/>
      <c r="EGX50" s="4"/>
      <c r="EGY50" s="4"/>
      <c r="EGZ50" s="4"/>
      <c r="EHA50" s="4"/>
      <c r="EHB50" s="4"/>
      <c r="EHC50" s="4"/>
      <c r="EHD50" s="4"/>
      <c r="EHE50" s="4"/>
      <c r="EHF50" s="4"/>
      <c r="EHG50" s="4"/>
      <c r="EHH50" s="4"/>
      <c r="EHI50" s="4"/>
      <c r="EHJ50" s="4"/>
      <c r="EHK50" s="4"/>
      <c r="EHL50" s="4"/>
      <c r="EHM50" s="4"/>
      <c r="EHN50" s="4"/>
      <c r="EHO50" s="4"/>
      <c r="EHP50" s="4"/>
      <c r="EHQ50" s="4"/>
      <c r="EHR50" s="4"/>
      <c r="EHS50" s="4"/>
      <c r="EHT50" s="4"/>
      <c r="EHU50" s="4"/>
      <c r="EHV50" s="4"/>
      <c r="EHW50" s="4"/>
      <c r="EHX50" s="4"/>
      <c r="EHY50" s="4"/>
      <c r="EHZ50" s="4"/>
      <c r="EIA50" s="4"/>
      <c r="EIB50" s="4"/>
      <c r="EIC50" s="4"/>
      <c r="EID50" s="4"/>
      <c r="EIE50" s="4"/>
      <c r="EIF50" s="4"/>
      <c r="EIG50" s="4"/>
      <c r="EIH50" s="4"/>
      <c r="EII50" s="4"/>
      <c r="EIJ50" s="4"/>
      <c r="EIK50" s="4"/>
      <c r="EIL50" s="4"/>
      <c r="EIM50" s="4"/>
      <c r="EIN50" s="4"/>
      <c r="EIO50" s="4"/>
      <c r="EIP50" s="4"/>
      <c r="EIQ50" s="4"/>
      <c r="EIR50" s="4"/>
      <c r="EIS50" s="4"/>
      <c r="EIT50" s="4"/>
      <c r="EIU50" s="4"/>
      <c r="EIV50" s="4"/>
      <c r="EIW50" s="4"/>
      <c r="EIX50" s="4"/>
      <c r="EIY50" s="4"/>
      <c r="EIZ50" s="4"/>
      <c r="EJA50" s="4"/>
      <c r="EJB50" s="4"/>
      <c r="EJC50" s="4"/>
      <c r="EJD50" s="4"/>
      <c r="EJE50" s="4"/>
      <c r="EJF50" s="4"/>
      <c r="EJG50" s="4"/>
      <c r="EJH50" s="4"/>
      <c r="EJI50" s="4"/>
      <c r="EJJ50" s="4"/>
      <c r="EJK50" s="4"/>
      <c r="EJL50" s="4"/>
      <c r="EJM50" s="4"/>
      <c r="EJN50" s="4"/>
      <c r="EJO50" s="4"/>
      <c r="EJP50" s="4"/>
      <c r="EJQ50" s="4"/>
      <c r="EJR50" s="4"/>
      <c r="EJS50" s="4"/>
      <c r="EJT50" s="4"/>
      <c r="EJU50" s="4"/>
      <c r="EJV50" s="4"/>
      <c r="EJW50" s="4"/>
      <c r="EJX50" s="4"/>
      <c r="EJY50" s="4"/>
      <c r="EJZ50" s="4"/>
      <c r="EKA50" s="4"/>
      <c r="EKB50" s="4"/>
      <c r="EKC50" s="4"/>
      <c r="EKD50" s="4"/>
      <c r="EKE50" s="4"/>
      <c r="EKF50" s="4"/>
      <c r="EKG50" s="4"/>
      <c r="EKH50" s="4"/>
      <c r="EKI50" s="4"/>
      <c r="EKJ50" s="4"/>
      <c r="EKK50" s="4"/>
      <c r="EKL50" s="4"/>
      <c r="EKM50" s="4"/>
      <c r="EKN50" s="4"/>
      <c r="EKO50" s="4"/>
      <c r="EKP50" s="4"/>
      <c r="EKQ50" s="4"/>
      <c r="EKR50" s="4"/>
      <c r="EKS50" s="4"/>
      <c r="EKT50" s="4"/>
      <c r="EKU50" s="4"/>
      <c r="EKV50" s="4"/>
      <c r="EKW50" s="4"/>
      <c r="EKX50" s="4"/>
      <c r="EKY50" s="4"/>
      <c r="EKZ50" s="4"/>
      <c r="ELA50" s="4"/>
      <c r="ELB50" s="4"/>
      <c r="ELC50" s="4"/>
      <c r="ELD50" s="4"/>
      <c r="ELE50" s="4"/>
      <c r="ELF50" s="4"/>
      <c r="ELG50" s="4"/>
      <c r="ELH50" s="4"/>
      <c r="ELI50" s="4"/>
      <c r="ELJ50" s="4"/>
      <c r="ELK50" s="4"/>
      <c r="ELL50" s="4"/>
      <c r="ELM50" s="4"/>
      <c r="ELN50" s="4"/>
      <c r="ELO50" s="4"/>
      <c r="ELP50" s="4"/>
      <c r="ELQ50" s="4"/>
      <c r="ELR50" s="4"/>
      <c r="ELS50" s="4"/>
      <c r="ELT50" s="4"/>
      <c r="ELU50" s="4"/>
      <c r="ELV50" s="4"/>
      <c r="ELW50" s="4"/>
      <c r="ELX50" s="4"/>
      <c r="ELY50" s="4"/>
      <c r="ELZ50" s="4"/>
      <c r="EMA50" s="4"/>
      <c r="EMB50" s="4"/>
      <c r="EMC50" s="4"/>
      <c r="EMD50" s="4"/>
      <c r="EME50" s="4"/>
      <c r="EMF50" s="4"/>
      <c r="EMG50" s="4"/>
      <c r="EMH50" s="4"/>
      <c r="EMI50" s="4"/>
      <c r="EMJ50" s="4"/>
      <c r="EMK50" s="4"/>
      <c r="EML50" s="4"/>
      <c r="EMM50" s="4"/>
      <c r="EMN50" s="4"/>
      <c r="EMO50" s="4"/>
      <c r="EMP50" s="4"/>
      <c r="EMQ50" s="4"/>
      <c r="EMR50" s="4"/>
      <c r="EMS50" s="4"/>
      <c r="EMT50" s="4"/>
      <c r="EMU50" s="4"/>
      <c r="EMV50" s="4"/>
      <c r="EMW50" s="4"/>
      <c r="EMX50" s="4"/>
      <c r="EMY50" s="4"/>
      <c r="EMZ50" s="4"/>
      <c r="ENA50" s="4"/>
      <c r="ENB50" s="4"/>
      <c r="ENC50" s="4"/>
      <c r="END50" s="4"/>
      <c r="ENE50" s="4"/>
      <c r="ENF50" s="4"/>
      <c r="ENG50" s="4"/>
      <c r="ENH50" s="4"/>
      <c r="ENI50" s="4"/>
      <c r="ENJ50" s="4"/>
      <c r="ENK50" s="4"/>
      <c r="ENL50" s="4"/>
      <c r="ENM50" s="4"/>
      <c r="ENN50" s="4"/>
      <c r="ENO50" s="4"/>
      <c r="ENP50" s="4"/>
      <c r="ENQ50" s="4"/>
      <c r="ENR50" s="4"/>
      <c r="ENS50" s="4"/>
      <c r="ENT50" s="4"/>
      <c r="ENU50" s="4"/>
      <c r="ENV50" s="4"/>
      <c r="ENW50" s="4"/>
      <c r="ENX50" s="4"/>
      <c r="ENY50" s="4"/>
      <c r="ENZ50" s="4"/>
      <c r="EOA50" s="4"/>
      <c r="EOB50" s="4"/>
      <c r="EOC50" s="4"/>
      <c r="EOD50" s="4"/>
      <c r="EOE50" s="4"/>
      <c r="EOF50" s="4"/>
      <c r="EOG50" s="4"/>
      <c r="EOH50" s="4"/>
      <c r="EOI50" s="4"/>
      <c r="EOJ50" s="4"/>
      <c r="EOK50" s="4"/>
      <c r="EOL50" s="4"/>
      <c r="EOM50" s="4"/>
      <c r="EON50" s="4"/>
      <c r="EOO50" s="4"/>
      <c r="EOP50" s="4"/>
      <c r="EOQ50" s="4"/>
      <c r="EOR50" s="4"/>
      <c r="EOS50" s="4"/>
      <c r="EOT50" s="4"/>
      <c r="EOU50" s="4"/>
      <c r="EOV50" s="4"/>
      <c r="EOW50" s="4"/>
      <c r="EOX50" s="4"/>
      <c r="EOY50" s="4"/>
      <c r="EOZ50" s="4"/>
      <c r="EPA50" s="4"/>
      <c r="EPB50" s="4"/>
      <c r="EPC50" s="4"/>
      <c r="EPD50" s="4"/>
      <c r="EPE50" s="4"/>
      <c r="EPF50" s="4"/>
      <c r="EPG50" s="4"/>
      <c r="EPH50" s="4"/>
      <c r="EPI50" s="4"/>
      <c r="EPJ50" s="4"/>
      <c r="EPK50" s="4"/>
      <c r="EPL50" s="4"/>
      <c r="EPM50" s="4"/>
      <c r="EPN50" s="4"/>
      <c r="EPO50" s="4"/>
      <c r="EPP50" s="4"/>
      <c r="EPQ50" s="4"/>
      <c r="EPR50" s="4"/>
      <c r="EPS50" s="4"/>
      <c r="EPT50" s="4"/>
      <c r="EPU50" s="4"/>
      <c r="EPV50" s="4"/>
      <c r="EPW50" s="4"/>
      <c r="EPX50" s="4"/>
      <c r="EPY50" s="4"/>
      <c r="EPZ50" s="4"/>
      <c r="EQA50" s="4"/>
      <c r="EQB50" s="4"/>
      <c r="EQC50" s="4"/>
      <c r="EQD50" s="4"/>
      <c r="EQE50" s="4"/>
      <c r="EQF50" s="4"/>
      <c r="EQG50" s="4"/>
      <c r="EQH50" s="4"/>
      <c r="EQI50" s="4"/>
      <c r="EQJ50" s="4"/>
      <c r="EQK50" s="4"/>
      <c r="EQL50" s="4"/>
      <c r="EQM50" s="4"/>
      <c r="EQN50" s="4"/>
      <c r="EQO50" s="4"/>
      <c r="EQP50" s="4"/>
      <c r="EQQ50" s="4"/>
      <c r="EQR50" s="4"/>
      <c r="EQS50" s="4"/>
      <c r="EQT50" s="4"/>
      <c r="EQU50" s="4"/>
      <c r="EQV50" s="4"/>
      <c r="EQW50" s="4"/>
      <c r="EQX50" s="4"/>
      <c r="EQY50" s="4"/>
      <c r="EQZ50" s="4"/>
      <c r="ERA50" s="4"/>
      <c r="ERB50" s="4"/>
      <c r="ERC50" s="4"/>
      <c r="ERD50" s="4"/>
      <c r="ERE50" s="4"/>
      <c r="ERF50" s="4"/>
      <c r="ERG50" s="4"/>
      <c r="ERH50" s="4"/>
      <c r="ERI50" s="4"/>
      <c r="ERJ50" s="4"/>
      <c r="ERK50" s="4"/>
      <c r="ERL50" s="4"/>
      <c r="ERM50" s="4"/>
      <c r="ERN50" s="4"/>
      <c r="ERO50" s="4"/>
      <c r="ERP50" s="4"/>
      <c r="ERQ50" s="4"/>
      <c r="ERR50" s="4"/>
      <c r="ERS50" s="4"/>
      <c r="ERT50" s="4"/>
      <c r="ERU50" s="4"/>
      <c r="ERV50" s="4"/>
      <c r="ERW50" s="4"/>
      <c r="ERX50" s="4"/>
      <c r="ERY50" s="4"/>
      <c r="ERZ50" s="4"/>
      <c r="ESA50" s="4"/>
      <c r="ESB50" s="4"/>
      <c r="ESC50" s="4"/>
      <c r="ESD50" s="4"/>
      <c r="ESE50" s="4"/>
      <c r="ESF50" s="4"/>
      <c r="ESG50" s="4"/>
      <c r="ESH50" s="4"/>
      <c r="ESI50" s="4"/>
      <c r="ESJ50" s="4"/>
      <c r="ESK50" s="4"/>
      <c r="ESL50" s="4"/>
      <c r="ESM50" s="4"/>
      <c r="ESN50" s="4"/>
      <c r="ESO50" s="4"/>
      <c r="ESP50" s="4"/>
      <c r="ESQ50" s="4"/>
      <c r="ESR50" s="4"/>
      <c r="ESS50" s="4"/>
      <c r="EST50" s="4"/>
      <c r="ESU50" s="4"/>
      <c r="ESV50" s="4"/>
      <c r="ESW50" s="4"/>
      <c r="ESX50" s="4"/>
      <c r="ESY50" s="4"/>
      <c r="ESZ50" s="4"/>
      <c r="ETA50" s="4"/>
      <c r="ETB50" s="4"/>
      <c r="ETC50" s="4"/>
      <c r="ETD50" s="4"/>
      <c r="ETE50" s="4"/>
      <c r="ETF50" s="4"/>
      <c r="ETG50" s="4"/>
      <c r="ETH50" s="4"/>
      <c r="ETI50" s="4"/>
      <c r="ETJ50" s="4"/>
      <c r="ETK50" s="4"/>
      <c r="ETL50" s="4"/>
      <c r="ETM50" s="4"/>
      <c r="ETN50" s="4"/>
      <c r="ETO50" s="4"/>
      <c r="ETP50" s="4"/>
      <c r="ETQ50" s="4"/>
      <c r="ETR50" s="4"/>
      <c r="ETS50" s="4"/>
      <c r="ETT50" s="4"/>
      <c r="ETU50" s="4"/>
      <c r="ETV50" s="4"/>
      <c r="ETW50" s="4"/>
      <c r="ETX50" s="4"/>
      <c r="ETY50" s="4"/>
      <c r="ETZ50" s="4"/>
      <c r="EUA50" s="4"/>
      <c r="EUB50" s="4"/>
      <c r="EUC50" s="4"/>
      <c r="EUD50" s="4"/>
      <c r="EUE50" s="4"/>
      <c r="EUF50" s="4"/>
      <c r="EUG50" s="4"/>
      <c r="EUH50" s="4"/>
      <c r="EUI50" s="4"/>
      <c r="EUJ50" s="4"/>
      <c r="EUK50" s="4"/>
      <c r="EUL50" s="4"/>
      <c r="EUM50" s="4"/>
      <c r="EUN50" s="4"/>
      <c r="EUO50" s="4"/>
      <c r="EUP50" s="4"/>
      <c r="EUQ50" s="4"/>
      <c r="EUR50" s="4"/>
      <c r="EUS50" s="4"/>
      <c r="EUT50" s="4"/>
      <c r="EUU50" s="4"/>
      <c r="EUV50" s="4"/>
      <c r="EUW50" s="4"/>
      <c r="EUX50" s="4"/>
      <c r="EUY50" s="4"/>
      <c r="EUZ50" s="4"/>
      <c r="EVA50" s="4"/>
      <c r="EVB50" s="4"/>
      <c r="EVC50" s="4"/>
      <c r="EVD50" s="4"/>
      <c r="EVE50" s="4"/>
      <c r="EVF50" s="4"/>
      <c r="EVG50" s="4"/>
      <c r="EVH50" s="4"/>
      <c r="EVI50" s="4"/>
      <c r="EVJ50" s="4"/>
      <c r="EVK50" s="4"/>
      <c r="EVL50" s="4"/>
      <c r="EVM50" s="4"/>
      <c r="EVN50" s="4"/>
      <c r="EVO50" s="4"/>
      <c r="EVP50" s="4"/>
      <c r="EVQ50" s="4"/>
      <c r="EVR50" s="4"/>
      <c r="EVS50" s="4"/>
      <c r="EVT50" s="4"/>
      <c r="EVU50" s="4"/>
      <c r="EVV50" s="4"/>
      <c r="EVW50" s="4"/>
      <c r="EVX50" s="4"/>
      <c r="EVY50" s="4"/>
      <c r="EVZ50" s="4"/>
      <c r="EWA50" s="4"/>
      <c r="EWB50" s="4"/>
      <c r="EWC50" s="4"/>
      <c r="EWD50" s="4"/>
      <c r="EWE50" s="4"/>
      <c r="EWF50" s="4"/>
      <c r="EWG50" s="4"/>
      <c r="EWH50" s="4"/>
      <c r="EWI50" s="4"/>
      <c r="EWJ50" s="4"/>
      <c r="EWK50" s="4"/>
      <c r="EWL50" s="4"/>
      <c r="EWM50" s="4"/>
      <c r="EWN50" s="4"/>
      <c r="EWO50" s="4"/>
      <c r="EWP50" s="4"/>
      <c r="EWQ50" s="4"/>
      <c r="EWR50" s="4"/>
      <c r="EWS50" s="4"/>
      <c r="EWT50" s="4"/>
      <c r="EWU50" s="4"/>
      <c r="EWV50" s="4"/>
      <c r="EWW50" s="4"/>
      <c r="EWX50" s="4"/>
      <c r="EWY50" s="4"/>
      <c r="EWZ50" s="4"/>
      <c r="EXA50" s="4"/>
      <c r="EXB50" s="4"/>
      <c r="EXC50" s="4"/>
      <c r="EXD50" s="4"/>
      <c r="EXE50" s="4"/>
      <c r="EXF50" s="4"/>
      <c r="EXG50" s="4"/>
      <c r="EXH50" s="4"/>
      <c r="EXI50" s="4"/>
      <c r="EXJ50" s="4"/>
      <c r="EXK50" s="4"/>
      <c r="EXL50" s="4"/>
      <c r="EXM50" s="4"/>
      <c r="EXN50" s="4"/>
      <c r="EXO50" s="4"/>
      <c r="EXP50" s="4"/>
      <c r="EXQ50" s="4"/>
      <c r="EXR50" s="4"/>
      <c r="EXS50" s="4"/>
      <c r="EXT50" s="4"/>
      <c r="EXU50" s="4"/>
      <c r="EXV50" s="4"/>
      <c r="EXW50" s="4"/>
      <c r="EXX50" s="4"/>
      <c r="EXY50" s="4"/>
      <c r="EXZ50" s="4"/>
      <c r="EYA50" s="4"/>
      <c r="EYB50" s="4"/>
      <c r="EYC50" s="4"/>
      <c r="EYD50" s="4"/>
      <c r="EYE50" s="4"/>
      <c r="EYF50" s="4"/>
      <c r="EYG50" s="4"/>
      <c r="EYH50" s="4"/>
      <c r="EYI50" s="4"/>
      <c r="EYJ50" s="4"/>
      <c r="EYK50" s="4"/>
      <c r="EYL50" s="4"/>
      <c r="EYM50" s="4"/>
      <c r="EYN50" s="4"/>
      <c r="EYO50" s="4"/>
      <c r="EYP50" s="4"/>
      <c r="EYQ50" s="4"/>
      <c r="EYR50" s="4"/>
      <c r="EYS50" s="4"/>
      <c r="EYT50" s="4"/>
      <c r="EYU50" s="4"/>
      <c r="EYV50" s="4"/>
      <c r="EYW50" s="4"/>
      <c r="EYX50" s="4"/>
      <c r="EYY50" s="4"/>
      <c r="EYZ50" s="4"/>
      <c r="EZA50" s="4"/>
      <c r="EZB50" s="4"/>
      <c r="EZC50" s="4"/>
      <c r="EZD50" s="4"/>
      <c r="EZE50" s="4"/>
      <c r="EZF50" s="4"/>
      <c r="EZG50" s="4"/>
      <c r="EZH50" s="4"/>
      <c r="EZI50" s="4"/>
      <c r="EZJ50" s="4"/>
      <c r="EZK50" s="4"/>
      <c r="EZL50" s="4"/>
      <c r="EZM50" s="4"/>
      <c r="EZN50" s="4"/>
      <c r="EZO50" s="4"/>
      <c r="EZP50" s="4"/>
      <c r="EZQ50" s="4"/>
      <c r="EZR50" s="4"/>
      <c r="EZS50" s="4"/>
      <c r="EZT50" s="4"/>
      <c r="EZU50" s="4"/>
      <c r="EZV50" s="4"/>
      <c r="EZW50" s="4"/>
      <c r="EZX50" s="4"/>
      <c r="EZY50" s="4"/>
      <c r="EZZ50" s="4"/>
      <c r="FAA50" s="4"/>
      <c r="FAB50" s="4"/>
      <c r="FAC50" s="4"/>
      <c r="FAD50" s="4"/>
      <c r="FAE50" s="4"/>
      <c r="FAF50" s="4"/>
      <c r="FAG50" s="4"/>
      <c r="FAH50" s="4"/>
      <c r="FAI50" s="4"/>
      <c r="FAJ50" s="4"/>
      <c r="FAK50" s="4"/>
      <c r="FAL50" s="4"/>
      <c r="FAM50" s="4"/>
      <c r="FAN50" s="4"/>
      <c r="FAO50" s="4"/>
      <c r="FAP50" s="4"/>
      <c r="FAQ50" s="4"/>
      <c r="FAR50" s="4"/>
      <c r="FAS50" s="4"/>
      <c r="FAT50" s="4"/>
      <c r="FAU50" s="4"/>
      <c r="FAV50" s="4"/>
      <c r="FAW50" s="4"/>
      <c r="FAX50" s="4"/>
      <c r="FAY50" s="4"/>
      <c r="FAZ50" s="4"/>
      <c r="FBA50" s="4"/>
      <c r="FBB50" s="4"/>
      <c r="FBC50" s="4"/>
      <c r="FBD50" s="4"/>
      <c r="FBE50" s="4"/>
      <c r="FBF50" s="4"/>
      <c r="FBG50" s="4"/>
      <c r="FBH50" s="4"/>
      <c r="FBI50" s="4"/>
      <c r="FBJ50" s="4"/>
      <c r="FBK50" s="4"/>
      <c r="FBL50" s="4"/>
      <c r="FBM50" s="4"/>
      <c r="FBN50" s="4"/>
      <c r="FBO50" s="4"/>
      <c r="FBP50" s="4"/>
      <c r="FBQ50" s="4"/>
      <c r="FBR50" s="4"/>
      <c r="FBS50" s="4"/>
      <c r="FBT50" s="4"/>
      <c r="FBU50" s="4"/>
      <c r="FBV50" s="4"/>
      <c r="FBW50" s="4"/>
      <c r="FBX50" s="4"/>
      <c r="FBY50" s="4"/>
      <c r="FBZ50" s="4"/>
      <c r="FCA50" s="4"/>
      <c r="FCB50" s="4"/>
      <c r="FCC50" s="4"/>
      <c r="FCD50" s="4"/>
      <c r="FCE50" s="4"/>
      <c r="FCF50" s="4"/>
      <c r="FCG50" s="4"/>
      <c r="FCH50" s="4"/>
      <c r="FCI50" s="4"/>
      <c r="FCJ50" s="4"/>
      <c r="FCK50" s="4"/>
      <c r="FCL50" s="4"/>
      <c r="FCM50" s="4"/>
      <c r="FCN50" s="4"/>
      <c r="FCO50" s="4"/>
      <c r="FCP50" s="4"/>
      <c r="FCQ50" s="4"/>
      <c r="FCR50" s="4"/>
      <c r="FCS50" s="4"/>
      <c r="FCT50" s="4"/>
      <c r="FCU50" s="4"/>
      <c r="FCV50" s="4"/>
      <c r="FCW50" s="4"/>
      <c r="FCX50" s="4"/>
      <c r="FCY50" s="4"/>
      <c r="FCZ50" s="4"/>
      <c r="FDA50" s="4"/>
      <c r="FDB50" s="4"/>
      <c r="FDC50" s="4"/>
      <c r="FDD50" s="4"/>
      <c r="FDE50" s="4"/>
      <c r="FDF50" s="4"/>
      <c r="FDG50" s="4"/>
      <c r="FDH50" s="4"/>
      <c r="FDI50" s="4"/>
      <c r="FDJ50" s="4"/>
      <c r="FDK50" s="4"/>
      <c r="FDL50" s="4"/>
      <c r="FDM50" s="4"/>
      <c r="FDN50" s="4"/>
      <c r="FDO50" s="4"/>
      <c r="FDP50" s="4"/>
      <c r="FDQ50" s="4"/>
      <c r="FDR50" s="4"/>
      <c r="FDS50" s="4"/>
      <c r="FDT50" s="4"/>
      <c r="FDU50" s="4"/>
      <c r="FDV50" s="4"/>
      <c r="FDW50" s="4"/>
      <c r="FDX50" s="4"/>
      <c r="FDY50" s="4"/>
      <c r="FDZ50" s="4"/>
      <c r="FEA50" s="4"/>
      <c r="FEB50" s="4"/>
      <c r="FEC50" s="4"/>
      <c r="FED50" s="4"/>
      <c r="FEE50" s="4"/>
      <c r="FEF50" s="4"/>
      <c r="FEG50" s="4"/>
      <c r="FEH50" s="4"/>
      <c r="FEI50" s="4"/>
      <c r="FEJ50" s="4"/>
      <c r="FEK50" s="4"/>
      <c r="FEL50" s="4"/>
      <c r="FEM50" s="4"/>
      <c r="FEN50" s="4"/>
      <c r="FEO50" s="4"/>
      <c r="FEP50" s="4"/>
      <c r="FEQ50" s="4"/>
      <c r="FER50" s="4"/>
      <c r="FES50" s="4"/>
      <c r="FET50" s="4"/>
      <c r="FEU50" s="4"/>
      <c r="FEV50" s="4"/>
      <c r="FEW50" s="4"/>
      <c r="FEX50" s="4"/>
      <c r="FEY50" s="4"/>
      <c r="FEZ50" s="4"/>
      <c r="FFA50" s="4"/>
      <c r="FFB50" s="4"/>
      <c r="FFC50" s="4"/>
      <c r="FFD50" s="4"/>
      <c r="FFE50" s="4"/>
      <c r="FFF50" s="4"/>
      <c r="FFG50" s="4"/>
      <c r="FFH50" s="4"/>
      <c r="FFI50" s="4"/>
      <c r="FFJ50" s="4"/>
      <c r="FFK50" s="4"/>
      <c r="FFL50" s="4"/>
      <c r="FFM50" s="4"/>
      <c r="FFN50" s="4"/>
      <c r="FFO50" s="4"/>
      <c r="FFP50" s="4"/>
      <c r="FFQ50" s="4"/>
      <c r="FFR50" s="4"/>
      <c r="FFS50" s="4"/>
      <c r="FFT50" s="4"/>
      <c r="FFU50" s="4"/>
      <c r="FFV50" s="4"/>
      <c r="FFW50" s="4"/>
      <c r="FFX50" s="4"/>
      <c r="FFY50" s="4"/>
      <c r="FFZ50" s="4"/>
      <c r="FGA50" s="4"/>
      <c r="FGB50" s="4"/>
      <c r="FGC50" s="4"/>
      <c r="FGD50" s="4"/>
      <c r="FGE50" s="4"/>
      <c r="FGF50" s="4"/>
      <c r="FGG50" s="4"/>
      <c r="FGH50" s="4"/>
      <c r="FGI50" s="4"/>
      <c r="FGJ50" s="4"/>
      <c r="FGK50" s="4"/>
      <c r="FGL50" s="4"/>
      <c r="FGM50" s="4"/>
      <c r="FGN50" s="4"/>
      <c r="FGO50" s="4"/>
      <c r="FGP50" s="4"/>
      <c r="FGQ50" s="4"/>
      <c r="FGR50" s="4"/>
      <c r="FGS50" s="4"/>
      <c r="FGT50" s="4"/>
      <c r="FGU50" s="4"/>
      <c r="FGV50" s="4"/>
      <c r="FGW50" s="4"/>
      <c r="FGX50" s="4"/>
      <c r="FGY50" s="4"/>
      <c r="FGZ50" s="4"/>
      <c r="FHA50" s="4"/>
      <c r="FHB50" s="4"/>
      <c r="FHC50" s="4"/>
      <c r="FHD50" s="4"/>
      <c r="FHE50" s="4"/>
      <c r="FHF50" s="4"/>
      <c r="FHG50" s="4"/>
      <c r="FHH50" s="4"/>
      <c r="FHI50" s="4"/>
      <c r="FHJ50" s="4"/>
      <c r="FHK50" s="4"/>
      <c r="FHL50" s="4"/>
      <c r="FHM50" s="4"/>
      <c r="FHN50" s="4"/>
      <c r="FHO50" s="4"/>
      <c r="FHP50" s="4"/>
      <c r="FHQ50" s="4"/>
      <c r="FHR50" s="4"/>
      <c r="FHS50" s="4"/>
      <c r="FHT50" s="4"/>
      <c r="FHU50" s="4"/>
      <c r="FHV50" s="4"/>
      <c r="FHW50" s="4"/>
      <c r="FHX50" s="4"/>
      <c r="FHY50" s="4"/>
      <c r="FHZ50" s="4"/>
      <c r="FIA50" s="4"/>
      <c r="FIB50" s="4"/>
      <c r="FIC50" s="4"/>
      <c r="FID50" s="4"/>
      <c r="FIE50" s="4"/>
      <c r="FIF50" s="4"/>
      <c r="FIG50" s="4"/>
      <c r="FIH50" s="4"/>
      <c r="FII50" s="4"/>
      <c r="FIJ50" s="4"/>
      <c r="FIK50" s="4"/>
      <c r="FIL50" s="4"/>
      <c r="FIM50" s="4"/>
      <c r="FIN50" s="4"/>
      <c r="FIO50" s="4"/>
      <c r="FIP50" s="4"/>
      <c r="FIQ50" s="4"/>
      <c r="FIR50" s="4"/>
      <c r="FIS50" s="4"/>
      <c r="FIT50" s="4"/>
      <c r="FIU50" s="4"/>
      <c r="FIV50" s="4"/>
      <c r="FIW50" s="4"/>
      <c r="FIX50" s="4"/>
      <c r="FIY50" s="4"/>
      <c r="FIZ50" s="4"/>
      <c r="FJA50" s="4"/>
      <c r="FJB50" s="4"/>
      <c r="FJC50" s="4"/>
      <c r="FJD50" s="4"/>
      <c r="FJE50" s="4"/>
      <c r="FJF50" s="4"/>
      <c r="FJG50" s="4"/>
      <c r="FJH50" s="4"/>
      <c r="FJI50" s="4"/>
      <c r="FJJ50" s="4"/>
      <c r="FJK50" s="4"/>
      <c r="FJL50" s="4"/>
      <c r="FJM50" s="4"/>
      <c r="FJN50" s="4"/>
      <c r="FJO50" s="4"/>
      <c r="FJP50" s="4"/>
      <c r="FJQ50" s="4"/>
      <c r="FJR50" s="4"/>
      <c r="FJS50" s="4"/>
      <c r="FJT50" s="4"/>
      <c r="FJU50" s="4"/>
      <c r="FJV50" s="4"/>
      <c r="FJW50" s="4"/>
      <c r="FJX50" s="4"/>
      <c r="FJY50" s="4"/>
      <c r="FJZ50" s="4"/>
      <c r="FKA50" s="4"/>
      <c r="FKB50" s="4"/>
      <c r="FKC50" s="4"/>
      <c r="FKD50" s="4"/>
      <c r="FKE50" s="4"/>
      <c r="FKF50" s="4"/>
      <c r="FKG50" s="4"/>
      <c r="FKH50" s="4"/>
      <c r="FKI50" s="4"/>
      <c r="FKJ50" s="4"/>
      <c r="FKK50" s="4"/>
      <c r="FKL50" s="4"/>
      <c r="FKM50" s="4"/>
      <c r="FKN50" s="4"/>
      <c r="FKO50" s="4"/>
      <c r="FKP50" s="4"/>
      <c r="FKQ50" s="4"/>
      <c r="FKR50" s="4"/>
      <c r="FKS50" s="4"/>
      <c r="FKT50" s="4"/>
      <c r="FKU50" s="4"/>
      <c r="FKV50" s="4"/>
      <c r="FKW50" s="4"/>
      <c r="FKX50" s="4"/>
      <c r="FKY50" s="4"/>
      <c r="FKZ50" s="4"/>
      <c r="FLA50" s="4"/>
      <c r="FLB50" s="4"/>
      <c r="FLC50" s="4"/>
      <c r="FLD50" s="4"/>
      <c r="FLE50" s="4"/>
      <c r="FLF50" s="4"/>
      <c r="FLG50" s="4"/>
      <c r="FLH50" s="4"/>
      <c r="FLI50" s="4"/>
      <c r="FLJ50" s="4"/>
      <c r="FLK50" s="4"/>
      <c r="FLL50" s="4"/>
      <c r="FLM50" s="4"/>
      <c r="FLN50" s="4"/>
      <c r="FLO50" s="4"/>
      <c r="FLP50" s="4"/>
      <c r="FLQ50" s="4"/>
      <c r="FLR50" s="4"/>
      <c r="FLS50" s="4"/>
      <c r="FLT50" s="4"/>
      <c r="FLU50" s="4"/>
      <c r="FLV50" s="4"/>
      <c r="FLW50" s="4"/>
      <c r="FLX50" s="4"/>
      <c r="FLY50" s="4"/>
      <c r="FLZ50" s="4"/>
      <c r="FMA50" s="4"/>
      <c r="FMB50" s="4"/>
      <c r="FMC50" s="4"/>
      <c r="FMD50" s="4"/>
      <c r="FME50" s="4"/>
      <c r="FMF50" s="4"/>
      <c r="FMG50" s="4"/>
      <c r="FMH50" s="4"/>
      <c r="FMI50" s="4"/>
      <c r="FMJ50" s="4"/>
      <c r="FMK50" s="4"/>
      <c r="FML50" s="4"/>
      <c r="FMM50" s="4"/>
      <c r="FMN50" s="4"/>
      <c r="FMO50" s="4"/>
      <c r="FMP50" s="4"/>
      <c r="FMQ50" s="4"/>
      <c r="FMR50" s="4"/>
      <c r="FMS50" s="4"/>
      <c r="FMT50" s="4"/>
      <c r="FMU50" s="4"/>
      <c r="FMV50" s="4"/>
      <c r="FMW50" s="4"/>
      <c r="FMX50" s="4"/>
      <c r="FMY50" s="4"/>
      <c r="FMZ50" s="4"/>
      <c r="FNA50" s="4"/>
      <c r="FNB50" s="4"/>
      <c r="FNC50" s="4"/>
      <c r="FND50" s="4"/>
      <c r="FNE50" s="4"/>
      <c r="FNF50" s="4"/>
      <c r="FNG50" s="4"/>
      <c r="FNH50" s="4"/>
      <c r="FNI50" s="4"/>
      <c r="FNJ50" s="4"/>
      <c r="FNK50" s="4"/>
      <c r="FNL50" s="4"/>
      <c r="FNM50" s="4"/>
      <c r="FNN50" s="4"/>
      <c r="FNO50" s="4"/>
      <c r="FNP50" s="4"/>
      <c r="FNQ50" s="4"/>
      <c r="FNR50" s="4"/>
      <c r="FNS50" s="4"/>
      <c r="FNT50" s="4"/>
      <c r="FNU50" s="4"/>
      <c r="FNV50" s="4"/>
      <c r="FNW50" s="4"/>
      <c r="FNX50" s="4"/>
      <c r="FNY50" s="4"/>
      <c r="FNZ50" s="4"/>
      <c r="FOA50" s="4"/>
      <c r="FOB50" s="4"/>
      <c r="FOC50" s="4"/>
      <c r="FOD50" s="4"/>
      <c r="FOE50" s="4"/>
      <c r="FOF50" s="4"/>
      <c r="FOG50" s="4"/>
      <c r="FOH50" s="4"/>
      <c r="FOI50" s="4"/>
      <c r="FOJ50" s="4"/>
      <c r="FOK50" s="4"/>
      <c r="FOL50" s="4"/>
      <c r="FOM50" s="4"/>
      <c r="FON50" s="4"/>
      <c r="FOO50" s="4"/>
      <c r="FOP50" s="4"/>
      <c r="FOQ50" s="4"/>
      <c r="FOR50" s="4"/>
      <c r="FOS50" s="4"/>
      <c r="FOT50" s="4"/>
      <c r="FOU50" s="4"/>
      <c r="FOV50" s="4"/>
      <c r="FOW50" s="4"/>
      <c r="FOX50" s="4"/>
      <c r="FOY50" s="4"/>
      <c r="FOZ50" s="4"/>
      <c r="FPA50" s="4"/>
      <c r="FPB50" s="4"/>
      <c r="FPC50" s="4"/>
      <c r="FPD50" s="4"/>
      <c r="FPE50" s="4"/>
      <c r="FPF50" s="4"/>
      <c r="FPG50" s="4"/>
      <c r="FPH50" s="4"/>
      <c r="FPI50" s="4"/>
      <c r="FPJ50" s="4"/>
      <c r="FPK50" s="4"/>
      <c r="FPL50" s="4"/>
      <c r="FPM50" s="4"/>
      <c r="FPN50" s="4"/>
      <c r="FPO50" s="4"/>
      <c r="FPP50" s="4"/>
      <c r="FPQ50" s="4"/>
      <c r="FPR50" s="4"/>
      <c r="FPS50" s="4"/>
      <c r="FPT50" s="4"/>
      <c r="FPU50" s="4"/>
      <c r="FPV50" s="4"/>
      <c r="FPW50" s="4"/>
      <c r="FPX50" s="4"/>
      <c r="FPY50" s="4"/>
      <c r="FPZ50" s="4"/>
      <c r="FQA50" s="4"/>
      <c r="FQB50" s="4"/>
      <c r="FQC50" s="4"/>
      <c r="FQD50" s="4"/>
      <c r="FQE50" s="4"/>
      <c r="FQF50" s="4"/>
      <c r="FQG50" s="4"/>
      <c r="FQH50" s="4"/>
      <c r="FQI50" s="4"/>
      <c r="FQJ50" s="4"/>
      <c r="FQK50" s="4"/>
      <c r="FQL50" s="4"/>
      <c r="FQM50" s="4"/>
      <c r="FQN50" s="4"/>
      <c r="FQO50" s="4"/>
      <c r="FQP50" s="4"/>
      <c r="FQQ50" s="4"/>
      <c r="FQR50" s="4"/>
      <c r="FQS50" s="4"/>
      <c r="FQT50" s="4"/>
      <c r="FQU50" s="4"/>
      <c r="FQV50" s="4"/>
      <c r="FQW50" s="4"/>
      <c r="FQX50" s="4"/>
      <c r="FQY50" s="4"/>
      <c r="FQZ50" s="4"/>
      <c r="FRA50" s="4"/>
      <c r="FRB50" s="4"/>
      <c r="FRC50" s="4"/>
      <c r="FRD50" s="4"/>
      <c r="FRE50" s="4"/>
      <c r="FRF50" s="4"/>
      <c r="FRG50" s="4"/>
      <c r="FRH50" s="4"/>
      <c r="FRI50" s="4"/>
      <c r="FRJ50" s="4"/>
      <c r="FRK50" s="4"/>
      <c r="FRL50" s="4"/>
      <c r="FRM50" s="4"/>
      <c r="FRN50" s="4"/>
      <c r="FRO50" s="4"/>
      <c r="FRP50" s="4"/>
      <c r="FRQ50" s="4"/>
      <c r="FRR50" s="4"/>
      <c r="FRS50" s="4"/>
      <c r="FRT50" s="4"/>
      <c r="FRU50" s="4"/>
      <c r="FRV50" s="4"/>
      <c r="FRW50" s="4"/>
      <c r="FRX50" s="4"/>
      <c r="FRY50" s="4"/>
      <c r="FRZ50" s="4"/>
      <c r="FSA50" s="4"/>
      <c r="FSB50" s="4"/>
      <c r="FSC50" s="4"/>
      <c r="FSD50" s="4"/>
      <c r="FSE50" s="4"/>
      <c r="FSF50" s="4"/>
      <c r="FSG50" s="4"/>
      <c r="FSH50" s="4"/>
      <c r="FSI50" s="4"/>
      <c r="FSJ50" s="4"/>
      <c r="FSK50" s="4"/>
      <c r="FSL50" s="4"/>
      <c r="FSM50" s="4"/>
      <c r="FSN50" s="4"/>
      <c r="FSO50" s="4"/>
      <c r="FSP50" s="4"/>
      <c r="FSQ50" s="4"/>
      <c r="FSR50" s="4"/>
      <c r="FSS50" s="4"/>
      <c r="FST50" s="4"/>
      <c r="FSU50" s="4"/>
      <c r="FSV50" s="4"/>
      <c r="FSW50" s="4"/>
      <c r="FSX50" s="4"/>
      <c r="FSY50" s="4"/>
      <c r="FSZ50" s="4"/>
      <c r="FTA50" s="4"/>
      <c r="FTB50" s="4"/>
      <c r="FTC50" s="4"/>
      <c r="FTD50" s="4"/>
      <c r="FTE50" s="4"/>
      <c r="FTF50" s="4"/>
      <c r="FTG50" s="4"/>
      <c r="FTH50" s="4"/>
      <c r="FTI50" s="4"/>
      <c r="FTJ50" s="4"/>
      <c r="FTK50" s="4"/>
      <c r="FTL50" s="4"/>
      <c r="FTM50" s="4"/>
      <c r="FTN50" s="4"/>
      <c r="FTO50" s="4"/>
      <c r="FTP50" s="4"/>
      <c r="FTQ50" s="4"/>
      <c r="FTR50" s="4"/>
      <c r="FTS50" s="4"/>
      <c r="FTT50" s="4"/>
      <c r="FTU50" s="4"/>
      <c r="FTV50" s="4"/>
      <c r="FTW50" s="4"/>
      <c r="FTX50" s="4"/>
      <c r="FTY50" s="4"/>
      <c r="FTZ50" s="4"/>
      <c r="FUA50" s="4"/>
      <c r="FUB50" s="4"/>
      <c r="FUC50" s="4"/>
      <c r="FUD50" s="4"/>
      <c r="FUE50" s="4"/>
      <c r="FUF50" s="4"/>
      <c r="FUG50" s="4"/>
      <c r="FUH50" s="4"/>
      <c r="FUI50" s="4"/>
      <c r="FUJ50" s="4"/>
      <c r="FUK50" s="4"/>
      <c r="FUL50" s="4"/>
      <c r="FUM50" s="4"/>
      <c r="FUN50" s="4"/>
      <c r="FUO50" s="4"/>
      <c r="FUP50" s="4"/>
      <c r="FUQ50" s="4"/>
      <c r="FUR50" s="4"/>
      <c r="FUS50" s="4"/>
      <c r="FUT50" s="4"/>
      <c r="FUU50" s="4"/>
      <c r="FUV50" s="4"/>
      <c r="FUW50" s="4"/>
      <c r="FUX50" s="4"/>
      <c r="FUY50" s="4"/>
      <c r="FUZ50" s="4"/>
      <c r="FVA50" s="4"/>
      <c r="FVB50" s="4"/>
      <c r="FVC50" s="4"/>
      <c r="FVD50" s="4"/>
      <c r="FVE50" s="4"/>
      <c r="FVF50" s="4"/>
      <c r="FVG50" s="4"/>
      <c r="FVH50" s="4"/>
      <c r="FVI50" s="4"/>
      <c r="FVJ50" s="4"/>
      <c r="FVK50" s="4"/>
      <c r="FVL50" s="4"/>
      <c r="FVM50" s="4"/>
      <c r="FVN50" s="4"/>
      <c r="FVO50" s="4"/>
      <c r="FVP50" s="4"/>
      <c r="FVQ50" s="4"/>
      <c r="FVR50" s="4"/>
      <c r="FVS50" s="4"/>
      <c r="FVT50" s="4"/>
      <c r="FVU50" s="4"/>
      <c r="FVV50" s="4"/>
      <c r="FVW50" s="4"/>
      <c r="FVX50" s="4"/>
      <c r="FVY50" s="4"/>
      <c r="FVZ50" s="4"/>
      <c r="FWA50" s="4"/>
      <c r="FWB50" s="4"/>
      <c r="FWC50" s="4"/>
      <c r="FWD50" s="4"/>
      <c r="FWE50" s="4"/>
      <c r="FWF50" s="4"/>
      <c r="FWG50" s="4"/>
      <c r="FWH50" s="4"/>
      <c r="FWI50" s="4"/>
      <c r="FWJ50" s="4"/>
      <c r="FWK50" s="4"/>
      <c r="FWL50" s="4"/>
      <c r="FWM50" s="4"/>
      <c r="FWN50" s="4"/>
      <c r="FWO50" s="4"/>
      <c r="FWP50" s="4"/>
      <c r="FWQ50" s="4"/>
      <c r="FWR50" s="4"/>
      <c r="FWS50" s="4"/>
      <c r="FWT50" s="4"/>
      <c r="FWU50" s="4"/>
      <c r="FWV50" s="4"/>
      <c r="FWW50" s="4"/>
      <c r="FWX50" s="4"/>
      <c r="FWY50" s="4"/>
      <c r="FWZ50" s="4"/>
      <c r="FXA50" s="4"/>
      <c r="FXB50" s="4"/>
      <c r="FXC50" s="4"/>
      <c r="FXD50" s="4"/>
      <c r="FXE50" s="4"/>
      <c r="FXF50" s="4"/>
      <c r="FXG50" s="4"/>
      <c r="FXH50" s="4"/>
      <c r="FXI50" s="4"/>
      <c r="FXJ50" s="4"/>
      <c r="FXK50" s="4"/>
      <c r="FXL50" s="4"/>
      <c r="FXM50" s="4"/>
      <c r="FXN50" s="4"/>
      <c r="FXO50" s="4"/>
      <c r="FXP50" s="4"/>
      <c r="FXQ50" s="4"/>
      <c r="FXR50" s="4"/>
      <c r="FXS50" s="4"/>
      <c r="FXT50" s="4"/>
      <c r="FXU50" s="4"/>
      <c r="FXV50" s="4"/>
      <c r="FXW50" s="4"/>
      <c r="FXX50" s="4"/>
      <c r="FXY50" s="4"/>
      <c r="FXZ50" s="4"/>
      <c r="FYA50" s="4"/>
      <c r="FYB50" s="4"/>
      <c r="FYC50" s="4"/>
      <c r="FYD50" s="4"/>
      <c r="FYE50" s="4"/>
      <c r="FYF50" s="4"/>
      <c r="FYG50" s="4"/>
      <c r="FYH50" s="4"/>
      <c r="FYI50" s="4"/>
      <c r="FYJ50" s="4"/>
      <c r="FYK50" s="4"/>
      <c r="FYL50" s="4"/>
      <c r="FYM50" s="4"/>
      <c r="FYN50" s="4"/>
      <c r="FYO50" s="4"/>
      <c r="FYP50" s="4"/>
      <c r="FYQ50" s="4"/>
      <c r="FYR50" s="4"/>
      <c r="FYS50" s="4"/>
      <c r="FYT50" s="4"/>
      <c r="FYU50" s="4"/>
      <c r="FYV50" s="4"/>
      <c r="FYW50" s="4"/>
      <c r="FYX50" s="4"/>
      <c r="FYY50" s="4"/>
      <c r="FYZ50" s="4"/>
      <c r="FZA50" s="4"/>
      <c r="FZB50" s="4"/>
      <c r="FZC50" s="4"/>
      <c r="FZD50" s="4"/>
      <c r="FZE50" s="4"/>
      <c r="FZF50" s="4"/>
      <c r="FZG50" s="4"/>
      <c r="FZH50" s="4"/>
      <c r="FZI50" s="4"/>
      <c r="FZJ50" s="4"/>
      <c r="FZK50" s="4"/>
      <c r="FZL50" s="4"/>
      <c r="FZM50" s="4"/>
      <c r="FZN50" s="4"/>
      <c r="FZO50" s="4"/>
      <c r="FZP50" s="4"/>
      <c r="FZQ50" s="4"/>
      <c r="FZR50" s="4"/>
      <c r="FZS50" s="4"/>
      <c r="FZT50" s="4"/>
      <c r="FZU50" s="4"/>
      <c r="FZV50" s="4"/>
      <c r="FZW50" s="4"/>
      <c r="FZX50" s="4"/>
      <c r="FZY50" s="4"/>
      <c r="FZZ50" s="4"/>
      <c r="GAA50" s="4"/>
      <c r="GAB50" s="4"/>
      <c r="GAC50" s="4"/>
      <c r="GAD50" s="4"/>
      <c r="GAE50" s="4"/>
      <c r="GAF50" s="4"/>
      <c r="GAG50" s="4"/>
      <c r="GAH50" s="4"/>
      <c r="GAI50" s="4"/>
      <c r="GAJ50" s="4"/>
      <c r="GAK50" s="4"/>
      <c r="GAL50" s="4"/>
      <c r="GAM50" s="4"/>
      <c r="GAN50" s="4"/>
      <c r="GAO50" s="4"/>
      <c r="GAP50" s="4"/>
      <c r="GAQ50" s="4"/>
      <c r="GAR50" s="4"/>
      <c r="GAS50" s="4"/>
      <c r="GAT50" s="4"/>
      <c r="GAU50" s="4"/>
      <c r="GAV50" s="4"/>
      <c r="GAW50" s="4"/>
      <c r="GAX50" s="4"/>
      <c r="GAY50" s="4"/>
      <c r="GAZ50" s="4"/>
      <c r="GBA50" s="4"/>
      <c r="GBB50" s="4"/>
      <c r="GBC50" s="4"/>
      <c r="GBD50" s="4"/>
      <c r="GBE50" s="4"/>
      <c r="GBF50" s="4"/>
      <c r="GBG50" s="4"/>
      <c r="GBH50" s="4"/>
      <c r="GBI50" s="4"/>
      <c r="GBJ50" s="4"/>
      <c r="GBK50" s="4"/>
      <c r="GBL50" s="4"/>
      <c r="GBM50" s="4"/>
      <c r="GBN50" s="4"/>
      <c r="GBO50" s="4"/>
      <c r="GBP50" s="4"/>
      <c r="GBQ50" s="4"/>
      <c r="GBR50" s="4"/>
      <c r="GBS50" s="4"/>
      <c r="GBT50" s="4"/>
      <c r="GBU50" s="4"/>
      <c r="GBV50" s="4"/>
      <c r="GBW50" s="4"/>
      <c r="GBX50" s="4"/>
      <c r="GBY50" s="4"/>
      <c r="GBZ50" s="4"/>
      <c r="GCA50" s="4"/>
      <c r="GCB50" s="4"/>
      <c r="GCC50" s="4"/>
      <c r="GCD50" s="4"/>
      <c r="GCE50" s="4"/>
      <c r="GCF50" s="4"/>
      <c r="GCG50" s="4"/>
      <c r="GCH50" s="4"/>
      <c r="GCI50" s="4"/>
      <c r="GCJ50" s="4"/>
      <c r="GCK50" s="4"/>
      <c r="GCL50" s="4"/>
      <c r="GCM50" s="4"/>
      <c r="GCN50" s="4"/>
      <c r="GCO50" s="4"/>
      <c r="GCP50" s="4"/>
      <c r="GCQ50" s="4"/>
      <c r="GCR50" s="4"/>
      <c r="GCS50" s="4"/>
      <c r="GCT50" s="4"/>
      <c r="GCU50" s="4"/>
      <c r="GCV50" s="4"/>
      <c r="GCW50" s="4"/>
      <c r="GCX50" s="4"/>
      <c r="GCY50" s="4"/>
      <c r="GCZ50" s="4"/>
      <c r="GDA50" s="4"/>
      <c r="GDB50" s="4"/>
      <c r="GDC50" s="4"/>
      <c r="GDD50" s="4"/>
      <c r="GDE50" s="4"/>
      <c r="GDF50" s="4"/>
      <c r="GDG50" s="4"/>
      <c r="GDH50" s="4"/>
      <c r="GDI50" s="4"/>
      <c r="GDJ50" s="4"/>
      <c r="GDK50" s="4"/>
      <c r="GDL50" s="4"/>
      <c r="GDM50" s="4"/>
      <c r="GDN50" s="4"/>
      <c r="GDO50" s="4"/>
      <c r="GDP50" s="4"/>
      <c r="GDQ50" s="4"/>
      <c r="GDR50" s="4"/>
      <c r="GDS50" s="4"/>
      <c r="GDT50" s="4"/>
      <c r="GDU50" s="4"/>
      <c r="GDV50" s="4"/>
      <c r="GDW50" s="4"/>
      <c r="GDX50" s="4"/>
      <c r="GDY50" s="4"/>
      <c r="GDZ50" s="4"/>
      <c r="GEA50" s="4"/>
      <c r="GEB50" s="4"/>
      <c r="GEC50" s="4"/>
      <c r="GED50" s="4"/>
      <c r="GEE50" s="4"/>
      <c r="GEF50" s="4"/>
      <c r="GEG50" s="4"/>
      <c r="GEH50" s="4"/>
      <c r="GEI50" s="4"/>
      <c r="GEJ50" s="4"/>
      <c r="GEK50" s="4"/>
      <c r="GEL50" s="4"/>
      <c r="GEM50" s="4"/>
      <c r="GEN50" s="4"/>
      <c r="GEO50" s="4"/>
      <c r="GEP50" s="4"/>
      <c r="GEQ50" s="4"/>
      <c r="GER50" s="4"/>
      <c r="GES50" s="4"/>
      <c r="GET50" s="4"/>
      <c r="GEU50" s="4"/>
      <c r="GEV50" s="4"/>
      <c r="GEW50" s="4"/>
      <c r="GEX50" s="4"/>
      <c r="GEY50" s="4"/>
      <c r="GEZ50" s="4"/>
      <c r="GFA50" s="4"/>
      <c r="GFB50" s="4"/>
      <c r="GFC50" s="4"/>
      <c r="GFD50" s="4"/>
      <c r="GFE50" s="4"/>
      <c r="GFF50" s="4"/>
      <c r="GFG50" s="4"/>
      <c r="GFH50" s="4"/>
      <c r="GFI50" s="4"/>
      <c r="GFJ50" s="4"/>
      <c r="GFK50" s="4"/>
      <c r="GFL50" s="4"/>
      <c r="GFM50" s="4"/>
      <c r="GFN50" s="4"/>
      <c r="GFO50" s="4"/>
      <c r="GFP50" s="4"/>
      <c r="GFQ50" s="4"/>
      <c r="GFR50" s="4"/>
      <c r="GFS50" s="4"/>
      <c r="GFT50" s="4"/>
      <c r="GFU50" s="4"/>
      <c r="GFV50" s="4"/>
      <c r="GFW50" s="4"/>
      <c r="GFX50" s="4"/>
      <c r="GFY50" s="4"/>
      <c r="GFZ50" s="4"/>
      <c r="GGA50" s="4"/>
      <c r="GGB50" s="4"/>
      <c r="GGC50" s="4"/>
      <c r="GGD50" s="4"/>
      <c r="GGE50" s="4"/>
      <c r="GGF50" s="4"/>
      <c r="GGG50" s="4"/>
      <c r="GGH50" s="4"/>
      <c r="GGI50" s="4"/>
      <c r="GGJ50" s="4"/>
      <c r="GGK50" s="4"/>
      <c r="GGL50" s="4"/>
      <c r="GGM50" s="4"/>
      <c r="GGN50" s="4"/>
      <c r="GGO50" s="4"/>
      <c r="GGP50" s="4"/>
      <c r="GGQ50" s="4"/>
      <c r="GGR50" s="4"/>
      <c r="GGS50" s="4"/>
      <c r="GGT50" s="4"/>
      <c r="GGU50" s="4"/>
      <c r="GGV50" s="4"/>
      <c r="GGW50" s="4"/>
      <c r="GGX50" s="4"/>
      <c r="GGY50" s="4"/>
      <c r="GGZ50" s="4"/>
      <c r="GHA50" s="4"/>
      <c r="GHB50" s="4"/>
      <c r="GHC50" s="4"/>
      <c r="GHD50" s="4"/>
      <c r="GHE50" s="4"/>
      <c r="GHF50" s="4"/>
      <c r="GHG50" s="4"/>
      <c r="GHH50" s="4"/>
      <c r="GHI50" s="4"/>
      <c r="GHJ50" s="4"/>
      <c r="GHK50" s="4"/>
      <c r="GHL50" s="4"/>
      <c r="GHM50" s="4"/>
      <c r="GHN50" s="4"/>
      <c r="GHO50" s="4"/>
      <c r="GHP50" s="4"/>
      <c r="GHQ50" s="4"/>
      <c r="GHR50" s="4"/>
      <c r="GHS50" s="4"/>
      <c r="GHT50" s="4"/>
      <c r="GHU50" s="4"/>
      <c r="GHV50" s="4"/>
      <c r="GHW50" s="4"/>
      <c r="GHX50" s="4"/>
      <c r="GHY50" s="4"/>
      <c r="GHZ50" s="4"/>
      <c r="GIA50" s="4"/>
      <c r="GIB50" s="4"/>
      <c r="GIC50" s="4"/>
      <c r="GID50" s="4"/>
      <c r="GIE50" s="4"/>
      <c r="GIF50" s="4"/>
      <c r="GIG50" s="4"/>
      <c r="GIH50" s="4"/>
      <c r="GII50" s="4"/>
      <c r="GIJ50" s="4"/>
      <c r="GIK50" s="4"/>
      <c r="GIL50" s="4"/>
      <c r="GIM50" s="4"/>
      <c r="GIN50" s="4"/>
      <c r="GIO50" s="4"/>
      <c r="GIP50" s="4"/>
      <c r="GIQ50" s="4"/>
      <c r="GIR50" s="4"/>
      <c r="GIS50" s="4"/>
      <c r="GIT50" s="4"/>
      <c r="GIU50" s="4"/>
      <c r="GIV50" s="4"/>
      <c r="GIW50" s="4"/>
      <c r="GIX50" s="4"/>
      <c r="GIY50" s="4"/>
      <c r="GIZ50" s="4"/>
      <c r="GJA50" s="4"/>
      <c r="GJB50" s="4"/>
      <c r="GJC50" s="4"/>
      <c r="GJD50" s="4"/>
      <c r="GJE50" s="4"/>
      <c r="GJF50" s="4"/>
      <c r="GJG50" s="4"/>
      <c r="GJH50" s="4"/>
      <c r="GJI50" s="4"/>
      <c r="GJJ50" s="4"/>
      <c r="GJK50" s="4"/>
      <c r="GJL50" s="4"/>
      <c r="GJM50" s="4"/>
      <c r="GJN50" s="4"/>
      <c r="GJO50" s="4"/>
      <c r="GJP50" s="4"/>
      <c r="GJQ50" s="4"/>
      <c r="GJR50" s="4"/>
      <c r="GJS50" s="4"/>
      <c r="GJT50" s="4"/>
      <c r="GJU50" s="4"/>
      <c r="GJV50" s="4"/>
      <c r="GJW50" s="4"/>
      <c r="GJX50" s="4"/>
      <c r="GJY50" s="4"/>
      <c r="GJZ50" s="4"/>
      <c r="GKA50" s="4"/>
      <c r="GKB50" s="4"/>
      <c r="GKC50" s="4"/>
      <c r="GKD50" s="4"/>
      <c r="GKE50" s="4"/>
      <c r="GKF50" s="4"/>
      <c r="GKG50" s="4"/>
      <c r="GKH50" s="4"/>
      <c r="GKI50" s="4"/>
      <c r="GKJ50" s="4"/>
      <c r="GKK50" s="4"/>
      <c r="GKL50" s="4"/>
      <c r="GKM50" s="4"/>
      <c r="GKN50" s="4"/>
      <c r="GKO50" s="4"/>
      <c r="GKP50" s="4"/>
      <c r="GKQ50" s="4"/>
      <c r="GKR50" s="4"/>
      <c r="GKS50" s="4"/>
      <c r="GKT50" s="4"/>
      <c r="GKU50" s="4"/>
      <c r="GKV50" s="4"/>
      <c r="GKW50" s="4"/>
      <c r="GKX50" s="4"/>
      <c r="GKY50" s="4"/>
      <c r="GKZ50" s="4"/>
      <c r="GLA50" s="4"/>
      <c r="GLB50" s="4"/>
      <c r="GLC50" s="4"/>
      <c r="GLD50" s="4"/>
      <c r="GLE50" s="4"/>
      <c r="GLF50" s="4"/>
      <c r="GLG50" s="4"/>
      <c r="GLH50" s="4"/>
      <c r="GLI50" s="4"/>
      <c r="GLJ50" s="4"/>
      <c r="GLK50" s="4"/>
      <c r="GLL50" s="4"/>
      <c r="GLM50" s="4"/>
      <c r="GLN50" s="4"/>
      <c r="GLO50" s="4"/>
      <c r="GLP50" s="4"/>
      <c r="GLQ50" s="4"/>
      <c r="GLR50" s="4"/>
      <c r="GLS50" s="4"/>
      <c r="GLT50" s="4"/>
      <c r="GLU50" s="4"/>
      <c r="GLV50" s="4"/>
      <c r="GLW50" s="4"/>
      <c r="GLX50" s="4"/>
      <c r="GLY50" s="4"/>
      <c r="GLZ50" s="4"/>
      <c r="GMA50" s="4"/>
      <c r="GMB50" s="4"/>
      <c r="GMC50" s="4"/>
      <c r="GMD50" s="4"/>
      <c r="GME50" s="4"/>
      <c r="GMF50" s="4"/>
      <c r="GMG50" s="4"/>
      <c r="GMH50" s="4"/>
      <c r="GMI50" s="4"/>
      <c r="GMJ50" s="4"/>
      <c r="GMK50" s="4"/>
      <c r="GML50" s="4"/>
      <c r="GMM50" s="4"/>
      <c r="GMN50" s="4"/>
      <c r="GMO50" s="4"/>
      <c r="GMP50" s="4"/>
      <c r="GMQ50" s="4"/>
      <c r="GMR50" s="4"/>
      <c r="GMS50" s="4"/>
      <c r="GMT50" s="4"/>
      <c r="GMU50" s="4"/>
      <c r="GMV50" s="4"/>
      <c r="GMW50" s="4"/>
      <c r="GMX50" s="4"/>
      <c r="GMY50" s="4"/>
      <c r="GMZ50" s="4"/>
      <c r="GNA50" s="4"/>
      <c r="GNB50" s="4"/>
      <c r="GNC50" s="4"/>
      <c r="GND50" s="4"/>
      <c r="GNE50" s="4"/>
      <c r="GNF50" s="4"/>
      <c r="GNG50" s="4"/>
      <c r="GNH50" s="4"/>
      <c r="GNI50" s="4"/>
      <c r="GNJ50" s="4"/>
      <c r="GNK50" s="4"/>
      <c r="GNL50" s="4"/>
      <c r="GNM50" s="4"/>
      <c r="GNN50" s="4"/>
      <c r="GNO50" s="4"/>
      <c r="GNP50" s="4"/>
      <c r="GNQ50" s="4"/>
      <c r="GNR50" s="4"/>
      <c r="GNS50" s="4"/>
      <c r="GNT50" s="4"/>
      <c r="GNU50" s="4"/>
      <c r="GNV50" s="4"/>
      <c r="GNW50" s="4"/>
      <c r="GNX50" s="4"/>
      <c r="GNY50" s="4"/>
      <c r="GNZ50" s="4"/>
      <c r="GOA50" s="4"/>
      <c r="GOB50" s="4"/>
      <c r="GOC50" s="4"/>
      <c r="GOD50" s="4"/>
      <c r="GOE50" s="4"/>
      <c r="GOF50" s="4"/>
      <c r="GOG50" s="4"/>
      <c r="GOH50" s="4"/>
      <c r="GOI50" s="4"/>
      <c r="GOJ50" s="4"/>
      <c r="GOK50" s="4"/>
      <c r="GOL50" s="4"/>
      <c r="GOM50" s="4"/>
      <c r="GON50" s="4"/>
      <c r="GOO50" s="4"/>
      <c r="GOP50" s="4"/>
      <c r="GOQ50" s="4"/>
      <c r="GOR50" s="4"/>
      <c r="GOS50" s="4"/>
      <c r="GOT50" s="4"/>
      <c r="GOU50" s="4"/>
      <c r="GOV50" s="4"/>
      <c r="GOW50" s="4"/>
      <c r="GOX50" s="4"/>
      <c r="GOY50" s="4"/>
      <c r="GOZ50" s="4"/>
      <c r="GPA50" s="4"/>
      <c r="GPB50" s="4"/>
      <c r="GPC50" s="4"/>
      <c r="GPD50" s="4"/>
      <c r="GPE50" s="4"/>
      <c r="GPF50" s="4"/>
      <c r="GPG50" s="4"/>
      <c r="GPH50" s="4"/>
      <c r="GPI50" s="4"/>
      <c r="GPJ50" s="4"/>
      <c r="GPK50" s="4"/>
      <c r="GPL50" s="4"/>
      <c r="GPM50" s="4"/>
      <c r="GPN50" s="4"/>
      <c r="GPO50" s="4"/>
      <c r="GPP50" s="4"/>
      <c r="GPQ50" s="4"/>
      <c r="GPR50" s="4"/>
      <c r="GPS50" s="4"/>
      <c r="GPT50" s="4"/>
      <c r="GPU50" s="4"/>
      <c r="GPV50" s="4"/>
      <c r="GPW50" s="4"/>
      <c r="GPX50" s="4"/>
      <c r="GPY50" s="4"/>
      <c r="GPZ50" s="4"/>
      <c r="GQA50" s="4"/>
      <c r="GQB50" s="4"/>
      <c r="GQC50" s="4"/>
      <c r="GQD50" s="4"/>
      <c r="GQE50" s="4"/>
      <c r="GQF50" s="4"/>
      <c r="GQG50" s="4"/>
      <c r="GQH50" s="4"/>
      <c r="GQI50" s="4"/>
      <c r="GQJ50" s="4"/>
      <c r="GQK50" s="4"/>
      <c r="GQL50" s="4"/>
      <c r="GQM50" s="4"/>
      <c r="GQN50" s="4"/>
      <c r="GQO50" s="4"/>
      <c r="GQP50" s="4"/>
      <c r="GQQ50" s="4"/>
      <c r="GQR50" s="4"/>
      <c r="GQS50" s="4"/>
      <c r="GQT50" s="4"/>
      <c r="GQU50" s="4"/>
      <c r="GQV50" s="4"/>
      <c r="GQW50" s="4"/>
      <c r="GQX50" s="4"/>
      <c r="GQY50" s="4"/>
      <c r="GQZ50" s="4"/>
      <c r="GRA50" s="4"/>
      <c r="GRB50" s="4"/>
      <c r="GRC50" s="4"/>
      <c r="GRD50" s="4"/>
      <c r="GRE50" s="4"/>
      <c r="GRF50" s="4"/>
      <c r="GRG50" s="4"/>
      <c r="GRH50" s="4"/>
      <c r="GRI50" s="4"/>
      <c r="GRJ50" s="4"/>
      <c r="GRK50" s="4"/>
      <c r="GRL50" s="4"/>
      <c r="GRM50" s="4"/>
      <c r="GRN50" s="4"/>
      <c r="GRO50" s="4"/>
      <c r="GRP50" s="4"/>
      <c r="GRQ50" s="4"/>
      <c r="GRR50" s="4"/>
      <c r="GRS50" s="4"/>
      <c r="GRT50" s="4"/>
      <c r="GRU50" s="4"/>
      <c r="GRV50" s="4"/>
      <c r="GRW50" s="4"/>
      <c r="GRX50" s="4"/>
      <c r="GRY50" s="4"/>
      <c r="GRZ50" s="4"/>
      <c r="GSA50" s="4"/>
      <c r="GSB50" s="4"/>
      <c r="GSC50" s="4"/>
      <c r="GSD50" s="4"/>
      <c r="GSE50" s="4"/>
      <c r="GSF50" s="4"/>
      <c r="GSG50" s="4"/>
      <c r="GSH50" s="4"/>
      <c r="GSI50" s="4"/>
      <c r="GSJ50" s="4"/>
      <c r="GSK50" s="4"/>
      <c r="GSL50" s="4"/>
      <c r="GSM50" s="4"/>
      <c r="GSN50" s="4"/>
      <c r="GSO50" s="4"/>
      <c r="GSP50" s="4"/>
      <c r="GSQ50" s="4"/>
      <c r="GSR50" s="4"/>
      <c r="GSS50" s="4"/>
      <c r="GST50" s="4"/>
      <c r="GSU50" s="4"/>
      <c r="GSV50" s="4"/>
      <c r="GSW50" s="4"/>
      <c r="GSX50" s="4"/>
      <c r="GSY50" s="4"/>
      <c r="GSZ50" s="4"/>
      <c r="GTA50" s="4"/>
      <c r="GTB50" s="4"/>
      <c r="GTC50" s="4"/>
      <c r="GTD50" s="4"/>
      <c r="GTE50" s="4"/>
      <c r="GTF50" s="4"/>
      <c r="GTG50" s="4"/>
      <c r="GTH50" s="4"/>
      <c r="GTI50" s="4"/>
      <c r="GTJ50" s="4"/>
      <c r="GTK50" s="4"/>
      <c r="GTL50" s="4"/>
      <c r="GTM50" s="4"/>
      <c r="GTN50" s="4"/>
      <c r="GTO50" s="4"/>
      <c r="GTP50" s="4"/>
      <c r="GTQ50" s="4"/>
      <c r="GTR50" s="4"/>
      <c r="GTS50" s="4"/>
      <c r="GTT50" s="4"/>
      <c r="GTU50" s="4"/>
      <c r="GTV50" s="4"/>
      <c r="GTW50" s="4"/>
      <c r="GTX50" s="4"/>
      <c r="GTY50" s="4"/>
      <c r="GTZ50" s="4"/>
      <c r="GUA50" s="4"/>
      <c r="GUB50" s="4"/>
      <c r="GUC50" s="4"/>
      <c r="GUD50" s="4"/>
      <c r="GUE50" s="4"/>
      <c r="GUF50" s="4"/>
      <c r="GUG50" s="4"/>
      <c r="GUH50" s="4"/>
      <c r="GUI50" s="4"/>
      <c r="GUJ50" s="4"/>
      <c r="GUK50" s="4"/>
      <c r="GUL50" s="4"/>
      <c r="GUM50" s="4"/>
      <c r="GUN50" s="4"/>
      <c r="GUO50" s="4"/>
      <c r="GUP50" s="4"/>
      <c r="GUQ50" s="4"/>
      <c r="GUR50" s="4"/>
      <c r="GUS50" s="4"/>
      <c r="GUT50" s="4"/>
      <c r="GUU50" s="4"/>
      <c r="GUV50" s="4"/>
      <c r="GUW50" s="4"/>
      <c r="GUX50" s="4"/>
      <c r="GUY50" s="4"/>
      <c r="GUZ50" s="4"/>
      <c r="GVA50" s="4"/>
      <c r="GVB50" s="4"/>
      <c r="GVC50" s="4"/>
      <c r="GVD50" s="4"/>
      <c r="GVE50" s="4"/>
      <c r="GVF50" s="4"/>
      <c r="GVG50" s="4"/>
      <c r="GVH50" s="4"/>
      <c r="GVI50" s="4"/>
      <c r="GVJ50" s="4"/>
      <c r="GVK50" s="4"/>
      <c r="GVL50" s="4"/>
      <c r="GVM50" s="4"/>
      <c r="GVN50" s="4"/>
      <c r="GVO50" s="4"/>
      <c r="GVP50" s="4"/>
      <c r="GVQ50" s="4"/>
      <c r="GVR50" s="4"/>
      <c r="GVS50" s="4"/>
      <c r="GVT50" s="4"/>
      <c r="GVU50" s="4"/>
      <c r="GVV50" s="4"/>
      <c r="GVW50" s="4"/>
      <c r="GVX50" s="4"/>
      <c r="GVY50" s="4"/>
      <c r="GVZ50" s="4"/>
      <c r="GWA50" s="4"/>
      <c r="GWB50" s="4"/>
      <c r="GWC50" s="4"/>
      <c r="GWD50" s="4"/>
      <c r="GWE50" s="4"/>
      <c r="GWF50" s="4"/>
      <c r="GWG50" s="4"/>
      <c r="GWH50" s="4"/>
      <c r="GWI50" s="4"/>
      <c r="GWJ50" s="4"/>
      <c r="GWK50" s="4"/>
      <c r="GWL50" s="4"/>
      <c r="GWM50" s="4"/>
      <c r="GWN50" s="4"/>
      <c r="GWO50" s="4"/>
      <c r="GWP50" s="4"/>
      <c r="GWQ50" s="4"/>
      <c r="GWR50" s="4"/>
      <c r="GWS50" s="4"/>
      <c r="GWT50" s="4"/>
      <c r="GWU50" s="4"/>
      <c r="GWV50" s="4"/>
      <c r="GWW50" s="4"/>
      <c r="GWX50" s="4"/>
      <c r="GWY50" s="4"/>
      <c r="GWZ50" s="4"/>
      <c r="GXA50" s="4"/>
      <c r="GXB50" s="4"/>
      <c r="GXC50" s="4"/>
      <c r="GXD50" s="4"/>
      <c r="GXE50" s="4"/>
      <c r="GXF50" s="4"/>
      <c r="GXG50" s="4"/>
      <c r="GXH50" s="4"/>
      <c r="GXI50" s="4"/>
      <c r="GXJ50" s="4"/>
      <c r="GXK50" s="4"/>
      <c r="GXL50" s="4"/>
      <c r="GXM50" s="4"/>
      <c r="GXN50" s="4"/>
      <c r="GXO50" s="4"/>
      <c r="GXP50" s="4"/>
      <c r="GXQ50" s="4"/>
      <c r="GXR50" s="4"/>
      <c r="GXS50" s="4"/>
      <c r="GXT50" s="4"/>
      <c r="GXU50" s="4"/>
      <c r="GXV50" s="4"/>
      <c r="GXW50" s="4"/>
      <c r="GXX50" s="4"/>
      <c r="GXY50" s="4"/>
      <c r="GXZ50" s="4"/>
      <c r="GYA50" s="4"/>
      <c r="GYB50" s="4"/>
      <c r="GYC50" s="4"/>
      <c r="GYD50" s="4"/>
      <c r="GYE50" s="4"/>
      <c r="GYF50" s="4"/>
      <c r="GYG50" s="4"/>
      <c r="GYH50" s="4"/>
      <c r="GYI50" s="4"/>
      <c r="GYJ50" s="4"/>
      <c r="GYK50" s="4"/>
      <c r="GYL50" s="4"/>
      <c r="GYM50" s="4"/>
      <c r="GYN50" s="4"/>
      <c r="GYO50" s="4"/>
      <c r="GYP50" s="4"/>
      <c r="GYQ50" s="4"/>
      <c r="GYR50" s="4"/>
      <c r="GYS50" s="4"/>
      <c r="GYT50" s="4"/>
      <c r="GYU50" s="4"/>
      <c r="GYV50" s="4"/>
      <c r="GYW50" s="4"/>
      <c r="GYX50" s="4"/>
      <c r="GYY50" s="4"/>
      <c r="GYZ50" s="4"/>
      <c r="GZA50" s="4"/>
      <c r="GZB50" s="4"/>
      <c r="GZC50" s="4"/>
      <c r="GZD50" s="4"/>
      <c r="GZE50" s="4"/>
      <c r="GZF50" s="4"/>
      <c r="GZG50" s="4"/>
      <c r="GZH50" s="4"/>
      <c r="GZI50" s="4"/>
      <c r="GZJ50" s="4"/>
      <c r="GZK50" s="4"/>
      <c r="GZL50" s="4"/>
      <c r="GZM50" s="4"/>
      <c r="GZN50" s="4"/>
      <c r="GZO50" s="4"/>
      <c r="GZP50" s="4"/>
      <c r="GZQ50" s="4"/>
      <c r="GZR50" s="4"/>
      <c r="GZS50" s="4"/>
      <c r="GZT50" s="4"/>
      <c r="GZU50" s="4"/>
      <c r="GZV50" s="4"/>
      <c r="GZW50" s="4"/>
      <c r="GZX50" s="4"/>
      <c r="GZY50" s="4"/>
      <c r="GZZ50" s="4"/>
      <c r="HAA50" s="4"/>
      <c r="HAB50" s="4"/>
      <c r="HAC50" s="4"/>
      <c r="HAD50" s="4"/>
      <c r="HAE50" s="4"/>
      <c r="HAF50" s="4"/>
      <c r="HAG50" s="4"/>
      <c r="HAH50" s="4"/>
      <c r="HAI50" s="4"/>
      <c r="HAJ50" s="4"/>
      <c r="HAK50" s="4"/>
      <c r="HAL50" s="4"/>
      <c r="HAM50" s="4"/>
      <c r="HAN50" s="4"/>
      <c r="HAO50" s="4"/>
      <c r="HAP50" s="4"/>
      <c r="HAQ50" s="4"/>
      <c r="HAR50" s="4"/>
      <c r="HAS50" s="4"/>
      <c r="HAT50" s="4"/>
      <c r="HAU50" s="4"/>
      <c r="HAV50" s="4"/>
      <c r="HAW50" s="4"/>
      <c r="HAX50" s="4"/>
      <c r="HAY50" s="4"/>
      <c r="HAZ50" s="4"/>
      <c r="HBA50" s="4"/>
      <c r="HBB50" s="4"/>
      <c r="HBC50" s="4"/>
      <c r="HBD50" s="4"/>
      <c r="HBE50" s="4"/>
      <c r="HBF50" s="4"/>
      <c r="HBG50" s="4"/>
      <c r="HBH50" s="4"/>
      <c r="HBI50" s="4"/>
      <c r="HBJ50" s="4"/>
      <c r="HBK50" s="4"/>
      <c r="HBL50" s="4"/>
      <c r="HBM50" s="4"/>
      <c r="HBN50" s="4"/>
      <c r="HBO50" s="4"/>
      <c r="HBP50" s="4"/>
      <c r="HBQ50" s="4"/>
      <c r="HBR50" s="4"/>
      <c r="HBS50" s="4"/>
      <c r="HBT50" s="4"/>
      <c r="HBU50" s="4"/>
      <c r="HBV50" s="4"/>
      <c r="HBW50" s="4"/>
      <c r="HBX50" s="4"/>
      <c r="HBY50" s="4"/>
      <c r="HBZ50" s="4"/>
      <c r="HCA50" s="4"/>
      <c r="HCB50" s="4"/>
      <c r="HCC50" s="4"/>
      <c r="HCD50" s="4"/>
      <c r="HCE50" s="4"/>
      <c r="HCF50" s="4"/>
      <c r="HCG50" s="4"/>
      <c r="HCH50" s="4"/>
      <c r="HCI50" s="4"/>
      <c r="HCJ50" s="4"/>
      <c r="HCK50" s="4"/>
      <c r="HCL50" s="4"/>
      <c r="HCM50" s="4"/>
      <c r="HCN50" s="4"/>
      <c r="HCO50" s="4"/>
      <c r="HCP50" s="4"/>
      <c r="HCQ50" s="4"/>
      <c r="HCR50" s="4"/>
      <c r="HCS50" s="4"/>
      <c r="HCT50" s="4"/>
      <c r="HCU50" s="4"/>
      <c r="HCV50" s="4"/>
      <c r="HCW50" s="4"/>
      <c r="HCX50" s="4"/>
      <c r="HCY50" s="4"/>
      <c r="HCZ50" s="4"/>
      <c r="HDA50" s="4"/>
      <c r="HDB50" s="4"/>
      <c r="HDC50" s="4"/>
      <c r="HDD50" s="4"/>
      <c r="HDE50" s="4"/>
      <c r="HDF50" s="4"/>
      <c r="HDG50" s="4"/>
      <c r="HDH50" s="4"/>
      <c r="HDI50" s="4"/>
      <c r="HDJ50" s="4"/>
      <c r="HDK50" s="4"/>
      <c r="HDL50" s="4"/>
      <c r="HDM50" s="4"/>
      <c r="HDN50" s="4"/>
      <c r="HDO50" s="4"/>
      <c r="HDP50" s="4"/>
      <c r="HDQ50" s="4"/>
      <c r="HDR50" s="4"/>
      <c r="HDS50" s="4"/>
      <c r="HDT50" s="4"/>
      <c r="HDU50" s="4"/>
      <c r="HDV50" s="4"/>
      <c r="HDW50" s="4"/>
      <c r="HDX50" s="4"/>
      <c r="HDY50" s="4"/>
      <c r="HDZ50" s="4"/>
      <c r="HEA50" s="4"/>
      <c r="HEB50" s="4"/>
      <c r="HEC50" s="4"/>
      <c r="HED50" s="4"/>
      <c r="HEE50" s="4"/>
      <c r="HEF50" s="4"/>
      <c r="HEG50" s="4"/>
      <c r="HEH50" s="4"/>
      <c r="HEI50" s="4"/>
      <c r="HEJ50" s="4"/>
      <c r="HEK50" s="4"/>
      <c r="HEL50" s="4"/>
      <c r="HEM50" s="4"/>
      <c r="HEN50" s="4"/>
      <c r="HEO50" s="4"/>
      <c r="HEP50" s="4"/>
      <c r="HEQ50" s="4"/>
      <c r="HER50" s="4"/>
      <c r="HES50" s="4"/>
      <c r="HET50" s="4"/>
      <c r="HEU50" s="4"/>
      <c r="HEV50" s="4"/>
      <c r="HEW50" s="4"/>
      <c r="HEX50" s="4"/>
      <c r="HEY50" s="4"/>
      <c r="HEZ50" s="4"/>
      <c r="HFA50" s="4"/>
      <c r="HFB50" s="4"/>
      <c r="HFC50" s="4"/>
      <c r="HFD50" s="4"/>
      <c r="HFE50" s="4"/>
      <c r="HFF50" s="4"/>
      <c r="HFG50" s="4"/>
      <c r="HFH50" s="4"/>
      <c r="HFI50" s="4"/>
      <c r="HFJ50" s="4"/>
      <c r="HFK50" s="4"/>
      <c r="HFL50" s="4"/>
      <c r="HFM50" s="4"/>
      <c r="HFN50" s="4"/>
      <c r="HFO50" s="4"/>
      <c r="HFP50" s="4"/>
      <c r="HFQ50" s="4"/>
      <c r="HFR50" s="4"/>
      <c r="HFS50" s="4"/>
      <c r="HFT50" s="4"/>
      <c r="HFU50" s="4"/>
      <c r="HFV50" s="4"/>
      <c r="HFW50" s="4"/>
      <c r="HFX50" s="4"/>
      <c r="HFY50" s="4"/>
      <c r="HFZ50" s="4"/>
      <c r="HGA50" s="4"/>
      <c r="HGB50" s="4"/>
      <c r="HGC50" s="4"/>
      <c r="HGD50" s="4"/>
      <c r="HGE50" s="4"/>
      <c r="HGF50" s="4"/>
      <c r="HGG50" s="4"/>
      <c r="HGH50" s="4"/>
      <c r="HGI50" s="4"/>
      <c r="HGJ50" s="4"/>
      <c r="HGK50" s="4"/>
      <c r="HGL50" s="4"/>
      <c r="HGM50" s="4"/>
      <c r="HGN50" s="4"/>
      <c r="HGO50" s="4"/>
      <c r="HGP50" s="4"/>
      <c r="HGQ50" s="4"/>
      <c r="HGR50" s="4"/>
      <c r="HGS50" s="4"/>
      <c r="HGT50" s="4"/>
      <c r="HGU50" s="4"/>
      <c r="HGV50" s="4"/>
      <c r="HGW50" s="4"/>
      <c r="HGX50" s="4"/>
      <c r="HGY50" s="4"/>
      <c r="HGZ50" s="4"/>
      <c r="HHA50" s="4"/>
      <c r="HHB50" s="4"/>
      <c r="HHC50" s="4"/>
      <c r="HHD50" s="4"/>
      <c r="HHE50" s="4"/>
      <c r="HHF50" s="4"/>
      <c r="HHG50" s="4"/>
      <c r="HHH50" s="4"/>
      <c r="HHI50" s="4"/>
      <c r="HHJ50" s="4"/>
      <c r="HHK50" s="4"/>
      <c r="HHL50" s="4"/>
      <c r="HHM50" s="4"/>
      <c r="HHN50" s="4"/>
      <c r="HHO50" s="4"/>
      <c r="HHP50" s="4"/>
      <c r="HHQ50" s="4"/>
      <c r="HHR50" s="4"/>
      <c r="HHS50" s="4"/>
      <c r="HHT50" s="4"/>
      <c r="HHU50" s="4"/>
      <c r="HHV50" s="4"/>
      <c r="HHW50" s="4"/>
      <c r="HHX50" s="4"/>
      <c r="HHY50" s="4"/>
      <c r="HHZ50" s="4"/>
      <c r="HIA50" s="4"/>
      <c r="HIB50" s="4"/>
      <c r="HIC50" s="4"/>
      <c r="HID50" s="4"/>
      <c r="HIE50" s="4"/>
      <c r="HIF50" s="4"/>
      <c r="HIG50" s="4"/>
      <c r="HIH50" s="4"/>
      <c r="HII50" s="4"/>
      <c r="HIJ50" s="4"/>
      <c r="HIK50" s="4"/>
      <c r="HIL50" s="4"/>
      <c r="HIM50" s="4"/>
      <c r="HIN50" s="4"/>
      <c r="HIO50" s="4"/>
      <c r="HIP50" s="4"/>
      <c r="HIQ50" s="4"/>
      <c r="HIR50" s="4"/>
      <c r="HIS50" s="4"/>
      <c r="HIT50" s="4"/>
      <c r="HIU50" s="4"/>
      <c r="HIV50" s="4"/>
      <c r="HIW50" s="4"/>
      <c r="HIX50" s="4"/>
      <c r="HIY50" s="4"/>
      <c r="HIZ50" s="4"/>
      <c r="HJA50" s="4"/>
      <c r="HJB50" s="4"/>
      <c r="HJC50" s="4"/>
      <c r="HJD50" s="4"/>
      <c r="HJE50" s="4"/>
      <c r="HJF50" s="4"/>
      <c r="HJG50" s="4"/>
      <c r="HJH50" s="4"/>
      <c r="HJI50" s="4"/>
      <c r="HJJ50" s="4"/>
      <c r="HJK50" s="4"/>
      <c r="HJL50" s="4"/>
      <c r="HJM50" s="4"/>
      <c r="HJN50" s="4"/>
      <c r="HJO50" s="4"/>
      <c r="HJP50" s="4"/>
      <c r="HJQ50" s="4"/>
      <c r="HJR50" s="4"/>
      <c r="HJS50" s="4"/>
      <c r="HJT50" s="4"/>
      <c r="HJU50" s="4"/>
      <c r="HJV50" s="4"/>
      <c r="HJW50" s="4"/>
      <c r="HJX50" s="4"/>
      <c r="HJY50" s="4"/>
      <c r="HJZ50" s="4"/>
      <c r="HKA50" s="4"/>
      <c r="HKB50" s="4"/>
      <c r="HKC50" s="4"/>
      <c r="HKD50" s="4"/>
      <c r="HKE50" s="4"/>
      <c r="HKF50" s="4"/>
      <c r="HKG50" s="4"/>
      <c r="HKH50" s="4"/>
      <c r="HKI50" s="4"/>
      <c r="HKJ50" s="4"/>
      <c r="HKK50" s="4"/>
      <c r="HKL50" s="4"/>
      <c r="HKM50" s="4"/>
      <c r="HKN50" s="4"/>
      <c r="HKO50" s="4"/>
      <c r="HKP50" s="4"/>
      <c r="HKQ50" s="4"/>
      <c r="HKR50" s="4"/>
      <c r="HKS50" s="4"/>
      <c r="HKT50" s="4"/>
      <c r="HKU50" s="4"/>
      <c r="HKV50" s="4"/>
      <c r="HKW50" s="4"/>
      <c r="HKX50" s="4"/>
      <c r="HKY50" s="4"/>
      <c r="HKZ50" s="4"/>
      <c r="HLA50" s="4"/>
      <c r="HLB50" s="4"/>
      <c r="HLC50" s="4"/>
      <c r="HLD50" s="4"/>
      <c r="HLE50" s="4"/>
      <c r="HLF50" s="4"/>
      <c r="HLG50" s="4"/>
      <c r="HLH50" s="4"/>
      <c r="HLI50" s="4"/>
      <c r="HLJ50" s="4"/>
      <c r="HLK50" s="4"/>
      <c r="HLL50" s="4"/>
      <c r="HLM50" s="4"/>
      <c r="HLN50" s="4"/>
      <c r="HLO50" s="4"/>
      <c r="HLP50" s="4"/>
      <c r="HLQ50" s="4"/>
      <c r="HLR50" s="4"/>
      <c r="HLS50" s="4"/>
      <c r="HLT50" s="4"/>
      <c r="HLU50" s="4"/>
      <c r="HLV50" s="4"/>
      <c r="HLW50" s="4"/>
      <c r="HLX50" s="4"/>
      <c r="HLY50" s="4"/>
      <c r="HLZ50" s="4"/>
      <c r="HMA50" s="4"/>
      <c r="HMB50" s="4"/>
      <c r="HMC50" s="4"/>
      <c r="HMD50" s="4"/>
      <c r="HME50" s="4"/>
      <c r="HMF50" s="4"/>
      <c r="HMG50" s="4"/>
      <c r="HMH50" s="4"/>
      <c r="HMI50" s="4"/>
      <c r="HMJ50" s="4"/>
      <c r="HMK50" s="4"/>
      <c r="HML50" s="4"/>
      <c r="HMM50" s="4"/>
      <c r="HMN50" s="4"/>
      <c r="HMO50" s="4"/>
      <c r="HMP50" s="4"/>
      <c r="HMQ50" s="4"/>
      <c r="HMR50" s="4"/>
      <c r="HMS50" s="4"/>
      <c r="HMT50" s="4"/>
      <c r="HMU50" s="4"/>
      <c r="HMV50" s="4"/>
      <c r="HMW50" s="4"/>
      <c r="HMX50" s="4"/>
      <c r="HMY50" s="4"/>
      <c r="HMZ50" s="4"/>
      <c r="HNA50" s="4"/>
      <c r="HNB50" s="4"/>
      <c r="HNC50" s="4"/>
      <c r="HND50" s="4"/>
      <c r="HNE50" s="4"/>
      <c r="HNF50" s="4"/>
      <c r="HNG50" s="4"/>
      <c r="HNH50" s="4"/>
      <c r="HNI50" s="4"/>
      <c r="HNJ50" s="4"/>
      <c r="HNK50" s="4"/>
      <c r="HNL50" s="4"/>
      <c r="HNM50" s="4"/>
      <c r="HNN50" s="4"/>
      <c r="HNO50" s="4"/>
      <c r="HNP50" s="4"/>
      <c r="HNQ50" s="4"/>
      <c r="HNR50" s="4"/>
      <c r="HNS50" s="4"/>
      <c r="HNT50" s="4"/>
      <c r="HNU50" s="4"/>
      <c r="HNV50" s="4"/>
      <c r="HNW50" s="4"/>
      <c r="HNX50" s="4"/>
      <c r="HNY50" s="4"/>
      <c r="HNZ50" s="4"/>
      <c r="HOA50" s="4"/>
      <c r="HOB50" s="4"/>
      <c r="HOC50" s="4"/>
      <c r="HOD50" s="4"/>
      <c r="HOE50" s="4"/>
      <c r="HOF50" s="4"/>
      <c r="HOG50" s="4"/>
      <c r="HOH50" s="4"/>
      <c r="HOI50" s="4"/>
      <c r="HOJ50" s="4"/>
      <c r="HOK50" s="4"/>
      <c r="HOL50" s="4"/>
      <c r="HOM50" s="4"/>
      <c r="HON50" s="4"/>
      <c r="HOO50" s="4"/>
      <c r="HOP50" s="4"/>
      <c r="HOQ50" s="4"/>
      <c r="HOR50" s="4"/>
      <c r="HOS50" s="4"/>
      <c r="HOT50" s="4"/>
      <c r="HOU50" s="4"/>
      <c r="HOV50" s="4"/>
      <c r="HOW50" s="4"/>
      <c r="HOX50" s="4"/>
      <c r="HOY50" s="4"/>
      <c r="HOZ50" s="4"/>
      <c r="HPA50" s="4"/>
      <c r="HPB50" s="4"/>
      <c r="HPC50" s="4"/>
      <c r="HPD50" s="4"/>
      <c r="HPE50" s="4"/>
      <c r="HPF50" s="4"/>
      <c r="HPG50" s="4"/>
      <c r="HPH50" s="4"/>
      <c r="HPI50" s="4"/>
      <c r="HPJ50" s="4"/>
      <c r="HPK50" s="4"/>
      <c r="HPL50" s="4"/>
      <c r="HPM50" s="4"/>
      <c r="HPN50" s="4"/>
      <c r="HPO50" s="4"/>
      <c r="HPP50" s="4"/>
      <c r="HPQ50" s="4"/>
      <c r="HPR50" s="4"/>
      <c r="HPS50" s="4"/>
      <c r="HPT50" s="4"/>
      <c r="HPU50" s="4"/>
      <c r="HPV50" s="4"/>
      <c r="HPW50" s="4"/>
      <c r="HPX50" s="4"/>
      <c r="HPY50" s="4"/>
      <c r="HPZ50" s="4"/>
      <c r="HQA50" s="4"/>
      <c r="HQB50" s="4"/>
      <c r="HQC50" s="4"/>
      <c r="HQD50" s="4"/>
      <c r="HQE50" s="4"/>
      <c r="HQF50" s="4"/>
      <c r="HQG50" s="4"/>
      <c r="HQH50" s="4"/>
      <c r="HQI50" s="4"/>
      <c r="HQJ50" s="4"/>
      <c r="HQK50" s="4"/>
      <c r="HQL50" s="4"/>
      <c r="HQM50" s="4"/>
      <c r="HQN50" s="4"/>
      <c r="HQO50" s="4"/>
      <c r="HQP50" s="4"/>
      <c r="HQQ50" s="4"/>
      <c r="HQR50" s="4"/>
      <c r="HQS50" s="4"/>
      <c r="HQT50" s="4"/>
      <c r="HQU50" s="4"/>
      <c r="HQV50" s="4"/>
      <c r="HQW50" s="4"/>
      <c r="HQX50" s="4"/>
      <c r="HQY50" s="4"/>
      <c r="HQZ50" s="4"/>
      <c r="HRA50" s="4"/>
      <c r="HRB50" s="4"/>
      <c r="HRC50" s="4"/>
      <c r="HRD50" s="4"/>
      <c r="HRE50" s="4"/>
      <c r="HRF50" s="4"/>
      <c r="HRG50" s="4"/>
      <c r="HRH50" s="4"/>
      <c r="HRI50" s="4"/>
      <c r="HRJ50" s="4"/>
      <c r="HRK50" s="4"/>
      <c r="HRL50" s="4"/>
      <c r="HRM50" s="4"/>
      <c r="HRN50" s="4"/>
      <c r="HRO50" s="4"/>
      <c r="HRP50" s="4"/>
      <c r="HRQ50" s="4"/>
      <c r="HRR50" s="4"/>
      <c r="HRS50" s="4"/>
      <c r="HRT50" s="4"/>
      <c r="HRU50" s="4"/>
      <c r="HRV50" s="4"/>
      <c r="HRW50" s="4"/>
      <c r="HRX50" s="4"/>
      <c r="HRY50" s="4"/>
      <c r="HRZ50" s="4"/>
      <c r="HSA50" s="4"/>
      <c r="HSB50" s="4"/>
      <c r="HSC50" s="4"/>
      <c r="HSD50" s="4"/>
      <c r="HSE50" s="4"/>
      <c r="HSF50" s="4"/>
      <c r="HSG50" s="4"/>
      <c r="HSH50" s="4"/>
      <c r="HSI50" s="4"/>
      <c r="HSJ50" s="4"/>
      <c r="HSK50" s="4"/>
      <c r="HSL50" s="4"/>
      <c r="HSM50" s="4"/>
      <c r="HSN50" s="4"/>
      <c r="HSO50" s="4"/>
      <c r="HSP50" s="4"/>
      <c r="HSQ50" s="4"/>
      <c r="HSR50" s="4"/>
      <c r="HSS50" s="4"/>
      <c r="HST50" s="4"/>
      <c r="HSU50" s="4"/>
      <c r="HSV50" s="4"/>
      <c r="HSW50" s="4"/>
      <c r="HSX50" s="4"/>
      <c r="HSY50" s="4"/>
      <c r="HSZ50" s="4"/>
      <c r="HTA50" s="4"/>
      <c r="HTB50" s="4"/>
      <c r="HTC50" s="4"/>
      <c r="HTD50" s="4"/>
      <c r="HTE50" s="4"/>
      <c r="HTF50" s="4"/>
      <c r="HTG50" s="4"/>
      <c r="HTH50" s="4"/>
      <c r="HTI50" s="4"/>
      <c r="HTJ50" s="4"/>
      <c r="HTK50" s="4"/>
      <c r="HTL50" s="4"/>
      <c r="HTM50" s="4"/>
      <c r="HTN50" s="4"/>
      <c r="HTO50" s="4"/>
      <c r="HTP50" s="4"/>
      <c r="HTQ50" s="4"/>
      <c r="HTR50" s="4"/>
      <c r="HTS50" s="4"/>
      <c r="HTT50" s="4"/>
      <c r="HTU50" s="4"/>
      <c r="HTV50" s="4"/>
      <c r="HTW50" s="4"/>
      <c r="HTX50" s="4"/>
      <c r="HTY50" s="4"/>
      <c r="HTZ50" s="4"/>
      <c r="HUA50" s="4"/>
      <c r="HUB50" s="4"/>
      <c r="HUC50" s="4"/>
      <c r="HUD50" s="4"/>
      <c r="HUE50" s="4"/>
      <c r="HUF50" s="4"/>
      <c r="HUG50" s="4"/>
      <c r="HUH50" s="4"/>
      <c r="HUI50" s="4"/>
      <c r="HUJ50" s="4"/>
      <c r="HUK50" s="4"/>
      <c r="HUL50" s="4"/>
      <c r="HUM50" s="4"/>
      <c r="HUN50" s="4"/>
      <c r="HUO50" s="4"/>
      <c r="HUP50" s="4"/>
      <c r="HUQ50" s="4"/>
      <c r="HUR50" s="4"/>
      <c r="HUS50" s="4"/>
      <c r="HUT50" s="4"/>
      <c r="HUU50" s="4"/>
      <c r="HUV50" s="4"/>
      <c r="HUW50" s="4"/>
      <c r="HUX50" s="4"/>
      <c r="HUY50" s="4"/>
      <c r="HUZ50" s="4"/>
      <c r="HVA50" s="4"/>
      <c r="HVB50" s="4"/>
      <c r="HVC50" s="4"/>
      <c r="HVD50" s="4"/>
      <c r="HVE50" s="4"/>
      <c r="HVF50" s="4"/>
      <c r="HVG50" s="4"/>
      <c r="HVH50" s="4"/>
      <c r="HVI50" s="4"/>
      <c r="HVJ50" s="4"/>
      <c r="HVK50" s="4"/>
      <c r="HVL50" s="4"/>
      <c r="HVM50" s="4"/>
      <c r="HVN50" s="4"/>
      <c r="HVO50" s="4"/>
      <c r="HVP50" s="4"/>
      <c r="HVQ50" s="4"/>
      <c r="HVR50" s="4"/>
      <c r="HVS50" s="4"/>
      <c r="HVT50" s="4"/>
      <c r="HVU50" s="4"/>
      <c r="HVV50" s="4"/>
      <c r="HVW50" s="4"/>
      <c r="HVX50" s="4"/>
      <c r="HVY50" s="4"/>
      <c r="HVZ50" s="4"/>
      <c r="HWA50" s="4"/>
      <c r="HWB50" s="4"/>
      <c r="HWC50" s="4"/>
      <c r="HWD50" s="4"/>
      <c r="HWE50" s="4"/>
      <c r="HWF50" s="4"/>
      <c r="HWG50" s="4"/>
      <c r="HWH50" s="4"/>
      <c r="HWI50" s="4"/>
      <c r="HWJ50" s="4"/>
      <c r="HWK50" s="4"/>
      <c r="HWL50" s="4"/>
      <c r="HWM50" s="4"/>
      <c r="HWN50" s="4"/>
      <c r="HWO50" s="4"/>
      <c r="HWP50" s="4"/>
      <c r="HWQ50" s="4"/>
      <c r="HWR50" s="4"/>
      <c r="HWS50" s="4"/>
      <c r="HWT50" s="4"/>
      <c r="HWU50" s="4"/>
      <c r="HWV50" s="4"/>
      <c r="HWW50" s="4"/>
      <c r="HWX50" s="4"/>
      <c r="HWY50" s="4"/>
      <c r="HWZ50" s="4"/>
      <c r="HXA50" s="4"/>
      <c r="HXB50" s="4"/>
      <c r="HXC50" s="4"/>
      <c r="HXD50" s="4"/>
      <c r="HXE50" s="4"/>
      <c r="HXF50" s="4"/>
      <c r="HXG50" s="4"/>
      <c r="HXH50" s="4"/>
      <c r="HXI50" s="4"/>
      <c r="HXJ50" s="4"/>
      <c r="HXK50" s="4"/>
      <c r="HXL50" s="4"/>
      <c r="HXM50" s="4"/>
      <c r="HXN50" s="4"/>
      <c r="HXO50" s="4"/>
      <c r="HXP50" s="4"/>
      <c r="HXQ50" s="4"/>
      <c r="HXR50" s="4"/>
      <c r="HXS50" s="4"/>
      <c r="HXT50" s="4"/>
      <c r="HXU50" s="4"/>
      <c r="HXV50" s="4"/>
      <c r="HXW50" s="4"/>
      <c r="HXX50" s="4"/>
      <c r="HXY50" s="4"/>
      <c r="HXZ50" s="4"/>
      <c r="HYA50" s="4"/>
      <c r="HYB50" s="4"/>
      <c r="HYC50" s="4"/>
      <c r="HYD50" s="4"/>
      <c r="HYE50" s="4"/>
      <c r="HYF50" s="4"/>
      <c r="HYG50" s="4"/>
      <c r="HYH50" s="4"/>
      <c r="HYI50" s="4"/>
      <c r="HYJ50" s="4"/>
      <c r="HYK50" s="4"/>
      <c r="HYL50" s="4"/>
      <c r="HYM50" s="4"/>
      <c r="HYN50" s="4"/>
      <c r="HYO50" s="4"/>
      <c r="HYP50" s="4"/>
      <c r="HYQ50" s="4"/>
      <c r="HYR50" s="4"/>
      <c r="HYS50" s="4"/>
      <c r="HYT50" s="4"/>
      <c r="HYU50" s="4"/>
      <c r="HYV50" s="4"/>
      <c r="HYW50" s="4"/>
      <c r="HYX50" s="4"/>
      <c r="HYY50" s="4"/>
      <c r="HYZ50" s="4"/>
      <c r="HZA50" s="4"/>
      <c r="HZB50" s="4"/>
      <c r="HZC50" s="4"/>
      <c r="HZD50" s="4"/>
      <c r="HZE50" s="4"/>
      <c r="HZF50" s="4"/>
      <c r="HZG50" s="4"/>
      <c r="HZH50" s="4"/>
      <c r="HZI50" s="4"/>
      <c r="HZJ50" s="4"/>
      <c r="HZK50" s="4"/>
      <c r="HZL50" s="4"/>
      <c r="HZM50" s="4"/>
      <c r="HZN50" s="4"/>
      <c r="HZO50" s="4"/>
      <c r="HZP50" s="4"/>
      <c r="HZQ50" s="4"/>
      <c r="HZR50" s="4"/>
      <c r="HZS50" s="4"/>
      <c r="HZT50" s="4"/>
      <c r="HZU50" s="4"/>
      <c r="HZV50" s="4"/>
      <c r="HZW50" s="4"/>
      <c r="HZX50" s="4"/>
      <c r="HZY50" s="4"/>
      <c r="HZZ50" s="4"/>
      <c r="IAA50" s="4"/>
      <c r="IAB50" s="4"/>
      <c r="IAC50" s="4"/>
      <c r="IAD50" s="4"/>
      <c r="IAE50" s="4"/>
      <c r="IAF50" s="4"/>
      <c r="IAG50" s="4"/>
      <c r="IAH50" s="4"/>
      <c r="IAI50" s="4"/>
      <c r="IAJ50" s="4"/>
      <c r="IAK50" s="4"/>
      <c r="IAL50" s="4"/>
      <c r="IAM50" s="4"/>
      <c r="IAN50" s="4"/>
      <c r="IAO50" s="4"/>
      <c r="IAP50" s="4"/>
      <c r="IAQ50" s="4"/>
      <c r="IAR50" s="4"/>
      <c r="IAS50" s="4"/>
      <c r="IAT50" s="4"/>
      <c r="IAU50" s="4"/>
      <c r="IAV50" s="4"/>
      <c r="IAW50" s="4"/>
      <c r="IAX50" s="4"/>
      <c r="IAY50" s="4"/>
      <c r="IAZ50" s="4"/>
      <c r="IBA50" s="4"/>
      <c r="IBB50" s="4"/>
      <c r="IBC50" s="4"/>
      <c r="IBD50" s="4"/>
      <c r="IBE50" s="4"/>
      <c r="IBF50" s="4"/>
      <c r="IBG50" s="4"/>
      <c r="IBH50" s="4"/>
      <c r="IBI50" s="4"/>
      <c r="IBJ50" s="4"/>
      <c r="IBK50" s="4"/>
      <c r="IBL50" s="4"/>
      <c r="IBM50" s="4"/>
      <c r="IBN50" s="4"/>
      <c r="IBO50" s="4"/>
      <c r="IBP50" s="4"/>
      <c r="IBQ50" s="4"/>
      <c r="IBR50" s="4"/>
      <c r="IBS50" s="4"/>
      <c r="IBT50" s="4"/>
      <c r="IBU50" s="4"/>
      <c r="IBV50" s="4"/>
      <c r="IBW50" s="4"/>
      <c r="IBX50" s="4"/>
      <c r="IBY50" s="4"/>
      <c r="IBZ50" s="4"/>
      <c r="ICA50" s="4"/>
      <c r="ICB50" s="4"/>
      <c r="ICC50" s="4"/>
      <c r="ICD50" s="4"/>
      <c r="ICE50" s="4"/>
      <c r="ICF50" s="4"/>
      <c r="ICG50" s="4"/>
      <c r="ICH50" s="4"/>
      <c r="ICI50" s="4"/>
      <c r="ICJ50" s="4"/>
      <c r="ICK50" s="4"/>
      <c r="ICL50" s="4"/>
      <c r="ICM50" s="4"/>
      <c r="ICN50" s="4"/>
      <c r="ICO50" s="4"/>
      <c r="ICP50" s="4"/>
      <c r="ICQ50" s="4"/>
      <c r="ICR50" s="4"/>
      <c r="ICS50" s="4"/>
      <c r="ICT50" s="4"/>
      <c r="ICU50" s="4"/>
      <c r="ICV50" s="4"/>
      <c r="ICW50" s="4"/>
      <c r="ICX50" s="4"/>
      <c r="ICY50" s="4"/>
      <c r="ICZ50" s="4"/>
      <c r="IDA50" s="4"/>
      <c r="IDB50" s="4"/>
      <c r="IDC50" s="4"/>
      <c r="IDD50" s="4"/>
      <c r="IDE50" s="4"/>
      <c r="IDF50" s="4"/>
      <c r="IDG50" s="4"/>
      <c r="IDH50" s="4"/>
      <c r="IDI50" s="4"/>
      <c r="IDJ50" s="4"/>
      <c r="IDK50" s="4"/>
      <c r="IDL50" s="4"/>
      <c r="IDM50" s="4"/>
      <c r="IDN50" s="4"/>
      <c r="IDO50" s="4"/>
      <c r="IDP50" s="4"/>
      <c r="IDQ50" s="4"/>
      <c r="IDR50" s="4"/>
      <c r="IDS50" s="4"/>
      <c r="IDT50" s="4"/>
      <c r="IDU50" s="4"/>
      <c r="IDV50" s="4"/>
      <c r="IDW50" s="4"/>
      <c r="IDX50" s="4"/>
      <c r="IDY50" s="4"/>
      <c r="IDZ50" s="4"/>
      <c r="IEA50" s="4"/>
      <c r="IEB50" s="4"/>
      <c r="IEC50" s="4"/>
      <c r="IED50" s="4"/>
      <c r="IEE50" s="4"/>
      <c r="IEF50" s="4"/>
      <c r="IEG50" s="4"/>
      <c r="IEH50" s="4"/>
      <c r="IEI50" s="4"/>
      <c r="IEJ50" s="4"/>
      <c r="IEK50" s="4"/>
      <c r="IEL50" s="4"/>
      <c r="IEM50" s="4"/>
      <c r="IEN50" s="4"/>
      <c r="IEO50" s="4"/>
      <c r="IEP50" s="4"/>
      <c r="IEQ50" s="4"/>
      <c r="IER50" s="4"/>
      <c r="IES50" s="4"/>
      <c r="IET50" s="4"/>
      <c r="IEU50" s="4"/>
      <c r="IEV50" s="4"/>
      <c r="IEW50" s="4"/>
      <c r="IEX50" s="4"/>
      <c r="IEY50" s="4"/>
      <c r="IEZ50" s="4"/>
      <c r="IFA50" s="4"/>
      <c r="IFB50" s="4"/>
      <c r="IFC50" s="4"/>
      <c r="IFD50" s="4"/>
      <c r="IFE50" s="4"/>
      <c r="IFF50" s="4"/>
      <c r="IFG50" s="4"/>
      <c r="IFH50" s="4"/>
      <c r="IFI50" s="4"/>
      <c r="IFJ50" s="4"/>
      <c r="IFK50" s="4"/>
      <c r="IFL50" s="4"/>
      <c r="IFM50" s="4"/>
      <c r="IFN50" s="4"/>
      <c r="IFO50" s="4"/>
      <c r="IFP50" s="4"/>
      <c r="IFQ50" s="4"/>
      <c r="IFR50" s="4"/>
      <c r="IFS50" s="4"/>
      <c r="IFT50" s="4"/>
      <c r="IFU50" s="4"/>
      <c r="IFV50" s="4"/>
      <c r="IFW50" s="4"/>
      <c r="IFX50" s="4"/>
      <c r="IFY50" s="4"/>
      <c r="IFZ50" s="4"/>
      <c r="IGA50" s="4"/>
      <c r="IGB50" s="4"/>
      <c r="IGC50" s="4"/>
      <c r="IGD50" s="4"/>
      <c r="IGE50" s="4"/>
      <c r="IGF50" s="4"/>
      <c r="IGG50" s="4"/>
      <c r="IGH50" s="4"/>
      <c r="IGI50" s="4"/>
      <c r="IGJ50" s="4"/>
      <c r="IGK50" s="4"/>
      <c r="IGL50" s="4"/>
      <c r="IGM50" s="4"/>
      <c r="IGN50" s="4"/>
      <c r="IGO50" s="4"/>
      <c r="IGP50" s="4"/>
      <c r="IGQ50" s="4"/>
      <c r="IGR50" s="4"/>
      <c r="IGS50" s="4"/>
      <c r="IGT50" s="4"/>
      <c r="IGU50" s="4"/>
      <c r="IGV50" s="4"/>
      <c r="IGW50" s="4"/>
      <c r="IGX50" s="4"/>
      <c r="IGY50" s="4"/>
      <c r="IGZ50" s="4"/>
      <c r="IHA50" s="4"/>
      <c r="IHB50" s="4"/>
      <c r="IHC50" s="4"/>
      <c r="IHD50" s="4"/>
      <c r="IHE50" s="4"/>
      <c r="IHF50" s="4"/>
      <c r="IHG50" s="4"/>
      <c r="IHH50" s="4"/>
      <c r="IHI50" s="4"/>
      <c r="IHJ50" s="4"/>
      <c r="IHK50" s="4"/>
      <c r="IHL50" s="4"/>
      <c r="IHM50" s="4"/>
      <c r="IHN50" s="4"/>
      <c r="IHO50" s="4"/>
      <c r="IHP50" s="4"/>
      <c r="IHQ50" s="4"/>
      <c r="IHR50" s="4"/>
      <c r="IHS50" s="4"/>
      <c r="IHT50" s="4"/>
      <c r="IHU50" s="4"/>
      <c r="IHV50" s="4"/>
      <c r="IHW50" s="4"/>
      <c r="IHX50" s="4"/>
      <c r="IHY50" s="4"/>
      <c r="IHZ50" s="4"/>
      <c r="IIA50" s="4"/>
      <c r="IIB50" s="4"/>
      <c r="IIC50" s="4"/>
      <c r="IID50" s="4"/>
      <c r="IIE50" s="4"/>
      <c r="IIF50" s="4"/>
      <c r="IIG50" s="4"/>
      <c r="IIH50" s="4"/>
      <c r="III50" s="4"/>
      <c r="IIJ50" s="4"/>
      <c r="IIK50" s="4"/>
      <c r="IIL50" s="4"/>
      <c r="IIM50" s="4"/>
      <c r="IIN50" s="4"/>
      <c r="IIO50" s="4"/>
      <c r="IIP50" s="4"/>
      <c r="IIQ50" s="4"/>
      <c r="IIR50" s="4"/>
      <c r="IIS50" s="4"/>
      <c r="IIT50" s="4"/>
      <c r="IIU50" s="4"/>
      <c r="IIV50" s="4"/>
      <c r="IIW50" s="4"/>
      <c r="IIX50" s="4"/>
      <c r="IIY50" s="4"/>
      <c r="IIZ50" s="4"/>
      <c r="IJA50" s="4"/>
      <c r="IJB50" s="4"/>
      <c r="IJC50" s="4"/>
      <c r="IJD50" s="4"/>
      <c r="IJE50" s="4"/>
      <c r="IJF50" s="4"/>
      <c r="IJG50" s="4"/>
      <c r="IJH50" s="4"/>
      <c r="IJI50" s="4"/>
      <c r="IJJ50" s="4"/>
      <c r="IJK50" s="4"/>
      <c r="IJL50" s="4"/>
      <c r="IJM50" s="4"/>
      <c r="IJN50" s="4"/>
      <c r="IJO50" s="4"/>
      <c r="IJP50" s="4"/>
      <c r="IJQ50" s="4"/>
      <c r="IJR50" s="4"/>
      <c r="IJS50" s="4"/>
      <c r="IJT50" s="4"/>
      <c r="IJU50" s="4"/>
      <c r="IJV50" s="4"/>
      <c r="IJW50" s="4"/>
      <c r="IJX50" s="4"/>
      <c r="IJY50" s="4"/>
      <c r="IJZ50" s="4"/>
      <c r="IKA50" s="4"/>
      <c r="IKB50" s="4"/>
      <c r="IKC50" s="4"/>
      <c r="IKD50" s="4"/>
      <c r="IKE50" s="4"/>
      <c r="IKF50" s="4"/>
      <c r="IKG50" s="4"/>
      <c r="IKH50" s="4"/>
      <c r="IKI50" s="4"/>
      <c r="IKJ50" s="4"/>
      <c r="IKK50" s="4"/>
      <c r="IKL50" s="4"/>
      <c r="IKM50" s="4"/>
      <c r="IKN50" s="4"/>
      <c r="IKO50" s="4"/>
      <c r="IKP50" s="4"/>
      <c r="IKQ50" s="4"/>
      <c r="IKR50" s="4"/>
      <c r="IKS50" s="4"/>
      <c r="IKT50" s="4"/>
      <c r="IKU50" s="4"/>
      <c r="IKV50" s="4"/>
      <c r="IKW50" s="4"/>
      <c r="IKX50" s="4"/>
      <c r="IKY50" s="4"/>
      <c r="IKZ50" s="4"/>
      <c r="ILA50" s="4"/>
      <c r="ILB50" s="4"/>
      <c r="ILC50" s="4"/>
      <c r="ILD50" s="4"/>
      <c r="ILE50" s="4"/>
      <c r="ILF50" s="4"/>
      <c r="ILG50" s="4"/>
      <c r="ILH50" s="4"/>
      <c r="ILI50" s="4"/>
      <c r="ILJ50" s="4"/>
      <c r="ILK50" s="4"/>
      <c r="ILL50" s="4"/>
      <c r="ILM50" s="4"/>
      <c r="ILN50" s="4"/>
      <c r="ILO50" s="4"/>
      <c r="ILP50" s="4"/>
      <c r="ILQ50" s="4"/>
      <c r="ILR50" s="4"/>
      <c r="ILS50" s="4"/>
      <c r="ILT50" s="4"/>
      <c r="ILU50" s="4"/>
      <c r="ILV50" s="4"/>
      <c r="ILW50" s="4"/>
      <c r="ILX50" s="4"/>
      <c r="ILY50" s="4"/>
      <c r="ILZ50" s="4"/>
      <c r="IMA50" s="4"/>
      <c r="IMB50" s="4"/>
      <c r="IMC50" s="4"/>
      <c r="IMD50" s="4"/>
      <c r="IME50" s="4"/>
      <c r="IMF50" s="4"/>
      <c r="IMG50" s="4"/>
      <c r="IMH50" s="4"/>
      <c r="IMI50" s="4"/>
      <c r="IMJ50" s="4"/>
      <c r="IMK50" s="4"/>
      <c r="IML50" s="4"/>
      <c r="IMM50" s="4"/>
      <c r="IMN50" s="4"/>
      <c r="IMO50" s="4"/>
      <c r="IMP50" s="4"/>
      <c r="IMQ50" s="4"/>
      <c r="IMR50" s="4"/>
      <c r="IMS50" s="4"/>
      <c r="IMT50" s="4"/>
      <c r="IMU50" s="4"/>
      <c r="IMV50" s="4"/>
      <c r="IMW50" s="4"/>
      <c r="IMX50" s="4"/>
      <c r="IMY50" s="4"/>
      <c r="IMZ50" s="4"/>
      <c r="INA50" s="4"/>
      <c r="INB50" s="4"/>
      <c r="INC50" s="4"/>
      <c r="IND50" s="4"/>
      <c r="INE50" s="4"/>
      <c r="INF50" s="4"/>
      <c r="ING50" s="4"/>
      <c r="INH50" s="4"/>
      <c r="INI50" s="4"/>
      <c r="INJ50" s="4"/>
      <c r="INK50" s="4"/>
      <c r="INL50" s="4"/>
      <c r="INM50" s="4"/>
      <c r="INN50" s="4"/>
      <c r="INO50" s="4"/>
      <c r="INP50" s="4"/>
      <c r="INQ50" s="4"/>
      <c r="INR50" s="4"/>
      <c r="INS50" s="4"/>
      <c r="INT50" s="4"/>
      <c r="INU50" s="4"/>
      <c r="INV50" s="4"/>
      <c r="INW50" s="4"/>
      <c r="INX50" s="4"/>
      <c r="INY50" s="4"/>
      <c r="INZ50" s="4"/>
      <c r="IOA50" s="4"/>
      <c r="IOB50" s="4"/>
      <c r="IOC50" s="4"/>
      <c r="IOD50" s="4"/>
      <c r="IOE50" s="4"/>
      <c r="IOF50" s="4"/>
      <c r="IOG50" s="4"/>
      <c r="IOH50" s="4"/>
      <c r="IOI50" s="4"/>
      <c r="IOJ50" s="4"/>
      <c r="IOK50" s="4"/>
      <c r="IOL50" s="4"/>
      <c r="IOM50" s="4"/>
      <c r="ION50" s="4"/>
      <c r="IOO50" s="4"/>
      <c r="IOP50" s="4"/>
      <c r="IOQ50" s="4"/>
      <c r="IOR50" s="4"/>
      <c r="IOS50" s="4"/>
      <c r="IOT50" s="4"/>
      <c r="IOU50" s="4"/>
      <c r="IOV50" s="4"/>
      <c r="IOW50" s="4"/>
      <c r="IOX50" s="4"/>
      <c r="IOY50" s="4"/>
      <c r="IOZ50" s="4"/>
      <c r="IPA50" s="4"/>
      <c r="IPB50" s="4"/>
      <c r="IPC50" s="4"/>
      <c r="IPD50" s="4"/>
      <c r="IPE50" s="4"/>
      <c r="IPF50" s="4"/>
      <c r="IPG50" s="4"/>
      <c r="IPH50" s="4"/>
      <c r="IPI50" s="4"/>
      <c r="IPJ50" s="4"/>
      <c r="IPK50" s="4"/>
      <c r="IPL50" s="4"/>
      <c r="IPM50" s="4"/>
      <c r="IPN50" s="4"/>
      <c r="IPO50" s="4"/>
      <c r="IPP50" s="4"/>
      <c r="IPQ50" s="4"/>
      <c r="IPR50" s="4"/>
      <c r="IPS50" s="4"/>
      <c r="IPT50" s="4"/>
      <c r="IPU50" s="4"/>
      <c r="IPV50" s="4"/>
      <c r="IPW50" s="4"/>
      <c r="IPX50" s="4"/>
      <c r="IPY50" s="4"/>
      <c r="IPZ50" s="4"/>
      <c r="IQA50" s="4"/>
      <c r="IQB50" s="4"/>
      <c r="IQC50" s="4"/>
      <c r="IQD50" s="4"/>
      <c r="IQE50" s="4"/>
      <c r="IQF50" s="4"/>
      <c r="IQG50" s="4"/>
      <c r="IQH50" s="4"/>
      <c r="IQI50" s="4"/>
      <c r="IQJ50" s="4"/>
      <c r="IQK50" s="4"/>
      <c r="IQL50" s="4"/>
      <c r="IQM50" s="4"/>
      <c r="IQN50" s="4"/>
      <c r="IQO50" s="4"/>
      <c r="IQP50" s="4"/>
      <c r="IQQ50" s="4"/>
      <c r="IQR50" s="4"/>
      <c r="IQS50" s="4"/>
      <c r="IQT50" s="4"/>
      <c r="IQU50" s="4"/>
      <c r="IQV50" s="4"/>
      <c r="IQW50" s="4"/>
      <c r="IQX50" s="4"/>
      <c r="IQY50" s="4"/>
      <c r="IQZ50" s="4"/>
      <c r="IRA50" s="4"/>
      <c r="IRB50" s="4"/>
      <c r="IRC50" s="4"/>
      <c r="IRD50" s="4"/>
      <c r="IRE50" s="4"/>
      <c r="IRF50" s="4"/>
      <c r="IRG50" s="4"/>
      <c r="IRH50" s="4"/>
      <c r="IRI50" s="4"/>
      <c r="IRJ50" s="4"/>
      <c r="IRK50" s="4"/>
      <c r="IRL50" s="4"/>
      <c r="IRM50" s="4"/>
      <c r="IRN50" s="4"/>
      <c r="IRO50" s="4"/>
      <c r="IRP50" s="4"/>
      <c r="IRQ50" s="4"/>
      <c r="IRR50" s="4"/>
      <c r="IRS50" s="4"/>
      <c r="IRT50" s="4"/>
      <c r="IRU50" s="4"/>
      <c r="IRV50" s="4"/>
      <c r="IRW50" s="4"/>
      <c r="IRX50" s="4"/>
      <c r="IRY50" s="4"/>
      <c r="IRZ50" s="4"/>
      <c r="ISA50" s="4"/>
      <c r="ISB50" s="4"/>
      <c r="ISC50" s="4"/>
      <c r="ISD50" s="4"/>
      <c r="ISE50" s="4"/>
      <c r="ISF50" s="4"/>
      <c r="ISG50" s="4"/>
      <c r="ISH50" s="4"/>
      <c r="ISI50" s="4"/>
      <c r="ISJ50" s="4"/>
      <c r="ISK50" s="4"/>
      <c r="ISL50" s="4"/>
      <c r="ISM50" s="4"/>
      <c r="ISN50" s="4"/>
      <c r="ISO50" s="4"/>
      <c r="ISP50" s="4"/>
      <c r="ISQ50" s="4"/>
      <c r="ISR50" s="4"/>
      <c r="ISS50" s="4"/>
      <c r="IST50" s="4"/>
      <c r="ISU50" s="4"/>
      <c r="ISV50" s="4"/>
      <c r="ISW50" s="4"/>
      <c r="ISX50" s="4"/>
      <c r="ISY50" s="4"/>
      <c r="ISZ50" s="4"/>
      <c r="ITA50" s="4"/>
      <c r="ITB50" s="4"/>
      <c r="ITC50" s="4"/>
      <c r="ITD50" s="4"/>
      <c r="ITE50" s="4"/>
      <c r="ITF50" s="4"/>
      <c r="ITG50" s="4"/>
      <c r="ITH50" s="4"/>
      <c r="ITI50" s="4"/>
      <c r="ITJ50" s="4"/>
      <c r="ITK50" s="4"/>
      <c r="ITL50" s="4"/>
      <c r="ITM50" s="4"/>
      <c r="ITN50" s="4"/>
      <c r="ITO50" s="4"/>
      <c r="ITP50" s="4"/>
      <c r="ITQ50" s="4"/>
      <c r="ITR50" s="4"/>
      <c r="ITS50" s="4"/>
      <c r="ITT50" s="4"/>
      <c r="ITU50" s="4"/>
      <c r="ITV50" s="4"/>
      <c r="ITW50" s="4"/>
      <c r="ITX50" s="4"/>
      <c r="ITY50" s="4"/>
      <c r="ITZ50" s="4"/>
      <c r="IUA50" s="4"/>
      <c r="IUB50" s="4"/>
      <c r="IUC50" s="4"/>
      <c r="IUD50" s="4"/>
      <c r="IUE50" s="4"/>
      <c r="IUF50" s="4"/>
      <c r="IUG50" s="4"/>
      <c r="IUH50" s="4"/>
      <c r="IUI50" s="4"/>
      <c r="IUJ50" s="4"/>
      <c r="IUK50" s="4"/>
      <c r="IUL50" s="4"/>
      <c r="IUM50" s="4"/>
      <c r="IUN50" s="4"/>
      <c r="IUO50" s="4"/>
      <c r="IUP50" s="4"/>
      <c r="IUQ50" s="4"/>
      <c r="IUR50" s="4"/>
      <c r="IUS50" s="4"/>
      <c r="IUT50" s="4"/>
      <c r="IUU50" s="4"/>
      <c r="IUV50" s="4"/>
      <c r="IUW50" s="4"/>
      <c r="IUX50" s="4"/>
      <c r="IUY50" s="4"/>
      <c r="IUZ50" s="4"/>
      <c r="IVA50" s="4"/>
      <c r="IVB50" s="4"/>
      <c r="IVC50" s="4"/>
      <c r="IVD50" s="4"/>
      <c r="IVE50" s="4"/>
      <c r="IVF50" s="4"/>
      <c r="IVG50" s="4"/>
      <c r="IVH50" s="4"/>
      <c r="IVI50" s="4"/>
      <c r="IVJ50" s="4"/>
      <c r="IVK50" s="4"/>
      <c r="IVL50" s="4"/>
      <c r="IVM50" s="4"/>
      <c r="IVN50" s="4"/>
      <c r="IVO50" s="4"/>
      <c r="IVP50" s="4"/>
      <c r="IVQ50" s="4"/>
      <c r="IVR50" s="4"/>
      <c r="IVS50" s="4"/>
      <c r="IVT50" s="4"/>
      <c r="IVU50" s="4"/>
      <c r="IVV50" s="4"/>
      <c r="IVW50" s="4"/>
      <c r="IVX50" s="4"/>
      <c r="IVY50" s="4"/>
      <c r="IVZ50" s="4"/>
      <c r="IWA50" s="4"/>
      <c r="IWB50" s="4"/>
      <c r="IWC50" s="4"/>
      <c r="IWD50" s="4"/>
      <c r="IWE50" s="4"/>
      <c r="IWF50" s="4"/>
      <c r="IWG50" s="4"/>
      <c r="IWH50" s="4"/>
      <c r="IWI50" s="4"/>
      <c r="IWJ50" s="4"/>
      <c r="IWK50" s="4"/>
      <c r="IWL50" s="4"/>
      <c r="IWM50" s="4"/>
      <c r="IWN50" s="4"/>
      <c r="IWO50" s="4"/>
      <c r="IWP50" s="4"/>
      <c r="IWQ50" s="4"/>
      <c r="IWR50" s="4"/>
      <c r="IWS50" s="4"/>
      <c r="IWT50" s="4"/>
      <c r="IWU50" s="4"/>
      <c r="IWV50" s="4"/>
      <c r="IWW50" s="4"/>
      <c r="IWX50" s="4"/>
      <c r="IWY50" s="4"/>
      <c r="IWZ50" s="4"/>
      <c r="IXA50" s="4"/>
      <c r="IXB50" s="4"/>
      <c r="IXC50" s="4"/>
      <c r="IXD50" s="4"/>
      <c r="IXE50" s="4"/>
      <c r="IXF50" s="4"/>
      <c r="IXG50" s="4"/>
      <c r="IXH50" s="4"/>
      <c r="IXI50" s="4"/>
      <c r="IXJ50" s="4"/>
      <c r="IXK50" s="4"/>
      <c r="IXL50" s="4"/>
      <c r="IXM50" s="4"/>
      <c r="IXN50" s="4"/>
      <c r="IXO50" s="4"/>
      <c r="IXP50" s="4"/>
      <c r="IXQ50" s="4"/>
      <c r="IXR50" s="4"/>
      <c r="IXS50" s="4"/>
      <c r="IXT50" s="4"/>
      <c r="IXU50" s="4"/>
      <c r="IXV50" s="4"/>
      <c r="IXW50" s="4"/>
      <c r="IXX50" s="4"/>
      <c r="IXY50" s="4"/>
      <c r="IXZ50" s="4"/>
      <c r="IYA50" s="4"/>
      <c r="IYB50" s="4"/>
      <c r="IYC50" s="4"/>
      <c r="IYD50" s="4"/>
      <c r="IYE50" s="4"/>
      <c r="IYF50" s="4"/>
      <c r="IYG50" s="4"/>
      <c r="IYH50" s="4"/>
      <c r="IYI50" s="4"/>
      <c r="IYJ50" s="4"/>
      <c r="IYK50" s="4"/>
      <c r="IYL50" s="4"/>
      <c r="IYM50" s="4"/>
      <c r="IYN50" s="4"/>
      <c r="IYO50" s="4"/>
      <c r="IYP50" s="4"/>
      <c r="IYQ50" s="4"/>
      <c r="IYR50" s="4"/>
      <c r="IYS50" s="4"/>
      <c r="IYT50" s="4"/>
      <c r="IYU50" s="4"/>
      <c r="IYV50" s="4"/>
      <c r="IYW50" s="4"/>
      <c r="IYX50" s="4"/>
      <c r="IYY50" s="4"/>
      <c r="IYZ50" s="4"/>
      <c r="IZA50" s="4"/>
      <c r="IZB50" s="4"/>
      <c r="IZC50" s="4"/>
      <c r="IZD50" s="4"/>
      <c r="IZE50" s="4"/>
      <c r="IZF50" s="4"/>
      <c r="IZG50" s="4"/>
      <c r="IZH50" s="4"/>
      <c r="IZI50" s="4"/>
      <c r="IZJ50" s="4"/>
      <c r="IZK50" s="4"/>
      <c r="IZL50" s="4"/>
      <c r="IZM50" s="4"/>
      <c r="IZN50" s="4"/>
      <c r="IZO50" s="4"/>
      <c r="IZP50" s="4"/>
      <c r="IZQ50" s="4"/>
      <c r="IZR50" s="4"/>
      <c r="IZS50" s="4"/>
      <c r="IZT50" s="4"/>
      <c r="IZU50" s="4"/>
      <c r="IZV50" s="4"/>
      <c r="IZW50" s="4"/>
      <c r="IZX50" s="4"/>
      <c r="IZY50" s="4"/>
      <c r="IZZ50" s="4"/>
      <c r="JAA50" s="4"/>
      <c r="JAB50" s="4"/>
      <c r="JAC50" s="4"/>
      <c r="JAD50" s="4"/>
      <c r="JAE50" s="4"/>
      <c r="JAF50" s="4"/>
      <c r="JAG50" s="4"/>
      <c r="JAH50" s="4"/>
      <c r="JAI50" s="4"/>
      <c r="JAJ50" s="4"/>
      <c r="JAK50" s="4"/>
      <c r="JAL50" s="4"/>
      <c r="JAM50" s="4"/>
      <c r="JAN50" s="4"/>
      <c r="JAO50" s="4"/>
      <c r="JAP50" s="4"/>
      <c r="JAQ50" s="4"/>
      <c r="JAR50" s="4"/>
      <c r="JAS50" s="4"/>
      <c r="JAT50" s="4"/>
      <c r="JAU50" s="4"/>
      <c r="JAV50" s="4"/>
      <c r="JAW50" s="4"/>
      <c r="JAX50" s="4"/>
      <c r="JAY50" s="4"/>
      <c r="JAZ50" s="4"/>
      <c r="JBA50" s="4"/>
      <c r="JBB50" s="4"/>
      <c r="JBC50" s="4"/>
      <c r="JBD50" s="4"/>
      <c r="JBE50" s="4"/>
      <c r="JBF50" s="4"/>
      <c r="JBG50" s="4"/>
      <c r="JBH50" s="4"/>
      <c r="JBI50" s="4"/>
      <c r="JBJ50" s="4"/>
      <c r="JBK50" s="4"/>
      <c r="JBL50" s="4"/>
      <c r="JBM50" s="4"/>
      <c r="JBN50" s="4"/>
      <c r="JBO50" s="4"/>
      <c r="JBP50" s="4"/>
      <c r="JBQ50" s="4"/>
      <c r="JBR50" s="4"/>
      <c r="JBS50" s="4"/>
      <c r="JBT50" s="4"/>
      <c r="JBU50" s="4"/>
      <c r="JBV50" s="4"/>
      <c r="JBW50" s="4"/>
      <c r="JBX50" s="4"/>
      <c r="JBY50" s="4"/>
      <c r="JBZ50" s="4"/>
      <c r="JCA50" s="4"/>
      <c r="JCB50" s="4"/>
      <c r="JCC50" s="4"/>
      <c r="JCD50" s="4"/>
      <c r="JCE50" s="4"/>
      <c r="JCF50" s="4"/>
      <c r="JCG50" s="4"/>
      <c r="JCH50" s="4"/>
      <c r="JCI50" s="4"/>
      <c r="JCJ50" s="4"/>
      <c r="JCK50" s="4"/>
      <c r="JCL50" s="4"/>
      <c r="JCM50" s="4"/>
      <c r="JCN50" s="4"/>
      <c r="JCO50" s="4"/>
      <c r="JCP50" s="4"/>
      <c r="JCQ50" s="4"/>
      <c r="JCR50" s="4"/>
      <c r="JCS50" s="4"/>
      <c r="JCT50" s="4"/>
      <c r="JCU50" s="4"/>
      <c r="JCV50" s="4"/>
      <c r="JCW50" s="4"/>
      <c r="JCX50" s="4"/>
      <c r="JCY50" s="4"/>
      <c r="JCZ50" s="4"/>
      <c r="JDA50" s="4"/>
      <c r="JDB50" s="4"/>
      <c r="JDC50" s="4"/>
      <c r="JDD50" s="4"/>
      <c r="JDE50" s="4"/>
      <c r="JDF50" s="4"/>
      <c r="JDG50" s="4"/>
      <c r="JDH50" s="4"/>
      <c r="JDI50" s="4"/>
      <c r="JDJ50" s="4"/>
      <c r="JDK50" s="4"/>
      <c r="JDL50" s="4"/>
      <c r="JDM50" s="4"/>
      <c r="JDN50" s="4"/>
      <c r="JDO50" s="4"/>
      <c r="JDP50" s="4"/>
      <c r="JDQ50" s="4"/>
      <c r="JDR50" s="4"/>
      <c r="JDS50" s="4"/>
      <c r="JDT50" s="4"/>
      <c r="JDU50" s="4"/>
      <c r="JDV50" s="4"/>
      <c r="JDW50" s="4"/>
      <c r="JDX50" s="4"/>
      <c r="JDY50" s="4"/>
      <c r="JDZ50" s="4"/>
      <c r="JEA50" s="4"/>
      <c r="JEB50" s="4"/>
      <c r="JEC50" s="4"/>
      <c r="JED50" s="4"/>
      <c r="JEE50" s="4"/>
      <c r="JEF50" s="4"/>
      <c r="JEG50" s="4"/>
      <c r="JEH50" s="4"/>
      <c r="JEI50" s="4"/>
      <c r="JEJ50" s="4"/>
      <c r="JEK50" s="4"/>
      <c r="JEL50" s="4"/>
      <c r="JEM50" s="4"/>
      <c r="JEN50" s="4"/>
      <c r="JEO50" s="4"/>
      <c r="JEP50" s="4"/>
      <c r="JEQ50" s="4"/>
      <c r="JER50" s="4"/>
      <c r="JES50" s="4"/>
      <c r="JET50" s="4"/>
      <c r="JEU50" s="4"/>
      <c r="JEV50" s="4"/>
      <c r="JEW50" s="4"/>
      <c r="JEX50" s="4"/>
      <c r="JEY50" s="4"/>
      <c r="JEZ50" s="4"/>
      <c r="JFA50" s="4"/>
      <c r="JFB50" s="4"/>
      <c r="JFC50" s="4"/>
      <c r="JFD50" s="4"/>
      <c r="JFE50" s="4"/>
      <c r="JFF50" s="4"/>
      <c r="JFG50" s="4"/>
      <c r="JFH50" s="4"/>
      <c r="JFI50" s="4"/>
      <c r="JFJ50" s="4"/>
      <c r="JFK50" s="4"/>
      <c r="JFL50" s="4"/>
      <c r="JFM50" s="4"/>
      <c r="JFN50" s="4"/>
      <c r="JFO50" s="4"/>
      <c r="JFP50" s="4"/>
      <c r="JFQ50" s="4"/>
      <c r="JFR50" s="4"/>
      <c r="JFS50" s="4"/>
      <c r="JFT50" s="4"/>
      <c r="JFU50" s="4"/>
      <c r="JFV50" s="4"/>
      <c r="JFW50" s="4"/>
      <c r="JFX50" s="4"/>
      <c r="JFY50" s="4"/>
      <c r="JFZ50" s="4"/>
      <c r="JGA50" s="4"/>
      <c r="JGB50" s="4"/>
      <c r="JGC50" s="4"/>
      <c r="JGD50" s="4"/>
      <c r="JGE50" s="4"/>
      <c r="JGF50" s="4"/>
      <c r="JGG50" s="4"/>
      <c r="JGH50" s="4"/>
      <c r="JGI50" s="4"/>
      <c r="JGJ50" s="4"/>
      <c r="JGK50" s="4"/>
      <c r="JGL50" s="4"/>
      <c r="JGM50" s="4"/>
      <c r="JGN50" s="4"/>
      <c r="JGO50" s="4"/>
      <c r="JGP50" s="4"/>
      <c r="JGQ50" s="4"/>
      <c r="JGR50" s="4"/>
      <c r="JGS50" s="4"/>
      <c r="JGT50" s="4"/>
      <c r="JGU50" s="4"/>
      <c r="JGV50" s="4"/>
      <c r="JGW50" s="4"/>
      <c r="JGX50" s="4"/>
      <c r="JGY50" s="4"/>
      <c r="JGZ50" s="4"/>
      <c r="JHA50" s="4"/>
      <c r="JHB50" s="4"/>
      <c r="JHC50" s="4"/>
      <c r="JHD50" s="4"/>
      <c r="JHE50" s="4"/>
      <c r="JHF50" s="4"/>
      <c r="JHG50" s="4"/>
      <c r="JHH50" s="4"/>
      <c r="JHI50" s="4"/>
      <c r="JHJ50" s="4"/>
      <c r="JHK50" s="4"/>
      <c r="JHL50" s="4"/>
      <c r="JHM50" s="4"/>
      <c r="JHN50" s="4"/>
      <c r="JHO50" s="4"/>
      <c r="JHP50" s="4"/>
      <c r="JHQ50" s="4"/>
      <c r="JHR50" s="4"/>
      <c r="JHS50" s="4"/>
      <c r="JHT50" s="4"/>
      <c r="JHU50" s="4"/>
      <c r="JHV50" s="4"/>
      <c r="JHW50" s="4"/>
      <c r="JHX50" s="4"/>
      <c r="JHY50" s="4"/>
      <c r="JHZ50" s="4"/>
      <c r="JIA50" s="4"/>
      <c r="JIB50" s="4"/>
      <c r="JIC50" s="4"/>
      <c r="JID50" s="4"/>
      <c r="JIE50" s="4"/>
      <c r="JIF50" s="4"/>
      <c r="JIG50" s="4"/>
      <c r="JIH50" s="4"/>
      <c r="JII50" s="4"/>
      <c r="JIJ50" s="4"/>
      <c r="JIK50" s="4"/>
      <c r="JIL50" s="4"/>
      <c r="JIM50" s="4"/>
      <c r="JIN50" s="4"/>
      <c r="JIO50" s="4"/>
      <c r="JIP50" s="4"/>
      <c r="JIQ50" s="4"/>
      <c r="JIR50" s="4"/>
      <c r="JIS50" s="4"/>
      <c r="JIT50" s="4"/>
      <c r="JIU50" s="4"/>
      <c r="JIV50" s="4"/>
      <c r="JIW50" s="4"/>
      <c r="JIX50" s="4"/>
      <c r="JIY50" s="4"/>
      <c r="JIZ50" s="4"/>
      <c r="JJA50" s="4"/>
      <c r="JJB50" s="4"/>
      <c r="JJC50" s="4"/>
      <c r="JJD50" s="4"/>
      <c r="JJE50" s="4"/>
      <c r="JJF50" s="4"/>
      <c r="JJG50" s="4"/>
      <c r="JJH50" s="4"/>
      <c r="JJI50" s="4"/>
      <c r="JJJ50" s="4"/>
      <c r="JJK50" s="4"/>
      <c r="JJL50" s="4"/>
      <c r="JJM50" s="4"/>
      <c r="JJN50" s="4"/>
      <c r="JJO50" s="4"/>
      <c r="JJP50" s="4"/>
      <c r="JJQ50" s="4"/>
      <c r="JJR50" s="4"/>
      <c r="JJS50" s="4"/>
      <c r="JJT50" s="4"/>
      <c r="JJU50" s="4"/>
      <c r="JJV50" s="4"/>
      <c r="JJW50" s="4"/>
      <c r="JJX50" s="4"/>
      <c r="JJY50" s="4"/>
      <c r="JJZ50" s="4"/>
      <c r="JKA50" s="4"/>
      <c r="JKB50" s="4"/>
      <c r="JKC50" s="4"/>
      <c r="JKD50" s="4"/>
      <c r="JKE50" s="4"/>
      <c r="JKF50" s="4"/>
      <c r="JKG50" s="4"/>
      <c r="JKH50" s="4"/>
      <c r="JKI50" s="4"/>
      <c r="JKJ50" s="4"/>
      <c r="JKK50" s="4"/>
      <c r="JKL50" s="4"/>
      <c r="JKM50" s="4"/>
      <c r="JKN50" s="4"/>
      <c r="JKO50" s="4"/>
      <c r="JKP50" s="4"/>
      <c r="JKQ50" s="4"/>
      <c r="JKR50" s="4"/>
      <c r="JKS50" s="4"/>
      <c r="JKT50" s="4"/>
      <c r="JKU50" s="4"/>
      <c r="JKV50" s="4"/>
      <c r="JKW50" s="4"/>
      <c r="JKX50" s="4"/>
      <c r="JKY50" s="4"/>
      <c r="JKZ50" s="4"/>
      <c r="JLA50" s="4"/>
      <c r="JLB50" s="4"/>
      <c r="JLC50" s="4"/>
      <c r="JLD50" s="4"/>
      <c r="JLE50" s="4"/>
      <c r="JLF50" s="4"/>
      <c r="JLG50" s="4"/>
      <c r="JLH50" s="4"/>
      <c r="JLI50" s="4"/>
      <c r="JLJ50" s="4"/>
      <c r="JLK50" s="4"/>
      <c r="JLL50" s="4"/>
      <c r="JLM50" s="4"/>
      <c r="JLN50" s="4"/>
      <c r="JLO50" s="4"/>
      <c r="JLP50" s="4"/>
      <c r="JLQ50" s="4"/>
      <c r="JLR50" s="4"/>
      <c r="JLS50" s="4"/>
      <c r="JLT50" s="4"/>
      <c r="JLU50" s="4"/>
      <c r="JLV50" s="4"/>
      <c r="JLW50" s="4"/>
      <c r="JLX50" s="4"/>
      <c r="JLY50" s="4"/>
      <c r="JLZ50" s="4"/>
      <c r="JMA50" s="4"/>
      <c r="JMB50" s="4"/>
      <c r="JMC50" s="4"/>
      <c r="JMD50" s="4"/>
      <c r="JME50" s="4"/>
      <c r="JMF50" s="4"/>
      <c r="JMG50" s="4"/>
      <c r="JMH50" s="4"/>
      <c r="JMI50" s="4"/>
      <c r="JMJ50" s="4"/>
      <c r="JMK50" s="4"/>
      <c r="JML50" s="4"/>
      <c r="JMM50" s="4"/>
      <c r="JMN50" s="4"/>
      <c r="JMO50" s="4"/>
      <c r="JMP50" s="4"/>
      <c r="JMQ50" s="4"/>
      <c r="JMR50" s="4"/>
      <c r="JMS50" s="4"/>
      <c r="JMT50" s="4"/>
      <c r="JMU50" s="4"/>
      <c r="JMV50" s="4"/>
      <c r="JMW50" s="4"/>
      <c r="JMX50" s="4"/>
      <c r="JMY50" s="4"/>
      <c r="JMZ50" s="4"/>
      <c r="JNA50" s="4"/>
      <c r="JNB50" s="4"/>
      <c r="JNC50" s="4"/>
      <c r="JND50" s="4"/>
      <c r="JNE50" s="4"/>
      <c r="JNF50" s="4"/>
      <c r="JNG50" s="4"/>
      <c r="JNH50" s="4"/>
      <c r="JNI50" s="4"/>
      <c r="JNJ50" s="4"/>
      <c r="JNK50" s="4"/>
      <c r="JNL50" s="4"/>
      <c r="JNM50" s="4"/>
      <c r="JNN50" s="4"/>
      <c r="JNO50" s="4"/>
      <c r="JNP50" s="4"/>
      <c r="JNQ50" s="4"/>
      <c r="JNR50" s="4"/>
      <c r="JNS50" s="4"/>
      <c r="JNT50" s="4"/>
      <c r="JNU50" s="4"/>
      <c r="JNV50" s="4"/>
      <c r="JNW50" s="4"/>
      <c r="JNX50" s="4"/>
      <c r="JNY50" s="4"/>
      <c r="JNZ50" s="4"/>
      <c r="JOA50" s="4"/>
      <c r="JOB50" s="4"/>
      <c r="JOC50" s="4"/>
      <c r="JOD50" s="4"/>
      <c r="JOE50" s="4"/>
      <c r="JOF50" s="4"/>
      <c r="JOG50" s="4"/>
      <c r="JOH50" s="4"/>
      <c r="JOI50" s="4"/>
      <c r="JOJ50" s="4"/>
      <c r="JOK50" s="4"/>
      <c r="JOL50" s="4"/>
      <c r="JOM50" s="4"/>
      <c r="JON50" s="4"/>
      <c r="JOO50" s="4"/>
      <c r="JOP50" s="4"/>
      <c r="JOQ50" s="4"/>
      <c r="JOR50" s="4"/>
      <c r="JOS50" s="4"/>
      <c r="JOT50" s="4"/>
      <c r="JOU50" s="4"/>
      <c r="JOV50" s="4"/>
      <c r="JOW50" s="4"/>
      <c r="JOX50" s="4"/>
      <c r="JOY50" s="4"/>
      <c r="JOZ50" s="4"/>
      <c r="JPA50" s="4"/>
      <c r="JPB50" s="4"/>
      <c r="JPC50" s="4"/>
      <c r="JPD50" s="4"/>
      <c r="JPE50" s="4"/>
      <c r="JPF50" s="4"/>
      <c r="JPG50" s="4"/>
      <c r="JPH50" s="4"/>
      <c r="JPI50" s="4"/>
      <c r="JPJ50" s="4"/>
      <c r="JPK50" s="4"/>
      <c r="JPL50" s="4"/>
      <c r="JPM50" s="4"/>
      <c r="JPN50" s="4"/>
      <c r="JPO50" s="4"/>
      <c r="JPP50" s="4"/>
      <c r="JPQ50" s="4"/>
      <c r="JPR50" s="4"/>
      <c r="JPS50" s="4"/>
      <c r="JPT50" s="4"/>
      <c r="JPU50" s="4"/>
      <c r="JPV50" s="4"/>
      <c r="JPW50" s="4"/>
      <c r="JPX50" s="4"/>
      <c r="JPY50" s="4"/>
      <c r="JPZ50" s="4"/>
      <c r="JQA50" s="4"/>
      <c r="JQB50" s="4"/>
      <c r="JQC50" s="4"/>
      <c r="JQD50" s="4"/>
      <c r="JQE50" s="4"/>
      <c r="JQF50" s="4"/>
      <c r="JQG50" s="4"/>
      <c r="JQH50" s="4"/>
      <c r="JQI50" s="4"/>
      <c r="JQJ50" s="4"/>
      <c r="JQK50" s="4"/>
      <c r="JQL50" s="4"/>
      <c r="JQM50" s="4"/>
      <c r="JQN50" s="4"/>
      <c r="JQO50" s="4"/>
      <c r="JQP50" s="4"/>
      <c r="JQQ50" s="4"/>
      <c r="JQR50" s="4"/>
      <c r="JQS50" s="4"/>
      <c r="JQT50" s="4"/>
      <c r="JQU50" s="4"/>
      <c r="JQV50" s="4"/>
      <c r="JQW50" s="4"/>
      <c r="JQX50" s="4"/>
      <c r="JQY50" s="4"/>
      <c r="JQZ50" s="4"/>
      <c r="JRA50" s="4"/>
      <c r="JRB50" s="4"/>
      <c r="JRC50" s="4"/>
      <c r="JRD50" s="4"/>
      <c r="JRE50" s="4"/>
      <c r="JRF50" s="4"/>
      <c r="JRG50" s="4"/>
      <c r="JRH50" s="4"/>
      <c r="JRI50" s="4"/>
      <c r="JRJ50" s="4"/>
      <c r="JRK50" s="4"/>
      <c r="JRL50" s="4"/>
      <c r="JRM50" s="4"/>
      <c r="JRN50" s="4"/>
      <c r="JRO50" s="4"/>
      <c r="JRP50" s="4"/>
      <c r="JRQ50" s="4"/>
      <c r="JRR50" s="4"/>
      <c r="JRS50" s="4"/>
      <c r="JRT50" s="4"/>
      <c r="JRU50" s="4"/>
      <c r="JRV50" s="4"/>
      <c r="JRW50" s="4"/>
      <c r="JRX50" s="4"/>
      <c r="JRY50" s="4"/>
      <c r="JRZ50" s="4"/>
      <c r="JSA50" s="4"/>
      <c r="JSB50" s="4"/>
      <c r="JSC50" s="4"/>
      <c r="JSD50" s="4"/>
      <c r="JSE50" s="4"/>
      <c r="JSF50" s="4"/>
      <c r="JSG50" s="4"/>
      <c r="JSH50" s="4"/>
      <c r="JSI50" s="4"/>
      <c r="JSJ50" s="4"/>
      <c r="JSK50" s="4"/>
      <c r="JSL50" s="4"/>
      <c r="JSM50" s="4"/>
      <c r="JSN50" s="4"/>
      <c r="JSO50" s="4"/>
      <c r="JSP50" s="4"/>
      <c r="JSQ50" s="4"/>
      <c r="JSR50" s="4"/>
      <c r="JSS50" s="4"/>
      <c r="JST50" s="4"/>
      <c r="JSU50" s="4"/>
      <c r="JSV50" s="4"/>
      <c r="JSW50" s="4"/>
      <c r="JSX50" s="4"/>
      <c r="JSY50" s="4"/>
      <c r="JSZ50" s="4"/>
      <c r="JTA50" s="4"/>
      <c r="JTB50" s="4"/>
      <c r="JTC50" s="4"/>
      <c r="JTD50" s="4"/>
      <c r="JTE50" s="4"/>
      <c r="JTF50" s="4"/>
      <c r="JTG50" s="4"/>
      <c r="JTH50" s="4"/>
      <c r="JTI50" s="4"/>
      <c r="JTJ50" s="4"/>
      <c r="JTK50" s="4"/>
      <c r="JTL50" s="4"/>
      <c r="JTM50" s="4"/>
      <c r="JTN50" s="4"/>
      <c r="JTO50" s="4"/>
      <c r="JTP50" s="4"/>
      <c r="JTQ50" s="4"/>
      <c r="JTR50" s="4"/>
      <c r="JTS50" s="4"/>
      <c r="JTT50" s="4"/>
      <c r="JTU50" s="4"/>
      <c r="JTV50" s="4"/>
      <c r="JTW50" s="4"/>
      <c r="JTX50" s="4"/>
      <c r="JTY50" s="4"/>
      <c r="JTZ50" s="4"/>
      <c r="JUA50" s="4"/>
      <c r="JUB50" s="4"/>
      <c r="JUC50" s="4"/>
      <c r="JUD50" s="4"/>
      <c r="JUE50" s="4"/>
      <c r="JUF50" s="4"/>
      <c r="JUG50" s="4"/>
      <c r="JUH50" s="4"/>
      <c r="JUI50" s="4"/>
      <c r="JUJ50" s="4"/>
      <c r="JUK50" s="4"/>
      <c r="JUL50" s="4"/>
      <c r="JUM50" s="4"/>
      <c r="JUN50" s="4"/>
      <c r="JUO50" s="4"/>
      <c r="JUP50" s="4"/>
      <c r="JUQ50" s="4"/>
      <c r="JUR50" s="4"/>
      <c r="JUS50" s="4"/>
      <c r="JUT50" s="4"/>
      <c r="JUU50" s="4"/>
      <c r="JUV50" s="4"/>
      <c r="JUW50" s="4"/>
      <c r="JUX50" s="4"/>
      <c r="JUY50" s="4"/>
      <c r="JUZ50" s="4"/>
      <c r="JVA50" s="4"/>
      <c r="JVB50" s="4"/>
      <c r="JVC50" s="4"/>
      <c r="JVD50" s="4"/>
      <c r="JVE50" s="4"/>
      <c r="JVF50" s="4"/>
      <c r="JVG50" s="4"/>
      <c r="JVH50" s="4"/>
      <c r="JVI50" s="4"/>
      <c r="JVJ50" s="4"/>
      <c r="JVK50" s="4"/>
      <c r="JVL50" s="4"/>
      <c r="JVM50" s="4"/>
      <c r="JVN50" s="4"/>
      <c r="JVO50" s="4"/>
      <c r="JVP50" s="4"/>
      <c r="JVQ50" s="4"/>
      <c r="JVR50" s="4"/>
      <c r="JVS50" s="4"/>
      <c r="JVT50" s="4"/>
      <c r="JVU50" s="4"/>
      <c r="JVV50" s="4"/>
      <c r="JVW50" s="4"/>
      <c r="JVX50" s="4"/>
      <c r="JVY50" s="4"/>
      <c r="JVZ50" s="4"/>
      <c r="JWA50" s="4"/>
      <c r="JWB50" s="4"/>
      <c r="JWC50" s="4"/>
      <c r="JWD50" s="4"/>
      <c r="JWE50" s="4"/>
      <c r="JWF50" s="4"/>
      <c r="JWG50" s="4"/>
      <c r="JWH50" s="4"/>
      <c r="JWI50" s="4"/>
      <c r="JWJ50" s="4"/>
      <c r="JWK50" s="4"/>
      <c r="JWL50" s="4"/>
      <c r="JWM50" s="4"/>
      <c r="JWN50" s="4"/>
      <c r="JWO50" s="4"/>
      <c r="JWP50" s="4"/>
      <c r="JWQ50" s="4"/>
      <c r="JWR50" s="4"/>
      <c r="JWS50" s="4"/>
      <c r="JWT50" s="4"/>
      <c r="JWU50" s="4"/>
      <c r="JWV50" s="4"/>
      <c r="JWW50" s="4"/>
      <c r="JWX50" s="4"/>
      <c r="JWY50" s="4"/>
      <c r="JWZ50" s="4"/>
      <c r="JXA50" s="4"/>
      <c r="JXB50" s="4"/>
      <c r="JXC50" s="4"/>
      <c r="JXD50" s="4"/>
      <c r="JXE50" s="4"/>
      <c r="JXF50" s="4"/>
      <c r="JXG50" s="4"/>
      <c r="JXH50" s="4"/>
      <c r="JXI50" s="4"/>
      <c r="JXJ50" s="4"/>
      <c r="JXK50" s="4"/>
      <c r="JXL50" s="4"/>
      <c r="JXM50" s="4"/>
      <c r="JXN50" s="4"/>
      <c r="JXO50" s="4"/>
      <c r="JXP50" s="4"/>
      <c r="JXQ50" s="4"/>
      <c r="JXR50" s="4"/>
      <c r="JXS50" s="4"/>
      <c r="JXT50" s="4"/>
      <c r="JXU50" s="4"/>
      <c r="JXV50" s="4"/>
      <c r="JXW50" s="4"/>
      <c r="JXX50" s="4"/>
      <c r="JXY50" s="4"/>
      <c r="JXZ50" s="4"/>
      <c r="JYA50" s="4"/>
      <c r="JYB50" s="4"/>
      <c r="JYC50" s="4"/>
      <c r="JYD50" s="4"/>
      <c r="JYE50" s="4"/>
      <c r="JYF50" s="4"/>
      <c r="JYG50" s="4"/>
      <c r="JYH50" s="4"/>
      <c r="JYI50" s="4"/>
      <c r="JYJ50" s="4"/>
      <c r="JYK50" s="4"/>
      <c r="JYL50" s="4"/>
      <c r="JYM50" s="4"/>
      <c r="JYN50" s="4"/>
      <c r="JYO50" s="4"/>
      <c r="JYP50" s="4"/>
      <c r="JYQ50" s="4"/>
      <c r="JYR50" s="4"/>
      <c r="JYS50" s="4"/>
      <c r="JYT50" s="4"/>
      <c r="JYU50" s="4"/>
      <c r="JYV50" s="4"/>
      <c r="JYW50" s="4"/>
      <c r="JYX50" s="4"/>
      <c r="JYY50" s="4"/>
      <c r="JYZ50" s="4"/>
      <c r="JZA50" s="4"/>
      <c r="JZB50" s="4"/>
      <c r="JZC50" s="4"/>
      <c r="JZD50" s="4"/>
      <c r="JZE50" s="4"/>
      <c r="JZF50" s="4"/>
      <c r="JZG50" s="4"/>
      <c r="JZH50" s="4"/>
      <c r="JZI50" s="4"/>
      <c r="JZJ50" s="4"/>
      <c r="JZK50" s="4"/>
      <c r="JZL50" s="4"/>
      <c r="JZM50" s="4"/>
      <c r="JZN50" s="4"/>
      <c r="JZO50" s="4"/>
      <c r="JZP50" s="4"/>
      <c r="JZQ50" s="4"/>
      <c r="JZR50" s="4"/>
      <c r="JZS50" s="4"/>
      <c r="JZT50" s="4"/>
      <c r="JZU50" s="4"/>
      <c r="JZV50" s="4"/>
      <c r="JZW50" s="4"/>
      <c r="JZX50" s="4"/>
      <c r="JZY50" s="4"/>
      <c r="JZZ50" s="4"/>
      <c r="KAA50" s="4"/>
      <c r="KAB50" s="4"/>
      <c r="KAC50" s="4"/>
      <c r="KAD50" s="4"/>
      <c r="KAE50" s="4"/>
      <c r="KAF50" s="4"/>
      <c r="KAG50" s="4"/>
      <c r="KAH50" s="4"/>
      <c r="KAI50" s="4"/>
      <c r="KAJ50" s="4"/>
      <c r="KAK50" s="4"/>
      <c r="KAL50" s="4"/>
      <c r="KAM50" s="4"/>
      <c r="KAN50" s="4"/>
      <c r="KAO50" s="4"/>
      <c r="KAP50" s="4"/>
      <c r="KAQ50" s="4"/>
      <c r="KAR50" s="4"/>
      <c r="KAS50" s="4"/>
      <c r="KAT50" s="4"/>
      <c r="KAU50" s="4"/>
      <c r="KAV50" s="4"/>
      <c r="KAW50" s="4"/>
      <c r="KAX50" s="4"/>
      <c r="KAY50" s="4"/>
      <c r="KAZ50" s="4"/>
      <c r="KBA50" s="4"/>
      <c r="KBB50" s="4"/>
      <c r="KBC50" s="4"/>
      <c r="KBD50" s="4"/>
      <c r="KBE50" s="4"/>
      <c r="KBF50" s="4"/>
      <c r="KBG50" s="4"/>
      <c r="KBH50" s="4"/>
      <c r="KBI50" s="4"/>
      <c r="KBJ50" s="4"/>
      <c r="KBK50" s="4"/>
      <c r="KBL50" s="4"/>
      <c r="KBM50" s="4"/>
      <c r="KBN50" s="4"/>
      <c r="KBO50" s="4"/>
      <c r="KBP50" s="4"/>
      <c r="KBQ50" s="4"/>
      <c r="KBR50" s="4"/>
      <c r="KBS50" s="4"/>
      <c r="KBT50" s="4"/>
      <c r="KBU50" s="4"/>
      <c r="KBV50" s="4"/>
      <c r="KBW50" s="4"/>
      <c r="KBX50" s="4"/>
      <c r="KBY50" s="4"/>
      <c r="KBZ50" s="4"/>
      <c r="KCA50" s="4"/>
      <c r="KCB50" s="4"/>
      <c r="KCC50" s="4"/>
      <c r="KCD50" s="4"/>
      <c r="KCE50" s="4"/>
      <c r="KCF50" s="4"/>
      <c r="KCG50" s="4"/>
      <c r="KCH50" s="4"/>
      <c r="KCI50" s="4"/>
      <c r="KCJ50" s="4"/>
      <c r="KCK50" s="4"/>
      <c r="KCL50" s="4"/>
      <c r="KCM50" s="4"/>
      <c r="KCN50" s="4"/>
      <c r="KCO50" s="4"/>
      <c r="KCP50" s="4"/>
      <c r="KCQ50" s="4"/>
      <c r="KCR50" s="4"/>
      <c r="KCS50" s="4"/>
      <c r="KCT50" s="4"/>
      <c r="KCU50" s="4"/>
      <c r="KCV50" s="4"/>
      <c r="KCW50" s="4"/>
      <c r="KCX50" s="4"/>
      <c r="KCY50" s="4"/>
      <c r="KCZ50" s="4"/>
      <c r="KDA50" s="4"/>
      <c r="KDB50" s="4"/>
      <c r="KDC50" s="4"/>
      <c r="KDD50" s="4"/>
      <c r="KDE50" s="4"/>
      <c r="KDF50" s="4"/>
      <c r="KDG50" s="4"/>
      <c r="KDH50" s="4"/>
      <c r="KDI50" s="4"/>
      <c r="KDJ50" s="4"/>
      <c r="KDK50" s="4"/>
      <c r="KDL50" s="4"/>
      <c r="KDM50" s="4"/>
      <c r="KDN50" s="4"/>
      <c r="KDO50" s="4"/>
      <c r="KDP50" s="4"/>
      <c r="KDQ50" s="4"/>
      <c r="KDR50" s="4"/>
      <c r="KDS50" s="4"/>
      <c r="KDT50" s="4"/>
      <c r="KDU50" s="4"/>
      <c r="KDV50" s="4"/>
      <c r="KDW50" s="4"/>
      <c r="KDX50" s="4"/>
      <c r="KDY50" s="4"/>
      <c r="KDZ50" s="4"/>
      <c r="KEA50" s="4"/>
      <c r="KEB50" s="4"/>
      <c r="KEC50" s="4"/>
      <c r="KED50" s="4"/>
      <c r="KEE50" s="4"/>
      <c r="KEF50" s="4"/>
      <c r="KEG50" s="4"/>
      <c r="KEH50" s="4"/>
      <c r="KEI50" s="4"/>
      <c r="KEJ50" s="4"/>
      <c r="KEK50" s="4"/>
      <c r="KEL50" s="4"/>
      <c r="KEM50" s="4"/>
      <c r="KEN50" s="4"/>
      <c r="KEO50" s="4"/>
      <c r="KEP50" s="4"/>
      <c r="KEQ50" s="4"/>
      <c r="KER50" s="4"/>
      <c r="KES50" s="4"/>
      <c r="KET50" s="4"/>
      <c r="KEU50" s="4"/>
      <c r="KEV50" s="4"/>
      <c r="KEW50" s="4"/>
      <c r="KEX50" s="4"/>
      <c r="KEY50" s="4"/>
      <c r="KEZ50" s="4"/>
      <c r="KFA50" s="4"/>
      <c r="KFB50" s="4"/>
      <c r="KFC50" s="4"/>
      <c r="KFD50" s="4"/>
      <c r="KFE50" s="4"/>
      <c r="KFF50" s="4"/>
      <c r="KFG50" s="4"/>
      <c r="KFH50" s="4"/>
      <c r="KFI50" s="4"/>
      <c r="KFJ50" s="4"/>
      <c r="KFK50" s="4"/>
      <c r="KFL50" s="4"/>
      <c r="KFM50" s="4"/>
      <c r="KFN50" s="4"/>
      <c r="KFO50" s="4"/>
      <c r="KFP50" s="4"/>
      <c r="KFQ50" s="4"/>
      <c r="KFR50" s="4"/>
      <c r="KFS50" s="4"/>
      <c r="KFT50" s="4"/>
      <c r="KFU50" s="4"/>
      <c r="KFV50" s="4"/>
      <c r="KFW50" s="4"/>
      <c r="KFX50" s="4"/>
      <c r="KFY50" s="4"/>
      <c r="KFZ50" s="4"/>
      <c r="KGA50" s="4"/>
      <c r="KGB50" s="4"/>
      <c r="KGC50" s="4"/>
      <c r="KGD50" s="4"/>
      <c r="KGE50" s="4"/>
      <c r="KGF50" s="4"/>
      <c r="KGG50" s="4"/>
      <c r="KGH50" s="4"/>
      <c r="KGI50" s="4"/>
      <c r="KGJ50" s="4"/>
      <c r="KGK50" s="4"/>
      <c r="KGL50" s="4"/>
      <c r="KGM50" s="4"/>
      <c r="KGN50" s="4"/>
      <c r="KGO50" s="4"/>
      <c r="KGP50" s="4"/>
      <c r="KGQ50" s="4"/>
      <c r="KGR50" s="4"/>
      <c r="KGS50" s="4"/>
      <c r="KGT50" s="4"/>
      <c r="KGU50" s="4"/>
      <c r="KGV50" s="4"/>
      <c r="KGW50" s="4"/>
      <c r="KGX50" s="4"/>
      <c r="KGY50" s="4"/>
      <c r="KGZ50" s="4"/>
      <c r="KHA50" s="4"/>
      <c r="KHB50" s="4"/>
      <c r="KHC50" s="4"/>
      <c r="KHD50" s="4"/>
      <c r="KHE50" s="4"/>
      <c r="KHF50" s="4"/>
      <c r="KHG50" s="4"/>
      <c r="KHH50" s="4"/>
      <c r="KHI50" s="4"/>
      <c r="KHJ50" s="4"/>
      <c r="KHK50" s="4"/>
      <c r="KHL50" s="4"/>
      <c r="KHM50" s="4"/>
      <c r="KHN50" s="4"/>
      <c r="KHO50" s="4"/>
      <c r="KHP50" s="4"/>
      <c r="KHQ50" s="4"/>
      <c r="KHR50" s="4"/>
      <c r="KHS50" s="4"/>
      <c r="KHT50" s="4"/>
      <c r="KHU50" s="4"/>
      <c r="KHV50" s="4"/>
      <c r="KHW50" s="4"/>
      <c r="KHX50" s="4"/>
      <c r="KHY50" s="4"/>
      <c r="KHZ50" s="4"/>
      <c r="KIA50" s="4"/>
      <c r="KIB50" s="4"/>
      <c r="KIC50" s="4"/>
      <c r="KID50" s="4"/>
      <c r="KIE50" s="4"/>
      <c r="KIF50" s="4"/>
      <c r="KIG50" s="4"/>
      <c r="KIH50" s="4"/>
      <c r="KII50" s="4"/>
      <c r="KIJ50" s="4"/>
      <c r="KIK50" s="4"/>
      <c r="KIL50" s="4"/>
      <c r="KIM50" s="4"/>
      <c r="KIN50" s="4"/>
      <c r="KIO50" s="4"/>
      <c r="KIP50" s="4"/>
      <c r="KIQ50" s="4"/>
      <c r="KIR50" s="4"/>
      <c r="KIS50" s="4"/>
      <c r="KIT50" s="4"/>
      <c r="KIU50" s="4"/>
      <c r="KIV50" s="4"/>
      <c r="KIW50" s="4"/>
      <c r="KIX50" s="4"/>
      <c r="KIY50" s="4"/>
      <c r="KIZ50" s="4"/>
      <c r="KJA50" s="4"/>
      <c r="KJB50" s="4"/>
      <c r="KJC50" s="4"/>
      <c r="KJD50" s="4"/>
      <c r="KJE50" s="4"/>
      <c r="KJF50" s="4"/>
      <c r="KJG50" s="4"/>
      <c r="KJH50" s="4"/>
      <c r="KJI50" s="4"/>
      <c r="KJJ50" s="4"/>
      <c r="KJK50" s="4"/>
      <c r="KJL50" s="4"/>
      <c r="KJM50" s="4"/>
      <c r="KJN50" s="4"/>
      <c r="KJO50" s="4"/>
      <c r="KJP50" s="4"/>
      <c r="KJQ50" s="4"/>
      <c r="KJR50" s="4"/>
      <c r="KJS50" s="4"/>
      <c r="KJT50" s="4"/>
      <c r="KJU50" s="4"/>
      <c r="KJV50" s="4"/>
      <c r="KJW50" s="4"/>
      <c r="KJX50" s="4"/>
      <c r="KJY50" s="4"/>
      <c r="KJZ50" s="4"/>
      <c r="KKA50" s="4"/>
      <c r="KKB50" s="4"/>
      <c r="KKC50" s="4"/>
      <c r="KKD50" s="4"/>
      <c r="KKE50" s="4"/>
      <c r="KKF50" s="4"/>
      <c r="KKG50" s="4"/>
      <c r="KKH50" s="4"/>
      <c r="KKI50" s="4"/>
      <c r="KKJ50" s="4"/>
      <c r="KKK50" s="4"/>
      <c r="KKL50" s="4"/>
      <c r="KKM50" s="4"/>
      <c r="KKN50" s="4"/>
      <c r="KKO50" s="4"/>
      <c r="KKP50" s="4"/>
      <c r="KKQ50" s="4"/>
      <c r="KKR50" s="4"/>
      <c r="KKS50" s="4"/>
      <c r="KKT50" s="4"/>
      <c r="KKU50" s="4"/>
      <c r="KKV50" s="4"/>
      <c r="KKW50" s="4"/>
      <c r="KKX50" s="4"/>
      <c r="KKY50" s="4"/>
      <c r="KKZ50" s="4"/>
      <c r="KLA50" s="4"/>
      <c r="KLB50" s="4"/>
      <c r="KLC50" s="4"/>
      <c r="KLD50" s="4"/>
      <c r="KLE50" s="4"/>
      <c r="KLF50" s="4"/>
      <c r="KLG50" s="4"/>
      <c r="KLH50" s="4"/>
      <c r="KLI50" s="4"/>
      <c r="KLJ50" s="4"/>
      <c r="KLK50" s="4"/>
      <c r="KLL50" s="4"/>
      <c r="KLM50" s="4"/>
      <c r="KLN50" s="4"/>
      <c r="KLO50" s="4"/>
      <c r="KLP50" s="4"/>
      <c r="KLQ50" s="4"/>
      <c r="KLR50" s="4"/>
      <c r="KLS50" s="4"/>
      <c r="KLT50" s="4"/>
      <c r="KLU50" s="4"/>
      <c r="KLV50" s="4"/>
      <c r="KLW50" s="4"/>
      <c r="KLX50" s="4"/>
      <c r="KLY50" s="4"/>
      <c r="KLZ50" s="4"/>
      <c r="KMA50" s="4"/>
      <c r="KMB50" s="4"/>
      <c r="KMC50" s="4"/>
      <c r="KMD50" s="4"/>
      <c r="KME50" s="4"/>
      <c r="KMF50" s="4"/>
      <c r="KMG50" s="4"/>
      <c r="KMH50" s="4"/>
      <c r="KMI50" s="4"/>
      <c r="KMJ50" s="4"/>
      <c r="KMK50" s="4"/>
      <c r="KML50" s="4"/>
      <c r="KMM50" s="4"/>
      <c r="KMN50" s="4"/>
      <c r="KMO50" s="4"/>
      <c r="KMP50" s="4"/>
      <c r="KMQ50" s="4"/>
      <c r="KMR50" s="4"/>
      <c r="KMS50" s="4"/>
      <c r="KMT50" s="4"/>
      <c r="KMU50" s="4"/>
      <c r="KMV50" s="4"/>
      <c r="KMW50" s="4"/>
      <c r="KMX50" s="4"/>
      <c r="KMY50" s="4"/>
      <c r="KMZ50" s="4"/>
      <c r="KNA50" s="4"/>
      <c r="KNB50" s="4"/>
      <c r="KNC50" s="4"/>
      <c r="KND50" s="4"/>
      <c r="KNE50" s="4"/>
      <c r="KNF50" s="4"/>
      <c r="KNG50" s="4"/>
      <c r="KNH50" s="4"/>
      <c r="KNI50" s="4"/>
      <c r="KNJ50" s="4"/>
      <c r="KNK50" s="4"/>
      <c r="KNL50" s="4"/>
      <c r="KNM50" s="4"/>
      <c r="KNN50" s="4"/>
      <c r="KNO50" s="4"/>
      <c r="KNP50" s="4"/>
      <c r="KNQ50" s="4"/>
      <c r="KNR50" s="4"/>
      <c r="KNS50" s="4"/>
      <c r="KNT50" s="4"/>
      <c r="KNU50" s="4"/>
      <c r="KNV50" s="4"/>
      <c r="KNW50" s="4"/>
      <c r="KNX50" s="4"/>
      <c r="KNY50" s="4"/>
      <c r="KNZ50" s="4"/>
      <c r="KOA50" s="4"/>
      <c r="KOB50" s="4"/>
      <c r="KOC50" s="4"/>
      <c r="KOD50" s="4"/>
      <c r="KOE50" s="4"/>
      <c r="KOF50" s="4"/>
      <c r="KOG50" s="4"/>
      <c r="KOH50" s="4"/>
      <c r="KOI50" s="4"/>
      <c r="KOJ50" s="4"/>
      <c r="KOK50" s="4"/>
      <c r="KOL50" s="4"/>
      <c r="KOM50" s="4"/>
      <c r="KON50" s="4"/>
      <c r="KOO50" s="4"/>
      <c r="KOP50" s="4"/>
      <c r="KOQ50" s="4"/>
      <c r="KOR50" s="4"/>
      <c r="KOS50" s="4"/>
      <c r="KOT50" s="4"/>
      <c r="KOU50" s="4"/>
      <c r="KOV50" s="4"/>
      <c r="KOW50" s="4"/>
      <c r="KOX50" s="4"/>
      <c r="KOY50" s="4"/>
      <c r="KOZ50" s="4"/>
      <c r="KPA50" s="4"/>
      <c r="KPB50" s="4"/>
      <c r="KPC50" s="4"/>
      <c r="KPD50" s="4"/>
      <c r="KPE50" s="4"/>
      <c r="KPF50" s="4"/>
      <c r="KPG50" s="4"/>
      <c r="KPH50" s="4"/>
      <c r="KPI50" s="4"/>
      <c r="KPJ50" s="4"/>
      <c r="KPK50" s="4"/>
      <c r="KPL50" s="4"/>
      <c r="KPM50" s="4"/>
      <c r="KPN50" s="4"/>
      <c r="KPO50" s="4"/>
      <c r="KPP50" s="4"/>
      <c r="KPQ50" s="4"/>
      <c r="KPR50" s="4"/>
      <c r="KPS50" s="4"/>
      <c r="KPT50" s="4"/>
      <c r="KPU50" s="4"/>
      <c r="KPV50" s="4"/>
      <c r="KPW50" s="4"/>
      <c r="KPX50" s="4"/>
      <c r="KPY50" s="4"/>
      <c r="KPZ50" s="4"/>
      <c r="KQA50" s="4"/>
      <c r="KQB50" s="4"/>
      <c r="KQC50" s="4"/>
      <c r="KQD50" s="4"/>
      <c r="KQE50" s="4"/>
      <c r="KQF50" s="4"/>
      <c r="KQG50" s="4"/>
      <c r="KQH50" s="4"/>
      <c r="KQI50" s="4"/>
      <c r="KQJ50" s="4"/>
      <c r="KQK50" s="4"/>
      <c r="KQL50" s="4"/>
      <c r="KQM50" s="4"/>
      <c r="KQN50" s="4"/>
      <c r="KQO50" s="4"/>
      <c r="KQP50" s="4"/>
      <c r="KQQ50" s="4"/>
      <c r="KQR50" s="4"/>
      <c r="KQS50" s="4"/>
      <c r="KQT50" s="4"/>
      <c r="KQU50" s="4"/>
      <c r="KQV50" s="4"/>
      <c r="KQW50" s="4"/>
      <c r="KQX50" s="4"/>
      <c r="KQY50" s="4"/>
      <c r="KQZ50" s="4"/>
      <c r="KRA50" s="4"/>
      <c r="KRB50" s="4"/>
      <c r="KRC50" s="4"/>
      <c r="KRD50" s="4"/>
      <c r="KRE50" s="4"/>
      <c r="KRF50" s="4"/>
      <c r="KRG50" s="4"/>
      <c r="KRH50" s="4"/>
      <c r="KRI50" s="4"/>
      <c r="KRJ50" s="4"/>
      <c r="KRK50" s="4"/>
      <c r="KRL50" s="4"/>
      <c r="KRM50" s="4"/>
      <c r="KRN50" s="4"/>
      <c r="KRO50" s="4"/>
      <c r="KRP50" s="4"/>
      <c r="KRQ50" s="4"/>
      <c r="KRR50" s="4"/>
      <c r="KRS50" s="4"/>
      <c r="KRT50" s="4"/>
      <c r="KRU50" s="4"/>
      <c r="KRV50" s="4"/>
      <c r="KRW50" s="4"/>
      <c r="KRX50" s="4"/>
      <c r="KRY50" s="4"/>
      <c r="KRZ50" s="4"/>
      <c r="KSA50" s="4"/>
      <c r="KSB50" s="4"/>
      <c r="KSC50" s="4"/>
      <c r="KSD50" s="4"/>
      <c r="KSE50" s="4"/>
      <c r="KSF50" s="4"/>
      <c r="KSG50" s="4"/>
      <c r="KSH50" s="4"/>
      <c r="KSI50" s="4"/>
      <c r="KSJ50" s="4"/>
      <c r="KSK50" s="4"/>
      <c r="KSL50" s="4"/>
      <c r="KSM50" s="4"/>
      <c r="KSN50" s="4"/>
      <c r="KSO50" s="4"/>
      <c r="KSP50" s="4"/>
      <c r="KSQ50" s="4"/>
      <c r="KSR50" s="4"/>
      <c r="KSS50" s="4"/>
      <c r="KST50" s="4"/>
      <c r="KSU50" s="4"/>
      <c r="KSV50" s="4"/>
      <c r="KSW50" s="4"/>
      <c r="KSX50" s="4"/>
      <c r="KSY50" s="4"/>
      <c r="KSZ50" s="4"/>
      <c r="KTA50" s="4"/>
      <c r="KTB50" s="4"/>
      <c r="KTC50" s="4"/>
      <c r="KTD50" s="4"/>
      <c r="KTE50" s="4"/>
      <c r="KTF50" s="4"/>
      <c r="KTG50" s="4"/>
      <c r="KTH50" s="4"/>
      <c r="KTI50" s="4"/>
      <c r="KTJ50" s="4"/>
      <c r="KTK50" s="4"/>
      <c r="KTL50" s="4"/>
      <c r="KTM50" s="4"/>
      <c r="KTN50" s="4"/>
      <c r="KTO50" s="4"/>
      <c r="KTP50" s="4"/>
      <c r="KTQ50" s="4"/>
      <c r="KTR50" s="4"/>
      <c r="KTS50" s="4"/>
      <c r="KTT50" s="4"/>
      <c r="KTU50" s="4"/>
      <c r="KTV50" s="4"/>
      <c r="KTW50" s="4"/>
      <c r="KTX50" s="4"/>
      <c r="KTY50" s="4"/>
      <c r="KTZ50" s="4"/>
      <c r="KUA50" s="4"/>
      <c r="KUB50" s="4"/>
      <c r="KUC50" s="4"/>
      <c r="KUD50" s="4"/>
      <c r="KUE50" s="4"/>
      <c r="KUF50" s="4"/>
      <c r="KUG50" s="4"/>
      <c r="KUH50" s="4"/>
      <c r="KUI50" s="4"/>
      <c r="KUJ50" s="4"/>
      <c r="KUK50" s="4"/>
      <c r="KUL50" s="4"/>
      <c r="KUM50" s="4"/>
      <c r="KUN50" s="4"/>
      <c r="KUO50" s="4"/>
      <c r="KUP50" s="4"/>
      <c r="KUQ50" s="4"/>
      <c r="KUR50" s="4"/>
      <c r="KUS50" s="4"/>
      <c r="KUT50" s="4"/>
      <c r="KUU50" s="4"/>
      <c r="KUV50" s="4"/>
      <c r="KUW50" s="4"/>
      <c r="KUX50" s="4"/>
      <c r="KUY50" s="4"/>
      <c r="KUZ50" s="4"/>
      <c r="KVA50" s="4"/>
      <c r="KVB50" s="4"/>
      <c r="KVC50" s="4"/>
      <c r="KVD50" s="4"/>
      <c r="KVE50" s="4"/>
      <c r="KVF50" s="4"/>
      <c r="KVG50" s="4"/>
      <c r="KVH50" s="4"/>
      <c r="KVI50" s="4"/>
      <c r="KVJ50" s="4"/>
      <c r="KVK50" s="4"/>
      <c r="KVL50" s="4"/>
      <c r="KVM50" s="4"/>
      <c r="KVN50" s="4"/>
      <c r="KVO50" s="4"/>
      <c r="KVP50" s="4"/>
      <c r="KVQ50" s="4"/>
      <c r="KVR50" s="4"/>
      <c r="KVS50" s="4"/>
      <c r="KVT50" s="4"/>
      <c r="KVU50" s="4"/>
      <c r="KVV50" s="4"/>
      <c r="KVW50" s="4"/>
      <c r="KVX50" s="4"/>
      <c r="KVY50" s="4"/>
      <c r="KVZ50" s="4"/>
      <c r="KWA50" s="4"/>
      <c r="KWB50" s="4"/>
      <c r="KWC50" s="4"/>
      <c r="KWD50" s="4"/>
      <c r="KWE50" s="4"/>
      <c r="KWF50" s="4"/>
      <c r="KWG50" s="4"/>
      <c r="KWH50" s="4"/>
      <c r="KWI50" s="4"/>
      <c r="KWJ50" s="4"/>
      <c r="KWK50" s="4"/>
      <c r="KWL50" s="4"/>
      <c r="KWM50" s="4"/>
      <c r="KWN50" s="4"/>
      <c r="KWO50" s="4"/>
      <c r="KWP50" s="4"/>
      <c r="KWQ50" s="4"/>
      <c r="KWR50" s="4"/>
      <c r="KWS50" s="4"/>
      <c r="KWT50" s="4"/>
      <c r="KWU50" s="4"/>
      <c r="KWV50" s="4"/>
      <c r="KWW50" s="4"/>
      <c r="KWX50" s="4"/>
      <c r="KWY50" s="4"/>
      <c r="KWZ50" s="4"/>
      <c r="KXA50" s="4"/>
      <c r="KXB50" s="4"/>
      <c r="KXC50" s="4"/>
      <c r="KXD50" s="4"/>
      <c r="KXE50" s="4"/>
      <c r="KXF50" s="4"/>
      <c r="KXG50" s="4"/>
      <c r="KXH50" s="4"/>
      <c r="KXI50" s="4"/>
      <c r="KXJ50" s="4"/>
      <c r="KXK50" s="4"/>
      <c r="KXL50" s="4"/>
      <c r="KXM50" s="4"/>
      <c r="KXN50" s="4"/>
      <c r="KXO50" s="4"/>
      <c r="KXP50" s="4"/>
      <c r="KXQ50" s="4"/>
      <c r="KXR50" s="4"/>
      <c r="KXS50" s="4"/>
      <c r="KXT50" s="4"/>
      <c r="KXU50" s="4"/>
      <c r="KXV50" s="4"/>
      <c r="KXW50" s="4"/>
      <c r="KXX50" s="4"/>
      <c r="KXY50" s="4"/>
      <c r="KXZ50" s="4"/>
      <c r="KYA50" s="4"/>
      <c r="KYB50" s="4"/>
      <c r="KYC50" s="4"/>
      <c r="KYD50" s="4"/>
      <c r="KYE50" s="4"/>
      <c r="KYF50" s="4"/>
      <c r="KYG50" s="4"/>
      <c r="KYH50" s="4"/>
      <c r="KYI50" s="4"/>
      <c r="KYJ50" s="4"/>
      <c r="KYK50" s="4"/>
      <c r="KYL50" s="4"/>
      <c r="KYM50" s="4"/>
      <c r="KYN50" s="4"/>
      <c r="KYO50" s="4"/>
      <c r="KYP50" s="4"/>
      <c r="KYQ50" s="4"/>
      <c r="KYR50" s="4"/>
      <c r="KYS50" s="4"/>
      <c r="KYT50" s="4"/>
      <c r="KYU50" s="4"/>
      <c r="KYV50" s="4"/>
      <c r="KYW50" s="4"/>
      <c r="KYX50" s="4"/>
      <c r="KYY50" s="4"/>
      <c r="KYZ50" s="4"/>
      <c r="KZA50" s="4"/>
      <c r="KZB50" s="4"/>
      <c r="KZC50" s="4"/>
      <c r="KZD50" s="4"/>
      <c r="KZE50" s="4"/>
      <c r="KZF50" s="4"/>
      <c r="KZG50" s="4"/>
      <c r="KZH50" s="4"/>
      <c r="KZI50" s="4"/>
      <c r="KZJ50" s="4"/>
      <c r="KZK50" s="4"/>
      <c r="KZL50" s="4"/>
      <c r="KZM50" s="4"/>
      <c r="KZN50" s="4"/>
      <c r="KZO50" s="4"/>
      <c r="KZP50" s="4"/>
      <c r="KZQ50" s="4"/>
      <c r="KZR50" s="4"/>
      <c r="KZS50" s="4"/>
      <c r="KZT50" s="4"/>
      <c r="KZU50" s="4"/>
      <c r="KZV50" s="4"/>
      <c r="KZW50" s="4"/>
      <c r="KZX50" s="4"/>
      <c r="KZY50" s="4"/>
      <c r="KZZ50" s="4"/>
      <c r="LAA50" s="4"/>
      <c r="LAB50" s="4"/>
      <c r="LAC50" s="4"/>
      <c r="LAD50" s="4"/>
      <c r="LAE50" s="4"/>
      <c r="LAF50" s="4"/>
      <c r="LAG50" s="4"/>
      <c r="LAH50" s="4"/>
      <c r="LAI50" s="4"/>
      <c r="LAJ50" s="4"/>
      <c r="LAK50" s="4"/>
      <c r="LAL50" s="4"/>
      <c r="LAM50" s="4"/>
      <c r="LAN50" s="4"/>
      <c r="LAO50" s="4"/>
      <c r="LAP50" s="4"/>
      <c r="LAQ50" s="4"/>
      <c r="LAR50" s="4"/>
      <c r="LAS50" s="4"/>
      <c r="LAT50" s="4"/>
      <c r="LAU50" s="4"/>
      <c r="LAV50" s="4"/>
      <c r="LAW50" s="4"/>
      <c r="LAX50" s="4"/>
      <c r="LAY50" s="4"/>
      <c r="LAZ50" s="4"/>
      <c r="LBA50" s="4"/>
      <c r="LBB50" s="4"/>
      <c r="LBC50" s="4"/>
      <c r="LBD50" s="4"/>
      <c r="LBE50" s="4"/>
      <c r="LBF50" s="4"/>
      <c r="LBG50" s="4"/>
      <c r="LBH50" s="4"/>
      <c r="LBI50" s="4"/>
      <c r="LBJ50" s="4"/>
      <c r="LBK50" s="4"/>
      <c r="LBL50" s="4"/>
      <c r="LBM50" s="4"/>
      <c r="LBN50" s="4"/>
      <c r="LBO50" s="4"/>
      <c r="LBP50" s="4"/>
      <c r="LBQ50" s="4"/>
      <c r="LBR50" s="4"/>
      <c r="LBS50" s="4"/>
      <c r="LBT50" s="4"/>
      <c r="LBU50" s="4"/>
      <c r="LBV50" s="4"/>
      <c r="LBW50" s="4"/>
      <c r="LBX50" s="4"/>
      <c r="LBY50" s="4"/>
      <c r="LBZ50" s="4"/>
      <c r="LCA50" s="4"/>
      <c r="LCB50" s="4"/>
      <c r="LCC50" s="4"/>
      <c r="LCD50" s="4"/>
      <c r="LCE50" s="4"/>
      <c r="LCF50" s="4"/>
      <c r="LCG50" s="4"/>
      <c r="LCH50" s="4"/>
      <c r="LCI50" s="4"/>
      <c r="LCJ50" s="4"/>
      <c r="LCK50" s="4"/>
      <c r="LCL50" s="4"/>
      <c r="LCM50" s="4"/>
      <c r="LCN50" s="4"/>
      <c r="LCO50" s="4"/>
      <c r="LCP50" s="4"/>
      <c r="LCQ50" s="4"/>
      <c r="LCR50" s="4"/>
      <c r="LCS50" s="4"/>
      <c r="LCT50" s="4"/>
      <c r="LCU50" s="4"/>
      <c r="LCV50" s="4"/>
      <c r="LCW50" s="4"/>
      <c r="LCX50" s="4"/>
      <c r="LCY50" s="4"/>
      <c r="LCZ50" s="4"/>
      <c r="LDA50" s="4"/>
      <c r="LDB50" s="4"/>
      <c r="LDC50" s="4"/>
      <c r="LDD50" s="4"/>
      <c r="LDE50" s="4"/>
      <c r="LDF50" s="4"/>
      <c r="LDG50" s="4"/>
      <c r="LDH50" s="4"/>
      <c r="LDI50" s="4"/>
      <c r="LDJ50" s="4"/>
      <c r="LDK50" s="4"/>
      <c r="LDL50" s="4"/>
      <c r="LDM50" s="4"/>
      <c r="LDN50" s="4"/>
      <c r="LDO50" s="4"/>
      <c r="LDP50" s="4"/>
      <c r="LDQ50" s="4"/>
      <c r="LDR50" s="4"/>
      <c r="LDS50" s="4"/>
      <c r="LDT50" s="4"/>
      <c r="LDU50" s="4"/>
      <c r="LDV50" s="4"/>
      <c r="LDW50" s="4"/>
      <c r="LDX50" s="4"/>
      <c r="LDY50" s="4"/>
      <c r="LDZ50" s="4"/>
      <c r="LEA50" s="4"/>
      <c r="LEB50" s="4"/>
      <c r="LEC50" s="4"/>
      <c r="LED50" s="4"/>
      <c r="LEE50" s="4"/>
      <c r="LEF50" s="4"/>
      <c r="LEG50" s="4"/>
      <c r="LEH50" s="4"/>
      <c r="LEI50" s="4"/>
      <c r="LEJ50" s="4"/>
      <c r="LEK50" s="4"/>
      <c r="LEL50" s="4"/>
      <c r="LEM50" s="4"/>
      <c r="LEN50" s="4"/>
      <c r="LEO50" s="4"/>
      <c r="LEP50" s="4"/>
      <c r="LEQ50" s="4"/>
      <c r="LER50" s="4"/>
      <c r="LES50" s="4"/>
      <c r="LET50" s="4"/>
      <c r="LEU50" s="4"/>
      <c r="LEV50" s="4"/>
      <c r="LEW50" s="4"/>
      <c r="LEX50" s="4"/>
      <c r="LEY50" s="4"/>
      <c r="LEZ50" s="4"/>
      <c r="LFA50" s="4"/>
      <c r="LFB50" s="4"/>
      <c r="LFC50" s="4"/>
      <c r="LFD50" s="4"/>
      <c r="LFE50" s="4"/>
      <c r="LFF50" s="4"/>
      <c r="LFG50" s="4"/>
      <c r="LFH50" s="4"/>
      <c r="LFI50" s="4"/>
      <c r="LFJ50" s="4"/>
      <c r="LFK50" s="4"/>
      <c r="LFL50" s="4"/>
      <c r="LFM50" s="4"/>
      <c r="LFN50" s="4"/>
      <c r="LFO50" s="4"/>
      <c r="LFP50" s="4"/>
      <c r="LFQ50" s="4"/>
      <c r="LFR50" s="4"/>
      <c r="LFS50" s="4"/>
      <c r="LFT50" s="4"/>
      <c r="LFU50" s="4"/>
      <c r="LFV50" s="4"/>
      <c r="LFW50" s="4"/>
      <c r="LFX50" s="4"/>
      <c r="LFY50" s="4"/>
      <c r="LFZ50" s="4"/>
      <c r="LGA50" s="4"/>
      <c r="LGB50" s="4"/>
      <c r="LGC50" s="4"/>
      <c r="LGD50" s="4"/>
      <c r="LGE50" s="4"/>
      <c r="LGF50" s="4"/>
      <c r="LGG50" s="4"/>
      <c r="LGH50" s="4"/>
      <c r="LGI50" s="4"/>
      <c r="LGJ50" s="4"/>
      <c r="LGK50" s="4"/>
      <c r="LGL50" s="4"/>
      <c r="LGM50" s="4"/>
      <c r="LGN50" s="4"/>
      <c r="LGO50" s="4"/>
      <c r="LGP50" s="4"/>
      <c r="LGQ50" s="4"/>
      <c r="LGR50" s="4"/>
      <c r="LGS50" s="4"/>
      <c r="LGT50" s="4"/>
      <c r="LGU50" s="4"/>
      <c r="LGV50" s="4"/>
      <c r="LGW50" s="4"/>
      <c r="LGX50" s="4"/>
      <c r="LGY50" s="4"/>
      <c r="LGZ50" s="4"/>
      <c r="LHA50" s="4"/>
      <c r="LHB50" s="4"/>
      <c r="LHC50" s="4"/>
      <c r="LHD50" s="4"/>
      <c r="LHE50" s="4"/>
      <c r="LHF50" s="4"/>
      <c r="LHG50" s="4"/>
      <c r="LHH50" s="4"/>
      <c r="LHI50" s="4"/>
      <c r="LHJ50" s="4"/>
      <c r="LHK50" s="4"/>
      <c r="LHL50" s="4"/>
      <c r="LHM50" s="4"/>
      <c r="LHN50" s="4"/>
      <c r="LHO50" s="4"/>
      <c r="LHP50" s="4"/>
      <c r="LHQ50" s="4"/>
      <c r="LHR50" s="4"/>
      <c r="LHS50" s="4"/>
      <c r="LHT50" s="4"/>
      <c r="LHU50" s="4"/>
      <c r="LHV50" s="4"/>
      <c r="LHW50" s="4"/>
      <c r="LHX50" s="4"/>
      <c r="LHY50" s="4"/>
      <c r="LHZ50" s="4"/>
      <c r="LIA50" s="4"/>
      <c r="LIB50" s="4"/>
      <c r="LIC50" s="4"/>
      <c r="LID50" s="4"/>
      <c r="LIE50" s="4"/>
      <c r="LIF50" s="4"/>
      <c r="LIG50" s="4"/>
      <c r="LIH50" s="4"/>
      <c r="LII50" s="4"/>
      <c r="LIJ50" s="4"/>
      <c r="LIK50" s="4"/>
      <c r="LIL50" s="4"/>
      <c r="LIM50" s="4"/>
      <c r="LIN50" s="4"/>
      <c r="LIO50" s="4"/>
      <c r="LIP50" s="4"/>
      <c r="LIQ50" s="4"/>
      <c r="LIR50" s="4"/>
      <c r="LIS50" s="4"/>
      <c r="LIT50" s="4"/>
      <c r="LIU50" s="4"/>
      <c r="LIV50" s="4"/>
      <c r="LIW50" s="4"/>
      <c r="LIX50" s="4"/>
      <c r="LIY50" s="4"/>
      <c r="LIZ50" s="4"/>
      <c r="LJA50" s="4"/>
      <c r="LJB50" s="4"/>
      <c r="LJC50" s="4"/>
      <c r="LJD50" s="4"/>
      <c r="LJE50" s="4"/>
      <c r="LJF50" s="4"/>
      <c r="LJG50" s="4"/>
      <c r="LJH50" s="4"/>
      <c r="LJI50" s="4"/>
      <c r="LJJ50" s="4"/>
      <c r="LJK50" s="4"/>
      <c r="LJL50" s="4"/>
      <c r="LJM50" s="4"/>
      <c r="LJN50" s="4"/>
      <c r="LJO50" s="4"/>
      <c r="LJP50" s="4"/>
      <c r="LJQ50" s="4"/>
      <c r="LJR50" s="4"/>
      <c r="LJS50" s="4"/>
      <c r="LJT50" s="4"/>
      <c r="LJU50" s="4"/>
      <c r="LJV50" s="4"/>
      <c r="LJW50" s="4"/>
      <c r="LJX50" s="4"/>
      <c r="LJY50" s="4"/>
      <c r="LJZ50" s="4"/>
      <c r="LKA50" s="4"/>
      <c r="LKB50" s="4"/>
      <c r="LKC50" s="4"/>
      <c r="LKD50" s="4"/>
      <c r="LKE50" s="4"/>
      <c r="LKF50" s="4"/>
      <c r="LKG50" s="4"/>
      <c r="LKH50" s="4"/>
      <c r="LKI50" s="4"/>
      <c r="LKJ50" s="4"/>
      <c r="LKK50" s="4"/>
      <c r="LKL50" s="4"/>
      <c r="LKM50" s="4"/>
      <c r="LKN50" s="4"/>
      <c r="LKO50" s="4"/>
      <c r="LKP50" s="4"/>
      <c r="LKQ50" s="4"/>
      <c r="LKR50" s="4"/>
      <c r="LKS50" s="4"/>
      <c r="LKT50" s="4"/>
      <c r="LKU50" s="4"/>
      <c r="LKV50" s="4"/>
      <c r="LKW50" s="4"/>
      <c r="LKX50" s="4"/>
      <c r="LKY50" s="4"/>
      <c r="LKZ50" s="4"/>
      <c r="LLA50" s="4"/>
      <c r="LLB50" s="4"/>
      <c r="LLC50" s="4"/>
      <c r="LLD50" s="4"/>
      <c r="LLE50" s="4"/>
      <c r="LLF50" s="4"/>
      <c r="LLG50" s="4"/>
      <c r="LLH50" s="4"/>
      <c r="LLI50" s="4"/>
      <c r="LLJ50" s="4"/>
      <c r="LLK50" s="4"/>
      <c r="LLL50" s="4"/>
      <c r="LLM50" s="4"/>
      <c r="LLN50" s="4"/>
      <c r="LLO50" s="4"/>
      <c r="LLP50" s="4"/>
      <c r="LLQ50" s="4"/>
      <c r="LLR50" s="4"/>
      <c r="LLS50" s="4"/>
      <c r="LLT50" s="4"/>
      <c r="LLU50" s="4"/>
      <c r="LLV50" s="4"/>
      <c r="LLW50" s="4"/>
      <c r="LLX50" s="4"/>
      <c r="LLY50" s="4"/>
      <c r="LLZ50" s="4"/>
      <c r="LMA50" s="4"/>
      <c r="LMB50" s="4"/>
      <c r="LMC50" s="4"/>
      <c r="LMD50" s="4"/>
      <c r="LME50" s="4"/>
      <c r="LMF50" s="4"/>
      <c r="LMG50" s="4"/>
      <c r="LMH50" s="4"/>
      <c r="LMI50" s="4"/>
      <c r="LMJ50" s="4"/>
      <c r="LMK50" s="4"/>
      <c r="LML50" s="4"/>
      <c r="LMM50" s="4"/>
      <c r="LMN50" s="4"/>
      <c r="LMO50" s="4"/>
      <c r="LMP50" s="4"/>
      <c r="LMQ50" s="4"/>
      <c r="LMR50" s="4"/>
      <c r="LMS50" s="4"/>
      <c r="LMT50" s="4"/>
      <c r="LMU50" s="4"/>
      <c r="LMV50" s="4"/>
      <c r="LMW50" s="4"/>
      <c r="LMX50" s="4"/>
      <c r="LMY50" s="4"/>
      <c r="LMZ50" s="4"/>
      <c r="LNA50" s="4"/>
      <c r="LNB50" s="4"/>
      <c r="LNC50" s="4"/>
      <c r="LND50" s="4"/>
      <c r="LNE50" s="4"/>
      <c r="LNF50" s="4"/>
      <c r="LNG50" s="4"/>
      <c r="LNH50" s="4"/>
      <c r="LNI50" s="4"/>
      <c r="LNJ50" s="4"/>
      <c r="LNK50" s="4"/>
      <c r="LNL50" s="4"/>
      <c r="LNM50" s="4"/>
      <c r="LNN50" s="4"/>
      <c r="LNO50" s="4"/>
      <c r="LNP50" s="4"/>
      <c r="LNQ50" s="4"/>
      <c r="LNR50" s="4"/>
      <c r="LNS50" s="4"/>
      <c r="LNT50" s="4"/>
      <c r="LNU50" s="4"/>
      <c r="LNV50" s="4"/>
      <c r="LNW50" s="4"/>
      <c r="LNX50" s="4"/>
      <c r="LNY50" s="4"/>
      <c r="LNZ50" s="4"/>
      <c r="LOA50" s="4"/>
      <c r="LOB50" s="4"/>
      <c r="LOC50" s="4"/>
      <c r="LOD50" s="4"/>
      <c r="LOE50" s="4"/>
      <c r="LOF50" s="4"/>
      <c r="LOG50" s="4"/>
      <c r="LOH50" s="4"/>
      <c r="LOI50" s="4"/>
      <c r="LOJ50" s="4"/>
      <c r="LOK50" s="4"/>
      <c r="LOL50" s="4"/>
      <c r="LOM50" s="4"/>
      <c r="LON50" s="4"/>
      <c r="LOO50" s="4"/>
      <c r="LOP50" s="4"/>
      <c r="LOQ50" s="4"/>
      <c r="LOR50" s="4"/>
      <c r="LOS50" s="4"/>
      <c r="LOT50" s="4"/>
      <c r="LOU50" s="4"/>
      <c r="LOV50" s="4"/>
      <c r="LOW50" s="4"/>
      <c r="LOX50" s="4"/>
      <c r="LOY50" s="4"/>
      <c r="LOZ50" s="4"/>
      <c r="LPA50" s="4"/>
      <c r="LPB50" s="4"/>
      <c r="LPC50" s="4"/>
      <c r="LPD50" s="4"/>
      <c r="LPE50" s="4"/>
      <c r="LPF50" s="4"/>
      <c r="LPG50" s="4"/>
      <c r="LPH50" s="4"/>
      <c r="LPI50" s="4"/>
      <c r="LPJ50" s="4"/>
      <c r="LPK50" s="4"/>
      <c r="LPL50" s="4"/>
      <c r="LPM50" s="4"/>
      <c r="LPN50" s="4"/>
      <c r="LPO50" s="4"/>
      <c r="LPP50" s="4"/>
      <c r="LPQ50" s="4"/>
      <c r="LPR50" s="4"/>
      <c r="LPS50" s="4"/>
      <c r="LPT50" s="4"/>
      <c r="LPU50" s="4"/>
      <c r="LPV50" s="4"/>
      <c r="LPW50" s="4"/>
      <c r="LPX50" s="4"/>
      <c r="LPY50" s="4"/>
      <c r="LPZ50" s="4"/>
      <c r="LQA50" s="4"/>
      <c r="LQB50" s="4"/>
      <c r="LQC50" s="4"/>
      <c r="LQD50" s="4"/>
      <c r="LQE50" s="4"/>
      <c r="LQF50" s="4"/>
      <c r="LQG50" s="4"/>
      <c r="LQH50" s="4"/>
      <c r="LQI50" s="4"/>
      <c r="LQJ50" s="4"/>
      <c r="LQK50" s="4"/>
      <c r="LQL50" s="4"/>
      <c r="LQM50" s="4"/>
      <c r="LQN50" s="4"/>
      <c r="LQO50" s="4"/>
      <c r="LQP50" s="4"/>
      <c r="LQQ50" s="4"/>
      <c r="LQR50" s="4"/>
      <c r="LQS50" s="4"/>
      <c r="LQT50" s="4"/>
      <c r="LQU50" s="4"/>
      <c r="LQV50" s="4"/>
      <c r="LQW50" s="4"/>
      <c r="LQX50" s="4"/>
      <c r="LQY50" s="4"/>
      <c r="LQZ50" s="4"/>
      <c r="LRA50" s="4"/>
      <c r="LRB50" s="4"/>
      <c r="LRC50" s="4"/>
      <c r="LRD50" s="4"/>
      <c r="LRE50" s="4"/>
      <c r="LRF50" s="4"/>
      <c r="LRG50" s="4"/>
      <c r="LRH50" s="4"/>
      <c r="LRI50" s="4"/>
      <c r="LRJ50" s="4"/>
      <c r="LRK50" s="4"/>
      <c r="LRL50" s="4"/>
      <c r="LRM50" s="4"/>
      <c r="LRN50" s="4"/>
      <c r="LRO50" s="4"/>
      <c r="LRP50" s="4"/>
      <c r="LRQ50" s="4"/>
      <c r="LRR50" s="4"/>
      <c r="LRS50" s="4"/>
      <c r="LRT50" s="4"/>
      <c r="LRU50" s="4"/>
      <c r="LRV50" s="4"/>
      <c r="LRW50" s="4"/>
      <c r="LRX50" s="4"/>
      <c r="LRY50" s="4"/>
      <c r="LRZ50" s="4"/>
      <c r="LSA50" s="4"/>
      <c r="LSB50" s="4"/>
      <c r="LSC50" s="4"/>
      <c r="LSD50" s="4"/>
      <c r="LSE50" s="4"/>
      <c r="LSF50" s="4"/>
      <c r="LSG50" s="4"/>
      <c r="LSH50" s="4"/>
      <c r="LSI50" s="4"/>
      <c r="LSJ50" s="4"/>
      <c r="LSK50" s="4"/>
      <c r="LSL50" s="4"/>
      <c r="LSM50" s="4"/>
      <c r="LSN50" s="4"/>
      <c r="LSO50" s="4"/>
      <c r="LSP50" s="4"/>
      <c r="LSQ50" s="4"/>
      <c r="LSR50" s="4"/>
      <c r="LSS50" s="4"/>
      <c r="LST50" s="4"/>
      <c r="LSU50" s="4"/>
      <c r="LSV50" s="4"/>
      <c r="LSW50" s="4"/>
      <c r="LSX50" s="4"/>
      <c r="LSY50" s="4"/>
      <c r="LSZ50" s="4"/>
      <c r="LTA50" s="4"/>
      <c r="LTB50" s="4"/>
      <c r="LTC50" s="4"/>
      <c r="LTD50" s="4"/>
      <c r="LTE50" s="4"/>
      <c r="LTF50" s="4"/>
      <c r="LTG50" s="4"/>
      <c r="LTH50" s="4"/>
      <c r="LTI50" s="4"/>
      <c r="LTJ50" s="4"/>
      <c r="LTK50" s="4"/>
      <c r="LTL50" s="4"/>
      <c r="LTM50" s="4"/>
      <c r="LTN50" s="4"/>
      <c r="LTO50" s="4"/>
      <c r="LTP50" s="4"/>
      <c r="LTQ50" s="4"/>
      <c r="LTR50" s="4"/>
      <c r="LTS50" s="4"/>
      <c r="LTT50" s="4"/>
      <c r="LTU50" s="4"/>
      <c r="LTV50" s="4"/>
      <c r="LTW50" s="4"/>
      <c r="LTX50" s="4"/>
      <c r="LTY50" s="4"/>
      <c r="LTZ50" s="4"/>
      <c r="LUA50" s="4"/>
      <c r="LUB50" s="4"/>
      <c r="LUC50" s="4"/>
      <c r="LUD50" s="4"/>
      <c r="LUE50" s="4"/>
      <c r="LUF50" s="4"/>
      <c r="LUG50" s="4"/>
      <c r="LUH50" s="4"/>
      <c r="LUI50" s="4"/>
      <c r="LUJ50" s="4"/>
      <c r="LUK50" s="4"/>
      <c r="LUL50" s="4"/>
      <c r="LUM50" s="4"/>
      <c r="LUN50" s="4"/>
      <c r="LUO50" s="4"/>
      <c r="LUP50" s="4"/>
      <c r="LUQ50" s="4"/>
      <c r="LUR50" s="4"/>
      <c r="LUS50" s="4"/>
      <c r="LUT50" s="4"/>
      <c r="LUU50" s="4"/>
      <c r="LUV50" s="4"/>
      <c r="LUW50" s="4"/>
      <c r="LUX50" s="4"/>
      <c r="LUY50" s="4"/>
      <c r="LUZ50" s="4"/>
      <c r="LVA50" s="4"/>
      <c r="LVB50" s="4"/>
      <c r="LVC50" s="4"/>
      <c r="LVD50" s="4"/>
      <c r="LVE50" s="4"/>
      <c r="LVF50" s="4"/>
      <c r="LVG50" s="4"/>
      <c r="LVH50" s="4"/>
      <c r="LVI50" s="4"/>
      <c r="LVJ50" s="4"/>
      <c r="LVK50" s="4"/>
      <c r="LVL50" s="4"/>
      <c r="LVM50" s="4"/>
      <c r="LVN50" s="4"/>
      <c r="LVO50" s="4"/>
      <c r="LVP50" s="4"/>
      <c r="LVQ50" s="4"/>
      <c r="LVR50" s="4"/>
      <c r="LVS50" s="4"/>
      <c r="LVT50" s="4"/>
      <c r="LVU50" s="4"/>
      <c r="LVV50" s="4"/>
      <c r="LVW50" s="4"/>
      <c r="LVX50" s="4"/>
      <c r="LVY50" s="4"/>
      <c r="LVZ50" s="4"/>
      <c r="LWA50" s="4"/>
      <c r="LWB50" s="4"/>
      <c r="LWC50" s="4"/>
      <c r="LWD50" s="4"/>
      <c r="LWE50" s="4"/>
      <c r="LWF50" s="4"/>
      <c r="LWG50" s="4"/>
      <c r="LWH50" s="4"/>
      <c r="LWI50" s="4"/>
      <c r="LWJ50" s="4"/>
      <c r="LWK50" s="4"/>
      <c r="LWL50" s="4"/>
      <c r="LWM50" s="4"/>
      <c r="LWN50" s="4"/>
      <c r="LWO50" s="4"/>
      <c r="LWP50" s="4"/>
      <c r="LWQ50" s="4"/>
      <c r="LWR50" s="4"/>
      <c r="LWS50" s="4"/>
      <c r="LWT50" s="4"/>
      <c r="LWU50" s="4"/>
      <c r="LWV50" s="4"/>
      <c r="LWW50" s="4"/>
      <c r="LWX50" s="4"/>
      <c r="LWY50" s="4"/>
      <c r="LWZ50" s="4"/>
      <c r="LXA50" s="4"/>
      <c r="LXB50" s="4"/>
      <c r="LXC50" s="4"/>
      <c r="LXD50" s="4"/>
      <c r="LXE50" s="4"/>
      <c r="LXF50" s="4"/>
      <c r="LXG50" s="4"/>
      <c r="LXH50" s="4"/>
      <c r="LXI50" s="4"/>
      <c r="LXJ50" s="4"/>
      <c r="LXK50" s="4"/>
      <c r="LXL50" s="4"/>
      <c r="LXM50" s="4"/>
      <c r="LXN50" s="4"/>
      <c r="LXO50" s="4"/>
      <c r="LXP50" s="4"/>
      <c r="LXQ50" s="4"/>
      <c r="LXR50" s="4"/>
      <c r="LXS50" s="4"/>
      <c r="LXT50" s="4"/>
      <c r="LXU50" s="4"/>
      <c r="LXV50" s="4"/>
      <c r="LXW50" s="4"/>
      <c r="LXX50" s="4"/>
      <c r="LXY50" s="4"/>
      <c r="LXZ50" s="4"/>
      <c r="LYA50" s="4"/>
      <c r="LYB50" s="4"/>
      <c r="LYC50" s="4"/>
      <c r="LYD50" s="4"/>
      <c r="LYE50" s="4"/>
      <c r="LYF50" s="4"/>
      <c r="LYG50" s="4"/>
      <c r="LYH50" s="4"/>
      <c r="LYI50" s="4"/>
      <c r="LYJ50" s="4"/>
      <c r="LYK50" s="4"/>
      <c r="LYL50" s="4"/>
      <c r="LYM50" s="4"/>
      <c r="LYN50" s="4"/>
      <c r="LYO50" s="4"/>
      <c r="LYP50" s="4"/>
      <c r="LYQ50" s="4"/>
      <c r="LYR50" s="4"/>
      <c r="LYS50" s="4"/>
      <c r="LYT50" s="4"/>
      <c r="LYU50" s="4"/>
      <c r="LYV50" s="4"/>
      <c r="LYW50" s="4"/>
      <c r="LYX50" s="4"/>
      <c r="LYY50" s="4"/>
      <c r="LYZ50" s="4"/>
      <c r="LZA50" s="4"/>
      <c r="LZB50" s="4"/>
      <c r="LZC50" s="4"/>
      <c r="LZD50" s="4"/>
      <c r="LZE50" s="4"/>
      <c r="LZF50" s="4"/>
      <c r="LZG50" s="4"/>
      <c r="LZH50" s="4"/>
      <c r="LZI50" s="4"/>
      <c r="LZJ50" s="4"/>
      <c r="LZK50" s="4"/>
      <c r="LZL50" s="4"/>
      <c r="LZM50" s="4"/>
      <c r="LZN50" s="4"/>
      <c r="LZO50" s="4"/>
      <c r="LZP50" s="4"/>
      <c r="LZQ50" s="4"/>
      <c r="LZR50" s="4"/>
      <c r="LZS50" s="4"/>
      <c r="LZT50" s="4"/>
      <c r="LZU50" s="4"/>
      <c r="LZV50" s="4"/>
      <c r="LZW50" s="4"/>
      <c r="LZX50" s="4"/>
      <c r="LZY50" s="4"/>
      <c r="LZZ50" s="4"/>
      <c r="MAA50" s="4"/>
      <c r="MAB50" s="4"/>
      <c r="MAC50" s="4"/>
      <c r="MAD50" s="4"/>
      <c r="MAE50" s="4"/>
      <c r="MAF50" s="4"/>
      <c r="MAG50" s="4"/>
      <c r="MAH50" s="4"/>
      <c r="MAI50" s="4"/>
      <c r="MAJ50" s="4"/>
      <c r="MAK50" s="4"/>
      <c r="MAL50" s="4"/>
      <c r="MAM50" s="4"/>
      <c r="MAN50" s="4"/>
      <c r="MAO50" s="4"/>
      <c r="MAP50" s="4"/>
      <c r="MAQ50" s="4"/>
      <c r="MAR50" s="4"/>
      <c r="MAS50" s="4"/>
      <c r="MAT50" s="4"/>
      <c r="MAU50" s="4"/>
      <c r="MAV50" s="4"/>
      <c r="MAW50" s="4"/>
      <c r="MAX50" s="4"/>
      <c r="MAY50" s="4"/>
      <c r="MAZ50" s="4"/>
      <c r="MBA50" s="4"/>
      <c r="MBB50" s="4"/>
      <c r="MBC50" s="4"/>
      <c r="MBD50" s="4"/>
      <c r="MBE50" s="4"/>
      <c r="MBF50" s="4"/>
      <c r="MBG50" s="4"/>
      <c r="MBH50" s="4"/>
      <c r="MBI50" s="4"/>
      <c r="MBJ50" s="4"/>
      <c r="MBK50" s="4"/>
      <c r="MBL50" s="4"/>
      <c r="MBM50" s="4"/>
      <c r="MBN50" s="4"/>
      <c r="MBO50" s="4"/>
      <c r="MBP50" s="4"/>
      <c r="MBQ50" s="4"/>
      <c r="MBR50" s="4"/>
      <c r="MBS50" s="4"/>
      <c r="MBT50" s="4"/>
      <c r="MBU50" s="4"/>
      <c r="MBV50" s="4"/>
      <c r="MBW50" s="4"/>
      <c r="MBX50" s="4"/>
      <c r="MBY50" s="4"/>
      <c r="MBZ50" s="4"/>
      <c r="MCA50" s="4"/>
      <c r="MCB50" s="4"/>
      <c r="MCC50" s="4"/>
      <c r="MCD50" s="4"/>
      <c r="MCE50" s="4"/>
      <c r="MCF50" s="4"/>
      <c r="MCG50" s="4"/>
      <c r="MCH50" s="4"/>
      <c r="MCI50" s="4"/>
      <c r="MCJ50" s="4"/>
      <c r="MCK50" s="4"/>
      <c r="MCL50" s="4"/>
      <c r="MCM50" s="4"/>
      <c r="MCN50" s="4"/>
      <c r="MCO50" s="4"/>
      <c r="MCP50" s="4"/>
      <c r="MCQ50" s="4"/>
      <c r="MCR50" s="4"/>
      <c r="MCS50" s="4"/>
      <c r="MCT50" s="4"/>
      <c r="MCU50" s="4"/>
      <c r="MCV50" s="4"/>
      <c r="MCW50" s="4"/>
      <c r="MCX50" s="4"/>
      <c r="MCY50" s="4"/>
      <c r="MCZ50" s="4"/>
      <c r="MDA50" s="4"/>
      <c r="MDB50" s="4"/>
      <c r="MDC50" s="4"/>
      <c r="MDD50" s="4"/>
      <c r="MDE50" s="4"/>
      <c r="MDF50" s="4"/>
      <c r="MDG50" s="4"/>
      <c r="MDH50" s="4"/>
      <c r="MDI50" s="4"/>
      <c r="MDJ50" s="4"/>
      <c r="MDK50" s="4"/>
      <c r="MDL50" s="4"/>
      <c r="MDM50" s="4"/>
      <c r="MDN50" s="4"/>
      <c r="MDO50" s="4"/>
      <c r="MDP50" s="4"/>
      <c r="MDQ50" s="4"/>
      <c r="MDR50" s="4"/>
      <c r="MDS50" s="4"/>
      <c r="MDT50" s="4"/>
      <c r="MDU50" s="4"/>
      <c r="MDV50" s="4"/>
      <c r="MDW50" s="4"/>
      <c r="MDX50" s="4"/>
      <c r="MDY50" s="4"/>
      <c r="MDZ50" s="4"/>
      <c r="MEA50" s="4"/>
      <c r="MEB50" s="4"/>
      <c r="MEC50" s="4"/>
      <c r="MED50" s="4"/>
      <c r="MEE50" s="4"/>
      <c r="MEF50" s="4"/>
      <c r="MEG50" s="4"/>
      <c r="MEH50" s="4"/>
      <c r="MEI50" s="4"/>
      <c r="MEJ50" s="4"/>
      <c r="MEK50" s="4"/>
      <c r="MEL50" s="4"/>
      <c r="MEM50" s="4"/>
      <c r="MEN50" s="4"/>
      <c r="MEO50" s="4"/>
      <c r="MEP50" s="4"/>
      <c r="MEQ50" s="4"/>
      <c r="MER50" s="4"/>
      <c r="MES50" s="4"/>
      <c r="MET50" s="4"/>
      <c r="MEU50" s="4"/>
      <c r="MEV50" s="4"/>
      <c r="MEW50" s="4"/>
      <c r="MEX50" s="4"/>
      <c r="MEY50" s="4"/>
      <c r="MEZ50" s="4"/>
      <c r="MFA50" s="4"/>
      <c r="MFB50" s="4"/>
      <c r="MFC50" s="4"/>
      <c r="MFD50" s="4"/>
      <c r="MFE50" s="4"/>
      <c r="MFF50" s="4"/>
      <c r="MFG50" s="4"/>
      <c r="MFH50" s="4"/>
      <c r="MFI50" s="4"/>
      <c r="MFJ50" s="4"/>
      <c r="MFK50" s="4"/>
      <c r="MFL50" s="4"/>
      <c r="MFM50" s="4"/>
      <c r="MFN50" s="4"/>
      <c r="MFO50" s="4"/>
      <c r="MFP50" s="4"/>
      <c r="MFQ50" s="4"/>
      <c r="MFR50" s="4"/>
      <c r="MFS50" s="4"/>
      <c r="MFT50" s="4"/>
      <c r="MFU50" s="4"/>
      <c r="MFV50" s="4"/>
      <c r="MFW50" s="4"/>
      <c r="MFX50" s="4"/>
      <c r="MFY50" s="4"/>
      <c r="MFZ50" s="4"/>
      <c r="MGA50" s="4"/>
      <c r="MGB50" s="4"/>
      <c r="MGC50" s="4"/>
      <c r="MGD50" s="4"/>
      <c r="MGE50" s="4"/>
      <c r="MGF50" s="4"/>
      <c r="MGG50" s="4"/>
      <c r="MGH50" s="4"/>
      <c r="MGI50" s="4"/>
      <c r="MGJ50" s="4"/>
      <c r="MGK50" s="4"/>
      <c r="MGL50" s="4"/>
      <c r="MGM50" s="4"/>
      <c r="MGN50" s="4"/>
      <c r="MGO50" s="4"/>
      <c r="MGP50" s="4"/>
      <c r="MGQ50" s="4"/>
      <c r="MGR50" s="4"/>
      <c r="MGS50" s="4"/>
      <c r="MGT50" s="4"/>
      <c r="MGU50" s="4"/>
      <c r="MGV50" s="4"/>
      <c r="MGW50" s="4"/>
      <c r="MGX50" s="4"/>
      <c r="MGY50" s="4"/>
      <c r="MGZ50" s="4"/>
      <c r="MHA50" s="4"/>
      <c r="MHB50" s="4"/>
      <c r="MHC50" s="4"/>
      <c r="MHD50" s="4"/>
      <c r="MHE50" s="4"/>
      <c r="MHF50" s="4"/>
      <c r="MHG50" s="4"/>
      <c r="MHH50" s="4"/>
      <c r="MHI50" s="4"/>
      <c r="MHJ50" s="4"/>
      <c r="MHK50" s="4"/>
      <c r="MHL50" s="4"/>
      <c r="MHM50" s="4"/>
      <c r="MHN50" s="4"/>
      <c r="MHO50" s="4"/>
      <c r="MHP50" s="4"/>
      <c r="MHQ50" s="4"/>
      <c r="MHR50" s="4"/>
      <c r="MHS50" s="4"/>
      <c r="MHT50" s="4"/>
      <c r="MHU50" s="4"/>
      <c r="MHV50" s="4"/>
      <c r="MHW50" s="4"/>
      <c r="MHX50" s="4"/>
      <c r="MHY50" s="4"/>
      <c r="MHZ50" s="4"/>
      <c r="MIA50" s="4"/>
      <c r="MIB50" s="4"/>
      <c r="MIC50" s="4"/>
      <c r="MID50" s="4"/>
      <c r="MIE50" s="4"/>
      <c r="MIF50" s="4"/>
      <c r="MIG50" s="4"/>
      <c r="MIH50" s="4"/>
      <c r="MII50" s="4"/>
      <c r="MIJ50" s="4"/>
      <c r="MIK50" s="4"/>
      <c r="MIL50" s="4"/>
      <c r="MIM50" s="4"/>
      <c r="MIN50" s="4"/>
      <c r="MIO50" s="4"/>
      <c r="MIP50" s="4"/>
      <c r="MIQ50" s="4"/>
      <c r="MIR50" s="4"/>
      <c r="MIS50" s="4"/>
      <c r="MIT50" s="4"/>
      <c r="MIU50" s="4"/>
      <c r="MIV50" s="4"/>
      <c r="MIW50" s="4"/>
      <c r="MIX50" s="4"/>
      <c r="MIY50" s="4"/>
      <c r="MIZ50" s="4"/>
      <c r="MJA50" s="4"/>
      <c r="MJB50" s="4"/>
      <c r="MJC50" s="4"/>
      <c r="MJD50" s="4"/>
      <c r="MJE50" s="4"/>
      <c r="MJF50" s="4"/>
      <c r="MJG50" s="4"/>
      <c r="MJH50" s="4"/>
      <c r="MJI50" s="4"/>
      <c r="MJJ50" s="4"/>
      <c r="MJK50" s="4"/>
      <c r="MJL50" s="4"/>
      <c r="MJM50" s="4"/>
      <c r="MJN50" s="4"/>
      <c r="MJO50" s="4"/>
      <c r="MJP50" s="4"/>
      <c r="MJQ50" s="4"/>
      <c r="MJR50" s="4"/>
      <c r="MJS50" s="4"/>
      <c r="MJT50" s="4"/>
      <c r="MJU50" s="4"/>
      <c r="MJV50" s="4"/>
      <c r="MJW50" s="4"/>
      <c r="MJX50" s="4"/>
      <c r="MJY50" s="4"/>
      <c r="MJZ50" s="4"/>
      <c r="MKA50" s="4"/>
      <c r="MKB50" s="4"/>
      <c r="MKC50" s="4"/>
      <c r="MKD50" s="4"/>
      <c r="MKE50" s="4"/>
      <c r="MKF50" s="4"/>
      <c r="MKG50" s="4"/>
      <c r="MKH50" s="4"/>
      <c r="MKI50" s="4"/>
      <c r="MKJ50" s="4"/>
      <c r="MKK50" s="4"/>
      <c r="MKL50" s="4"/>
      <c r="MKM50" s="4"/>
      <c r="MKN50" s="4"/>
      <c r="MKO50" s="4"/>
      <c r="MKP50" s="4"/>
      <c r="MKQ50" s="4"/>
      <c r="MKR50" s="4"/>
      <c r="MKS50" s="4"/>
      <c r="MKT50" s="4"/>
      <c r="MKU50" s="4"/>
      <c r="MKV50" s="4"/>
      <c r="MKW50" s="4"/>
      <c r="MKX50" s="4"/>
      <c r="MKY50" s="4"/>
      <c r="MKZ50" s="4"/>
      <c r="MLA50" s="4"/>
      <c r="MLB50" s="4"/>
      <c r="MLC50" s="4"/>
      <c r="MLD50" s="4"/>
      <c r="MLE50" s="4"/>
      <c r="MLF50" s="4"/>
      <c r="MLG50" s="4"/>
      <c r="MLH50" s="4"/>
      <c r="MLI50" s="4"/>
      <c r="MLJ50" s="4"/>
      <c r="MLK50" s="4"/>
      <c r="MLL50" s="4"/>
      <c r="MLM50" s="4"/>
      <c r="MLN50" s="4"/>
      <c r="MLO50" s="4"/>
      <c r="MLP50" s="4"/>
      <c r="MLQ50" s="4"/>
      <c r="MLR50" s="4"/>
      <c r="MLS50" s="4"/>
      <c r="MLT50" s="4"/>
      <c r="MLU50" s="4"/>
      <c r="MLV50" s="4"/>
      <c r="MLW50" s="4"/>
      <c r="MLX50" s="4"/>
      <c r="MLY50" s="4"/>
      <c r="MLZ50" s="4"/>
      <c r="MMA50" s="4"/>
      <c r="MMB50" s="4"/>
      <c r="MMC50" s="4"/>
      <c r="MMD50" s="4"/>
      <c r="MME50" s="4"/>
      <c r="MMF50" s="4"/>
      <c r="MMG50" s="4"/>
      <c r="MMH50" s="4"/>
      <c r="MMI50" s="4"/>
      <c r="MMJ50" s="4"/>
      <c r="MMK50" s="4"/>
      <c r="MML50" s="4"/>
      <c r="MMM50" s="4"/>
      <c r="MMN50" s="4"/>
      <c r="MMO50" s="4"/>
      <c r="MMP50" s="4"/>
      <c r="MMQ50" s="4"/>
      <c r="MMR50" s="4"/>
      <c r="MMS50" s="4"/>
      <c r="MMT50" s="4"/>
      <c r="MMU50" s="4"/>
      <c r="MMV50" s="4"/>
      <c r="MMW50" s="4"/>
      <c r="MMX50" s="4"/>
      <c r="MMY50" s="4"/>
      <c r="MMZ50" s="4"/>
      <c r="MNA50" s="4"/>
      <c r="MNB50" s="4"/>
      <c r="MNC50" s="4"/>
      <c r="MND50" s="4"/>
      <c r="MNE50" s="4"/>
      <c r="MNF50" s="4"/>
      <c r="MNG50" s="4"/>
      <c r="MNH50" s="4"/>
      <c r="MNI50" s="4"/>
      <c r="MNJ50" s="4"/>
      <c r="MNK50" s="4"/>
      <c r="MNL50" s="4"/>
      <c r="MNM50" s="4"/>
      <c r="MNN50" s="4"/>
      <c r="MNO50" s="4"/>
      <c r="MNP50" s="4"/>
      <c r="MNQ50" s="4"/>
      <c r="MNR50" s="4"/>
      <c r="MNS50" s="4"/>
      <c r="MNT50" s="4"/>
      <c r="MNU50" s="4"/>
      <c r="MNV50" s="4"/>
      <c r="MNW50" s="4"/>
      <c r="MNX50" s="4"/>
      <c r="MNY50" s="4"/>
      <c r="MNZ50" s="4"/>
      <c r="MOA50" s="4"/>
      <c r="MOB50" s="4"/>
      <c r="MOC50" s="4"/>
      <c r="MOD50" s="4"/>
      <c r="MOE50" s="4"/>
      <c r="MOF50" s="4"/>
      <c r="MOG50" s="4"/>
      <c r="MOH50" s="4"/>
      <c r="MOI50" s="4"/>
      <c r="MOJ50" s="4"/>
      <c r="MOK50" s="4"/>
      <c r="MOL50" s="4"/>
      <c r="MOM50" s="4"/>
      <c r="MON50" s="4"/>
      <c r="MOO50" s="4"/>
      <c r="MOP50" s="4"/>
      <c r="MOQ50" s="4"/>
      <c r="MOR50" s="4"/>
      <c r="MOS50" s="4"/>
      <c r="MOT50" s="4"/>
      <c r="MOU50" s="4"/>
      <c r="MOV50" s="4"/>
      <c r="MOW50" s="4"/>
      <c r="MOX50" s="4"/>
      <c r="MOY50" s="4"/>
      <c r="MOZ50" s="4"/>
      <c r="MPA50" s="4"/>
      <c r="MPB50" s="4"/>
      <c r="MPC50" s="4"/>
      <c r="MPD50" s="4"/>
      <c r="MPE50" s="4"/>
      <c r="MPF50" s="4"/>
      <c r="MPG50" s="4"/>
      <c r="MPH50" s="4"/>
      <c r="MPI50" s="4"/>
      <c r="MPJ50" s="4"/>
      <c r="MPK50" s="4"/>
      <c r="MPL50" s="4"/>
      <c r="MPM50" s="4"/>
      <c r="MPN50" s="4"/>
      <c r="MPO50" s="4"/>
      <c r="MPP50" s="4"/>
      <c r="MPQ50" s="4"/>
      <c r="MPR50" s="4"/>
      <c r="MPS50" s="4"/>
      <c r="MPT50" s="4"/>
      <c r="MPU50" s="4"/>
      <c r="MPV50" s="4"/>
      <c r="MPW50" s="4"/>
      <c r="MPX50" s="4"/>
      <c r="MPY50" s="4"/>
      <c r="MPZ50" s="4"/>
      <c r="MQA50" s="4"/>
      <c r="MQB50" s="4"/>
      <c r="MQC50" s="4"/>
      <c r="MQD50" s="4"/>
      <c r="MQE50" s="4"/>
      <c r="MQF50" s="4"/>
      <c r="MQG50" s="4"/>
      <c r="MQH50" s="4"/>
      <c r="MQI50" s="4"/>
      <c r="MQJ50" s="4"/>
      <c r="MQK50" s="4"/>
      <c r="MQL50" s="4"/>
      <c r="MQM50" s="4"/>
      <c r="MQN50" s="4"/>
      <c r="MQO50" s="4"/>
      <c r="MQP50" s="4"/>
      <c r="MQQ50" s="4"/>
      <c r="MQR50" s="4"/>
      <c r="MQS50" s="4"/>
      <c r="MQT50" s="4"/>
      <c r="MQU50" s="4"/>
      <c r="MQV50" s="4"/>
      <c r="MQW50" s="4"/>
      <c r="MQX50" s="4"/>
      <c r="MQY50" s="4"/>
      <c r="MQZ50" s="4"/>
      <c r="MRA50" s="4"/>
      <c r="MRB50" s="4"/>
      <c r="MRC50" s="4"/>
      <c r="MRD50" s="4"/>
      <c r="MRE50" s="4"/>
      <c r="MRF50" s="4"/>
      <c r="MRG50" s="4"/>
      <c r="MRH50" s="4"/>
      <c r="MRI50" s="4"/>
      <c r="MRJ50" s="4"/>
      <c r="MRK50" s="4"/>
      <c r="MRL50" s="4"/>
      <c r="MRM50" s="4"/>
      <c r="MRN50" s="4"/>
      <c r="MRO50" s="4"/>
      <c r="MRP50" s="4"/>
      <c r="MRQ50" s="4"/>
      <c r="MRR50" s="4"/>
      <c r="MRS50" s="4"/>
      <c r="MRT50" s="4"/>
      <c r="MRU50" s="4"/>
      <c r="MRV50" s="4"/>
      <c r="MRW50" s="4"/>
      <c r="MRX50" s="4"/>
      <c r="MRY50" s="4"/>
      <c r="MRZ50" s="4"/>
      <c r="MSA50" s="4"/>
      <c r="MSB50" s="4"/>
      <c r="MSC50" s="4"/>
      <c r="MSD50" s="4"/>
      <c r="MSE50" s="4"/>
      <c r="MSF50" s="4"/>
      <c r="MSG50" s="4"/>
      <c r="MSH50" s="4"/>
      <c r="MSI50" s="4"/>
      <c r="MSJ50" s="4"/>
      <c r="MSK50" s="4"/>
      <c r="MSL50" s="4"/>
      <c r="MSM50" s="4"/>
      <c r="MSN50" s="4"/>
      <c r="MSO50" s="4"/>
      <c r="MSP50" s="4"/>
      <c r="MSQ50" s="4"/>
      <c r="MSR50" s="4"/>
      <c r="MSS50" s="4"/>
      <c r="MST50" s="4"/>
      <c r="MSU50" s="4"/>
      <c r="MSV50" s="4"/>
      <c r="MSW50" s="4"/>
      <c r="MSX50" s="4"/>
      <c r="MSY50" s="4"/>
      <c r="MSZ50" s="4"/>
      <c r="MTA50" s="4"/>
      <c r="MTB50" s="4"/>
      <c r="MTC50" s="4"/>
      <c r="MTD50" s="4"/>
      <c r="MTE50" s="4"/>
      <c r="MTF50" s="4"/>
      <c r="MTG50" s="4"/>
      <c r="MTH50" s="4"/>
      <c r="MTI50" s="4"/>
      <c r="MTJ50" s="4"/>
      <c r="MTK50" s="4"/>
      <c r="MTL50" s="4"/>
      <c r="MTM50" s="4"/>
      <c r="MTN50" s="4"/>
      <c r="MTO50" s="4"/>
      <c r="MTP50" s="4"/>
      <c r="MTQ50" s="4"/>
      <c r="MTR50" s="4"/>
      <c r="MTS50" s="4"/>
      <c r="MTT50" s="4"/>
      <c r="MTU50" s="4"/>
      <c r="MTV50" s="4"/>
      <c r="MTW50" s="4"/>
      <c r="MTX50" s="4"/>
      <c r="MTY50" s="4"/>
      <c r="MTZ50" s="4"/>
      <c r="MUA50" s="4"/>
      <c r="MUB50" s="4"/>
      <c r="MUC50" s="4"/>
      <c r="MUD50" s="4"/>
      <c r="MUE50" s="4"/>
      <c r="MUF50" s="4"/>
      <c r="MUG50" s="4"/>
      <c r="MUH50" s="4"/>
      <c r="MUI50" s="4"/>
      <c r="MUJ50" s="4"/>
      <c r="MUK50" s="4"/>
      <c r="MUL50" s="4"/>
      <c r="MUM50" s="4"/>
      <c r="MUN50" s="4"/>
      <c r="MUO50" s="4"/>
      <c r="MUP50" s="4"/>
      <c r="MUQ50" s="4"/>
      <c r="MUR50" s="4"/>
      <c r="MUS50" s="4"/>
      <c r="MUT50" s="4"/>
      <c r="MUU50" s="4"/>
      <c r="MUV50" s="4"/>
      <c r="MUW50" s="4"/>
      <c r="MUX50" s="4"/>
      <c r="MUY50" s="4"/>
      <c r="MUZ50" s="4"/>
      <c r="MVA50" s="4"/>
      <c r="MVB50" s="4"/>
      <c r="MVC50" s="4"/>
      <c r="MVD50" s="4"/>
      <c r="MVE50" s="4"/>
      <c r="MVF50" s="4"/>
      <c r="MVG50" s="4"/>
      <c r="MVH50" s="4"/>
      <c r="MVI50" s="4"/>
      <c r="MVJ50" s="4"/>
      <c r="MVK50" s="4"/>
      <c r="MVL50" s="4"/>
      <c r="MVM50" s="4"/>
      <c r="MVN50" s="4"/>
      <c r="MVO50" s="4"/>
      <c r="MVP50" s="4"/>
      <c r="MVQ50" s="4"/>
      <c r="MVR50" s="4"/>
      <c r="MVS50" s="4"/>
      <c r="MVT50" s="4"/>
      <c r="MVU50" s="4"/>
      <c r="MVV50" s="4"/>
      <c r="MVW50" s="4"/>
      <c r="MVX50" s="4"/>
      <c r="MVY50" s="4"/>
      <c r="MVZ50" s="4"/>
      <c r="MWA50" s="4"/>
      <c r="MWB50" s="4"/>
      <c r="MWC50" s="4"/>
      <c r="MWD50" s="4"/>
      <c r="MWE50" s="4"/>
      <c r="MWF50" s="4"/>
      <c r="MWG50" s="4"/>
      <c r="MWH50" s="4"/>
      <c r="MWI50" s="4"/>
      <c r="MWJ50" s="4"/>
      <c r="MWK50" s="4"/>
      <c r="MWL50" s="4"/>
      <c r="MWM50" s="4"/>
      <c r="MWN50" s="4"/>
      <c r="MWO50" s="4"/>
      <c r="MWP50" s="4"/>
      <c r="MWQ50" s="4"/>
      <c r="MWR50" s="4"/>
      <c r="MWS50" s="4"/>
      <c r="MWT50" s="4"/>
      <c r="MWU50" s="4"/>
      <c r="MWV50" s="4"/>
      <c r="MWW50" s="4"/>
      <c r="MWX50" s="4"/>
      <c r="MWY50" s="4"/>
      <c r="MWZ50" s="4"/>
      <c r="MXA50" s="4"/>
      <c r="MXB50" s="4"/>
      <c r="MXC50" s="4"/>
      <c r="MXD50" s="4"/>
      <c r="MXE50" s="4"/>
      <c r="MXF50" s="4"/>
      <c r="MXG50" s="4"/>
      <c r="MXH50" s="4"/>
      <c r="MXI50" s="4"/>
      <c r="MXJ50" s="4"/>
      <c r="MXK50" s="4"/>
      <c r="MXL50" s="4"/>
      <c r="MXM50" s="4"/>
      <c r="MXN50" s="4"/>
      <c r="MXO50" s="4"/>
      <c r="MXP50" s="4"/>
      <c r="MXQ50" s="4"/>
      <c r="MXR50" s="4"/>
      <c r="MXS50" s="4"/>
      <c r="MXT50" s="4"/>
      <c r="MXU50" s="4"/>
      <c r="MXV50" s="4"/>
      <c r="MXW50" s="4"/>
      <c r="MXX50" s="4"/>
      <c r="MXY50" s="4"/>
      <c r="MXZ50" s="4"/>
      <c r="MYA50" s="4"/>
      <c r="MYB50" s="4"/>
      <c r="MYC50" s="4"/>
      <c r="MYD50" s="4"/>
      <c r="MYE50" s="4"/>
      <c r="MYF50" s="4"/>
      <c r="MYG50" s="4"/>
      <c r="MYH50" s="4"/>
      <c r="MYI50" s="4"/>
      <c r="MYJ50" s="4"/>
      <c r="MYK50" s="4"/>
      <c r="MYL50" s="4"/>
      <c r="MYM50" s="4"/>
      <c r="MYN50" s="4"/>
      <c r="MYO50" s="4"/>
      <c r="MYP50" s="4"/>
      <c r="MYQ50" s="4"/>
      <c r="MYR50" s="4"/>
      <c r="MYS50" s="4"/>
      <c r="MYT50" s="4"/>
      <c r="MYU50" s="4"/>
      <c r="MYV50" s="4"/>
      <c r="MYW50" s="4"/>
      <c r="MYX50" s="4"/>
      <c r="MYY50" s="4"/>
      <c r="MYZ50" s="4"/>
      <c r="MZA50" s="4"/>
      <c r="MZB50" s="4"/>
      <c r="MZC50" s="4"/>
      <c r="MZD50" s="4"/>
      <c r="MZE50" s="4"/>
      <c r="MZF50" s="4"/>
      <c r="MZG50" s="4"/>
      <c r="MZH50" s="4"/>
      <c r="MZI50" s="4"/>
      <c r="MZJ50" s="4"/>
      <c r="MZK50" s="4"/>
      <c r="MZL50" s="4"/>
      <c r="MZM50" s="4"/>
      <c r="MZN50" s="4"/>
      <c r="MZO50" s="4"/>
      <c r="MZP50" s="4"/>
      <c r="MZQ50" s="4"/>
      <c r="MZR50" s="4"/>
      <c r="MZS50" s="4"/>
      <c r="MZT50" s="4"/>
      <c r="MZU50" s="4"/>
      <c r="MZV50" s="4"/>
      <c r="MZW50" s="4"/>
      <c r="MZX50" s="4"/>
      <c r="MZY50" s="4"/>
      <c r="MZZ50" s="4"/>
      <c r="NAA50" s="4"/>
      <c r="NAB50" s="4"/>
      <c r="NAC50" s="4"/>
      <c r="NAD50" s="4"/>
      <c r="NAE50" s="4"/>
      <c r="NAF50" s="4"/>
      <c r="NAG50" s="4"/>
      <c r="NAH50" s="4"/>
      <c r="NAI50" s="4"/>
      <c r="NAJ50" s="4"/>
      <c r="NAK50" s="4"/>
      <c r="NAL50" s="4"/>
      <c r="NAM50" s="4"/>
      <c r="NAN50" s="4"/>
      <c r="NAO50" s="4"/>
      <c r="NAP50" s="4"/>
      <c r="NAQ50" s="4"/>
      <c r="NAR50" s="4"/>
      <c r="NAS50" s="4"/>
      <c r="NAT50" s="4"/>
      <c r="NAU50" s="4"/>
      <c r="NAV50" s="4"/>
      <c r="NAW50" s="4"/>
      <c r="NAX50" s="4"/>
      <c r="NAY50" s="4"/>
      <c r="NAZ50" s="4"/>
      <c r="NBA50" s="4"/>
      <c r="NBB50" s="4"/>
      <c r="NBC50" s="4"/>
      <c r="NBD50" s="4"/>
      <c r="NBE50" s="4"/>
      <c r="NBF50" s="4"/>
      <c r="NBG50" s="4"/>
      <c r="NBH50" s="4"/>
      <c r="NBI50" s="4"/>
      <c r="NBJ50" s="4"/>
      <c r="NBK50" s="4"/>
      <c r="NBL50" s="4"/>
      <c r="NBM50" s="4"/>
      <c r="NBN50" s="4"/>
      <c r="NBO50" s="4"/>
      <c r="NBP50" s="4"/>
      <c r="NBQ50" s="4"/>
      <c r="NBR50" s="4"/>
      <c r="NBS50" s="4"/>
      <c r="NBT50" s="4"/>
      <c r="NBU50" s="4"/>
      <c r="NBV50" s="4"/>
      <c r="NBW50" s="4"/>
      <c r="NBX50" s="4"/>
      <c r="NBY50" s="4"/>
      <c r="NBZ50" s="4"/>
      <c r="NCA50" s="4"/>
      <c r="NCB50" s="4"/>
      <c r="NCC50" s="4"/>
      <c r="NCD50" s="4"/>
      <c r="NCE50" s="4"/>
      <c r="NCF50" s="4"/>
      <c r="NCG50" s="4"/>
      <c r="NCH50" s="4"/>
      <c r="NCI50" s="4"/>
      <c r="NCJ50" s="4"/>
      <c r="NCK50" s="4"/>
      <c r="NCL50" s="4"/>
      <c r="NCM50" s="4"/>
      <c r="NCN50" s="4"/>
      <c r="NCO50" s="4"/>
      <c r="NCP50" s="4"/>
      <c r="NCQ50" s="4"/>
      <c r="NCR50" s="4"/>
      <c r="NCS50" s="4"/>
      <c r="NCT50" s="4"/>
      <c r="NCU50" s="4"/>
      <c r="NCV50" s="4"/>
      <c r="NCW50" s="4"/>
      <c r="NCX50" s="4"/>
      <c r="NCY50" s="4"/>
      <c r="NCZ50" s="4"/>
      <c r="NDA50" s="4"/>
      <c r="NDB50" s="4"/>
      <c r="NDC50" s="4"/>
      <c r="NDD50" s="4"/>
      <c r="NDE50" s="4"/>
      <c r="NDF50" s="4"/>
      <c r="NDG50" s="4"/>
      <c r="NDH50" s="4"/>
      <c r="NDI50" s="4"/>
      <c r="NDJ50" s="4"/>
      <c r="NDK50" s="4"/>
      <c r="NDL50" s="4"/>
      <c r="NDM50" s="4"/>
      <c r="NDN50" s="4"/>
      <c r="NDO50" s="4"/>
      <c r="NDP50" s="4"/>
      <c r="NDQ50" s="4"/>
      <c r="NDR50" s="4"/>
      <c r="NDS50" s="4"/>
      <c r="NDT50" s="4"/>
      <c r="NDU50" s="4"/>
      <c r="NDV50" s="4"/>
      <c r="NDW50" s="4"/>
      <c r="NDX50" s="4"/>
      <c r="NDY50" s="4"/>
      <c r="NDZ50" s="4"/>
      <c r="NEA50" s="4"/>
      <c r="NEB50" s="4"/>
      <c r="NEC50" s="4"/>
      <c r="NED50" s="4"/>
      <c r="NEE50" s="4"/>
      <c r="NEF50" s="4"/>
      <c r="NEG50" s="4"/>
      <c r="NEH50" s="4"/>
      <c r="NEI50" s="4"/>
      <c r="NEJ50" s="4"/>
      <c r="NEK50" s="4"/>
      <c r="NEL50" s="4"/>
      <c r="NEM50" s="4"/>
      <c r="NEN50" s="4"/>
      <c r="NEO50" s="4"/>
      <c r="NEP50" s="4"/>
      <c r="NEQ50" s="4"/>
      <c r="NER50" s="4"/>
      <c r="NES50" s="4"/>
      <c r="NET50" s="4"/>
      <c r="NEU50" s="4"/>
      <c r="NEV50" s="4"/>
      <c r="NEW50" s="4"/>
      <c r="NEX50" s="4"/>
      <c r="NEY50" s="4"/>
      <c r="NEZ50" s="4"/>
      <c r="NFA50" s="4"/>
      <c r="NFB50" s="4"/>
      <c r="NFC50" s="4"/>
      <c r="NFD50" s="4"/>
      <c r="NFE50" s="4"/>
      <c r="NFF50" s="4"/>
      <c r="NFG50" s="4"/>
      <c r="NFH50" s="4"/>
      <c r="NFI50" s="4"/>
      <c r="NFJ50" s="4"/>
      <c r="NFK50" s="4"/>
      <c r="NFL50" s="4"/>
      <c r="NFM50" s="4"/>
      <c r="NFN50" s="4"/>
      <c r="NFO50" s="4"/>
      <c r="NFP50" s="4"/>
      <c r="NFQ50" s="4"/>
      <c r="NFR50" s="4"/>
      <c r="NFS50" s="4"/>
      <c r="NFT50" s="4"/>
      <c r="NFU50" s="4"/>
      <c r="NFV50" s="4"/>
      <c r="NFW50" s="4"/>
      <c r="NFX50" s="4"/>
      <c r="NFY50" s="4"/>
      <c r="NFZ50" s="4"/>
      <c r="NGA50" s="4"/>
      <c r="NGB50" s="4"/>
      <c r="NGC50" s="4"/>
      <c r="NGD50" s="4"/>
      <c r="NGE50" s="4"/>
      <c r="NGF50" s="4"/>
      <c r="NGG50" s="4"/>
      <c r="NGH50" s="4"/>
      <c r="NGI50" s="4"/>
      <c r="NGJ50" s="4"/>
      <c r="NGK50" s="4"/>
      <c r="NGL50" s="4"/>
      <c r="NGM50" s="4"/>
      <c r="NGN50" s="4"/>
      <c r="NGO50" s="4"/>
      <c r="NGP50" s="4"/>
      <c r="NGQ50" s="4"/>
      <c r="NGR50" s="4"/>
      <c r="NGS50" s="4"/>
      <c r="NGT50" s="4"/>
      <c r="NGU50" s="4"/>
      <c r="NGV50" s="4"/>
      <c r="NGW50" s="4"/>
      <c r="NGX50" s="4"/>
      <c r="NGY50" s="4"/>
      <c r="NGZ50" s="4"/>
      <c r="NHA50" s="4"/>
      <c r="NHB50" s="4"/>
      <c r="NHC50" s="4"/>
      <c r="NHD50" s="4"/>
      <c r="NHE50" s="4"/>
      <c r="NHF50" s="4"/>
      <c r="NHG50" s="4"/>
      <c r="NHH50" s="4"/>
      <c r="NHI50" s="4"/>
      <c r="NHJ50" s="4"/>
      <c r="NHK50" s="4"/>
      <c r="NHL50" s="4"/>
      <c r="NHM50" s="4"/>
      <c r="NHN50" s="4"/>
      <c r="NHO50" s="4"/>
      <c r="NHP50" s="4"/>
      <c r="NHQ50" s="4"/>
      <c r="NHR50" s="4"/>
      <c r="NHS50" s="4"/>
      <c r="NHT50" s="4"/>
      <c r="NHU50" s="4"/>
      <c r="NHV50" s="4"/>
      <c r="NHW50" s="4"/>
      <c r="NHX50" s="4"/>
      <c r="NHY50" s="4"/>
      <c r="NHZ50" s="4"/>
      <c r="NIA50" s="4"/>
      <c r="NIB50" s="4"/>
      <c r="NIC50" s="4"/>
      <c r="NID50" s="4"/>
      <c r="NIE50" s="4"/>
      <c r="NIF50" s="4"/>
      <c r="NIG50" s="4"/>
      <c r="NIH50" s="4"/>
      <c r="NII50" s="4"/>
      <c r="NIJ50" s="4"/>
      <c r="NIK50" s="4"/>
      <c r="NIL50" s="4"/>
      <c r="NIM50" s="4"/>
      <c r="NIN50" s="4"/>
      <c r="NIO50" s="4"/>
      <c r="NIP50" s="4"/>
      <c r="NIQ50" s="4"/>
      <c r="NIR50" s="4"/>
      <c r="NIS50" s="4"/>
      <c r="NIT50" s="4"/>
      <c r="NIU50" s="4"/>
      <c r="NIV50" s="4"/>
      <c r="NIW50" s="4"/>
      <c r="NIX50" s="4"/>
      <c r="NIY50" s="4"/>
      <c r="NIZ50" s="4"/>
      <c r="NJA50" s="4"/>
      <c r="NJB50" s="4"/>
      <c r="NJC50" s="4"/>
      <c r="NJD50" s="4"/>
      <c r="NJE50" s="4"/>
      <c r="NJF50" s="4"/>
      <c r="NJG50" s="4"/>
      <c r="NJH50" s="4"/>
      <c r="NJI50" s="4"/>
      <c r="NJJ50" s="4"/>
      <c r="NJK50" s="4"/>
      <c r="NJL50" s="4"/>
      <c r="NJM50" s="4"/>
      <c r="NJN50" s="4"/>
      <c r="NJO50" s="4"/>
      <c r="NJP50" s="4"/>
      <c r="NJQ50" s="4"/>
      <c r="NJR50" s="4"/>
      <c r="NJS50" s="4"/>
      <c r="NJT50" s="4"/>
      <c r="NJU50" s="4"/>
      <c r="NJV50" s="4"/>
      <c r="NJW50" s="4"/>
      <c r="NJX50" s="4"/>
      <c r="NJY50" s="4"/>
      <c r="NJZ50" s="4"/>
      <c r="NKA50" s="4"/>
      <c r="NKB50" s="4"/>
      <c r="NKC50" s="4"/>
      <c r="NKD50" s="4"/>
      <c r="NKE50" s="4"/>
      <c r="NKF50" s="4"/>
      <c r="NKG50" s="4"/>
      <c r="NKH50" s="4"/>
      <c r="NKI50" s="4"/>
      <c r="NKJ50" s="4"/>
      <c r="NKK50" s="4"/>
      <c r="NKL50" s="4"/>
      <c r="NKM50" s="4"/>
      <c r="NKN50" s="4"/>
      <c r="NKO50" s="4"/>
      <c r="NKP50" s="4"/>
      <c r="NKQ50" s="4"/>
      <c r="NKR50" s="4"/>
      <c r="NKS50" s="4"/>
      <c r="NKT50" s="4"/>
      <c r="NKU50" s="4"/>
      <c r="NKV50" s="4"/>
      <c r="NKW50" s="4"/>
      <c r="NKX50" s="4"/>
      <c r="NKY50" s="4"/>
      <c r="NKZ50" s="4"/>
      <c r="NLA50" s="4"/>
      <c r="NLB50" s="4"/>
      <c r="NLC50" s="4"/>
      <c r="NLD50" s="4"/>
      <c r="NLE50" s="4"/>
      <c r="NLF50" s="4"/>
      <c r="NLG50" s="4"/>
      <c r="NLH50" s="4"/>
      <c r="NLI50" s="4"/>
      <c r="NLJ50" s="4"/>
      <c r="NLK50" s="4"/>
      <c r="NLL50" s="4"/>
      <c r="NLM50" s="4"/>
      <c r="NLN50" s="4"/>
      <c r="NLO50" s="4"/>
      <c r="NLP50" s="4"/>
      <c r="NLQ50" s="4"/>
      <c r="NLR50" s="4"/>
      <c r="NLS50" s="4"/>
      <c r="NLT50" s="4"/>
      <c r="NLU50" s="4"/>
      <c r="NLV50" s="4"/>
      <c r="NLW50" s="4"/>
      <c r="NLX50" s="4"/>
      <c r="NLY50" s="4"/>
      <c r="NLZ50" s="4"/>
      <c r="NMA50" s="4"/>
      <c r="NMB50" s="4"/>
      <c r="NMC50" s="4"/>
      <c r="NMD50" s="4"/>
      <c r="NME50" s="4"/>
      <c r="NMF50" s="4"/>
      <c r="NMG50" s="4"/>
      <c r="NMH50" s="4"/>
      <c r="NMI50" s="4"/>
      <c r="NMJ50" s="4"/>
      <c r="NMK50" s="4"/>
      <c r="NML50" s="4"/>
      <c r="NMM50" s="4"/>
      <c r="NMN50" s="4"/>
      <c r="NMO50" s="4"/>
      <c r="NMP50" s="4"/>
      <c r="NMQ50" s="4"/>
      <c r="NMR50" s="4"/>
      <c r="NMS50" s="4"/>
      <c r="NMT50" s="4"/>
      <c r="NMU50" s="4"/>
      <c r="NMV50" s="4"/>
      <c r="NMW50" s="4"/>
      <c r="NMX50" s="4"/>
      <c r="NMY50" s="4"/>
      <c r="NMZ50" s="4"/>
      <c r="NNA50" s="4"/>
      <c r="NNB50" s="4"/>
      <c r="NNC50" s="4"/>
      <c r="NND50" s="4"/>
      <c r="NNE50" s="4"/>
      <c r="NNF50" s="4"/>
      <c r="NNG50" s="4"/>
      <c r="NNH50" s="4"/>
      <c r="NNI50" s="4"/>
      <c r="NNJ50" s="4"/>
      <c r="NNK50" s="4"/>
      <c r="NNL50" s="4"/>
      <c r="NNM50" s="4"/>
      <c r="NNN50" s="4"/>
      <c r="NNO50" s="4"/>
      <c r="NNP50" s="4"/>
      <c r="NNQ50" s="4"/>
      <c r="NNR50" s="4"/>
      <c r="NNS50" s="4"/>
      <c r="NNT50" s="4"/>
      <c r="NNU50" s="4"/>
      <c r="NNV50" s="4"/>
      <c r="NNW50" s="4"/>
      <c r="NNX50" s="4"/>
      <c r="NNY50" s="4"/>
      <c r="NNZ50" s="4"/>
      <c r="NOA50" s="4"/>
      <c r="NOB50" s="4"/>
      <c r="NOC50" s="4"/>
      <c r="NOD50" s="4"/>
      <c r="NOE50" s="4"/>
      <c r="NOF50" s="4"/>
      <c r="NOG50" s="4"/>
      <c r="NOH50" s="4"/>
      <c r="NOI50" s="4"/>
      <c r="NOJ50" s="4"/>
      <c r="NOK50" s="4"/>
      <c r="NOL50" s="4"/>
      <c r="NOM50" s="4"/>
      <c r="NON50" s="4"/>
      <c r="NOO50" s="4"/>
      <c r="NOP50" s="4"/>
      <c r="NOQ50" s="4"/>
      <c r="NOR50" s="4"/>
      <c r="NOS50" s="4"/>
      <c r="NOT50" s="4"/>
      <c r="NOU50" s="4"/>
      <c r="NOV50" s="4"/>
      <c r="NOW50" s="4"/>
      <c r="NOX50" s="4"/>
      <c r="NOY50" s="4"/>
      <c r="NOZ50" s="4"/>
      <c r="NPA50" s="4"/>
      <c r="NPB50" s="4"/>
      <c r="NPC50" s="4"/>
      <c r="NPD50" s="4"/>
      <c r="NPE50" s="4"/>
      <c r="NPF50" s="4"/>
      <c r="NPG50" s="4"/>
      <c r="NPH50" s="4"/>
      <c r="NPI50" s="4"/>
      <c r="NPJ50" s="4"/>
      <c r="NPK50" s="4"/>
      <c r="NPL50" s="4"/>
      <c r="NPM50" s="4"/>
      <c r="NPN50" s="4"/>
      <c r="NPO50" s="4"/>
      <c r="NPP50" s="4"/>
      <c r="NPQ50" s="4"/>
      <c r="NPR50" s="4"/>
      <c r="NPS50" s="4"/>
      <c r="NPT50" s="4"/>
      <c r="NPU50" s="4"/>
      <c r="NPV50" s="4"/>
      <c r="NPW50" s="4"/>
      <c r="NPX50" s="4"/>
      <c r="NPY50" s="4"/>
      <c r="NPZ50" s="4"/>
      <c r="NQA50" s="4"/>
      <c r="NQB50" s="4"/>
      <c r="NQC50" s="4"/>
      <c r="NQD50" s="4"/>
      <c r="NQE50" s="4"/>
      <c r="NQF50" s="4"/>
      <c r="NQG50" s="4"/>
      <c r="NQH50" s="4"/>
      <c r="NQI50" s="4"/>
      <c r="NQJ50" s="4"/>
      <c r="NQK50" s="4"/>
      <c r="NQL50" s="4"/>
      <c r="NQM50" s="4"/>
      <c r="NQN50" s="4"/>
      <c r="NQO50" s="4"/>
      <c r="NQP50" s="4"/>
      <c r="NQQ50" s="4"/>
      <c r="NQR50" s="4"/>
      <c r="NQS50" s="4"/>
      <c r="NQT50" s="4"/>
      <c r="NQU50" s="4"/>
      <c r="NQV50" s="4"/>
      <c r="NQW50" s="4"/>
      <c r="NQX50" s="4"/>
      <c r="NQY50" s="4"/>
      <c r="NQZ50" s="4"/>
      <c r="NRA50" s="4"/>
      <c r="NRB50" s="4"/>
      <c r="NRC50" s="4"/>
      <c r="NRD50" s="4"/>
      <c r="NRE50" s="4"/>
      <c r="NRF50" s="4"/>
      <c r="NRG50" s="4"/>
      <c r="NRH50" s="4"/>
      <c r="NRI50" s="4"/>
      <c r="NRJ50" s="4"/>
      <c r="NRK50" s="4"/>
      <c r="NRL50" s="4"/>
      <c r="NRM50" s="4"/>
      <c r="NRN50" s="4"/>
      <c r="NRO50" s="4"/>
      <c r="NRP50" s="4"/>
      <c r="NRQ50" s="4"/>
      <c r="NRR50" s="4"/>
      <c r="NRS50" s="4"/>
      <c r="NRT50" s="4"/>
      <c r="NRU50" s="4"/>
      <c r="NRV50" s="4"/>
      <c r="NRW50" s="4"/>
      <c r="NRX50" s="4"/>
      <c r="NRY50" s="4"/>
      <c r="NRZ50" s="4"/>
      <c r="NSA50" s="4"/>
      <c r="NSB50" s="4"/>
      <c r="NSC50" s="4"/>
      <c r="NSD50" s="4"/>
      <c r="NSE50" s="4"/>
      <c r="NSF50" s="4"/>
      <c r="NSG50" s="4"/>
      <c r="NSH50" s="4"/>
      <c r="NSI50" s="4"/>
      <c r="NSJ50" s="4"/>
      <c r="NSK50" s="4"/>
      <c r="NSL50" s="4"/>
      <c r="NSM50" s="4"/>
      <c r="NSN50" s="4"/>
      <c r="NSO50" s="4"/>
      <c r="NSP50" s="4"/>
      <c r="NSQ50" s="4"/>
      <c r="NSR50" s="4"/>
      <c r="NSS50" s="4"/>
      <c r="NST50" s="4"/>
      <c r="NSU50" s="4"/>
      <c r="NSV50" s="4"/>
      <c r="NSW50" s="4"/>
      <c r="NSX50" s="4"/>
      <c r="NSY50" s="4"/>
      <c r="NSZ50" s="4"/>
      <c r="NTA50" s="4"/>
      <c r="NTB50" s="4"/>
      <c r="NTC50" s="4"/>
      <c r="NTD50" s="4"/>
      <c r="NTE50" s="4"/>
      <c r="NTF50" s="4"/>
      <c r="NTG50" s="4"/>
      <c r="NTH50" s="4"/>
      <c r="NTI50" s="4"/>
      <c r="NTJ50" s="4"/>
      <c r="NTK50" s="4"/>
      <c r="NTL50" s="4"/>
      <c r="NTM50" s="4"/>
      <c r="NTN50" s="4"/>
      <c r="NTO50" s="4"/>
      <c r="NTP50" s="4"/>
      <c r="NTQ50" s="4"/>
      <c r="NTR50" s="4"/>
      <c r="NTS50" s="4"/>
      <c r="NTT50" s="4"/>
      <c r="NTU50" s="4"/>
      <c r="NTV50" s="4"/>
      <c r="NTW50" s="4"/>
      <c r="NTX50" s="4"/>
      <c r="NTY50" s="4"/>
      <c r="NTZ50" s="4"/>
      <c r="NUA50" s="4"/>
      <c r="NUB50" s="4"/>
      <c r="NUC50" s="4"/>
      <c r="NUD50" s="4"/>
      <c r="NUE50" s="4"/>
      <c r="NUF50" s="4"/>
      <c r="NUG50" s="4"/>
      <c r="NUH50" s="4"/>
      <c r="NUI50" s="4"/>
      <c r="NUJ50" s="4"/>
      <c r="NUK50" s="4"/>
      <c r="NUL50" s="4"/>
      <c r="NUM50" s="4"/>
      <c r="NUN50" s="4"/>
      <c r="NUO50" s="4"/>
      <c r="NUP50" s="4"/>
      <c r="NUQ50" s="4"/>
      <c r="NUR50" s="4"/>
      <c r="NUS50" s="4"/>
      <c r="NUT50" s="4"/>
      <c r="NUU50" s="4"/>
      <c r="NUV50" s="4"/>
      <c r="NUW50" s="4"/>
      <c r="NUX50" s="4"/>
      <c r="NUY50" s="4"/>
      <c r="NUZ50" s="4"/>
      <c r="NVA50" s="4"/>
      <c r="NVB50" s="4"/>
      <c r="NVC50" s="4"/>
      <c r="NVD50" s="4"/>
      <c r="NVE50" s="4"/>
      <c r="NVF50" s="4"/>
      <c r="NVG50" s="4"/>
      <c r="NVH50" s="4"/>
      <c r="NVI50" s="4"/>
      <c r="NVJ50" s="4"/>
      <c r="NVK50" s="4"/>
      <c r="NVL50" s="4"/>
      <c r="NVM50" s="4"/>
      <c r="NVN50" s="4"/>
      <c r="NVO50" s="4"/>
      <c r="NVP50" s="4"/>
      <c r="NVQ50" s="4"/>
      <c r="NVR50" s="4"/>
      <c r="NVS50" s="4"/>
      <c r="NVT50" s="4"/>
      <c r="NVU50" s="4"/>
      <c r="NVV50" s="4"/>
      <c r="NVW50" s="4"/>
      <c r="NVX50" s="4"/>
      <c r="NVY50" s="4"/>
      <c r="NVZ50" s="4"/>
      <c r="NWA50" s="4"/>
      <c r="NWB50" s="4"/>
      <c r="NWC50" s="4"/>
      <c r="NWD50" s="4"/>
      <c r="NWE50" s="4"/>
      <c r="NWF50" s="4"/>
      <c r="NWG50" s="4"/>
      <c r="NWH50" s="4"/>
      <c r="NWI50" s="4"/>
      <c r="NWJ50" s="4"/>
      <c r="NWK50" s="4"/>
      <c r="NWL50" s="4"/>
      <c r="NWM50" s="4"/>
      <c r="NWN50" s="4"/>
      <c r="NWO50" s="4"/>
      <c r="NWP50" s="4"/>
      <c r="NWQ50" s="4"/>
      <c r="NWR50" s="4"/>
      <c r="NWS50" s="4"/>
      <c r="NWT50" s="4"/>
      <c r="NWU50" s="4"/>
      <c r="NWV50" s="4"/>
      <c r="NWW50" s="4"/>
      <c r="NWX50" s="4"/>
      <c r="NWY50" s="4"/>
      <c r="NWZ50" s="4"/>
      <c r="NXA50" s="4"/>
      <c r="NXB50" s="4"/>
      <c r="NXC50" s="4"/>
      <c r="NXD50" s="4"/>
      <c r="NXE50" s="4"/>
      <c r="NXF50" s="4"/>
      <c r="NXG50" s="4"/>
      <c r="NXH50" s="4"/>
      <c r="NXI50" s="4"/>
      <c r="NXJ50" s="4"/>
      <c r="NXK50" s="4"/>
      <c r="NXL50" s="4"/>
      <c r="NXM50" s="4"/>
      <c r="NXN50" s="4"/>
      <c r="NXO50" s="4"/>
      <c r="NXP50" s="4"/>
      <c r="NXQ50" s="4"/>
      <c r="NXR50" s="4"/>
      <c r="NXS50" s="4"/>
      <c r="NXT50" s="4"/>
      <c r="NXU50" s="4"/>
      <c r="NXV50" s="4"/>
      <c r="NXW50" s="4"/>
      <c r="NXX50" s="4"/>
      <c r="NXY50" s="4"/>
      <c r="NXZ50" s="4"/>
      <c r="NYA50" s="4"/>
      <c r="NYB50" s="4"/>
      <c r="NYC50" s="4"/>
      <c r="NYD50" s="4"/>
      <c r="NYE50" s="4"/>
      <c r="NYF50" s="4"/>
      <c r="NYG50" s="4"/>
      <c r="NYH50" s="4"/>
      <c r="NYI50" s="4"/>
      <c r="NYJ50" s="4"/>
      <c r="NYK50" s="4"/>
      <c r="NYL50" s="4"/>
      <c r="NYM50" s="4"/>
      <c r="NYN50" s="4"/>
      <c r="NYO50" s="4"/>
      <c r="NYP50" s="4"/>
      <c r="NYQ50" s="4"/>
      <c r="NYR50" s="4"/>
      <c r="NYS50" s="4"/>
      <c r="NYT50" s="4"/>
      <c r="NYU50" s="4"/>
      <c r="NYV50" s="4"/>
      <c r="NYW50" s="4"/>
      <c r="NYX50" s="4"/>
      <c r="NYY50" s="4"/>
      <c r="NYZ50" s="4"/>
      <c r="NZA50" s="4"/>
      <c r="NZB50" s="4"/>
      <c r="NZC50" s="4"/>
      <c r="NZD50" s="4"/>
      <c r="NZE50" s="4"/>
      <c r="NZF50" s="4"/>
      <c r="NZG50" s="4"/>
      <c r="NZH50" s="4"/>
      <c r="NZI50" s="4"/>
      <c r="NZJ50" s="4"/>
      <c r="NZK50" s="4"/>
      <c r="NZL50" s="4"/>
      <c r="NZM50" s="4"/>
      <c r="NZN50" s="4"/>
      <c r="NZO50" s="4"/>
      <c r="NZP50" s="4"/>
      <c r="NZQ50" s="4"/>
      <c r="NZR50" s="4"/>
      <c r="NZS50" s="4"/>
      <c r="NZT50" s="4"/>
      <c r="NZU50" s="4"/>
      <c r="NZV50" s="4"/>
      <c r="NZW50" s="4"/>
      <c r="NZX50" s="4"/>
      <c r="NZY50" s="4"/>
      <c r="NZZ50" s="4"/>
      <c r="OAA50" s="4"/>
      <c r="OAB50" s="4"/>
      <c r="OAC50" s="4"/>
      <c r="OAD50" s="4"/>
      <c r="OAE50" s="4"/>
      <c r="OAF50" s="4"/>
      <c r="OAG50" s="4"/>
      <c r="OAH50" s="4"/>
      <c r="OAI50" s="4"/>
      <c r="OAJ50" s="4"/>
      <c r="OAK50" s="4"/>
      <c r="OAL50" s="4"/>
      <c r="OAM50" s="4"/>
      <c r="OAN50" s="4"/>
      <c r="OAO50" s="4"/>
      <c r="OAP50" s="4"/>
      <c r="OAQ50" s="4"/>
      <c r="OAR50" s="4"/>
      <c r="OAS50" s="4"/>
      <c r="OAT50" s="4"/>
      <c r="OAU50" s="4"/>
      <c r="OAV50" s="4"/>
      <c r="OAW50" s="4"/>
      <c r="OAX50" s="4"/>
      <c r="OAY50" s="4"/>
      <c r="OAZ50" s="4"/>
      <c r="OBA50" s="4"/>
      <c r="OBB50" s="4"/>
      <c r="OBC50" s="4"/>
      <c r="OBD50" s="4"/>
      <c r="OBE50" s="4"/>
      <c r="OBF50" s="4"/>
      <c r="OBG50" s="4"/>
      <c r="OBH50" s="4"/>
      <c r="OBI50" s="4"/>
      <c r="OBJ50" s="4"/>
      <c r="OBK50" s="4"/>
      <c r="OBL50" s="4"/>
      <c r="OBM50" s="4"/>
      <c r="OBN50" s="4"/>
      <c r="OBO50" s="4"/>
      <c r="OBP50" s="4"/>
      <c r="OBQ50" s="4"/>
      <c r="OBR50" s="4"/>
      <c r="OBS50" s="4"/>
      <c r="OBT50" s="4"/>
      <c r="OBU50" s="4"/>
      <c r="OBV50" s="4"/>
      <c r="OBW50" s="4"/>
      <c r="OBX50" s="4"/>
      <c r="OBY50" s="4"/>
      <c r="OBZ50" s="4"/>
      <c r="OCA50" s="4"/>
      <c r="OCB50" s="4"/>
      <c r="OCC50" s="4"/>
      <c r="OCD50" s="4"/>
      <c r="OCE50" s="4"/>
      <c r="OCF50" s="4"/>
      <c r="OCG50" s="4"/>
      <c r="OCH50" s="4"/>
      <c r="OCI50" s="4"/>
      <c r="OCJ50" s="4"/>
      <c r="OCK50" s="4"/>
      <c r="OCL50" s="4"/>
      <c r="OCM50" s="4"/>
      <c r="OCN50" s="4"/>
      <c r="OCO50" s="4"/>
      <c r="OCP50" s="4"/>
      <c r="OCQ50" s="4"/>
      <c r="OCR50" s="4"/>
      <c r="OCS50" s="4"/>
      <c r="OCT50" s="4"/>
      <c r="OCU50" s="4"/>
      <c r="OCV50" s="4"/>
      <c r="OCW50" s="4"/>
      <c r="OCX50" s="4"/>
      <c r="OCY50" s="4"/>
      <c r="OCZ50" s="4"/>
      <c r="ODA50" s="4"/>
      <c r="ODB50" s="4"/>
      <c r="ODC50" s="4"/>
      <c r="ODD50" s="4"/>
      <c r="ODE50" s="4"/>
      <c r="ODF50" s="4"/>
      <c r="ODG50" s="4"/>
      <c r="ODH50" s="4"/>
      <c r="ODI50" s="4"/>
      <c r="ODJ50" s="4"/>
      <c r="ODK50" s="4"/>
      <c r="ODL50" s="4"/>
      <c r="ODM50" s="4"/>
      <c r="ODN50" s="4"/>
      <c r="ODO50" s="4"/>
      <c r="ODP50" s="4"/>
      <c r="ODQ50" s="4"/>
      <c r="ODR50" s="4"/>
      <c r="ODS50" s="4"/>
      <c r="ODT50" s="4"/>
      <c r="ODU50" s="4"/>
      <c r="ODV50" s="4"/>
      <c r="ODW50" s="4"/>
      <c r="ODX50" s="4"/>
      <c r="ODY50" s="4"/>
      <c r="ODZ50" s="4"/>
      <c r="OEA50" s="4"/>
      <c r="OEB50" s="4"/>
      <c r="OEC50" s="4"/>
      <c r="OED50" s="4"/>
      <c r="OEE50" s="4"/>
      <c r="OEF50" s="4"/>
      <c r="OEG50" s="4"/>
      <c r="OEH50" s="4"/>
      <c r="OEI50" s="4"/>
      <c r="OEJ50" s="4"/>
      <c r="OEK50" s="4"/>
      <c r="OEL50" s="4"/>
      <c r="OEM50" s="4"/>
      <c r="OEN50" s="4"/>
      <c r="OEO50" s="4"/>
      <c r="OEP50" s="4"/>
      <c r="OEQ50" s="4"/>
      <c r="OER50" s="4"/>
      <c r="OES50" s="4"/>
      <c r="OET50" s="4"/>
      <c r="OEU50" s="4"/>
      <c r="OEV50" s="4"/>
      <c r="OEW50" s="4"/>
      <c r="OEX50" s="4"/>
      <c r="OEY50" s="4"/>
      <c r="OEZ50" s="4"/>
      <c r="OFA50" s="4"/>
      <c r="OFB50" s="4"/>
      <c r="OFC50" s="4"/>
      <c r="OFD50" s="4"/>
      <c r="OFE50" s="4"/>
      <c r="OFF50" s="4"/>
      <c r="OFG50" s="4"/>
      <c r="OFH50" s="4"/>
      <c r="OFI50" s="4"/>
      <c r="OFJ50" s="4"/>
      <c r="OFK50" s="4"/>
      <c r="OFL50" s="4"/>
      <c r="OFM50" s="4"/>
      <c r="OFN50" s="4"/>
      <c r="OFO50" s="4"/>
      <c r="OFP50" s="4"/>
      <c r="OFQ50" s="4"/>
      <c r="OFR50" s="4"/>
      <c r="OFS50" s="4"/>
      <c r="OFT50" s="4"/>
      <c r="OFU50" s="4"/>
      <c r="OFV50" s="4"/>
      <c r="OFW50" s="4"/>
      <c r="OFX50" s="4"/>
      <c r="OFY50" s="4"/>
      <c r="OFZ50" s="4"/>
      <c r="OGA50" s="4"/>
      <c r="OGB50" s="4"/>
      <c r="OGC50" s="4"/>
      <c r="OGD50" s="4"/>
      <c r="OGE50" s="4"/>
      <c r="OGF50" s="4"/>
      <c r="OGG50" s="4"/>
      <c r="OGH50" s="4"/>
      <c r="OGI50" s="4"/>
      <c r="OGJ50" s="4"/>
      <c r="OGK50" s="4"/>
      <c r="OGL50" s="4"/>
      <c r="OGM50" s="4"/>
      <c r="OGN50" s="4"/>
      <c r="OGO50" s="4"/>
      <c r="OGP50" s="4"/>
      <c r="OGQ50" s="4"/>
      <c r="OGR50" s="4"/>
      <c r="OGS50" s="4"/>
      <c r="OGT50" s="4"/>
      <c r="OGU50" s="4"/>
      <c r="OGV50" s="4"/>
      <c r="OGW50" s="4"/>
      <c r="OGX50" s="4"/>
      <c r="OGY50" s="4"/>
      <c r="OGZ50" s="4"/>
      <c r="OHA50" s="4"/>
      <c r="OHB50" s="4"/>
      <c r="OHC50" s="4"/>
      <c r="OHD50" s="4"/>
      <c r="OHE50" s="4"/>
      <c r="OHF50" s="4"/>
      <c r="OHG50" s="4"/>
      <c r="OHH50" s="4"/>
      <c r="OHI50" s="4"/>
      <c r="OHJ50" s="4"/>
      <c r="OHK50" s="4"/>
      <c r="OHL50" s="4"/>
      <c r="OHM50" s="4"/>
      <c r="OHN50" s="4"/>
      <c r="OHO50" s="4"/>
      <c r="OHP50" s="4"/>
      <c r="OHQ50" s="4"/>
      <c r="OHR50" s="4"/>
      <c r="OHS50" s="4"/>
      <c r="OHT50" s="4"/>
      <c r="OHU50" s="4"/>
      <c r="OHV50" s="4"/>
      <c r="OHW50" s="4"/>
      <c r="OHX50" s="4"/>
      <c r="OHY50" s="4"/>
      <c r="OHZ50" s="4"/>
      <c r="OIA50" s="4"/>
      <c r="OIB50" s="4"/>
      <c r="OIC50" s="4"/>
      <c r="OID50" s="4"/>
      <c r="OIE50" s="4"/>
      <c r="OIF50" s="4"/>
      <c r="OIG50" s="4"/>
      <c r="OIH50" s="4"/>
      <c r="OII50" s="4"/>
      <c r="OIJ50" s="4"/>
      <c r="OIK50" s="4"/>
      <c r="OIL50" s="4"/>
      <c r="OIM50" s="4"/>
      <c r="OIN50" s="4"/>
      <c r="OIO50" s="4"/>
      <c r="OIP50" s="4"/>
      <c r="OIQ50" s="4"/>
      <c r="OIR50" s="4"/>
      <c r="OIS50" s="4"/>
      <c r="OIT50" s="4"/>
      <c r="OIU50" s="4"/>
      <c r="OIV50" s="4"/>
      <c r="OIW50" s="4"/>
      <c r="OIX50" s="4"/>
      <c r="OIY50" s="4"/>
      <c r="OIZ50" s="4"/>
      <c r="OJA50" s="4"/>
      <c r="OJB50" s="4"/>
      <c r="OJC50" s="4"/>
      <c r="OJD50" s="4"/>
      <c r="OJE50" s="4"/>
      <c r="OJF50" s="4"/>
      <c r="OJG50" s="4"/>
      <c r="OJH50" s="4"/>
      <c r="OJI50" s="4"/>
      <c r="OJJ50" s="4"/>
      <c r="OJK50" s="4"/>
      <c r="OJL50" s="4"/>
      <c r="OJM50" s="4"/>
      <c r="OJN50" s="4"/>
      <c r="OJO50" s="4"/>
      <c r="OJP50" s="4"/>
      <c r="OJQ50" s="4"/>
      <c r="OJR50" s="4"/>
      <c r="OJS50" s="4"/>
      <c r="OJT50" s="4"/>
      <c r="OJU50" s="4"/>
      <c r="OJV50" s="4"/>
      <c r="OJW50" s="4"/>
      <c r="OJX50" s="4"/>
      <c r="OJY50" s="4"/>
      <c r="OJZ50" s="4"/>
      <c r="OKA50" s="4"/>
      <c r="OKB50" s="4"/>
      <c r="OKC50" s="4"/>
      <c r="OKD50" s="4"/>
      <c r="OKE50" s="4"/>
      <c r="OKF50" s="4"/>
      <c r="OKG50" s="4"/>
      <c r="OKH50" s="4"/>
      <c r="OKI50" s="4"/>
      <c r="OKJ50" s="4"/>
      <c r="OKK50" s="4"/>
      <c r="OKL50" s="4"/>
      <c r="OKM50" s="4"/>
      <c r="OKN50" s="4"/>
      <c r="OKO50" s="4"/>
      <c r="OKP50" s="4"/>
      <c r="OKQ50" s="4"/>
      <c r="OKR50" s="4"/>
      <c r="OKS50" s="4"/>
      <c r="OKT50" s="4"/>
      <c r="OKU50" s="4"/>
      <c r="OKV50" s="4"/>
      <c r="OKW50" s="4"/>
      <c r="OKX50" s="4"/>
      <c r="OKY50" s="4"/>
      <c r="OKZ50" s="4"/>
      <c r="OLA50" s="4"/>
      <c r="OLB50" s="4"/>
      <c r="OLC50" s="4"/>
      <c r="OLD50" s="4"/>
      <c r="OLE50" s="4"/>
      <c r="OLF50" s="4"/>
      <c r="OLG50" s="4"/>
      <c r="OLH50" s="4"/>
      <c r="OLI50" s="4"/>
      <c r="OLJ50" s="4"/>
      <c r="OLK50" s="4"/>
      <c r="OLL50" s="4"/>
      <c r="OLM50" s="4"/>
      <c r="OLN50" s="4"/>
      <c r="OLO50" s="4"/>
      <c r="OLP50" s="4"/>
      <c r="OLQ50" s="4"/>
      <c r="OLR50" s="4"/>
      <c r="OLS50" s="4"/>
      <c r="OLT50" s="4"/>
      <c r="OLU50" s="4"/>
      <c r="OLV50" s="4"/>
      <c r="OLW50" s="4"/>
      <c r="OLX50" s="4"/>
      <c r="OLY50" s="4"/>
      <c r="OLZ50" s="4"/>
      <c r="OMA50" s="4"/>
      <c r="OMB50" s="4"/>
      <c r="OMC50" s="4"/>
      <c r="OMD50" s="4"/>
      <c r="OME50" s="4"/>
      <c r="OMF50" s="4"/>
      <c r="OMG50" s="4"/>
      <c r="OMH50" s="4"/>
      <c r="OMI50" s="4"/>
      <c r="OMJ50" s="4"/>
      <c r="OMK50" s="4"/>
      <c r="OML50" s="4"/>
      <c r="OMM50" s="4"/>
      <c r="OMN50" s="4"/>
      <c r="OMO50" s="4"/>
      <c r="OMP50" s="4"/>
      <c r="OMQ50" s="4"/>
      <c r="OMR50" s="4"/>
      <c r="OMS50" s="4"/>
      <c r="OMT50" s="4"/>
      <c r="OMU50" s="4"/>
      <c r="OMV50" s="4"/>
      <c r="OMW50" s="4"/>
      <c r="OMX50" s="4"/>
      <c r="OMY50" s="4"/>
      <c r="OMZ50" s="4"/>
      <c r="ONA50" s="4"/>
      <c r="ONB50" s="4"/>
      <c r="ONC50" s="4"/>
      <c r="OND50" s="4"/>
      <c r="ONE50" s="4"/>
      <c r="ONF50" s="4"/>
      <c r="ONG50" s="4"/>
      <c r="ONH50" s="4"/>
      <c r="ONI50" s="4"/>
      <c r="ONJ50" s="4"/>
      <c r="ONK50" s="4"/>
      <c r="ONL50" s="4"/>
      <c r="ONM50" s="4"/>
      <c r="ONN50" s="4"/>
      <c r="ONO50" s="4"/>
      <c r="ONP50" s="4"/>
      <c r="ONQ50" s="4"/>
      <c r="ONR50" s="4"/>
      <c r="ONS50" s="4"/>
      <c r="ONT50" s="4"/>
      <c r="ONU50" s="4"/>
      <c r="ONV50" s="4"/>
      <c r="ONW50" s="4"/>
      <c r="ONX50" s="4"/>
      <c r="ONY50" s="4"/>
      <c r="ONZ50" s="4"/>
      <c r="OOA50" s="4"/>
      <c r="OOB50" s="4"/>
      <c r="OOC50" s="4"/>
      <c r="OOD50" s="4"/>
      <c r="OOE50" s="4"/>
      <c r="OOF50" s="4"/>
      <c r="OOG50" s="4"/>
      <c r="OOH50" s="4"/>
      <c r="OOI50" s="4"/>
      <c r="OOJ50" s="4"/>
      <c r="OOK50" s="4"/>
      <c r="OOL50" s="4"/>
      <c r="OOM50" s="4"/>
      <c r="OON50" s="4"/>
      <c r="OOO50" s="4"/>
      <c r="OOP50" s="4"/>
      <c r="OOQ50" s="4"/>
      <c r="OOR50" s="4"/>
      <c r="OOS50" s="4"/>
      <c r="OOT50" s="4"/>
      <c r="OOU50" s="4"/>
      <c r="OOV50" s="4"/>
      <c r="OOW50" s="4"/>
      <c r="OOX50" s="4"/>
      <c r="OOY50" s="4"/>
      <c r="OOZ50" s="4"/>
      <c r="OPA50" s="4"/>
      <c r="OPB50" s="4"/>
      <c r="OPC50" s="4"/>
      <c r="OPD50" s="4"/>
      <c r="OPE50" s="4"/>
      <c r="OPF50" s="4"/>
      <c r="OPG50" s="4"/>
      <c r="OPH50" s="4"/>
      <c r="OPI50" s="4"/>
      <c r="OPJ50" s="4"/>
      <c r="OPK50" s="4"/>
      <c r="OPL50" s="4"/>
      <c r="OPM50" s="4"/>
      <c r="OPN50" s="4"/>
      <c r="OPO50" s="4"/>
      <c r="OPP50" s="4"/>
      <c r="OPQ50" s="4"/>
      <c r="OPR50" s="4"/>
      <c r="OPS50" s="4"/>
      <c r="OPT50" s="4"/>
      <c r="OPU50" s="4"/>
      <c r="OPV50" s="4"/>
      <c r="OPW50" s="4"/>
      <c r="OPX50" s="4"/>
      <c r="OPY50" s="4"/>
      <c r="OPZ50" s="4"/>
      <c r="OQA50" s="4"/>
      <c r="OQB50" s="4"/>
      <c r="OQC50" s="4"/>
      <c r="OQD50" s="4"/>
      <c r="OQE50" s="4"/>
      <c r="OQF50" s="4"/>
      <c r="OQG50" s="4"/>
      <c r="OQH50" s="4"/>
      <c r="OQI50" s="4"/>
      <c r="OQJ50" s="4"/>
      <c r="OQK50" s="4"/>
      <c r="OQL50" s="4"/>
      <c r="OQM50" s="4"/>
      <c r="OQN50" s="4"/>
      <c r="OQO50" s="4"/>
      <c r="OQP50" s="4"/>
      <c r="OQQ50" s="4"/>
      <c r="OQR50" s="4"/>
      <c r="OQS50" s="4"/>
      <c r="OQT50" s="4"/>
      <c r="OQU50" s="4"/>
      <c r="OQV50" s="4"/>
      <c r="OQW50" s="4"/>
      <c r="OQX50" s="4"/>
      <c r="OQY50" s="4"/>
      <c r="OQZ50" s="4"/>
      <c r="ORA50" s="4"/>
      <c r="ORB50" s="4"/>
      <c r="ORC50" s="4"/>
      <c r="ORD50" s="4"/>
      <c r="ORE50" s="4"/>
      <c r="ORF50" s="4"/>
      <c r="ORG50" s="4"/>
      <c r="ORH50" s="4"/>
      <c r="ORI50" s="4"/>
      <c r="ORJ50" s="4"/>
      <c r="ORK50" s="4"/>
      <c r="ORL50" s="4"/>
      <c r="ORM50" s="4"/>
      <c r="ORN50" s="4"/>
      <c r="ORO50" s="4"/>
      <c r="ORP50" s="4"/>
      <c r="ORQ50" s="4"/>
      <c r="ORR50" s="4"/>
      <c r="ORS50" s="4"/>
      <c r="ORT50" s="4"/>
      <c r="ORU50" s="4"/>
      <c r="ORV50" s="4"/>
      <c r="ORW50" s="4"/>
      <c r="ORX50" s="4"/>
      <c r="ORY50" s="4"/>
      <c r="ORZ50" s="4"/>
      <c r="OSA50" s="4"/>
      <c r="OSB50" s="4"/>
      <c r="OSC50" s="4"/>
      <c r="OSD50" s="4"/>
      <c r="OSE50" s="4"/>
      <c r="OSF50" s="4"/>
      <c r="OSG50" s="4"/>
      <c r="OSH50" s="4"/>
      <c r="OSI50" s="4"/>
      <c r="OSJ50" s="4"/>
      <c r="OSK50" s="4"/>
      <c r="OSL50" s="4"/>
      <c r="OSM50" s="4"/>
      <c r="OSN50" s="4"/>
      <c r="OSO50" s="4"/>
      <c r="OSP50" s="4"/>
      <c r="OSQ50" s="4"/>
      <c r="OSR50" s="4"/>
      <c r="OSS50" s="4"/>
      <c r="OST50" s="4"/>
      <c r="OSU50" s="4"/>
      <c r="OSV50" s="4"/>
      <c r="OSW50" s="4"/>
      <c r="OSX50" s="4"/>
      <c r="OSY50" s="4"/>
      <c r="OSZ50" s="4"/>
      <c r="OTA50" s="4"/>
      <c r="OTB50" s="4"/>
      <c r="OTC50" s="4"/>
      <c r="OTD50" s="4"/>
      <c r="OTE50" s="4"/>
      <c r="OTF50" s="4"/>
      <c r="OTG50" s="4"/>
      <c r="OTH50" s="4"/>
      <c r="OTI50" s="4"/>
      <c r="OTJ50" s="4"/>
      <c r="OTK50" s="4"/>
      <c r="OTL50" s="4"/>
      <c r="OTM50" s="4"/>
      <c r="OTN50" s="4"/>
      <c r="OTO50" s="4"/>
      <c r="OTP50" s="4"/>
      <c r="OTQ50" s="4"/>
      <c r="OTR50" s="4"/>
      <c r="OTS50" s="4"/>
      <c r="OTT50" s="4"/>
      <c r="OTU50" s="4"/>
      <c r="OTV50" s="4"/>
      <c r="OTW50" s="4"/>
      <c r="OTX50" s="4"/>
      <c r="OTY50" s="4"/>
      <c r="OTZ50" s="4"/>
      <c r="OUA50" s="4"/>
      <c r="OUB50" s="4"/>
      <c r="OUC50" s="4"/>
      <c r="OUD50" s="4"/>
      <c r="OUE50" s="4"/>
      <c r="OUF50" s="4"/>
      <c r="OUG50" s="4"/>
      <c r="OUH50" s="4"/>
      <c r="OUI50" s="4"/>
      <c r="OUJ50" s="4"/>
      <c r="OUK50" s="4"/>
      <c r="OUL50" s="4"/>
      <c r="OUM50" s="4"/>
      <c r="OUN50" s="4"/>
      <c r="OUO50" s="4"/>
      <c r="OUP50" s="4"/>
      <c r="OUQ50" s="4"/>
      <c r="OUR50" s="4"/>
      <c r="OUS50" s="4"/>
      <c r="OUT50" s="4"/>
      <c r="OUU50" s="4"/>
      <c r="OUV50" s="4"/>
      <c r="OUW50" s="4"/>
      <c r="OUX50" s="4"/>
      <c r="OUY50" s="4"/>
      <c r="OUZ50" s="4"/>
      <c r="OVA50" s="4"/>
      <c r="OVB50" s="4"/>
      <c r="OVC50" s="4"/>
      <c r="OVD50" s="4"/>
      <c r="OVE50" s="4"/>
      <c r="OVF50" s="4"/>
      <c r="OVG50" s="4"/>
      <c r="OVH50" s="4"/>
      <c r="OVI50" s="4"/>
      <c r="OVJ50" s="4"/>
      <c r="OVK50" s="4"/>
      <c r="OVL50" s="4"/>
      <c r="OVM50" s="4"/>
      <c r="OVN50" s="4"/>
      <c r="OVO50" s="4"/>
      <c r="OVP50" s="4"/>
      <c r="OVQ50" s="4"/>
      <c r="OVR50" s="4"/>
      <c r="OVS50" s="4"/>
      <c r="OVT50" s="4"/>
      <c r="OVU50" s="4"/>
      <c r="OVV50" s="4"/>
      <c r="OVW50" s="4"/>
      <c r="OVX50" s="4"/>
      <c r="OVY50" s="4"/>
      <c r="OVZ50" s="4"/>
      <c r="OWA50" s="4"/>
      <c r="OWB50" s="4"/>
      <c r="OWC50" s="4"/>
      <c r="OWD50" s="4"/>
      <c r="OWE50" s="4"/>
      <c r="OWF50" s="4"/>
      <c r="OWG50" s="4"/>
      <c r="OWH50" s="4"/>
      <c r="OWI50" s="4"/>
      <c r="OWJ50" s="4"/>
      <c r="OWK50" s="4"/>
      <c r="OWL50" s="4"/>
      <c r="OWM50" s="4"/>
      <c r="OWN50" s="4"/>
      <c r="OWO50" s="4"/>
      <c r="OWP50" s="4"/>
      <c r="OWQ50" s="4"/>
      <c r="OWR50" s="4"/>
      <c r="OWS50" s="4"/>
      <c r="OWT50" s="4"/>
      <c r="OWU50" s="4"/>
      <c r="OWV50" s="4"/>
      <c r="OWW50" s="4"/>
      <c r="OWX50" s="4"/>
      <c r="OWY50" s="4"/>
      <c r="OWZ50" s="4"/>
      <c r="OXA50" s="4"/>
      <c r="OXB50" s="4"/>
      <c r="OXC50" s="4"/>
      <c r="OXD50" s="4"/>
      <c r="OXE50" s="4"/>
      <c r="OXF50" s="4"/>
      <c r="OXG50" s="4"/>
      <c r="OXH50" s="4"/>
      <c r="OXI50" s="4"/>
      <c r="OXJ50" s="4"/>
      <c r="OXK50" s="4"/>
      <c r="OXL50" s="4"/>
      <c r="OXM50" s="4"/>
      <c r="OXN50" s="4"/>
      <c r="OXO50" s="4"/>
      <c r="OXP50" s="4"/>
      <c r="OXQ50" s="4"/>
      <c r="OXR50" s="4"/>
      <c r="OXS50" s="4"/>
      <c r="OXT50" s="4"/>
      <c r="OXU50" s="4"/>
      <c r="OXV50" s="4"/>
      <c r="OXW50" s="4"/>
      <c r="OXX50" s="4"/>
      <c r="OXY50" s="4"/>
      <c r="OXZ50" s="4"/>
      <c r="OYA50" s="4"/>
      <c r="OYB50" s="4"/>
      <c r="OYC50" s="4"/>
      <c r="OYD50" s="4"/>
      <c r="OYE50" s="4"/>
      <c r="OYF50" s="4"/>
      <c r="OYG50" s="4"/>
      <c r="OYH50" s="4"/>
      <c r="OYI50" s="4"/>
      <c r="OYJ50" s="4"/>
      <c r="OYK50" s="4"/>
      <c r="OYL50" s="4"/>
      <c r="OYM50" s="4"/>
      <c r="OYN50" s="4"/>
      <c r="OYO50" s="4"/>
      <c r="OYP50" s="4"/>
      <c r="OYQ50" s="4"/>
      <c r="OYR50" s="4"/>
      <c r="OYS50" s="4"/>
      <c r="OYT50" s="4"/>
      <c r="OYU50" s="4"/>
      <c r="OYV50" s="4"/>
      <c r="OYW50" s="4"/>
      <c r="OYX50" s="4"/>
      <c r="OYY50" s="4"/>
      <c r="OYZ50" s="4"/>
      <c r="OZA50" s="4"/>
      <c r="OZB50" s="4"/>
      <c r="OZC50" s="4"/>
      <c r="OZD50" s="4"/>
      <c r="OZE50" s="4"/>
      <c r="OZF50" s="4"/>
      <c r="OZG50" s="4"/>
      <c r="OZH50" s="4"/>
      <c r="OZI50" s="4"/>
      <c r="OZJ50" s="4"/>
      <c r="OZK50" s="4"/>
      <c r="OZL50" s="4"/>
      <c r="OZM50" s="4"/>
      <c r="OZN50" s="4"/>
      <c r="OZO50" s="4"/>
      <c r="OZP50" s="4"/>
      <c r="OZQ50" s="4"/>
      <c r="OZR50" s="4"/>
      <c r="OZS50" s="4"/>
      <c r="OZT50" s="4"/>
      <c r="OZU50" s="4"/>
      <c r="OZV50" s="4"/>
      <c r="OZW50" s="4"/>
      <c r="OZX50" s="4"/>
      <c r="OZY50" s="4"/>
      <c r="OZZ50" s="4"/>
      <c r="PAA50" s="4"/>
      <c r="PAB50" s="4"/>
      <c r="PAC50" s="4"/>
      <c r="PAD50" s="4"/>
      <c r="PAE50" s="4"/>
      <c r="PAF50" s="4"/>
      <c r="PAG50" s="4"/>
      <c r="PAH50" s="4"/>
      <c r="PAI50" s="4"/>
      <c r="PAJ50" s="4"/>
      <c r="PAK50" s="4"/>
      <c r="PAL50" s="4"/>
      <c r="PAM50" s="4"/>
      <c r="PAN50" s="4"/>
      <c r="PAO50" s="4"/>
      <c r="PAP50" s="4"/>
      <c r="PAQ50" s="4"/>
      <c r="PAR50" s="4"/>
      <c r="PAS50" s="4"/>
      <c r="PAT50" s="4"/>
      <c r="PAU50" s="4"/>
      <c r="PAV50" s="4"/>
      <c r="PAW50" s="4"/>
      <c r="PAX50" s="4"/>
      <c r="PAY50" s="4"/>
      <c r="PAZ50" s="4"/>
      <c r="PBA50" s="4"/>
      <c r="PBB50" s="4"/>
      <c r="PBC50" s="4"/>
      <c r="PBD50" s="4"/>
      <c r="PBE50" s="4"/>
      <c r="PBF50" s="4"/>
      <c r="PBG50" s="4"/>
      <c r="PBH50" s="4"/>
      <c r="PBI50" s="4"/>
      <c r="PBJ50" s="4"/>
      <c r="PBK50" s="4"/>
      <c r="PBL50" s="4"/>
      <c r="PBM50" s="4"/>
      <c r="PBN50" s="4"/>
      <c r="PBO50" s="4"/>
      <c r="PBP50" s="4"/>
      <c r="PBQ50" s="4"/>
      <c r="PBR50" s="4"/>
      <c r="PBS50" s="4"/>
      <c r="PBT50" s="4"/>
      <c r="PBU50" s="4"/>
      <c r="PBV50" s="4"/>
      <c r="PBW50" s="4"/>
      <c r="PBX50" s="4"/>
      <c r="PBY50" s="4"/>
      <c r="PBZ50" s="4"/>
      <c r="PCA50" s="4"/>
      <c r="PCB50" s="4"/>
      <c r="PCC50" s="4"/>
      <c r="PCD50" s="4"/>
      <c r="PCE50" s="4"/>
      <c r="PCF50" s="4"/>
      <c r="PCG50" s="4"/>
      <c r="PCH50" s="4"/>
      <c r="PCI50" s="4"/>
      <c r="PCJ50" s="4"/>
      <c r="PCK50" s="4"/>
      <c r="PCL50" s="4"/>
      <c r="PCM50" s="4"/>
      <c r="PCN50" s="4"/>
      <c r="PCO50" s="4"/>
      <c r="PCP50" s="4"/>
      <c r="PCQ50" s="4"/>
      <c r="PCR50" s="4"/>
      <c r="PCS50" s="4"/>
      <c r="PCT50" s="4"/>
      <c r="PCU50" s="4"/>
      <c r="PCV50" s="4"/>
      <c r="PCW50" s="4"/>
      <c r="PCX50" s="4"/>
      <c r="PCY50" s="4"/>
      <c r="PCZ50" s="4"/>
      <c r="PDA50" s="4"/>
      <c r="PDB50" s="4"/>
      <c r="PDC50" s="4"/>
      <c r="PDD50" s="4"/>
      <c r="PDE50" s="4"/>
      <c r="PDF50" s="4"/>
      <c r="PDG50" s="4"/>
      <c r="PDH50" s="4"/>
      <c r="PDI50" s="4"/>
      <c r="PDJ50" s="4"/>
      <c r="PDK50" s="4"/>
      <c r="PDL50" s="4"/>
      <c r="PDM50" s="4"/>
      <c r="PDN50" s="4"/>
      <c r="PDO50" s="4"/>
      <c r="PDP50" s="4"/>
      <c r="PDQ50" s="4"/>
      <c r="PDR50" s="4"/>
      <c r="PDS50" s="4"/>
      <c r="PDT50" s="4"/>
      <c r="PDU50" s="4"/>
      <c r="PDV50" s="4"/>
      <c r="PDW50" s="4"/>
      <c r="PDX50" s="4"/>
      <c r="PDY50" s="4"/>
      <c r="PDZ50" s="4"/>
      <c r="PEA50" s="4"/>
      <c r="PEB50" s="4"/>
      <c r="PEC50" s="4"/>
      <c r="PED50" s="4"/>
      <c r="PEE50" s="4"/>
      <c r="PEF50" s="4"/>
      <c r="PEG50" s="4"/>
      <c r="PEH50" s="4"/>
      <c r="PEI50" s="4"/>
      <c r="PEJ50" s="4"/>
      <c r="PEK50" s="4"/>
      <c r="PEL50" s="4"/>
      <c r="PEM50" s="4"/>
      <c r="PEN50" s="4"/>
      <c r="PEO50" s="4"/>
      <c r="PEP50" s="4"/>
      <c r="PEQ50" s="4"/>
      <c r="PER50" s="4"/>
      <c r="PES50" s="4"/>
      <c r="PET50" s="4"/>
      <c r="PEU50" s="4"/>
      <c r="PEV50" s="4"/>
      <c r="PEW50" s="4"/>
      <c r="PEX50" s="4"/>
      <c r="PEY50" s="4"/>
      <c r="PEZ50" s="4"/>
      <c r="PFA50" s="4"/>
      <c r="PFB50" s="4"/>
      <c r="PFC50" s="4"/>
      <c r="PFD50" s="4"/>
      <c r="PFE50" s="4"/>
      <c r="PFF50" s="4"/>
      <c r="PFG50" s="4"/>
      <c r="PFH50" s="4"/>
      <c r="PFI50" s="4"/>
      <c r="PFJ50" s="4"/>
      <c r="PFK50" s="4"/>
      <c r="PFL50" s="4"/>
      <c r="PFM50" s="4"/>
      <c r="PFN50" s="4"/>
      <c r="PFO50" s="4"/>
      <c r="PFP50" s="4"/>
      <c r="PFQ50" s="4"/>
      <c r="PFR50" s="4"/>
      <c r="PFS50" s="4"/>
      <c r="PFT50" s="4"/>
      <c r="PFU50" s="4"/>
      <c r="PFV50" s="4"/>
      <c r="PFW50" s="4"/>
      <c r="PFX50" s="4"/>
      <c r="PFY50" s="4"/>
      <c r="PFZ50" s="4"/>
      <c r="PGA50" s="4"/>
      <c r="PGB50" s="4"/>
      <c r="PGC50" s="4"/>
      <c r="PGD50" s="4"/>
      <c r="PGE50" s="4"/>
      <c r="PGF50" s="4"/>
      <c r="PGG50" s="4"/>
      <c r="PGH50" s="4"/>
      <c r="PGI50" s="4"/>
      <c r="PGJ50" s="4"/>
      <c r="PGK50" s="4"/>
      <c r="PGL50" s="4"/>
      <c r="PGM50" s="4"/>
      <c r="PGN50" s="4"/>
      <c r="PGO50" s="4"/>
      <c r="PGP50" s="4"/>
      <c r="PGQ50" s="4"/>
      <c r="PGR50" s="4"/>
      <c r="PGS50" s="4"/>
      <c r="PGT50" s="4"/>
      <c r="PGU50" s="4"/>
      <c r="PGV50" s="4"/>
      <c r="PGW50" s="4"/>
      <c r="PGX50" s="4"/>
      <c r="PGY50" s="4"/>
      <c r="PGZ50" s="4"/>
      <c r="PHA50" s="4"/>
      <c r="PHB50" s="4"/>
      <c r="PHC50" s="4"/>
      <c r="PHD50" s="4"/>
      <c r="PHE50" s="4"/>
      <c r="PHF50" s="4"/>
      <c r="PHG50" s="4"/>
      <c r="PHH50" s="4"/>
      <c r="PHI50" s="4"/>
      <c r="PHJ50" s="4"/>
      <c r="PHK50" s="4"/>
      <c r="PHL50" s="4"/>
      <c r="PHM50" s="4"/>
      <c r="PHN50" s="4"/>
      <c r="PHO50" s="4"/>
      <c r="PHP50" s="4"/>
      <c r="PHQ50" s="4"/>
      <c r="PHR50" s="4"/>
      <c r="PHS50" s="4"/>
      <c r="PHT50" s="4"/>
      <c r="PHU50" s="4"/>
      <c r="PHV50" s="4"/>
      <c r="PHW50" s="4"/>
      <c r="PHX50" s="4"/>
      <c r="PHY50" s="4"/>
      <c r="PHZ50" s="4"/>
      <c r="PIA50" s="4"/>
      <c r="PIB50" s="4"/>
      <c r="PIC50" s="4"/>
      <c r="PID50" s="4"/>
      <c r="PIE50" s="4"/>
      <c r="PIF50" s="4"/>
      <c r="PIG50" s="4"/>
      <c r="PIH50" s="4"/>
      <c r="PII50" s="4"/>
      <c r="PIJ50" s="4"/>
      <c r="PIK50" s="4"/>
      <c r="PIL50" s="4"/>
      <c r="PIM50" s="4"/>
      <c r="PIN50" s="4"/>
      <c r="PIO50" s="4"/>
      <c r="PIP50" s="4"/>
      <c r="PIQ50" s="4"/>
      <c r="PIR50" s="4"/>
      <c r="PIS50" s="4"/>
      <c r="PIT50" s="4"/>
      <c r="PIU50" s="4"/>
      <c r="PIV50" s="4"/>
      <c r="PIW50" s="4"/>
      <c r="PIX50" s="4"/>
      <c r="PIY50" s="4"/>
      <c r="PIZ50" s="4"/>
      <c r="PJA50" s="4"/>
      <c r="PJB50" s="4"/>
      <c r="PJC50" s="4"/>
      <c r="PJD50" s="4"/>
      <c r="PJE50" s="4"/>
      <c r="PJF50" s="4"/>
      <c r="PJG50" s="4"/>
      <c r="PJH50" s="4"/>
      <c r="PJI50" s="4"/>
      <c r="PJJ50" s="4"/>
      <c r="PJK50" s="4"/>
      <c r="PJL50" s="4"/>
      <c r="PJM50" s="4"/>
      <c r="PJN50" s="4"/>
      <c r="PJO50" s="4"/>
      <c r="PJP50" s="4"/>
      <c r="PJQ50" s="4"/>
      <c r="PJR50" s="4"/>
      <c r="PJS50" s="4"/>
      <c r="PJT50" s="4"/>
      <c r="PJU50" s="4"/>
      <c r="PJV50" s="4"/>
      <c r="PJW50" s="4"/>
      <c r="PJX50" s="4"/>
      <c r="PJY50" s="4"/>
      <c r="PJZ50" s="4"/>
      <c r="PKA50" s="4"/>
      <c r="PKB50" s="4"/>
      <c r="PKC50" s="4"/>
      <c r="PKD50" s="4"/>
      <c r="PKE50" s="4"/>
      <c r="PKF50" s="4"/>
      <c r="PKG50" s="4"/>
      <c r="PKH50" s="4"/>
      <c r="PKI50" s="4"/>
      <c r="PKJ50" s="4"/>
      <c r="PKK50" s="4"/>
      <c r="PKL50" s="4"/>
      <c r="PKM50" s="4"/>
      <c r="PKN50" s="4"/>
      <c r="PKO50" s="4"/>
      <c r="PKP50" s="4"/>
      <c r="PKQ50" s="4"/>
      <c r="PKR50" s="4"/>
      <c r="PKS50" s="4"/>
      <c r="PKT50" s="4"/>
      <c r="PKU50" s="4"/>
      <c r="PKV50" s="4"/>
      <c r="PKW50" s="4"/>
      <c r="PKX50" s="4"/>
      <c r="PKY50" s="4"/>
      <c r="PKZ50" s="4"/>
      <c r="PLA50" s="4"/>
      <c r="PLB50" s="4"/>
      <c r="PLC50" s="4"/>
      <c r="PLD50" s="4"/>
      <c r="PLE50" s="4"/>
      <c r="PLF50" s="4"/>
      <c r="PLG50" s="4"/>
      <c r="PLH50" s="4"/>
      <c r="PLI50" s="4"/>
      <c r="PLJ50" s="4"/>
      <c r="PLK50" s="4"/>
      <c r="PLL50" s="4"/>
      <c r="PLM50" s="4"/>
      <c r="PLN50" s="4"/>
      <c r="PLO50" s="4"/>
      <c r="PLP50" s="4"/>
      <c r="PLQ50" s="4"/>
      <c r="PLR50" s="4"/>
      <c r="PLS50" s="4"/>
      <c r="PLT50" s="4"/>
      <c r="PLU50" s="4"/>
      <c r="PLV50" s="4"/>
      <c r="PLW50" s="4"/>
      <c r="PLX50" s="4"/>
      <c r="PLY50" s="4"/>
      <c r="PLZ50" s="4"/>
      <c r="PMA50" s="4"/>
      <c r="PMB50" s="4"/>
      <c r="PMC50" s="4"/>
      <c r="PMD50" s="4"/>
      <c r="PME50" s="4"/>
      <c r="PMF50" s="4"/>
      <c r="PMG50" s="4"/>
      <c r="PMH50" s="4"/>
      <c r="PMI50" s="4"/>
      <c r="PMJ50" s="4"/>
      <c r="PMK50" s="4"/>
      <c r="PML50" s="4"/>
      <c r="PMM50" s="4"/>
      <c r="PMN50" s="4"/>
      <c r="PMO50" s="4"/>
      <c r="PMP50" s="4"/>
      <c r="PMQ50" s="4"/>
      <c r="PMR50" s="4"/>
      <c r="PMS50" s="4"/>
      <c r="PMT50" s="4"/>
      <c r="PMU50" s="4"/>
      <c r="PMV50" s="4"/>
      <c r="PMW50" s="4"/>
      <c r="PMX50" s="4"/>
      <c r="PMY50" s="4"/>
      <c r="PMZ50" s="4"/>
      <c r="PNA50" s="4"/>
      <c r="PNB50" s="4"/>
      <c r="PNC50" s="4"/>
      <c r="PND50" s="4"/>
      <c r="PNE50" s="4"/>
      <c r="PNF50" s="4"/>
      <c r="PNG50" s="4"/>
      <c r="PNH50" s="4"/>
      <c r="PNI50" s="4"/>
      <c r="PNJ50" s="4"/>
      <c r="PNK50" s="4"/>
      <c r="PNL50" s="4"/>
      <c r="PNM50" s="4"/>
      <c r="PNN50" s="4"/>
      <c r="PNO50" s="4"/>
      <c r="PNP50" s="4"/>
      <c r="PNQ50" s="4"/>
      <c r="PNR50" s="4"/>
      <c r="PNS50" s="4"/>
      <c r="PNT50" s="4"/>
      <c r="PNU50" s="4"/>
      <c r="PNV50" s="4"/>
      <c r="PNW50" s="4"/>
      <c r="PNX50" s="4"/>
      <c r="PNY50" s="4"/>
      <c r="PNZ50" s="4"/>
      <c r="POA50" s="4"/>
      <c r="POB50" s="4"/>
      <c r="POC50" s="4"/>
      <c r="POD50" s="4"/>
      <c r="POE50" s="4"/>
      <c r="POF50" s="4"/>
      <c r="POG50" s="4"/>
      <c r="POH50" s="4"/>
      <c r="POI50" s="4"/>
      <c r="POJ50" s="4"/>
      <c r="POK50" s="4"/>
      <c r="POL50" s="4"/>
      <c r="POM50" s="4"/>
      <c r="PON50" s="4"/>
      <c r="POO50" s="4"/>
      <c r="POP50" s="4"/>
      <c r="POQ50" s="4"/>
      <c r="POR50" s="4"/>
      <c r="POS50" s="4"/>
      <c r="POT50" s="4"/>
      <c r="POU50" s="4"/>
      <c r="POV50" s="4"/>
      <c r="POW50" s="4"/>
      <c r="POX50" s="4"/>
      <c r="POY50" s="4"/>
      <c r="POZ50" s="4"/>
      <c r="PPA50" s="4"/>
      <c r="PPB50" s="4"/>
      <c r="PPC50" s="4"/>
      <c r="PPD50" s="4"/>
      <c r="PPE50" s="4"/>
      <c r="PPF50" s="4"/>
      <c r="PPG50" s="4"/>
      <c r="PPH50" s="4"/>
      <c r="PPI50" s="4"/>
      <c r="PPJ50" s="4"/>
      <c r="PPK50" s="4"/>
      <c r="PPL50" s="4"/>
      <c r="PPM50" s="4"/>
      <c r="PPN50" s="4"/>
      <c r="PPO50" s="4"/>
      <c r="PPP50" s="4"/>
      <c r="PPQ50" s="4"/>
      <c r="PPR50" s="4"/>
      <c r="PPS50" s="4"/>
      <c r="PPT50" s="4"/>
      <c r="PPU50" s="4"/>
      <c r="PPV50" s="4"/>
      <c r="PPW50" s="4"/>
      <c r="PPX50" s="4"/>
      <c r="PPY50" s="4"/>
      <c r="PPZ50" s="4"/>
      <c r="PQA50" s="4"/>
      <c r="PQB50" s="4"/>
      <c r="PQC50" s="4"/>
      <c r="PQD50" s="4"/>
      <c r="PQE50" s="4"/>
      <c r="PQF50" s="4"/>
      <c r="PQG50" s="4"/>
      <c r="PQH50" s="4"/>
      <c r="PQI50" s="4"/>
      <c r="PQJ50" s="4"/>
      <c r="PQK50" s="4"/>
      <c r="PQL50" s="4"/>
      <c r="PQM50" s="4"/>
      <c r="PQN50" s="4"/>
      <c r="PQO50" s="4"/>
      <c r="PQP50" s="4"/>
      <c r="PQQ50" s="4"/>
      <c r="PQR50" s="4"/>
      <c r="PQS50" s="4"/>
      <c r="PQT50" s="4"/>
      <c r="PQU50" s="4"/>
      <c r="PQV50" s="4"/>
      <c r="PQW50" s="4"/>
      <c r="PQX50" s="4"/>
      <c r="PQY50" s="4"/>
      <c r="PQZ50" s="4"/>
      <c r="PRA50" s="4"/>
      <c r="PRB50" s="4"/>
      <c r="PRC50" s="4"/>
      <c r="PRD50" s="4"/>
      <c r="PRE50" s="4"/>
      <c r="PRF50" s="4"/>
      <c r="PRG50" s="4"/>
      <c r="PRH50" s="4"/>
      <c r="PRI50" s="4"/>
      <c r="PRJ50" s="4"/>
      <c r="PRK50" s="4"/>
      <c r="PRL50" s="4"/>
      <c r="PRM50" s="4"/>
      <c r="PRN50" s="4"/>
      <c r="PRO50" s="4"/>
      <c r="PRP50" s="4"/>
      <c r="PRQ50" s="4"/>
      <c r="PRR50" s="4"/>
      <c r="PRS50" s="4"/>
      <c r="PRT50" s="4"/>
      <c r="PRU50" s="4"/>
      <c r="PRV50" s="4"/>
      <c r="PRW50" s="4"/>
      <c r="PRX50" s="4"/>
      <c r="PRY50" s="4"/>
      <c r="PRZ50" s="4"/>
      <c r="PSA50" s="4"/>
      <c r="PSB50" s="4"/>
      <c r="PSC50" s="4"/>
      <c r="PSD50" s="4"/>
      <c r="PSE50" s="4"/>
      <c r="PSF50" s="4"/>
      <c r="PSG50" s="4"/>
      <c r="PSH50" s="4"/>
      <c r="PSI50" s="4"/>
      <c r="PSJ50" s="4"/>
      <c r="PSK50" s="4"/>
      <c r="PSL50" s="4"/>
      <c r="PSM50" s="4"/>
      <c r="PSN50" s="4"/>
      <c r="PSO50" s="4"/>
      <c r="PSP50" s="4"/>
      <c r="PSQ50" s="4"/>
      <c r="PSR50" s="4"/>
      <c r="PSS50" s="4"/>
      <c r="PST50" s="4"/>
      <c r="PSU50" s="4"/>
      <c r="PSV50" s="4"/>
      <c r="PSW50" s="4"/>
      <c r="PSX50" s="4"/>
      <c r="PSY50" s="4"/>
      <c r="PSZ50" s="4"/>
      <c r="PTA50" s="4"/>
      <c r="PTB50" s="4"/>
      <c r="PTC50" s="4"/>
      <c r="PTD50" s="4"/>
      <c r="PTE50" s="4"/>
      <c r="PTF50" s="4"/>
      <c r="PTG50" s="4"/>
      <c r="PTH50" s="4"/>
      <c r="PTI50" s="4"/>
      <c r="PTJ50" s="4"/>
      <c r="PTK50" s="4"/>
      <c r="PTL50" s="4"/>
      <c r="PTM50" s="4"/>
      <c r="PTN50" s="4"/>
      <c r="PTO50" s="4"/>
      <c r="PTP50" s="4"/>
      <c r="PTQ50" s="4"/>
      <c r="PTR50" s="4"/>
      <c r="PTS50" s="4"/>
      <c r="PTT50" s="4"/>
      <c r="PTU50" s="4"/>
      <c r="PTV50" s="4"/>
      <c r="PTW50" s="4"/>
      <c r="PTX50" s="4"/>
      <c r="PTY50" s="4"/>
      <c r="PTZ50" s="4"/>
      <c r="PUA50" s="4"/>
      <c r="PUB50" s="4"/>
      <c r="PUC50" s="4"/>
      <c r="PUD50" s="4"/>
      <c r="PUE50" s="4"/>
      <c r="PUF50" s="4"/>
      <c r="PUG50" s="4"/>
      <c r="PUH50" s="4"/>
      <c r="PUI50" s="4"/>
      <c r="PUJ50" s="4"/>
      <c r="PUK50" s="4"/>
      <c r="PUL50" s="4"/>
      <c r="PUM50" s="4"/>
      <c r="PUN50" s="4"/>
      <c r="PUO50" s="4"/>
      <c r="PUP50" s="4"/>
      <c r="PUQ50" s="4"/>
      <c r="PUR50" s="4"/>
      <c r="PUS50" s="4"/>
      <c r="PUT50" s="4"/>
      <c r="PUU50" s="4"/>
      <c r="PUV50" s="4"/>
      <c r="PUW50" s="4"/>
      <c r="PUX50" s="4"/>
      <c r="PUY50" s="4"/>
      <c r="PUZ50" s="4"/>
      <c r="PVA50" s="4"/>
      <c r="PVB50" s="4"/>
      <c r="PVC50" s="4"/>
      <c r="PVD50" s="4"/>
      <c r="PVE50" s="4"/>
      <c r="PVF50" s="4"/>
      <c r="PVG50" s="4"/>
      <c r="PVH50" s="4"/>
      <c r="PVI50" s="4"/>
      <c r="PVJ50" s="4"/>
      <c r="PVK50" s="4"/>
      <c r="PVL50" s="4"/>
      <c r="PVM50" s="4"/>
      <c r="PVN50" s="4"/>
      <c r="PVO50" s="4"/>
      <c r="PVP50" s="4"/>
      <c r="PVQ50" s="4"/>
      <c r="PVR50" s="4"/>
      <c r="PVS50" s="4"/>
      <c r="PVT50" s="4"/>
      <c r="PVU50" s="4"/>
      <c r="PVV50" s="4"/>
      <c r="PVW50" s="4"/>
      <c r="PVX50" s="4"/>
      <c r="PVY50" s="4"/>
      <c r="PVZ50" s="4"/>
      <c r="PWA50" s="4"/>
      <c r="PWB50" s="4"/>
      <c r="PWC50" s="4"/>
      <c r="PWD50" s="4"/>
      <c r="PWE50" s="4"/>
      <c r="PWF50" s="4"/>
      <c r="PWG50" s="4"/>
      <c r="PWH50" s="4"/>
      <c r="PWI50" s="4"/>
      <c r="PWJ50" s="4"/>
      <c r="PWK50" s="4"/>
      <c r="PWL50" s="4"/>
      <c r="PWM50" s="4"/>
      <c r="PWN50" s="4"/>
      <c r="PWO50" s="4"/>
      <c r="PWP50" s="4"/>
      <c r="PWQ50" s="4"/>
      <c r="PWR50" s="4"/>
      <c r="PWS50" s="4"/>
      <c r="PWT50" s="4"/>
      <c r="PWU50" s="4"/>
      <c r="PWV50" s="4"/>
      <c r="PWW50" s="4"/>
      <c r="PWX50" s="4"/>
      <c r="PWY50" s="4"/>
      <c r="PWZ50" s="4"/>
      <c r="PXA50" s="4"/>
      <c r="PXB50" s="4"/>
      <c r="PXC50" s="4"/>
      <c r="PXD50" s="4"/>
      <c r="PXE50" s="4"/>
      <c r="PXF50" s="4"/>
      <c r="PXG50" s="4"/>
      <c r="PXH50" s="4"/>
      <c r="PXI50" s="4"/>
      <c r="PXJ50" s="4"/>
      <c r="PXK50" s="4"/>
      <c r="PXL50" s="4"/>
      <c r="PXM50" s="4"/>
      <c r="PXN50" s="4"/>
      <c r="PXO50" s="4"/>
      <c r="PXP50" s="4"/>
      <c r="PXQ50" s="4"/>
      <c r="PXR50" s="4"/>
      <c r="PXS50" s="4"/>
      <c r="PXT50" s="4"/>
      <c r="PXU50" s="4"/>
      <c r="PXV50" s="4"/>
      <c r="PXW50" s="4"/>
      <c r="PXX50" s="4"/>
      <c r="PXY50" s="4"/>
      <c r="PXZ50" s="4"/>
      <c r="PYA50" s="4"/>
      <c r="PYB50" s="4"/>
      <c r="PYC50" s="4"/>
      <c r="PYD50" s="4"/>
      <c r="PYE50" s="4"/>
      <c r="PYF50" s="4"/>
      <c r="PYG50" s="4"/>
      <c r="PYH50" s="4"/>
      <c r="PYI50" s="4"/>
      <c r="PYJ50" s="4"/>
      <c r="PYK50" s="4"/>
      <c r="PYL50" s="4"/>
      <c r="PYM50" s="4"/>
      <c r="PYN50" s="4"/>
      <c r="PYO50" s="4"/>
      <c r="PYP50" s="4"/>
      <c r="PYQ50" s="4"/>
      <c r="PYR50" s="4"/>
      <c r="PYS50" s="4"/>
      <c r="PYT50" s="4"/>
      <c r="PYU50" s="4"/>
      <c r="PYV50" s="4"/>
      <c r="PYW50" s="4"/>
      <c r="PYX50" s="4"/>
      <c r="PYY50" s="4"/>
      <c r="PYZ50" s="4"/>
      <c r="PZA50" s="4"/>
      <c r="PZB50" s="4"/>
      <c r="PZC50" s="4"/>
      <c r="PZD50" s="4"/>
      <c r="PZE50" s="4"/>
      <c r="PZF50" s="4"/>
      <c r="PZG50" s="4"/>
      <c r="PZH50" s="4"/>
      <c r="PZI50" s="4"/>
      <c r="PZJ50" s="4"/>
      <c r="PZK50" s="4"/>
      <c r="PZL50" s="4"/>
      <c r="PZM50" s="4"/>
      <c r="PZN50" s="4"/>
      <c r="PZO50" s="4"/>
      <c r="PZP50" s="4"/>
      <c r="PZQ50" s="4"/>
      <c r="PZR50" s="4"/>
      <c r="PZS50" s="4"/>
      <c r="PZT50" s="4"/>
      <c r="PZU50" s="4"/>
      <c r="PZV50" s="4"/>
      <c r="PZW50" s="4"/>
      <c r="PZX50" s="4"/>
      <c r="PZY50" s="4"/>
      <c r="PZZ50" s="4"/>
      <c r="QAA50" s="4"/>
      <c r="QAB50" s="4"/>
      <c r="QAC50" s="4"/>
      <c r="QAD50" s="4"/>
      <c r="QAE50" s="4"/>
      <c r="QAF50" s="4"/>
      <c r="QAG50" s="4"/>
      <c r="QAH50" s="4"/>
      <c r="QAI50" s="4"/>
      <c r="QAJ50" s="4"/>
      <c r="QAK50" s="4"/>
      <c r="QAL50" s="4"/>
      <c r="QAM50" s="4"/>
      <c r="QAN50" s="4"/>
      <c r="QAO50" s="4"/>
      <c r="QAP50" s="4"/>
      <c r="QAQ50" s="4"/>
      <c r="QAR50" s="4"/>
      <c r="QAS50" s="4"/>
      <c r="QAT50" s="4"/>
      <c r="QAU50" s="4"/>
      <c r="QAV50" s="4"/>
      <c r="QAW50" s="4"/>
      <c r="QAX50" s="4"/>
      <c r="QAY50" s="4"/>
      <c r="QAZ50" s="4"/>
      <c r="QBA50" s="4"/>
      <c r="QBB50" s="4"/>
      <c r="QBC50" s="4"/>
      <c r="QBD50" s="4"/>
      <c r="QBE50" s="4"/>
      <c r="QBF50" s="4"/>
      <c r="QBG50" s="4"/>
      <c r="QBH50" s="4"/>
      <c r="QBI50" s="4"/>
      <c r="QBJ50" s="4"/>
      <c r="QBK50" s="4"/>
      <c r="QBL50" s="4"/>
      <c r="QBM50" s="4"/>
      <c r="QBN50" s="4"/>
      <c r="QBO50" s="4"/>
      <c r="QBP50" s="4"/>
      <c r="QBQ50" s="4"/>
      <c r="QBR50" s="4"/>
      <c r="QBS50" s="4"/>
      <c r="QBT50" s="4"/>
      <c r="QBU50" s="4"/>
      <c r="QBV50" s="4"/>
      <c r="QBW50" s="4"/>
      <c r="QBX50" s="4"/>
      <c r="QBY50" s="4"/>
      <c r="QBZ50" s="4"/>
      <c r="QCA50" s="4"/>
      <c r="QCB50" s="4"/>
      <c r="QCC50" s="4"/>
      <c r="QCD50" s="4"/>
      <c r="QCE50" s="4"/>
      <c r="QCF50" s="4"/>
      <c r="QCG50" s="4"/>
      <c r="QCH50" s="4"/>
      <c r="QCI50" s="4"/>
      <c r="QCJ50" s="4"/>
      <c r="QCK50" s="4"/>
      <c r="QCL50" s="4"/>
      <c r="QCM50" s="4"/>
      <c r="QCN50" s="4"/>
      <c r="QCO50" s="4"/>
      <c r="QCP50" s="4"/>
      <c r="QCQ50" s="4"/>
      <c r="QCR50" s="4"/>
      <c r="QCS50" s="4"/>
      <c r="QCT50" s="4"/>
      <c r="QCU50" s="4"/>
      <c r="QCV50" s="4"/>
      <c r="QCW50" s="4"/>
      <c r="QCX50" s="4"/>
      <c r="QCY50" s="4"/>
      <c r="QCZ50" s="4"/>
      <c r="QDA50" s="4"/>
      <c r="QDB50" s="4"/>
      <c r="QDC50" s="4"/>
      <c r="QDD50" s="4"/>
      <c r="QDE50" s="4"/>
      <c r="QDF50" s="4"/>
      <c r="QDG50" s="4"/>
      <c r="QDH50" s="4"/>
      <c r="QDI50" s="4"/>
      <c r="QDJ50" s="4"/>
      <c r="QDK50" s="4"/>
      <c r="QDL50" s="4"/>
      <c r="QDM50" s="4"/>
      <c r="QDN50" s="4"/>
      <c r="QDO50" s="4"/>
      <c r="QDP50" s="4"/>
      <c r="QDQ50" s="4"/>
      <c r="QDR50" s="4"/>
      <c r="QDS50" s="4"/>
      <c r="QDT50" s="4"/>
      <c r="QDU50" s="4"/>
      <c r="QDV50" s="4"/>
      <c r="QDW50" s="4"/>
      <c r="QDX50" s="4"/>
      <c r="QDY50" s="4"/>
      <c r="QDZ50" s="4"/>
      <c r="QEA50" s="4"/>
      <c r="QEB50" s="4"/>
      <c r="QEC50" s="4"/>
      <c r="QED50" s="4"/>
      <c r="QEE50" s="4"/>
      <c r="QEF50" s="4"/>
      <c r="QEG50" s="4"/>
      <c r="QEH50" s="4"/>
      <c r="QEI50" s="4"/>
      <c r="QEJ50" s="4"/>
      <c r="QEK50" s="4"/>
      <c r="QEL50" s="4"/>
      <c r="QEM50" s="4"/>
      <c r="QEN50" s="4"/>
      <c r="QEO50" s="4"/>
      <c r="QEP50" s="4"/>
      <c r="QEQ50" s="4"/>
      <c r="QER50" s="4"/>
      <c r="QES50" s="4"/>
      <c r="QET50" s="4"/>
      <c r="QEU50" s="4"/>
      <c r="QEV50" s="4"/>
      <c r="QEW50" s="4"/>
      <c r="QEX50" s="4"/>
      <c r="QEY50" s="4"/>
      <c r="QEZ50" s="4"/>
      <c r="QFA50" s="4"/>
      <c r="QFB50" s="4"/>
      <c r="QFC50" s="4"/>
      <c r="QFD50" s="4"/>
      <c r="QFE50" s="4"/>
      <c r="QFF50" s="4"/>
      <c r="QFG50" s="4"/>
      <c r="QFH50" s="4"/>
      <c r="QFI50" s="4"/>
      <c r="QFJ50" s="4"/>
      <c r="QFK50" s="4"/>
      <c r="QFL50" s="4"/>
      <c r="QFM50" s="4"/>
      <c r="QFN50" s="4"/>
      <c r="QFO50" s="4"/>
      <c r="QFP50" s="4"/>
      <c r="QFQ50" s="4"/>
      <c r="QFR50" s="4"/>
      <c r="QFS50" s="4"/>
      <c r="QFT50" s="4"/>
      <c r="QFU50" s="4"/>
      <c r="QFV50" s="4"/>
      <c r="QFW50" s="4"/>
      <c r="QFX50" s="4"/>
      <c r="QFY50" s="4"/>
      <c r="QFZ50" s="4"/>
      <c r="QGA50" s="4"/>
      <c r="QGB50" s="4"/>
      <c r="QGC50" s="4"/>
      <c r="QGD50" s="4"/>
      <c r="QGE50" s="4"/>
      <c r="QGF50" s="4"/>
      <c r="QGG50" s="4"/>
      <c r="QGH50" s="4"/>
      <c r="QGI50" s="4"/>
      <c r="QGJ50" s="4"/>
      <c r="QGK50" s="4"/>
      <c r="QGL50" s="4"/>
      <c r="QGM50" s="4"/>
      <c r="QGN50" s="4"/>
      <c r="QGO50" s="4"/>
      <c r="QGP50" s="4"/>
      <c r="QGQ50" s="4"/>
      <c r="QGR50" s="4"/>
      <c r="QGS50" s="4"/>
      <c r="QGT50" s="4"/>
      <c r="QGU50" s="4"/>
      <c r="QGV50" s="4"/>
      <c r="QGW50" s="4"/>
      <c r="QGX50" s="4"/>
      <c r="QGY50" s="4"/>
      <c r="QGZ50" s="4"/>
      <c r="QHA50" s="4"/>
      <c r="QHB50" s="4"/>
      <c r="QHC50" s="4"/>
      <c r="QHD50" s="4"/>
      <c r="QHE50" s="4"/>
      <c r="QHF50" s="4"/>
      <c r="QHG50" s="4"/>
      <c r="QHH50" s="4"/>
      <c r="QHI50" s="4"/>
      <c r="QHJ50" s="4"/>
      <c r="QHK50" s="4"/>
      <c r="QHL50" s="4"/>
      <c r="QHM50" s="4"/>
      <c r="QHN50" s="4"/>
      <c r="QHO50" s="4"/>
      <c r="QHP50" s="4"/>
      <c r="QHQ50" s="4"/>
      <c r="QHR50" s="4"/>
      <c r="QHS50" s="4"/>
      <c r="QHT50" s="4"/>
      <c r="QHU50" s="4"/>
      <c r="QHV50" s="4"/>
      <c r="QHW50" s="4"/>
      <c r="QHX50" s="4"/>
      <c r="QHY50" s="4"/>
      <c r="QHZ50" s="4"/>
      <c r="QIA50" s="4"/>
      <c r="QIB50" s="4"/>
      <c r="QIC50" s="4"/>
      <c r="QID50" s="4"/>
      <c r="QIE50" s="4"/>
      <c r="QIF50" s="4"/>
      <c r="QIG50" s="4"/>
      <c r="QIH50" s="4"/>
      <c r="QII50" s="4"/>
      <c r="QIJ50" s="4"/>
      <c r="QIK50" s="4"/>
      <c r="QIL50" s="4"/>
      <c r="QIM50" s="4"/>
      <c r="QIN50" s="4"/>
      <c r="QIO50" s="4"/>
      <c r="QIP50" s="4"/>
      <c r="QIQ50" s="4"/>
      <c r="QIR50" s="4"/>
      <c r="QIS50" s="4"/>
      <c r="QIT50" s="4"/>
      <c r="QIU50" s="4"/>
      <c r="QIV50" s="4"/>
      <c r="QIW50" s="4"/>
      <c r="QIX50" s="4"/>
      <c r="QIY50" s="4"/>
      <c r="QIZ50" s="4"/>
      <c r="QJA50" s="4"/>
      <c r="QJB50" s="4"/>
      <c r="QJC50" s="4"/>
      <c r="QJD50" s="4"/>
      <c r="QJE50" s="4"/>
      <c r="QJF50" s="4"/>
      <c r="QJG50" s="4"/>
      <c r="QJH50" s="4"/>
      <c r="QJI50" s="4"/>
      <c r="QJJ50" s="4"/>
      <c r="QJK50" s="4"/>
      <c r="QJL50" s="4"/>
      <c r="QJM50" s="4"/>
      <c r="QJN50" s="4"/>
      <c r="QJO50" s="4"/>
      <c r="QJP50" s="4"/>
      <c r="QJQ50" s="4"/>
      <c r="QJR50" s="4"/>
      <c r="QJS50" s="4"/>
      <c r="QJT50" s="4"/>
      <c r="QJU50" s="4"/>
      <c r="QJV50" s="4"/>
      <c r="QJW50" s="4"/>
      <c r="QJX50" s="4"/>
      <c r="QJY50" s="4"/>
      <c r="QJZ50" s="4"/>
      <c r="QKA50" s="4"/>
      <c r="QKB50" s="4"/>
      <c r="QKC50" s="4"/>
      <c r="QKD50" s="4"/>
      <c r="QKE50" s="4"/>
      <c r="QKF50" s="4"/>
      <c r="QKG50" s="4"/>
      <c r="QKH50" s="4"/>
      <c r="QKI50" s="4"/>
      <c r="QKJ50" s="4"/>
      <c r="QKK50" s="4"/>
      <c r="QKL50" s="4"/>
      <c r="QKM50" s="4"/>
      <c r="QKN50" s="4"/>
      <c r="QKO50" s="4"/>
      <c r="QKP50" s="4"/>
      <c r="QKQ50" s="4"/>
      <c r="QKR50" s="4"/>
      <c r="QKS50" s="4"/>
      <c r="QKT50" s="4"/>
      <c r="QKU50" s="4"/>
      <c r="QKV50" s="4"/>
      <c r="QKW50" s="4"/>
      <c r="QKX50" s="4"/>
      <c r="QKY50" s="4"/>
      <c r="QKZ50" s="4"/>
      <c r="QLA50" s="4"/>
      <c r="QLB50" s="4"/>
      <c r="QLC50" s="4"/>
      <c r="QLD50" s="4"/>
      <c r="QLE50" s="4"/>
      <c r="QLF50" s="4"/>
      <c r="QLG50" s="4"/>
      <c r="QLH50" s="4"/>
      <c r="QLI50" s="4"/>
      <c r="QLJ50" s="4"/>
      <c r="QLK50" s="4"/>
      <c r="QLL50" s="4"/>
      <c r="QLM50" s="4"/>
      <c r="QLN50" s="4"/>
      <c r="QLO50" s="4"/>
      <c r="QLP50" s="4"/>
      <c r="QLQ50" s="4"/>
      <c r="QLR50" s="4"/>
      <c r="QLS50" s="4"/>
      <c r="QLT50" s="4"/>
      <c r="QLU50" s="4"/>
      <c r="QLV50" s="4"/>
      <c r="QLW50" s="4"/>
      <c r="QLX50" s="4"/>
      <c r="QLY50" s="4"/>
      <c r="QLZ50" s="4"/>
      <c r="QMA50" s="4"/>
      <c r="QMB50" s="4"/>
      <c r="QMC50" s="4"/>
      <c r="QMD50" s="4"/>
      <c r="QME50" s="4"/>
      <c r="QMF50" s="4"/>
      <c r="QMG50" s="4"/>
      <c r="QMH50" s="4"/>
      <c r="QMI50" s="4"/>
      <c r="QMJ50" s="4"/>
      <c r="QMK50" s="4"/>
      <c r="QML50" s="4"/>
      <c r="QMM50" s="4"/>
      <c r="QMN50" s="4"/>
      <c r="QMO50" s="4"/>
      <c r="QMP50" s="4"/>
      <c r="QMQ50" s="4"/>
      <c r="QMR50" s="4"/>
      <c r="QMS50" s="4"/>
      <c r="QMT50" s="4"/>
      <c r="QMU50" s="4"/>
      <c r="QMV50" s="4"/>
      <c r="QMW50" s="4"/>
      <c r="QMX50" s="4"/>
      <c r="QMY50" s="4"/>
      <c r="QMZ50" s="4"/>
      <c r="QNA50" s="4"/>
      <c r="QNB50" s="4"/>
      <c r="QNC50" s="4"/>
      <c r="QND50" s="4"/>
      <c r="QNE50" s="4"/>
      <c r="QNF50" s="4"/>
      <c r="QNG50" s="4"/>
      <c r="QNH50" s="4"/>
      <c r="QNI50" s="4"/>
      <c r="QNJ50" s="4"/>
      <c r="QNK50" s="4"/>
      <c r="QNL50" s="4"/>
      <c r="QNM50" s="4"/>
      <c r="QNN50" s="4"/>
      <c r="QNO50" s="4"/>
      <c r="QNP50" s="4"/>
      <c r="QNQ50" s="4"/>
      <c r="QNR50" s="4"/>
      <c r="QNS50" s="4"/>
      <c r="QNT50" s="4"/>
      <c r="QNU50" s="4"/>
      <c r="QNV50" s="4"/>
      <c r="QNW50" s="4"/>
      <c r="QNX50" s="4"/>
      <c r="QNY50" s="4"/>
      <c r="QNZ50" s="4"/>
      <c r="QOA50" s="4"/>
      <c r="QOB50" s="4"/>
      <c r="QOC50" s="4"/>
      <c r="QOD50" s="4"/>
      <c r="QOE50" s="4"/>
      <c r="QOF50" s="4"/>
      <c r="QOG50" s="4"/>
      <c r="QOH50" s="4"/>
      <c r="QOI50" s="4"/>
      <c r="QOJ50" s="4"/>
      <c r="QOK50" s="4"/>
      <c r="QOL50" s="4"/>
      <c r="QOM50" s="4"/>
      <c r="QON50" s="4"/>
      <c r="QOO50" s="4"/>
      <c r="QOP50" s="4"/>
      <c r="QOQ50" s="4"/>
      <c r="QOR50" s="4"/>
      <c r="QOS50" s="4"/>
      <c r="QOT50" s="4"/>
      <c r="QOU50" s="4"/>
      <c r="QOV50" s="4"/>
      <c r="QOW50" s="4"/>
      <c r="QOX50" s="4"/>
      <c r="QOY50" s="4"/>
      <c r="QOZ50" s="4"/>
      <c r="QPA50" s="4"/>
      <c r="QPB50" s="4"/>
      <c r="QPC50" s="4"/>
      <c r="QPD50" s="4"/>
      <c r="QPE50" s="4"/>
      <c r="QPF50" s="4"/>
      <c r="QPG50" s="4"/>
      <c r="QPH50" s="4"/>
      <c r="QPI50" s="4"/>
      <c r="QPJ50" s="4"/>
      <c r="QPK50" s="4"/>
      <c r="QPL50" s="4"/>
      <c r="QPM50" s="4"/>
      <c r="QPN50" s="4"/>
      <c r="QPO50" s="4"/>
      <c r="QPP50" s="4"/>
      <c r="QPQ50" s="4"/>
      <c r="QPR50" s="4"/>
      <c r="QPS50" s="4"/>
      <c r="QPT50" s="4"/>
      <c r="QPU50" s="4"/>
      <c r="QPV50" s="4"/>
      <c r="QPW50" s="4"/>
      <c r="QPX50" s="4"/>
      <c r="QPY50" s="4"/>
      <c r="QPZ50" s="4"/>
      <c r="QQA50" s="4"/>
      <c r="QQB50" s="4"/>
      <c r="QQC50" s="4"/>
      <c r="QQD50" s="4"/>
      <c r="QQE50" s="4"/>
      <c r="QQF50" s="4"/>
      <c r="QQG50" s="4"/>
      <c r="QQH50" s="4"/>
      <c r="QQI50" s="4"/>
      <c r="QQJ50" s="4"/>
      <c r="QQK50" s="4"/>
      <c r="QQL50" s="4"/>
      <c r="QQM50" s="4"/>
      <c r="QQN50" s="4"/>
      <c r="QQO50" s="4"/>
      <c r="QQP50" s="4"/>
      <c r="QQQ50" s="4"/>
      <c r="QQR50" s="4"/>
      <c r="QQS50" s="4"/>
      <c r="QQT50" s="4"/>
      <c r="QQU50" s="4"/>
      <c r="QQV50" s="4"/>
      <c r="QQW50" s="4"/>
      <c r="QQX50" s="4"/>
      <c r="QQY50" s="4"/>
      <c r="QQZ50" s="4"/>
      <c r="QRA50" s="4"/>
      <c r="QRB50" s="4"/>
      <c r="QRC50" s="4"/>
      <c r="QRD50" s="4"/>
      <c r="QRE50" s="4"/>
      <c r="QRF50" s="4"/>
      <c r="QRG50" s="4"/>
      <c r="QRH50" s="4"/>
      <c r="QRI50" s="4"/>
      <c r="QRJ50" s="4"/>
      <c r="QRK50" s="4"/>
      <c r="QRL50" s="4"/>
      <c r="QRM50" s="4"/>
      <c r="QRN50" s="4"/>
      <c r="QRO50" s="4"/>
      <c r="QRP50" s="4"/>
      <c r="QRQ50" s="4"/>
      <c r="QRR50" s="4"/>
      <c r="QRS50" s="4"/>
      <c r="QRT50" s="4"/>
      <c r="QRU50" s="4"/>
      <c r="QRV50" s="4"/>
      <c r="QRW50" s="4"/>
      <c r="QRX50" s="4"/>
      <c r="QRY50" s="4"/>
      <c r="QRZ50" s="4"/>
      <c r="QSA50" s="4"/>
      <c r="QSB50" s="4"/>
      <c r="QSC50" s="4"/>
      <c r="QSD50" s="4"/>
      <c r="QSE50" s="4"/>
      <c r="QSF50" s="4"/>
      <c r="QSG50" s="4"/>
      <c r="QSH50" s="4"/>
      <c r="QSI50" s="4"/>
      <c r="QSJ50" s="4"/>
      <c r="QSK50" s="4"/>
      <c r="QSL50" s="4"/>
      <c r="QSM50" s="4"/>
      <c r="QSN50" s="4"/>
      <c r="QSO50" s="4"/>
      <c r="QSP50" s="4"/>
      <c r="QSQ50" s="4"/>
      <c r="QSR50" s="4"/>
      <c r="QSS50" s="4"/>
      <c r="QST50" s="4"/>
      <c r="QSU50" s="4"/>
      <c r="QSV50" s="4"/>
      <c r="QSW50" s="4"/>
      <c r="QSX50" s="4"/>
      <c r="QSY50" s="4"/>
      <c r="QSZ50" s="4"/>
      <c r="QTA50" s="4"/>
      <c r="QTB50" s="4"/>
      <c r="QTC50" s="4"/>
      <c r="QTD50" s="4"/>
      <c r="QTE50" s="4"/>
      <c r="QTF50" s="4"/>
      <c r="QTG50" s="4"/>
      <c r="QTH50" s="4"/>
      <c r="QTI50" s="4"/>
      <c r="QTJ50" s="4"/>
      <c r="QTK50" s="4"/>
      <c r="QTL50" s="4"/>
      <c r="QTM50" s="4"/>
      <c r="QTN50" s="4"/>
      <c r="QTO50" s="4"/>
      <c r="QTP50" s="4"/>
      <c r="QTQ50" s="4"/>
      <c r="QTR50" s="4"/>
      <c r="QTS50" s="4"/>
      <c r="QTT50" s="4"/>
      <c r="QTU50" s="4"/>
      <c r="QTV50" s="4"/>
      <c r="QTW50" s="4"/>
      <c r="QTX50" s="4"/>
      <c r="QTY50" s="4"/>
      <c r="QTZ50" s="4"/>
      <c r="QUA50" s="4"/>
      <c r="QUB50" s="4"/>
      <c r="QUC50" s="4"/>
      <c r="QUD50" s="4"/>
      <c r="QUE50" s="4"/>
      <c r="QUF50" s="4"/>
      <c r="QUG50" s="4"/>
      <c r="QUH50" s="4"/>
      <c r="QUI50" s="4"/>
      <c r="QUJ50" s="4"/>
      <c r="QUK50" s="4"/>
      <c r="QUL50" s="4"/>
      <c r="QUM50" s="4"/>
      <c r="QUN50" s="4"/>
      <c r="QUO50" s="4"/>
      <c r="QUP50" s="4"/>
      <c r="QUQ50" s="4"/>
      <c r="QUR50" s="4"/>
      <c r="QUS50" s="4"/>
      <c r="QUT50" s="4"/>
      <c r="QUU50" s="4"/>
      <c r="QUV50" s="4"/>
      <c r="QUW50" s="4"/>
      <c r="QUX50" s="4"/>
      <c r="QUY50" s="4"/>
      <c r="QUZ50" s="4"/>
      <c r="QVA50" s="4"/>
      <c r="QVB50" s="4"/>
      <c r="QVC50" s="4"/>
      <c r="QVD50" s="4"/>
      <c r="QVE50" s="4"/>
      <c r="QVF50" s="4"/>
      <c r="QVG50" s="4"/>
      <c r="QVH50" s="4"/>
      <c r="QVI50" s="4"/>
      <c r="QVJ50" s="4"/>
      <c r="QVK50" s="4"/>
      <c r="QVL50" s="4"/>
      <c r="QVM50" s="4"/>
      <c r="QVN50" s="4"/>
      <c r="QVO50" s="4"/>
      <c r="QVP50" s="4"/>
      <c r="QVQ50" s="4"/>
      <c r="QVR50" s="4"/>
      <c r="QVS50" s="4"/>
      <c r="QVT50" s="4"/>
      <c r="QVU50" s="4"/>
      <c r="QVV50" s="4"/>
      <c r="QVW50" s="4"/>
      <c r="QVX50" s="4"/>
      <c r="QVY50" s="4"/>
      <c r="QVZ50" s="4"/>
      <c r="QWA50" s="4"/>
      <c r="QWB50" s="4"/>
      <c r="QWC50" s="4"/>
      <c r="QWD50" s="4"/>
      <c r="QWE50" s="4"/>
      <c r="QWF50" s="4"/>
      <c r="QWG50" s="4"/>
      <c r="QWH50" s="4"/>
      <c r="QWI50" s="4"/>
      <c r="QWJ50" s="4"/>
      <c r="QWK50" s="4"/>
      <c r="QWL50" s="4"/>
      <c r="QWM50" s="4"/>
      <c r="QWN50" s="4"/>
      <c r="QWO50" s="4"/>
      <c r="QWP50" s="4"/>
      <c r="QWQ50" s="4"/>
      <c r="QWR50" s="4"/>
      <c r="QWS50" s="4"/>
      <c r="QWT50" s="4"/>
      <c r="QWU50" s="4"/>
      <c r="QWV50" s="4"/>
      <c r="QWW50" s="4"/>
      <c r="QWX50" s="4"/>
      <c r="QWY50" s="4"/>
      <c r="QWZ50" s="4"/>
      <c r="QXA50" s="4"/>
      <c r="QXB50" s="4"/>
      <c r="QXC50" s="4"/>
      <c r="QXD50" s="4"/>
      <c r="QXE50" s="4"/>
      <c r="QXF50" s="4"/>
      <c r="QXG50" s="4"/>
      <c r="QXH50" s="4"/>
      <c r="QXI50" s="4"/>
      <c r="QXJ50" s="4"/>
      <c r="QXK50" s="4"/>
      <c r="QXL50" s="4"/>
      <c r="QXM50" s="4"/>
      <c r="QXN50" s="4"/>
      <c r="QXO50" s="4"/>
      <c r="QXP50" s="4"/>
      <c r="QXQ50" s="4"/>
      <c r="QXR50" s="4"/>
      <c r="QXS50" s="4"/>
      <c r="QXT50" s="4"/>
      <c r="QXU50" s="4"/>
      <c r="QXV50" s="4"/>
      <c r="QXW50" s="4"/>
      <c r="QXX50" s="4"/>
      <c r="QXY50" s="4"/>
      <c r="QXZ50" s="4"/>
      <c r="QYA50" s="4"/>
      <c r="QYB50" s="4"/>
      <c r="QYC50" s="4"/>
      <c r="QYD50" s="4"/>
      <c r="QYE50" s="4"/>
      <c r="QYF50" s="4"/>
      <c r="QYG50" s="4"/>
      <c r="QYH50" s="4"/>
      <c r="QYI50" s="4"/>
      <c r="QYJ50" s="4"/>
      <c r="QYK50" s="4"/>
      <c r="QYL50" s="4"/>
      <c r="QYM50" s="4"/>
      <c r="QYN50" s="4"/>
      <c r="QYO50" s="4"/>
      <c r="QYP50" s="4"/>
      <c r="QYQ50" s="4"/>
      <c r="QYR50" s="4"/>
      <c r="QYS50" s="4"/>
      <c r="QYT50" s="4"/>
      <c r="QYU50" s="4"/>
      <c r="QYV50" s="4"/>
      <c r="QYW50" s="4"/>
      <c r="QYX50" s="4"/>
      <c r="QYY50" s="4"/>
      <c r="QYZ50" s="4"/>
      <c r="QZA50" s="4"/>
      <c r="QZB50" s="4"/>
      <c r="QZC50" s="4"/>
      <c r="QZD50" s="4"/>
      <c r="QZE50" s="4"/>
      <c r="QZF50" s="4"/>
      <c r="QZG50" s="4"/>
      <c r="QZH50" s="4"/>
      <c r="QZI50" s="4"/>
      <c r="QZJ50" s="4"/>
      <c r="QZK50" s="4"/>
      <c r="QZL50" s="4"/>
      <c r="QZM50" s="4"/>
      <c r="QZN50" s="4"/>
      <c r="QZO50" s="4"/>
      <c r="QZP50" s="4"/>
      <c r="QZQ50" s="4"/>
      <c r="QZR50" s="4"/>
      <c r="QZS50" s="4"/>
      <c r="QZT50" s="4"/>
      <c r="QZU50" s="4"/>
      <c r="QZV50" s="4"/>
      <c r="QZW50" s="4"/>
      <c r="QZX50" s="4"/>
      <c r="QZY50" s="4"/>
      <c r="QZZ50" s="4"/>
      <c r="RAA50" s="4"/>
      <c r="RAB50" s="4"/>
      <c r="RAC50" s="4"/>
      <c r="RAD50" s="4"/>
      <c r="RAE50" s="4"/>
      <c r="RAF50" s="4"/>
      <c r="RAG50" s="4"/>
      <c r="RAH50" s="4"/>
      <c r="RAI50" s="4"/>
      <c r="RAJ50" s="4"/>
      <c r="RAK50" s="4"/>
      <c r="RAL50" s="4"/>
      <c r="RAM50" s="4"/>
      <c r="RAN50" s="4"/>
      <c r="RAO50" s="4"/>
      <c r="RAP50" s="4"/>
      <c r="RAQ50" s="4"/>
      <c r="RAR50" s="4"/>
      <c r="RAS50" s="4"/>
      <c r="RAT50" s="4"/>
      <c r="RAU50" s="4"/>
      <c r="RAV50" s="4"/>
      <c r="RAW50" s="4"/>
      <c r="RAX50" s="4"/>
      <c r="RAY50" s="4"/>
      <c r="RAZ50" s="4"/>
      <c r="RBA50" s="4"/>
      <c r="RBB50" s="4"/>
      <c r="RBC50" s="4"/>
      <c r="RBD50" s="4"/>
      <c r="RBE50" s="4"/>
      <c r="RBF50" s="4"/>
      <c r="RBG50" s="4"/>
      <c r="RBH50" s="4"/>
      <c r="RBI50" s="4"/>
      <c r="RBJ50" s="4"/>
      <c r="RBK50" s="4"/>
      <c r="RBL50" s="4"/>
      <c r="RBM50" s="4"/>
      <c r="RBN50" s="4"/>
      <c r="RBO50" s="4"/>
      <c r="RBP50" s="4"/>
      <c r="RBQ50" s="4"/>
      <c r="RBR50" s="4"/>
      <c r="RBS50" s="4"/>
      <c r="RBT50" s="4"/>
      <c r="RBU50" s="4"/>
      <c r="RBV50" s="4"/>
      <c r="RBW50" s="4"/>
      <c r="RBX50" s="4"/>
      <c r="RBY50" s="4"/>
      <c r="RBZ50" s="4"/>
      <c r="RCA50" s="4"/>
      <c r="RCB50" s="4"/>
      <c r="RCC50" s="4"/>
      <c r="RCD50" s="4"/>
      <c r="RCE50" s="4"/>
      <c r="RCF50" s="4"/>
      <c r="RCG50" s="4"/>
      <c r="RCH50" s="4"/>
      <c r="RCI50" s="4"/>
      <c r="RCJ50" s="4"/>
      <c r="RCK50" s="4"/>
      <c r="RCL50" s="4"/>
      <c r="RCM50" s="4"/>
      <c r="RCN50" s="4"/>
      <c r="RCO50" s="4"/>
      <c r="RCP50" s="4"/>
      <c r="RCQ50" s="4"/>
      <c r="RCR50" s="4"/>
      <c r="RCS50" s="4"/>
      <c r="RCT50" s="4"/>
      <c r="RCU50" s="4"/>
      <c r="RCV50" s="4"/>
      <c r="RCW50" s="4"/>
      <c r="RCX50" s="4"/>
      <c r="RCY50" s="4"/>
      <c r="RCZ50" s="4"/>
      <c r="RDA50" s="4"/>
      <c r="RDB50" s="4"/>
      <c r="RDC50" s="4"/>
      <c r="RDD50" s="4"/>
      <c r="RDE50" s="4"/>
      <c r="RDF50" s="4"/>
      <c r="RDG50" s="4"/>
      <c r="RDH50" s="4"/>
      <c r="RDI50" s="4"/>
      <c r="RDJ50" s="4"/>
      <c r="RDK50" s="4"/>
      <c r="RDL50" s="4"/>
      <c r="RDM50" s="4"/>
      <c r="RDN50" s="4"/>
      <c r="RDO50" s="4"/>
      <c r="RDP50" s="4"/>
      <c r="RDQ50" s="4"/>
      <c r="RDR50" s="4"/>
      <c r="RDS50" s="4"/>
      <c r="RDT50" s="4"/>
      <c r="RDU50" s="4"/>
      <c r="RDV50" s="4"/>
      <c r="RDW50" s="4"/>
      <c r="RDX50" s="4"/>
      <c r="RDY50" s="4"/>
      <c r="RDZ50" s="4"/>
      <c r="REA50" s="4"/>
      <c r="REB50" s="4"/>
      <c r="REC50" s="4"/>
      <c r="RED50" s="4"/>
      <c r="REE50" s="4"/>
      <c r="REF50" s="4"/>
      <c r="REG50" s="4"/>
      <c r="REH50" s="4"/>
      <c r="REI50" s="4"/>
      <c r="REJ50" s="4"/>
      <c r="REK50" s="4"/>
      <c r="REL50" s="4"/>
      <c r="REM50" s="4"/>
      <c r="REN50" s="4"/>
      <c r="REO50" s="4"/>
      <c r="REP50" s="4"/>
      <c r="REQ50" s="4"/>
      <c r="RER50" s="4"/>
      <c r="RES50" s="4"/>
      <c r="RET50" s="4"/>
      <c r="REU50" s="4"/>
      <c r="REV50" s="4"/>
      <c r="REW50" s="4"/>
      <c r="REX50" s="4"/>
      <c r="REY50" s="4"/>
      <c r="REZ50" s="4"/>
      <c r="RFA50" s="4"/>
      <c r="RFB50" s="4"/>
      <c r="RFC50" s="4"/>
      <c r="RFD50" s="4"/>
      <c r="RFE50" s="4"/>
      <c r="RFF50" s="4"/>
      <c r="RFG50" s="4"/>
      <c r="RFH50" s="4"/>
      <c r="RFI50" s="4"/>
      <c r="RFJ50" s="4"/>
      <c r="RFK50" s="4"/>
      <c r="RFL50" s="4"/>
      <c r="RFM50" s="4"/>
      <c r="RFN50" s="4"/>
      <c r="RFO50" s="4"/>
      <c r="RFP50" s="4"/>
      <c r="RFQ50" s="4"/>
      <c r="RFR50" s="4"/>
      <c r="RFS50" s="4"/>
      <c r="RFT50" s="4"/>
      <c r="RFU50" s="4"/>
      <c r="RFV50" s="4"/>
      <c r="RFW50" s="4"/>
      <c r="RFX50" s="4"/>
      <c r="RFY50" s="4"/>
      <c r="RFZ50" s="4"/>
      <c r="RGA50" s="4"/>
      <c r="RGB50" s="4"/>
      <c r="RGC50" s="4"/>
      <c r="RGD50" s="4"/>
      <c r="RGE50" s="4"/>
      <c r="RGF50" s="4"/>
      <c r="RGG50" s="4"/>
      <c r="RGH50" s="4"/>
      <c r="RGI50" s="4"/>
      <c r="RGJ50" s="4"/>
      <c r="RGK50" s="4"/>
      <c r="RGL50" s="4"/>
      <c r="RGM50" s="4"/>
      <c r="RGN50" s="4"/>
      <c r="RGO50" s="4"/>
      <c r="RGP50" s="4"/>
      <c r="RGQ50" s="4"/>
      <c r="RGR50" s="4"/>
      <c r="RGS50" s="4"/>
      <c r="RGT50" s="4"/>
      <c r="RGU50" s="4"/>
      <c r="RGV50" s="4"/>
      <c r="RGW50" s="4"/>
      <c r="RGX50" s="4"/>
      <c r="RGY50" s="4"/>
      <c r="RGZ50" s="4"/>
      <c r="RHA50" s="4"/>
      <c r="RHB50" s="4"/>
      <c r="RHC50" s="4"/>
      <c r="RHD50" s="4"/>
      <c r="RHE50" s="4"/>
      <c r="RHF50" s="4"/>
      <c r="RHG50" s="4"/>
      <c r="RHH50" s="4"/>
      <c r="RHI50" s="4"/>
      <c r="RHJ50" s="4"/>
      <c r="RHK50" s="4"/>
      <c r="RHL50" s="4"/>
      <c r="RHM50" s="4"/>
      <c r="RHN50" s="4"/>
      <c r="RHO50" s="4"/>
      <c r="RHP50" s="4"/>
      <c r="RHQ50" s="4"/>
      <c r="RHR50" s="4"/>
      <c r="RHS50" s="4"/>
      <c r="RHT50" s="4"/>
      <c r="RHU50" s="4"/>
      <c r="RHV50" s="4"/>
      <c r="RHW50" s="4"/>
      <c r="RHX50" s="4"/>
      <c r="RHY50" s="4"/>
      <c r="RHZ50" s="4"/>
      <c r="RIA50" s="4"/>
      <c r="RIB50" s="4"/>
      <c r="RIC50" s="4"/>
      <c r="RID50" s="4"/>
      <c r="RIE50" s="4"/>
      <c r="RIF50" s="4"/>
      <c r="RIG50" s="4"/>
      <c r="RIH50" s="4"/>
      <c r="RII50" s="4"/>
      <c r="RIJ50" s="4"/>
      <c r="RIK50" s="4"/>
      <c r="RIL50" s="4"/>
      <c r="RIM50" s="4"/>
      <c r="RIN50" s="4"/>
      <c r="RIO50" s="4"/>
      <c r="RIP50" s="4"/>
      <c r="RIQ50" s="4"/>
      <c r="RIR50" s="4"/>
      <c r="RIS50" s="4"/>
      <c r="RIT50" s="4"/>
      <c r="RIU50" s="4"/>
      <c r="RIV50" s="4"/>
      <c r="RIW50" s="4"/>
      <c r="RIX50" s="4"/>
      <c r="RIY50" s="4"/>
      <c r="RIZ50" s="4"/>
      <c r="RJA50" s="4"/>
      <c r="RJB50" s="4"/>
      <c r="RJC50" s="4"/>
      <c r="RJD50" s="4"/>
      <c r="RJE50" s="4"/>
      <c r="RJF50" s="4"/>
      <c r="RJG50" s="4"/>
      <c r="RJH50" s="4"/>
      <c r="RJI50" s="4"/>
      <c r="RJJ50" s="4"/>
      <c r="RJK50" s="4"/>
      <c r="RJL50" s="4"/>
      <c r="RJM50" s="4"/>
      <c r="RJN50" s="4"/>
      <c r="RJO50" s="4"/>
      <c r="RJP50" s="4"/>
      <c r="RJQ50" s="4"/>
      <c r="RJR50" s="4"/>
      <c r="RJS50" s="4"/>
      <c r="RJT50" s="4"/>
      <c r="RJU50" s="4"/>
      <c r="RJV50" s="4"/>
      <c r="RJW50" s="4"/>
      <c r="RJX50" s="4"/>
      <c r="RJY50" s="4"/>
      <c r="RJZ50" s="4"/>
      <c r="RKA50" s="4"/>
      <c r="RKB50" s="4"/>
      <c r="RKC50" s="4"/>
      <c r="RKD50" s="4"/>
      <c r="RKE50" s="4"/>
      <c r="RKF50" s="4"/>
      <c r="RKG50" s="4"/>
      <c r="RKH50" s="4"/>
      <c r="RKI50" s="4"/>
      <c r="RKJ50" s="4"/>
      <c r="RKK50" s="4"/>
      <c r="RKL50" s="4"/>
      <c r="RKM50" s="4"/>
      <c r="RKN50" s="4"/>
      <c r="RKO50" s="4"/>
      <c r="RKP50" s="4"/>
      <c r="RKQ50" s="4"/>
      <c r="RKR50" s="4"/>
      <c r="RKS50" s="4"/>
      <c r="RKT50" s="4"/>
      <c r="RKU50" s="4"/>
      <c r="RKV50" s="4"/>
      <c r="RKW50" s="4"/>
      <c r="RKX50" s="4"/>
      <c r="RKY50" s="4"/>
      <c r="RKZ50" s="4"/>
      <c r="RLA50" s="4"/>
      <c r="RLB50" s="4"/>
      <c r="RLC50" s="4"/>
      <c r="RLD50" s="4"/>
      <c r="RLE50" s="4"/>
      <c r="RLF50" s="4"/>
      <c r="RLG50" s="4"/>
      <c r="RLH50" s="4"/>
      <c r="RLI50" s="4"/>
      <c r="RLJ50" s="4"/>
      <c r="RLK50" s="4"/>
      <c r="RLL50" s="4"/>
      <c r="RLM50" s="4"/>
      <c r="RLN50" s="4"/>
      <c r="RLO50" s="4"/>
      <c r="RLP50" s="4"/>
      <c r="RLQ50" s="4"/>
      <c r="RLR50" s="4"/>
      <c r="RLS50" s="4"/>
      <c r="RLT50" s="4"/>
      <c r="RLU50" s="4"/>
      <c r="RLV50" s="4"/>
      <c r="RLW50" s="4"/>
      <c r="RLX50" s="4"/>
      <c r="RLY50" s="4"/>
      <c r="RLZ50" s="4"/>
      <c r="RMA50" s="4"/>
      <c r="RMB50" s="4"/>
      <c r="RMC50" s="4"/>
      <c r="RMD50" s="4"/>
      <c r="RME50" s="4"/>
      <c r="RMF50" s="4"/>
      <c r="RMG50" s="4"/>
      <c r="RMH50" s="4"/>
      <c r="RMI50" s="4"/>
      <c r="RMJ50" s="4"/>
      <c r="RMK50" s="4"/>
      <c r="RML50" s="4"/>
      <c r="RMM50" s="4"/>
      <c r="RMN50" s="4"/>
      <c r="RMO50" s="4"/>
      <c r="RMP50" s="4"/>
      <c r="RMQ50" s="4"/>
      <c r="RMR50" s="4"/>
      <c r="RMS50" s="4"/>
      <c r="RMT50" s="4"/>
      <c r="RMU50" s="4"/>
      <c r="RMV50" s="4"/>
      <c r="RMW50" s="4"/>
      <c r="RMX50" s="4"/>
      <c r="RMY50" s="4"/>
      <c r="RMZ50" s="4"/>
      <c r="RNA50" s="4"/>
      <c r="RNB50" s="4"/>
      <c r="RNC50" s="4"/>
      <c r="RND50" s="4"/>
      <c r="RNE50" s="4"/>
      <c r="RNF50" s="4"/>
      <c r="RNG50" s="4"/>
      <c r="RNH50" s="4"/>
      <c r="RNI50" s="4"/>
      <c r="RNJ50" s="4"/>
      <c r="RNK50" s="4"/>
      <c r="RNL50" s="4"/>
      <c r="RNM50" s="4"/>
      <c r="RNN50" s="4"/>
      <c r="RNO50" s="4"/>
      <c r="RNP50" s="4"/>
      <c r="RNQ50" s="4"/>
      <c r="RNR50" s="4"/>
      <c r="RNS50" s="4"/>
      <c r="RNT50" s="4"/>
      <c r="RNU50" s="4"/>
      <c r="RNV50" s="4"/>
      <c r="RNW50" s="4"/>
      <c r="RNX50" s="4"/>
      <c r="RNY50" s="4"/>
      <c r="RNZ50" s="4"/>
      <c r="ROA50" s="4"/>
      <c r="ROB50" s="4"/>
      <c r="ROC50" s="4"/>
      <c r="ROD50" s="4"/>
      <c r="ROE50" s="4"/>
      <c r="ROF50" s="4"/>
      <c r="ROG50" s="4"/>
      <c r="ROH50" s="4"/>
      <c r="ROI50" s="4"/>
      <c r="ROJ50" s="4"/>
      <c r="ROK50" s="4"/>
      <c r="ROL50" s="4"/>
      <c r="ROM50" s="4"/>
      <c r="RON50" s="4"/>
      <c r="ROO50" s="4"/>
      <c r="ROP50" s="4"/>
      <c r="ROQ50" s="4"/>
      <c r="ROR50" s="4"/>
      <c r="ROS50" s="4"/>
      <c r="ROT50" s="4"/>
      <c r="ROU50" s="4"/>
      <c r="ROV50" s="4"/>
      <c r="ROW50" s="4"/>
      <c r="ROX50" s="4"/>
      <c r="ROY50" s="4"/>
      <c r="ROZ50" s="4"/>
      <c r="RPA50" s="4"/>
      <c r="RPB50" s="4"/>
      <c r="RPC50" s="4"/>
      <c r="RPD50" s="4"/>
      <c r="RPE50" s="4"/>
      <c r="RPF50" s="4"/>
      <c r="RPG50" s="4"/>
      <c r="RPH50" s="4"/>
      <c r="RPI50" s="4"/>
      <c r="RPJ50" s="4"/>
      <c r="RPK50" s="4"/>
      <c r="RPL50" s="4"/>
      <c r="RPM50" s="4"/>
      <c r="RPN50" s="4"/>
      <c r="RPO50" s="4"/>
      <c r="RPP50" s="4"/>
      <c r="RPQ50" s="4"/>
      <c r="RPR50" s="4"/>
      <c r="RPS50" s="4"/>
      <c r="RPT50" s="4"/>
      <c r="RPU50" s="4"/>
      <c r="RPV50" s="4"/>
      <c r="RPW50" s="4"/>
      <c r="RPX50" s="4"/>
      <c r="RPY50" s="4"/>
      <c r="RPZ50" s="4"/>
      <c r="RQA50" s="4"/>
      <c r="RQB50" s="4"/>
      <c r="RQC50" s="4"/>
      <c r="RQD50" s="4"/>
      <c r="RQE50" s="4"/>
      <c r="RQF50" s="4"/>
      <c r="RQG50" s="4"/>
      <c r="RQH50" s="4"/>
      <c r="RQI50" s="4"/>
      <c r="RQJ50" s="4"/>
      <c r="RQK50" s="4"/>
      <c r="RQL50" s="4"/>
      <c r="RQM50" s="4"/>
      <c r="RQN50" s="4"/>
      <c r="RQO50" s="4"/>
      <c r="RQP50" s="4"/>
      <c r="RQQ50" s="4"/>
      <c r="RQR50" s="4"/>
      <c r="RQS50" s="4"/>
      <c r="RQT50" s="4"/>
      <c r="RQU50" s="4"/>
      <c r="RQV50" s="4"/>
      <c r="RQW50" s="4"/>
      <c r="RQX50" s="4"/>
      <c r="RQY50" s="4"/>
      <c r="RQZ50" s="4"/>
      <c r="RRA50" s="4"/>
      <c r="RRB50" s="4"/>
      <c r="RRC50" s="4"/>
      <c r="RRD50" s="4"/>
      <c r="RRE50" s="4"/>
      <c r="RRF50" s="4"/>
      <c r="RRG50" s="4"/>
      <c r="RRH50" s="4"/>
      <c r="RRI50" s="4"/>
      <c r="RRJ50" s="4"/>
      <c r="RRK50" s="4"/>
      <c r="RRL50" s="4"/>
      <c r="RRM50" s="4"/>
      <c r="RRN50" s="4"/>
      <c r="RRO50" s="4"/>
      <c r="RRP50" s="4"/>
      <c r="RRQ50" s="4"/>
      <c r="RRR50" s="4"/>
      <c r="RRS50" s="4"/>
      <c r="RRT50" s="4"/>
      <c r="RRU50" s="4"/>
      <c r="RRV50" s="4"/>
      <c r="RRW50" s="4"/>
      <c r="RRX50" s="4"/>
      <c r="RRY50" s="4"/>
      <c r="RRZ50" s="4"/>
      <c r="RSA50" s="4"/>
      <c r="RSB50" s="4"/>
      <c r="RSC50" s="4"/>
      <c r="RSD50" s="4"/>
      <c r="RSE50" s="4"/>
      <c r="RSF50" s="4"/>
      <c r="RSG50" s="4"/>
      <c r="RSH50" s="4"/>
      <c r="RSI50" s="4"/>
      <c r="RSJ50" s="4"/>
      <c r="RSK50" s="4"/>
      <c r="RSL50" s="4"/>
      <c r="RSM50" s="4"/>
      <c r="RSN50" s="4"/>
      <c r="RSO50" s="4"/>
      <c r="RSP50" s="4"/>
      <c r="RSQ50" s="4"/>
      <c r="RSR50" s="4"/>
      <c r="RSS50" s="4"/>
      <c r="RST50" s="4"/>
      <c r="RSU50" s="4"/>
      <c r="RSV50" s="4"/>
      <c r="RSW50" s="4"/>
      <c r="RSX50" s="4"/>
      <c r="RSY50" s="4"/>
      <c r="RSZ50" s="4"/>
      <c r="RTA50" s="4"/>
      <c r="RTB50" s="4"/>
      <c r="RTC50" s="4"/>
      <c r="RTD50" s="4"/>
      <c r="RTE50" s="4"/>
      <c r="RTF50" s="4"/>
      <c r="RTG50" s="4"/>
      <c r="RTH50" s="4"/>
      <c r="RTI50" s="4"/>
      <c r="RTJ50" s="4"/>
      <c r="RTK50" s="4"/>
      <c r="RTL50" s="4"/>
      <c r="RTM50" s="4"/>
      <c r="RTN50" s="4"/>
      <c r="RTO50" s="4"/>
      <c r="RTP50" s="4"/>
      <c r="RTQ50" s="4"/>
      <c r="RTR50" s="4"/>
      <c r="RTS50" s="4"/>
      <c r="RTT50" s="4"/>
      <c r="RTU50" s="4"/>
      <c r="RTV50" s="4"/>
      <c r="RTW50" s="4"/>
      <c r="RTX50" s="4"/>
      <c r="RTY50" s="4"/>
      <c r="RTZ50" s="4"/>
      <c r="RUA50" s="4"/>
      <c r="RUB50" s="4"/>
      <c r="RUC50" s="4"/>
      <c r="RUD50" s="4"/>
      <c r="RUE50" s="4"/>
      <c r="RUF50" s="4"/>
      <c r="RUG50" s="4"/>
      <c r="RUH50" s="4"/>
      <c r="RUI50" s="4"/>
      <c r="RUJ50" s="4"/>
      <c r="RUK50" s="4"/>
      <c r="RUL50" s="4"/>
      <c r="RUM50" s="4"/>
      <c r="RUN50" s="4"/>
      <c r="RUO50" s="4"/>
      <c r="RUP50" s="4"/>
      <c r="RUQ50" s="4"/>
      <c r="RUR50" s="4"/>
      <c r="RUS50" s="4"/>
      <c r="RUT50" s="4"/>
      <c r="RUU50" s="4"/>
      <c r="RUV50" s="4"/>
      <c r="RUW50" s="4"/>
      <c r="RUX50" s="4"/>
      <c r="RUY50" s="4"/>
      <c r="RUZ50" s="4"/>
      <c r="RVA50" s="4"/>
      <c r="RVB50" s="4"/>
      <c r="RVC50" s="4"/>
      <c r="RVD50" s="4"/>
      <c r="RVE50" s="4"/>
      <c r="RVF50" s="4"/>
      <c r="RVG50" s="4"/>
      <c r="RVH50" s="4"/>
      <c r="RVI50" s="4"/>
      <c r="RVJ50" s="4"/>
      <c r="RVK50" s="4"/>
      <c r="RVL50" s="4"/>
      <c r="RVM50" s="4"/>
      <c r="RVN50" s="4"/>
      <c r="RVO50" s="4"/>
      <c r="RVP50" s="4"/>
      <c r="RVQ50" s="4"/>
      <c r="RVR50" s="4"/>
      <c r="RVS50" s="4"/>
      <c r="RVT50" s="4"/>
      <c r="RVU50" s="4"/>
      <c r="RVV50" s="4"/>
      <c r="RVW50" s="4"/>
      <c r="RVX50" s="4"/>
      <c r="RVY50" s="4"/>
      <c r="RVZ50" s="4"/>
      <c r="RWA50" s="4"/>
      <c r="RWB50" s="4"/>
      <c r="RWC50" s="4"/>
      <c r="RWD50" s="4"/>
      <c r="RWE50" s="4"/>
      <c r="RWF50" s="4"/>
      <c r="RWG50" s="4"/>
      <c r="RWH50" s="4"/>
      <c r="RWI50" s="4"/>
      <c r="RWJ50" s="4"/>
      <c r="RWK50" s="4"/>
      <c r="RWL50" s="4"/>
      <c r="RWM50" s="4"/>
      <c r="RWN50" s="4"/>
      <c r="RWO50" s="4"/>
      <c r="RWP50" s="4"/>
      <c r="RWQ50" s="4"/>
      <c r="RWR50" s="4"/>
      <c r="RWS50" s="4"/>
      <c r="RWT50" s="4"/>
      <c r="RWU50" s="4"/>
      <c r="RWV50" s="4"/>
      <c r="RWW50" s="4"/>
      <c r="RWX50" s="4"/>
      <c r="RWY50" s="4"/>
      <c r="RWZ50" s="4"/>
      <c r="RXA50" s="4"/>
      <c r="RXB50" s="4"/>
      <c r="RXC50" s="4"/>
      <c r="RXD50" s="4"/>
      <c r="RXE50" s="4"/>
      <c r="RXF50" s="4"/>
      <c r="RXG50" s="4"/>
      <c r="RXH50" s="4"/>
      <c r="RXI50" s="4"/>
      <c r="RXJ50" s="4"/>
      <c r="RXK50" s="4"/>
      <c r="RXL50" s="4"/>
      <c r="RXM50" s="4"/>
      <c r="RXN50" s="4"/>
      <c r="RXO50" s="4"/>
      <c r="RXP50" s="4"/>
      <c r="RXQ50" s="4"/>
      <c r="RXR50" s="4"/>
      <c r="RXS50" s="4"/>
      <c r="RXT50" s="4"/>
      <c r="RXU50" s="4"/>
      <c r="RXV50" s="4"/>
      <c r="RXW50" s="4"/>
      <c r="RXX50" s="4"/>
      <c r="RXY50" s="4"/>
      <c r="RXZ50" s="4"/>
      <c r="RYA50" s="4"/>
      <c r="RYB50" s="4"/>
      <c r="RYC50" s="4"/>
      <c r="RYD50" s="4"/>
      <c r="RYE50" s="4"/>
      <c r="RYF50" s="4"/>
      <c r="RYG50" s="4"/>
      <c r="RYH50" s="4"/>
      <c r="RYI50" s="4"/>
      <c r="RYJ50" s="4"/>
      <c r="RYK50" s="4"/>
      <c r="RYL50" s="4"/>
      <c r="RYM50" s="4"/>
      <c r="RYN50" s="4"/>
      <c r="RYO50" s="4"/>
      <c r="RYP50" s="4"/>
      <c r="RYQ50" s="4"/>
      <c r="RYR50" s="4"/>
      <c r="RYS50" s="4"/>
      <c r="RYT50" s="4"/>
      <c r="RYU50" s="4"/>
      <c r="RYV50" s="4"/>
      <c r="RYW50" s="4"/>
      <c r="RYX50" s="4"/>
      <c r="RYY50" s="4"/>
      <c r="RYZ50" s="4"/>
      <c r="RZA50" s="4"/>
      <c r="RZB50" s="4"/>
      <c r="RZC50" s="4"/>
      <c r="RZD50" s="4"/>
      <c r="RZE50" s="4"/>
      <c r="RZF50" s="4"/>
      <c r="RZG50" s="4"/>
      <c r="RZH50" s="4"/>
      <c r="RZI50" s="4"/>
      <c r="RZJ50" s="4"/>
      <c r="RZK50" s="4"/>
      <c r="RZL50" s="4"/>
      <c r="RZM50" s="4"/>
      <c r="RZN50" s="4"/>
      <c r="RZO50" s="4"/>
      <c r="RZP50" s="4"/>
      <c r="RZQ50" s="4"/>
      <c r="RZR50" s="4"/>
      <c r="RZS50" s="4"/>
      <c r="RZT50" s="4"/>
      <c r="RZU50" s="4"/>
      <c r="RZV50" s="4"/>
      <c r="RZW50" s="4"/>
      <c r="RZX50" s="4"/>
      <c r="RZY50" s="4"/>
      <c r="RZZ50" s="4"/>
      <c r="SAA50" s="4"/>
      <c r="SAB50" s="4"/>
      <c r="SAC50" s="4"/>
      <c r="SAD50" s="4"/>
      <c r="SAE50" s="4"/>
      <c r="SAF50" s="4"/>
      <c r="SAG50" s="4"/>
      <c r="SAH50" s="4"/>
      <c r="SAI50" s="4"/>
      <c r="SAJ50" s="4"/>
      <c r="SAK50" s="4"/>
      <c r="SAL50" s="4"/>
      <c r="SAM50" s="4"/>
      <c r="SAN50" s="4"/>
      <c r="SAO50" s="4"/>
      <c r="SAP50" s="4"/>
      <c r="SAQ50" s="4"/>
      <c r="SAR50" s="4"/>
      <c r="SAS50" s="4"/>
      <c r="SAT50" s="4"/>
      <c r="SAU50" s="4"/>
      <c r="SAV50" s="4"/>
      <c r="SAW50" s="4"/>
      <c r="SAX50" s="4"/>
      <c r="SAY50" s="4"/>
      <c r="SAZ50" s="4"/>
      <c r="SBA50" s="4"/>
      <c r="SBB50" s="4"/>
      <c r="SBC50" s="4"/>
      <c r="SBD50" s="4"/>
      <c r="SBE50" s="4"/>
      <c r="SBF50" s="4"/>
      <c r="SBG50" s="4"/>
      <c r="SBH50" s="4"/>
      <c r="SBI50" s="4"/>
      <c r="SBJ50" s="4"/>
      <c r="SBK50" s="4"/>
      <c r="SBL50" s="4"/>
      <c r="SBM50" s="4"/>
      <c r="SBN50" s="4"/>
      <c r="SBO50" s="4"/>
      <c r="SBP50" s="4"/>
      <c r="SBQ50" s="4"/>
      <c r="SBR50" s="4"/>
      <c r="SBS50" s="4"/>
      <c r="SBT50" s="4"/>
      <c r="SBU50" s="4"/>
      <c r="SBV50" s="4"/>
      <c r="SBW50" s="4"/>
      <c r="SBX50" s="4"/>
      <c r="SBY50" s="4"/>
      <c r="SBZ50" s="4"/>
      <c r="SCA50" s="4"/>
      <c r="SCB50" s="4"/>
      <c r="SCC50" s="4"/>
      <c r="SCD50" s="4"/>
      <c r="SCE50" s="4"/>
      <c r="SCF50" s="4"/>
      <c r="SCG50" s="4"/>
      <c r="SCH50" s="4"/>
      <c r="SCI50" s="4"/>
      <c r="SCJ50" s="4"/>
      <c r="SCK50" s="4"/>
      <c r="SCL50" s="4"/>
      <c r="SCM50" s="4"/>
      <c r="SCN50" s="4"/>
      <c r="SCO50" s="4"/>
      <c r="SCP50" s="4"/>
      <c r="SCQ50" s="4"/>
      <c r="SCR50" s="4"/>
      <c r="SCS50" s="4"/>
      <c r="SCT50" s="4"/>
      <c r="SCU50" s="4"/>
      <c r="SCV50" s="4"/>
      <c r="SCW50" s="4"/>
      <c r="SCX50" s="4"/>
      <c r="SCY50" s="4"/>
      <c r="SCZ50" s="4"/>
      <c r="SDA50" s="4"/>
      <c r="SDB50" s="4"/>
      <c r="SDC50" s="4"/>
      <c r="SDD50" s="4"/>
      <c r="SDE50" s="4"/>
      <c r="SDF50" s="4"/>
      <c r="SDG50" s="4"/>
      <c r="SDH50" s="4"/>
      <c r="SDI50" s="4"/>
      <c r="SDJ50" s="4"/>
      <c r="SDK50" s="4"/>
      <c r="SDL50" s="4"/>
      <c r="SDM50" s="4"/>
      <c r="SDN50" s="4"/>
      <c r="SDO50" s="4"/>
      <c r="SDP50" s="4"/>
      <c r="SDQ50" s="4"/>
      <c r="SDR50" s="4"/>
      <c r="SDS50" s="4"/>
      <c r="SDT50" s="4"/>
      <c r="SDU50" s="4"/>
      <c r="SDV50" s="4"/>
      <c r="SDW50" s="4"/>
      <c r="SDX50" s="4"/>
      <c r="SDY50" s="4"/>
      <c r="SDZ50" s="4"/>
      <c r="SEA50" s="4"/>
      <c r="SEB50" s="4"/>
      <c r="SEC50" s="4"/>
      <c r="SED50" s="4"/>
      <c r="SEE50" s="4"/>
      <c r="SEF50" s="4"/>
      <c r="SEG50" s="4"/>
      <c r="SEH50" s="4"/>
      <c r="SEI50" s="4"/>
      <c r="SEJ50" s="4"/>
      <c r="SEK50" s="4"/>
      <c r="SEL50" s="4"/>
      <c r="SEM50" s="4"/>
      <c r="SEN50" s="4"/>
      <c r="SEO50" s="4"/>
      <c r="SEP50" s="4"/>
      <c r="SEQ50" s="4"/>
      <c r="SER50" s="4"/>
      <c r="SES50" s="4"/>
      <c r="SET50" s="4"/>
      <c r="SEU50" s="4"/>
      <c r="SEV50" s="4"/>
      <c r="SEW50" s="4"/>
      <c r="SEX50" s="4"/>
      <c r="SEY50" s="4"/>
      <c r="SEZ50" s="4"/>
      <c r="SFA50" s="4"/>
      <c r="SFB50" s="4"/>
      <c r="SFC50" s="4"/>
      <c r="SFD50" s="4"/>
      <c r="SFE50" s="4"/>
      <c r="SFF50" s="4"/>
      <c r="SFG50" s="4"/>
      <c r="SFH50" s="4"/>
      <c r="SFI50" s="4"/>
      <c r="SFJ50" s="4"/>
      <c r="SFK50" s="4"/>
      <c r="SFL50" s="4"/>
      <c r="SFM50" s="4"/>
      <c r="SFN50" s="4"/>
      <c r="SFO50" s="4"/>
      <c r="SFP50" s="4"/>
      <c r="SFQ50" s="4"/>
      <c r="SFR50" s="4"/>
      <c r="SFS50" s="4"/>
      <c r="SFT50" s="4"/>
      <c r="SFU50" s="4"/>
      <c r="SFV50" s="4"/>
      <c r="SFW50" s="4"/>
      <c r="SFX50" s="4"/>
      <c r="SFY50" s="4"/>
      <c r="SFZ50" s="4"/>
      <c r="SGA50" s="4"/>
      <c r="SGB50" s="4"/>
      <c r="SGC50" s="4"/>
      <c r="SGD50" s="4"/>
      <c r="SGE50" s="4"/>
      <c r="SGF50" s="4"/>
      <c r="SGG50" s="4"/>
      <c r="SGH50" s="4"/>
      <c r="SGI50" s="4"/>
      <c r="SGJ50" s="4"/>
      <c r="SGK50" s="4"/>
      <c r="SGL50" s="4"/>
      <c r="SGM50" s="4"/>
      <c r="SGN50" s="4"/>
      <c r="SGO50" s="4"/>
      <c r="SGP50" s="4"/>
      <c r="SGQ50" s="4"/>
      <c r="SGR50" s="4"/>
      <c r="SGS50" s="4"/>
      <c r="SGT50" s="4"/>
      <c r="SGU50" s="4"/>
      <c r="SGV50" s="4"/>
      <c r="SGW50" s="4"/>
      <c r="SGX50" s="4"/>
      <c r="SGY50" s="4"/>
      <c r="SGZ50" s="4"/>
      <c r="SHA50" s="4"/>
      <c r="SHB50" s="4"/>
      <c r="SHC50" s="4"/>
      <c r="SHD50" s="4"/>
      <c r="SHE50" s="4"/>
      <c r="SHF50" s="4"/>
      <c r="SHG50" s="4"/>
      <c r="SHH50" s="4"/>
      <c r="SHI50" s="4"/>
      <c r="SHJ50" s="4"/>
      <c r="SHK50" s="4"/>
      <c r="SHL50" s="4"/>
      <c r="SHM50" s="4"/>
      <c r="SHN50" s="4"/>
      <c r="SHO50" s="4"/>
      <c r="SHP50" s="4"/>
      <c r="SHQ50" s="4"/>
      <c r="SHR50" s="4"/>
      <c r="SHS50" s="4"/>
      <c r="SHT50" s="4"/>
      <c r="SHU50" s="4"/>
      <c r="SHV50" s="4"/>
      <c r="SHW50" s="4"/>
      <c r="SHX50" s="4"/>
      <c r="SHY50" s="4"/>
      <c r="SHZ50" s="4"/>
      <c r="SIA50" s="4"/>
      <c r="SIB50" s="4"/>
      <c r="SIC50" s="4"/>
      <c r="SID50" s="4"/>
      <c r="SIE50" s="4"/>
      <c r="SIF50" s="4"/>
      <c r="SIG50" s="4"/>
      <c r="SIH50" s="4"/>
      <c r="SII50" s="4"/>
      <c r="SIJ50" s="4"/>
      <c r="SIK50" s="4"/>
      <c r="SIL50" s="4"/>
      <c r="SIM50" s="4"/>
      <c r="SIN50" s="4"/>
      <c r="SIO50" s="4"/>
      <c r="SIP50" s="4"/>
      <c r="SIQ50" s="4"/>
      <c r="SIR50" s="4"/>
      <c r="SIS50" s="4"/>
      <c r="SIT50" s="4"/>
      <c r="SIU50" s="4"/>
      <c r="SIV50" s="4"/>
      <c r="SIW50" s="4"/>
      <c r="SIX50" s="4"/>
      <c r="SIY50" s="4"/>
      <c r="SIZ50" s="4"/>
      <c r="SJA50" s="4"/>
      <c r="SJB50" s="4"/>
      <c r="SJC50" s="4"/>
      <c r="SJD50" s="4"/>
      <c r="SJE50" s="4"/>
      <c r="SJF50" s="4"/>
      <c r="SJG50" s="4"/>
      <c r="SJH50" s="4"/>
      <c r="SJI50" s="4"/>
      <c r="SJJ50" s="4"/>
      <c r="SJK50" s="4"/>
      <c r="SJL50" s="4"/>
      <c r="SJM50" s="4"/>
      <c r="SJN50" s="4"/>
      <c r="SJO50" s="4"/>
      <c r="SJP50" s="4"/>
      <c r="SJQ50" s="4"/>
      <c r="SJR50" s="4"/>
      <c r="SJS50" s="4"/>
      <c r="SJT50" s="4"/>
      <c r="SJU50" s="4"/>
      <c r="SJV50" s="4"/>
      <c r="SJW50" s="4"/>
      <c r="SJX50" s="4"/>
      <c r="SJY50" s="4"/>
      <c r="SJZ50" s="4"/>
      <c r="SKA50" s="4"/>
      <c r="SKB50" s="4"/>
      <c r="SKC50" s="4"/>
      <c r="SKD50" s="4"/>
      <c r="SKE50" s="4"/>
      <c r="SKF50" s="4"/>
      <c r="SKG50" s="4"/>
      <c r="SKH50" s="4"/>
      <c r="SKI50" s="4"/>
      <c r="SKJ50" s="4"/>
      <c r="SKK50" s="4"/>
      <c r="SKL50" s="4"/>
      <c r="SKM50" s="4"/>
      <c r="SKN50" s="4"/>
      <c r="SKO50" s="4"/>
      <c r="SKP50" s="4"/>
      <c r="SKQ50" s="4"/>
      <c r="SKR50" s="4"/>
      <c r="SKS50" s="4"/>
      <c r="SKT50" s="4"/>
      <c r="SKU50" s="4"/>
      <c r="SKV50" s="4"/>
      <c r="SKW50" s="4"/>
      <c r="SKX50" s="4"/>
      <c r="SKY50" s="4"/>
      <c r="SKZ50" s="4"/>
      <c r="SLA50" s="4"/>
      <c r="SLB50" s="4"/>
      <c r="SLC50" s="4"/>
      <c r="SLD50" s="4"/>
      <c r="SLE50" s="4"/>
      <c r="SLF50" s="4"/>
      <c r="SLG50" s="4"/>
      <c r="SLH50" s="4"/>
      <c r="SLI50" s="4"/>
      <c r="SLJ50" s="4"/>
      <c r="SLK50" s="4"/>
      <c r="SLL50" s="4"/>
      <c r="SLM50" s="4"/>
      <c r="SLN50" s="4"/>
      <c r="SLO50" s="4"/>
      <c r="SLP50" s="4"/>
      <c r="SLQ50" s="4"/>
      <c r="SLR50" s="4"/>
      <c r="SLS50" s="4"/>
      <c r="SLT50" s="4"/>
      <c r="SLU50" s="4"/>
      <c r="SLV50" s="4"/>
      <c r="SLW50" s="4"/>
      <c r="SLX50" s="4"/>
      <c r="SLY50" s="4"/>
      <c r="SLZ50" s="4"/>
      <c r="SMA50" s="4"/>
      <c r="SMB50" s="4"/>
      <c r="SMC50" s="4"/>
      <c r="SMD50" s="4"/>
      <c r="SME50" s="4"/>
      <c r="SMF50" s="4"/>
      <c r="SMG50" s="4"/>
      <c r="SMH50" s="4"/>
      <c r="SMI50" s="4"/>
      <c r="SMJ50" s="4"/>
      <c r="SMK50" s="4"/>
      <c r="SML50" s="4"/>
      <c r="SMM50" s="4"/>
      <c r="SMN50" s="4"/>
      <c r="SMO50" s="4"/>
      <c r="SMP50" s="4"/>
      <c r="SMQ50" s="4"/>
      <c r="SMR50" s="4"/>
      <c r="SMS50" s="4"/>
      <c r="SMT50" s="4"/>
      <c r="SMU50" s="4"/>
      <c r="SMV50" s="4"/>
      <c r="SMW50" s="4"/>
      <c r="SMX50" s="4"/>
      <c r="SMY50" s="4"/>
      <c r="SMZ50" s="4"/>
      <c r="SNA50" s="4"/>
      <c r="SNB50" s="4"/>
      <c r="SNC50" s="4"/>
      <c r="SND50" s="4"/>
      <c r="SNE50" s="4"/>
      <c r="SNF50" s="4"/>
      <c r="SNG50" s="4"/>
      <c r="SNH50" s="4"/>
      <c r="SNI50" s="4"/>
      <c r="SNJ50" s="4"/>
      <c r="SNK50" s="4"/>
      <c r="SNL50" s="4"/>
      <c r="SNM50" s="4"/>
      <c r="SNN50" s="4"/>
      <c r="SNO50" s="4"/>
      <c r="SNP50" s="4"/>
      <c r="SNQ50" s="4"/>
      <c r="SNR50" s="4"/>
      <c r="SNS50" s="4"/>
      <c r="SNT50" s="4"/>
      <c r="SNU50" s="4"/>
      <c r="SNV50" s="4"/>
      <c r="SNW50" s="4"/>
      <c r="SNX50" s="4"/>
      <c r="SNY50" s="4"/>
      <c r="SNZ50" s="4"/>
      <c r="SOA50" s="4"/>
      <c r="SOB50" s="4"/>
      <c r="SOC50" s="4"/>
      <c r="SOD50" s="4"/>
      <c r="SOE50" s="4"/>
      <c r="SOF50" s="4"/>
      <c r="SOG50" s="4"/>
      <c r="SOH50" s="4"/>
      <c r="SOI50" s="4"/>
      <c r="SOJ50" s="4"/>
      <c r="SOK50" s="4"/>
      <c r="SOL50" s="4"/>
      <c r="SOM50" s="4"/>
      <c r="SON50" s="4"/>
      <c r="SOO50" s="4"/>
      <c r="SOP50" s="4"/>
      <c r="SOQ50" s="4"/>
      <c r="SOR50" s="4"/>
      <c r="SOS50" s="4"/>
      <c r="SOT50" s="4"/>
      <c r="SOU50" s="4"/>
      <c r="SOV50" s="4"/>
      <c r="SOW50" s="4"/>
      <c r="SOX50" s="4"/>
      <c r="SOY50" s="4"/>
      <c r="SOZ50" s="4"/>
      <c r="SPA50" s="4"/>
      <c r="SPB50" s="4"/>
      <c r="SPC50" s="4"/>
      <c r="SPD50" s="4"/>
      <c r="SPE50" s="4"/>
      <c r="SPF50" s="4"/>
      <c r="SPG50" s="4"/>
      <c r="SPH50" s="4"/>
      <c r="SPI50" s="4"/>
      <c r="SPJ50" s="4"/>
      <c r="SPK50" s="4"/>
      <c r="SPL50" s="4"/>
      <c r="SPM50" s="4"/>
      <c r="SPN50" s="4"/>
      <c r="SPO50" s="4"/>
      <c r="SPP50" s="4"/>
      <c r="SPQ50" s="4"/>
      <c r="SPR50" s="4"/>
      <c r="SPS50" s="4"/>
      <c r="SPT50" s="4"/>
      <c r="SPU50" s="4"/>
      <c r="SPV50" s="4"/>
      <c r="SPW50" s="4"/>
      <c r="SPX50" s="4"/>
      <c r="SPY50" s="4"/>
      <c r="SPZ50" s="4"/>
      <c r="SQA50" s="4"/>
      <c r="SQB50" s="4"/>
      <c r="SQC50" s="4"/>
      <c r="SQD50" s="4"/>
      <c r="SQE50" s="4"/>
      <c r="SQF50" s="4"/>
      <c r="SQG50" s="4"/>
      <c r="SQH50" s="4"/>
      <c r="SQI50" s="4"/>
      <c r="SQJ50" s="4"/>
      <c r="SQK50" s="4"/>
      <c r="SQL50" s="4"/>
      <c r="SQM50" s="4"/>
      <c r="SQN50" s="4"/>
      <c r="SQO50" s="4"/>
      <c r="SQP50" s="4"/>
      <c r="SQQ50" s="4"/>
      <c r="SQR50" s="4"/>
      <c r="SQS50" s="4"/>
      <c r="SQT50" s="4"/>
      <c r="SQU50" s="4"/>
      <c r="SQV50" s="4"/>
      <c r="SQW50" s="4"/>
      <c r="SQX50" s="4"/>
      <c r="SQY50" s="4"/>
      <c r="SQZ50" s="4"/>
      <c r="SRA50" s="4"/>
      <c r="SRB50" s="4"/>
      <c r="SRC50" s="4"/>
      <c r="SRD50" s="4"/>
      <c r="SRE50" s="4"/>
      <c r="SRF50" s="4"/>
      <c r="SRG50" s="4"/>
      <c r="SRH50" s="4"/>
      <c r="SRI50" s="4"/>
      <c r="SRJ50" s="4"/>
      <c r="SRK50" s="4"/>
      <c r="SRL50" s="4"/>
      <c r="SRM50" s="4"/>
      <c r="SRN50" s="4"/>
      <c r="SRO50" s="4"/>
      <c r="SRP50" s="4"/>
      <c r="SRQ50" s="4"/>
      <c r="SRR50" s="4"/>
      <c r="SRS50" s="4"/>
      <c r="SRT50" s="4"/>
      <c r="SRU50" s="4"/>
      <c r="SRV50" s="4"/>
      <c r="SRW50" s="4"/>
      <c r="SRX50" s="4"/>
      <c r="SRY50" s="4"/>
      <c r="SRZ50" s="4"/>
      <c r="SSA50" s="4"/>
      <c r="SSB50" s="4"/>
      <c r="SSC50" s="4"/>
      <c r="SSD50" s="4"/>
      <c r="SSE50" s="4"/>
      <c r="SSF50" s="4"/>
      <c r="SSG50" s="4"/>
      <c r="SSH50" s="4"/>
      <c r="SSI50" s="4"/>
      <c r="SSJ50" s="4"/>
      <c r="SSK50" s="4"/>
      <c r="SSL50" s="4"/>
      <c r="SSM50" s="4"/>
      <c r="SSN50" s="4"/>
      <c r="SSO50" s="4"/>
      <c r="SSP50" s="4"/>
      <c r="SSQ50" s="4"/>
      <c r="SSR50" s="4"/>
      <c r="SSS50" s="4"/>
      <c r="SST50" s="4"/>
      <c r="SSU50" s="4"/>
      <c r="SSV50" s="4"/>
      <c r="SSW50" s="4"/>
      <c r="SSX50" s="4"/>
      <c r="SSY50" s="4"/>
      <c r="SSZ50" s="4"/>
      <c r="STA50" s="4"/>
      <c r="STB50" s="4"/>
      <c r="STC50" s="4"/>
      <c r="STD50" s="4"/>
      <c r="STE50" s="4"/>
      <c r="STF50" s="4"/>
      <c r="STG50" s="4"/>
      <c r="STH50" s="4"/>
      <c r="STI50" s="4"/>
      <c r="STJ50" s="4"/>
      <c r="STK50" s="4"/>
      <c r="STL50" s="4"/>
      <c r="STM50" s="4"/>
      <c r="STN50" s="4"/>
      <c r="STO50" s="4"/>
      <c r="STP50" s="4"/>
      <c r="STQ50" s="4"/>
      <c r="STR50" s="4"/>
      <c r="STS50" s="4"/>
      <c r="STT50" s="4"/>
      <c r="STU50" s="4"/>
      <c r="STV50" s="4"/>
      <c r="STW50" s="4"/>
      <c r="STX50" s="4"/>
      <c r="STY50" s="4"/>
      <c r="STZ50" s="4"/>
      <c r="SUA50" s="4"/>
      <c r="SUB50" s="4"/>
      <c r="SUC50" s="4"/>
      <c r="SUD50" s="4"/>
      <c r="SUE50" s="4"/>
      <c r="SUF50" s="4"/>
      <c r="SUG50" s="4"/>
      <c r="SUH50" s="4"/>
      <c r="SUI50" s="4"/>
      <c r="SUJ50" s="4"/>
      <c r="SUK50" s="4"/>
      <c r="SUL50" s="4"/>
      <c r="SUM50" s="4"/>
      <c r="SUN50" s="4"/>
      <c r="SUO50" s="4"/>
      <c r="SUP50" s="4"/>
      <c r="SUQ50" s="4"/>
      <c r="SUR50" s="4"/>
      <c r="SUS50" s="4"/>
      <c r="SUT50" s="4"/>
      <c r="SUU50" s="4"/>
      <c r="SUV50" s="4"/>
      <c r="SUW50" s="4"/>
      <c r="SUX50" s="4"/>
      <c r="SUY50" s="4"/>
      <c r="SUZ50" s="4"/>
      <c r="SVA50" s="4"/>
      <c r="SVB50" s="4"/>
      <c r="SVC50" s="4"/>
      <c r="SVD50" s="4"/>
      <c r="SVE50" s="4"/>
      <c r="SVF50" s="4"/>
      <c r="SVG50" s="4"/>
      <c r="SVH50" s="4"/>
      <c r="SVI50" s="4"/>
      <c r="SVJ50" s="4"/>
      <c r="SVK50" s="4"/>
      <c r="SVL50" s="4"/>
      <c r="SVM50" s="4"/>
      <c r="SVN50" s="4"/>
      <c r="SVO50" s="4"/>
      <c r="SVP50" s="4"/>
      <c r="SVQ50" s="4"/>
      <c r="SVR50" s="4"/>
      <c r="SVS50" s="4"/>
      <c r="SVT50" s="4"/>
      <c r="SVU50" s="4"/>
      <c r="SVV50" s="4"/>
      <c r="SVW50" s="4"/>
      <c r="SVX50" s="4"/>
      <c r="SVY50" s="4"/>
      <c r="SVZ50" s="4"/>
      <c r="SWA50" s="4"/>
      <c r="SWB50" s="4"/>
      <c r="SWC50" s="4"/>
      <c r="SWD50" s="4"/>
      <c r="SWE50" s="4"/>
      <c r="SWF50" s="4"/>
      <c r="SWG50" s="4"/>
      <c r="SWH50" s="4"/>
      <c r="SWI50" s="4"/>
      <c r="SWJ50" s="4"/>
      <c r="SWK50" s="4"/>
      <c r="SWL50" s="4"/>
      <c r="SWM50" s="4"/>
      <c r="SWN50" s="4"/>
      <c r="SWO50" s="4"/>
      <c r="SWP50" s="4"/>
      <c r="SWQ50" s="4"/>
      <c r="SWR50" s="4"/>
      <c r="SWS50" s="4"/>
      <c r="SWT50" s="4"/>
      <c r="SWU50" s="4"/>
      <c r="SWV50" s="4"/>
      <c r="SWW50" s="4"/>
      <c r="SWX50" s="4"/>
      <c r="SWY50" s="4"/>
      <c r="SWZ50" s="4"/>
      <c r="SXA50" s="4"/>
      <c r="SXB50" s="4"/>
      <c r="SXC50" s="4"/>
      <c r="SXD50" s="4"/>
      <c r="SXE50" s="4"/>
      <c r="SXF50" s="4"/>
      <c r="SXG50" s="4"/>
      <c r="SXH50" s="4"/>
      <c r="SXI50" s="4"/>
      <c r="SXJ50" s="4"/>
      <c r="SXK50" s="4"/>
      <c r="SXL50" s="4"/>
      <c r="SXM50" s="4"/>
      <c r="SXN50" s="4"/>
      <c r="SXO50" s="4"/>
      <c r="SXP50" s="4"/>
      <c r="SXQ50" s="4"/>
      <c r="SXR50" s="4"/>
      <c r="SXS50" s="4"/>
      <c r="SXT50" s="4"/>
      <c r="SXU50" s="4"/>
      <c r="SXV50" s="4"/>
      <c r="SXW50" s="4"/>
      <c r="SXX50" s="4"/>
      <c r="SXY50" s="4"/>
      <c r="SXZ50" s="4"/>
      <c r="SYA50" s="4"/>
      <c r="SYB50" s="4"/>
      <c r="SYC50" s="4"/>
      <c r="SYD50" s="4"/>
      <c r="SYE50" s="4"/>
      <c r="SYF50" s="4"/>
      <c r="SYG50" s="4"/>
      <c r="SYH50" s="4"/>
      <c r="SYI50" s="4"/>
      <c r="SYJ50" s="4"/>
      <c r="SYK50" s="4"/>
      <c r="SYL50" s="4"/>
      <c r="SYM50" s="4"/>
      <c r="SYN50" s="4"/>
      <c r="SYO50" s="4"/>
      <c r="SYP50" s="4"/>
      <c r="SYQ50" s="4"/>
      <c r="SYR50" s="4"/>
      <c r="SYS50" s="4"/>
      <c r="SYT50" s="4"/>
      <c r="SYU50" s="4"/>
      <c r="SYV50" s="4"/>
      <c r="SYW50" s="4"/>
      <c r="SYX50" s="4"/>
      <c r="SYY50" s="4"/>
      <c r="SYZ50" s="4"/>
      <c r="SZA50" s="4"/>
      <c r="SZB50" s="4"/>
      <c r="SZC50" s="4"/>
      <c r="SZD50" s="4"/>
      <c r="SZE50" s="4"/>
      <c r="SZF50" s="4"/>
      <c r="SZG50" s="4"/>
      <c r="SZH50" s="4"/>
      <c r="SZI50" s="4"/>
      <c r="SZJ50" s="4"/>
      <c r="SZK50" s="4"/>
      <c r="SZL50" s="4"/>
      <c r="SZM50" s="4"/>
      <c r="SZN50" s="4"/>
      <c r="SZO50" s="4"/>
      <c r="SZP50" s="4"/>
      <c r="SZQ50" s="4"/>
      <c r="SZR50" s="4"/>
      <c r="SZS50" s="4"/>
      <c r="SZT50" s="4"/>
      <c r="SZU50" s="4"/>
      <c r="SZV50" s="4"/>
      <c r="SZW50" s="4"/>
      <c r="SZX50" s="4"/>
      <c r="SZY50" s="4"/>
      <c r="SZZ50" s="4"/>
      <c r="TAA50" s="4"/>
      <c r="TAB50" s="4"/>
      <c r="TAC50" s="4"/>
      <c r="TAD50" s="4"/>
      <c r="TAE50" s="4"/>
      <c r="TAF50" s="4"/>
      <c r="TAG50" s="4"/>
      <c r="TAH50" s="4"/>
      <c r="TAI50" s="4"/>
      <c r="TAJ50" s="4"/>
      <c r="TAK50" s="4"/>
      <c r="TAL50" s="4"/>
      <c r="TAM50" s="4"/>
      <c r="TAN50" s="4"/>
      <c r="TAO50" s="4"/>
      <c r="TAP50" s="4"/>
      <c r="TAQ50" s="4"/>
      <c r="TAR50" s="4"/>
      <c r="TAS50" s="4"/>
      <c r="TAT50" s="4"/>
      <c r="TAU50" s="4"/>
      <c r="TAV50" s="4"/>
      <c r="TAW50" s="4"/>
      <c r="TAX50" s="4"/>
      <c r="TAY50" s="4"/>
      <c r="TAZ50" s="4"/>
      <c r="TBA50" s="4"/>
      <c r="TBB50" s="4"/>
      <c r="TBC50" s="4"/>
      <c r="TBD50" s="4"/>
      <c r="TBE50" s="4"/>
      <c r="TBF50" s="4"/>
      <c r="TBG50" s="4"/>
      <c r="TBH50" s="4"/>
      <c r="TBI50" s="4"/>
      <c r="TBJ50" s="4"/>
      <c r="TBK50" s="4"/>
      <c r="TBL50" s="4"/>
      <c r="TBM50" s="4"/>
      <c r="TBN50" s="4"/>
      <c r="TBO50" s="4"/>
      <c r="TBP50" s="4"/>
      <c r="TBQ50" s="4"/>
      <c r="TBR50" s="4"/>
      <c r="TBS50" s="4"/>
      <c r="TBT50" s="4"/>
      <c r="TBU50" s="4"/>
      <c r="TBV50" s="4"/>
      <c r="TBW50" s="4"/>
      <c r="TBX50" s="4"/>
      <c r="TBY50" s="4"/>
      <c r="TBZ50" s="4"/>
      <c r="TCA50" s="4"/>
      <c r="TCB50" s="4"/>
      <c r="TCC50" s="4"/>
      <c r="TCD50" s="4"/>
      <c r="TCE50" s="4"/>
      <c r="TCF50" s="4"/>
      <c r="TCG50" s="4"/>
      <c r="TCH50" s="4"/>
      <c r="TCI50" s="4"/>
      <c r="TCJ50" s="4"/>
      <c r="TCK50" s="4"/>
      <c r="TCL50" s="4"/>
      <c r="TCM50" s="4"/>
      <c r="TCN50" s="4"/>
      <c r="TCO50" s="4"/>
      <c r="TCP50" s="4"/>
      <c r="TCQ50" s="4"/>
      <c r="TCR50" s="4"/>
      <c r="TCS50" s="4"/>
      <c r="TCT50" s="4"/>
      <c r="TCU50" s="4"/>
      <c r="TCV50" s="4"/>
      <c r="TCW50" s="4"/>
      <c r="TCX50" s="4"/>
      <c r="TCY50" s="4"/>
      <c r="TCZ50" s="4"/>
      <c r="TDA50" s="4"/>
      <c r="TDB50" s="4"/>
      <c r="TDC50" s="4"/>
      <c r="TDD50" s="4"/>
      <c r="TDE50" s="4"/>
      <c r="TDF50" s="4"/>
      <c r="TDG50" s="4"/>
      <c r="TDH50" s="4"/>
      <c r="TDI50" s="4"/>
      <c r="TDJ50" s="4"/>
      <c r="TDK50" s="4"/>
      <c r="TDL50" s="4"/>
      <c r="TDM50" s="4"/>
      <c r="TDN50" s="4"/>
      <c r="TDO50" s="4"/>
      <c r="TDP50" s="4"/>
      <c r="TDQ50" s="4"/>
      <c r="TDR50" s="4"/>
      <c r="TDS50" s="4"/>
      <c r="TDT50" s="4"/>
      <c r="TDU50" s="4"/>
      <c r="TDV50" s="4"/>
      <c r="TDW50" s="4"/>
      <c r="TDX50" s="4"/>
      <c r="TDY50" s="4"/>
      <c r="TDZ50" s="4"/>
      <c r="TEA50" s="4"/>
      <c r="TEB50" s="4"/>
      <c r="TEC50" s="4"/>
      <c r="TED50" s="4"/>
      <c r="TEE50" s="4"/>
      <c r="TEF50" s="4"/>
      <c r="TEG50" s="4"/>
      <c r="TEH50" s="4"/>
      <c r="TEI50" s="4"/>
      <c r="TEJ50" s="4"/>
      <c r="TEK50" s="4"/>
      <c r="TEL50" s="4"/>
      <c r="TEM50" s="4"/>
      <c r="TEN50" s="4"/>
      <c r="TEO50" s="4"/>
      <c r="TEP50" s="4"/>
      <c r="TEQ50" s="4"/>
      <c r="TER50" s="4"/>
      <c r="TES50" s="4"/>
      <c r="TET50" s="4"/>
      <c r="TEU50" s="4"/>
      <c r="TEV50" s="4"/>
      <c r="TEW50" s="4"/>
      <c r="TEX50" s="4"/>
      <c r="TEY50" s="4"/>
      <c r="TEZ50" s="4"/>
      <c r="TFA50" s="4"/>
      <c r="TFB50" s="4"/>
      <c r="TFC50" s="4"/>
      <c r="TFD50" s="4"/>
      <c r="TFE50" s="4"/>
      <c r="TFF50" s="4"/>
      <c r="TFG50" s="4"/>
      <c r="TFH50" s="4"/>
      <c r="TFI50" s="4"/>
      <c r="TFJ50" s="4"/>
      <c r="TFK50" s="4"/>
      <c r="TFL50" s="4"/>
      <c r="TFM50" s="4"/>
      <c r="TFN50" s="4"/>
      <c r="TFO50" s="4"/>
      <c r="TFP50" s="4"/>
      <c r="TFQ50" s="4"/>
      <c r="TFR50" s="4"/>
      <c r="TFS50" s="4"/>
      <c r="TFT50" s="4"/>
      <c r="TFU50" s="4"/>
      <c r="TFV50" s="4"/>
      <c r="TFW50" s="4"/>
      <c r="TFX50" s="4"/>
      <c r="TFY50" s="4"/>
      <c r="TFZ50" s="4"/>
      <c r="TGA50" s="4"/>
      <c r="TGB50" s="4"/>
      <c r="TGC50" s="4"/>
      <c r="TGD50" s="4"/>
      <c r="TGE50" s="4"/>
      <c r="TGF50" s="4"/>
      <c r="TGG50" s="4"/>
      <c r="TGH50" s="4"/>
      <c r="TGI50" s="4"/>
      <c r="TGJ50" s="4"/>
      <c r="TGK50" s="4"/>
      <c r="TGL50" s="4"/>
      <c r="TGM50" s="4"/>
      <c r="TGN50" s="4"/>
      <c r="TGO50" s="4"/>
      <c r="TGP50" s="4"/>
      <c r="TGQ50" s="4"/>
      <c r="TGR50" s="4"/>
      <c r="TGS50" s="4"/>
      <c r="TGT50" s="4"/>
      <c r="TGU50" s="4"/>
      <c r="TGV50" s="4"/>
      <c r="TGW50" s="4"/>
      <c r="TGX50" s="4"/>
      <c r="TGY50" s="4"/>
      <c r="TGZ50" s="4"/>
      <c r="THA50" s="4"/>
      <c r="THB50" s="4"/>
      <c r="THC50" s="4"/>
      <c r="THD50" s="4"/>
      <c r="THE50" s="4"/>
      <c r="THF50" s="4"/>
      <c r="THG50" s="4"/>
      <c r="THH50" s="4"/>
      <c r="THI50" s="4"/>
      <c r="THJ50" s="4"/>
      <c r="THK50" s="4"/>
      <c r="THL50" s="4"/>
      <c r="THM50" s="4"/>
      <c r="THN50" s="4"/>
      <c r="THO50" s="4"/>
      <c r="THP50" s="4"/>
      <c r="THQ50" s="4"/>
      <c r="THR50" s="4"/>
      <c r="THS50" s="4"/>
      <c r="THT50" s="4"/>
      <c r="THU50" s="4"/>
      <c r="THV50" s="4"/>
      <c r="THW50" s="4"/>
      <c r="THX50" s="4"/>
      <c r="THY50" s="4"/>
      <c r="THZ50" s="4"/>
      <c r="TIA50" s="4"/>
      <c r="TIB50" s="4"/>
      <c r="TIC50" s="4"/>
      <c r="TID50" s="4"/>
      <c r="TIE50" s="4"/>
      <c r="TIF50" s="4"/>
      <c r="TIG50" s="4"/>
      <c r="TIH50" s="4"/>
      <c r="TII50" s="4"/>
      <c r="TIJ50" s="4"/>
      <c r="TIK50" s="4"/>
      <c r="TIL50" s="4"/>
      <c r="TIM50" s="4"/>
      <c r="TIN50" s="4"/>
      <c r="TIO50" s="4"/>
      <c r="TIP50" s="4"/>
      <c r="TIQ50" s="4"/>
      <c r="TIR50" s="4"/>
      <c r="TIS50" s="4"/>
      <c r="TIT50" s="4"/>
      <c r="TIU50" s="4"/>
      <c r="TIV50" s="4"/>
      <c r="TIW50" s="4"/>
      <c r="TIX50" s="4"/>
      <c r="TIY50" s="4"/>
      <c r="TIZ50" s="4"/>
      <c r="TJA50" s="4"/>
      <c r="TJB50" s="4"/>
      <c r="TJC50" s="4"/>
      <c r="TJD50" s="4"/>
      <c r="TJE50" s="4"/>
      <c r="TJF50" s="4"/>
      <c r="TJG50" s="4"/>
      <c r="TJH50" s="4"/>
      <c r="TJI50" s="4"/>
      <c r="TJJ50" s="4"/>
      <c r="TJK50" s="4"/>
      <c r="TJL50" s="4"/>
      <c r="TJM50" s="4"/>
      <c r="TJN50" s="4"/>
      <c r="TJO50" s="4"/>
      <c r="TJP50" s="4"/>
      <c r="TJQ50" s="4"/>
      <c r="TJR50" s="4"/>
      <c r="TJS50" s="4"/>
      <c r="TJT50" s="4"/>
      <c r="TJU50" s="4"/>
      <c r="TJV50" s="4"/>
      <c r="TJW50" s="4"/>
      <c r="TJX50" s="4"/>
      <c r="TJY50" s="4"/>
      <c r="TJZ50" s="4"/>
      <c r="TKA50" s="4"/>
      <c r="TKB50" s="4"/>
      <c r="TKC50" s="4"/>
      <c r="TKD50" s="4"/>
      <c r="TKE50" s="4"/>
      <c r="TKF50" s="4"/>
      <c r="TKG50" s="4"/>
      <c r="TKH50" s="4"/>
      <c r="TKI50" s="4"/>
      <c r="TKJ50" s="4"/>
      <c r="TKK50" s="4"/>
      <c r="TKL50" s="4"/>
      <c r="TKM50" s="4"/>
      <c r="TKN50" s="4"/>
      <c r="TKO50" s="4"/>
      <c r="TKP50" s="4"/>
      <c r="TKQ50" s="4"/>
      <c r="TKR50" s="4"/>
      <c r="TKS50" s="4"/>
      <c r="TKT50" s="4"/>
      <c r="TKU50" s="4"/>
      <c r="TKV50" s="4"/>
      <c r="TKW50" s="4"/>
      <c r="TKX50" s="4"/>
      <c r="TKY50" s="4"/>
      <c r="TKZ50" s="4"/>
      <c r="TLA50" s="4"/>
      <c r="TLB50" s="4"/>
      <c r="TLC50" s="4"/>
      <c r="TLD50" s="4"/>
      <c r="TLE50" s="4"/>
      <c r="TLF50" s="4"/>
      <c r="TLG50" s="4"/>
      <c r="TLH50" s="4"/>
      <c r="TLI50" s="4"/>
      <c r="TLJ50" s="4"/>
      <c r="TLK50" s="4"/>
      <c r="TLL50" s="4"/>
      <c r="TLM50" s="4"/>
      <c r="TLN50" s="4"/>
      <c r="TLO50" s="4"/>
      <c r="TLP50" s="4"/>
      <c r="TLQ50" s="4"/>
      <c r="TLR50" s="4"/>
      <c r="TLS50" s="4"/>
      <c r="TLT50" s="4"/>
      <c r="TLU50" s="4"/>
      <c r="TLV50" s="4"/>
      <c r="TLW50" s="4"/>
      <c r="TLX50" s="4"/>
      <c r="TLY50" s="4"/>
      <c r="TLZ50" s="4"/>
      <c r="TMA50" s="4"/>
      <c r="TMB50" s="4"/>
      <c r="TMC50" s="4"/>
      <c r="TMD50" s="4"/>
      <c r="TME50" s="4"/>
      <c r="TMF50" s="4"/>
      <c r="TMG50" s="4"/>
      <c r="TMH50" s="4"/>
      <c r="TMI50" s="4"/>
      <c r="TMJ50" s="4"/>
      <c r="TMK50" s="4"/>
      <c r="TML50" s="4"/>
      <c r="TMM50" s="4"/>
      <c r="TMN50" s="4"/>
      <c r="TMO50" s="4"/>
      <c r="TMP50" s="4"/>
      <c r="TMQ50" s="4"/>
      <c r="TMR50" s="4"/>
      <c r="TMS50" s="4"/>
      <c r="TMT50" s="4"/>
      <c r="TMU50" s="4"/>
      <c r="TMV50" s="4"/>
      <c r="TMW50" s="4"/>
      <c r="TMX50" s="4"/>
      <c r="TMY50" s="4"/>
      <c r="TMZ50" s="4"/>
      <c r="TNA50" s="4"/>
      <c r="TNB50" s="4"/>
      <c r="TNC50" s="4"/>
      <c r="TND50" s="4"/>
      <c r="TNE50" s="4"/>
      <c r="TNF50" s="4"/>
      <c r="TNG50" s="4"/>
      <c r="TNH50" s="4"/>
      <c r="TNI50" s="4"/>
      <c r="TNJ50" s="4"/>
      <c r="TNK50" s="4"/>
      <c r="TNL50" s="4"/>
      <c r="TNM50" s="4"/>
      <c r="TNN50" s="4"/>
      <c r="TNO50" s="4"/>
      <c r="TNP50" s="4"/>
      <c r="TNQ50" s="4"/>
      <c r="TNR50" s="4"/>
      <c r="TNS50" s="4"/>
      <c r="TNT50" s="4"/>
      <c r="TNU50" s="4"/>
      <c r="TNV50" s="4"/>
      <c r="TNW50" s="4"/>
      <c r="TNX50" s="4"/>
      <c r="TNY50" s="4"/>
      <c r="TNZ50" s="4"/>
      <c r="TOA50" s="4"/>
      <c r="TOB50" s="4"/>
      <c r="TOC50" s="4"/>
      <c r="TOD50" s="4"/>
      <c r="TOE50" s="4"/>
      <c r="TOF50" s="4"/>
      <c r="TOG50" s="4"/>
      <c r="TOH50" s="4"/>
      <c r="TOI50" s="4"/>
      <c r="TOJ50" s="4"/>
      <c r="TOK50" s="4"/>
      <c r="TOL50" s="4"/>
      <c r="TOM50" s="4"/>
      <c r="TON50" s="4"/>
      <c r="TOO50" s="4"/>
      <c r="TOP50" s="4"/>
      <c r="TOQ50" s="4"/>
      <c r="TOR50" s="4"/>
      <c r="TOS50" s="4"/>
      <c r="TOT50" s="4"/>
      <c r="TOU50" s="4"/>
      <c r="TOV50" s="4"/>
      <c r="TOW50" s="4"/>
      <c r="TOX50" s="4"/>
      <c r="TOY50" s="4"/>
      <c r="TOZ50" s="4"/>
      <c r="TPA50" s="4"/>
      <c r="TPB50" s="4"/>
      <c r="TPC50" s="4"/>
      <c r="TPD50" s="4"/>
      <c r="TPE50" s="4"/>
      <c r="TPF50" s="4"/>
      <c r="TPG50" s="4"/>
      <c r="TPH50" s="4"/>
      <c r="TPI50" s="4"/>
      <c r="TPJ50" s="4"/>
      <c r="TPK50" s="4"/>
      <c r="TPL50" s="4"/>
      <c r="TPM50" s="4"/>
      <c r="TPN50" s="4"/>
      <c r="TPO50" s="4"/>
      <c r="TPP50" s="4"/>
      <c r="TPQ50" s="4"/>
      <c r="TPR50" s="4"/>
      <c r="TPS50" s="4"/>
      <c r="TPT50" s="4"/>
      <c r="TPU50" s="4"/>
      <c r="TPV50" s="4"/>
      <c r="TPW50" s="4"/>
      <c r="TPX50" s="4"/>
      <c r="TPY50" s="4"/>
      <c r="TPZ50" s="4"/>
      <c r="TQA50" s="4"/>
      <c r="TQB50" s="4"/>
      <c r="TQC50" s="4"/>
      <c r="TQD50" s="4"/>
      <c r="TQE50" s="4"/>
      <c r="TQF50" s="4"/>
      <c r="TQG50" s="4"/>
      <c r="TQH50" s="4"/>
      <c r="TQI50" s="4"/>
      <c r="TQJ50" s="4"/>
      <c r="TQK50" s="4"/>
      <c r="TQL50" s="4"/>
      <c r="TQM50" s="4"/>
      <c r="TQN50" s="4"/>
      <c r="TQO50" s="4"/>
      <c r="TQP50" s="4"/>
      <c r="TQQ50" s="4"/>
      <c r="TQR50" s="4"/>
      <c r="TQS50" s="4"/>
      <c r="TQT50" s="4"/>
      <c r="TQU50" s="4"/>
      <c r="TQV50" s="4"/>
      <c r="TQW50" s="4"/>
      <c r="TQX50" s="4"/>
      <c r="TQY50" s="4"/>
      <c r="TQZ50" s="4"/>
      <c r="TRA50" s="4"/>
      <c r="TRB50" s="4"/>
      <c r="TRC50" s="4"/>
      <c r="TRD50" s="4"/>
      <c r="TRE50" s="4"/>
      <c r="TRF50" s="4"/>
      <c r="TRG50" s="4"/>
      <c r="TRH50" s="4"/>
      <c r="TRI50" s="4"/>
      <c r="TRJ50" s="4"/>
      <c r="TRK50" s="4"/>
      <c r="TRL50" s="4"/>
      <c r="TRM50" s="4"/>
      <c r="TRN50" s="4"/>
      <c r="TRO50" s="4"/>
      <c r="TRP50" s="4"/>
      <c r="TRQ50" s="4"/>
      <c r="TRR50" s="4"/>
      <c r="TRS50" s="4"/>
      <c r="TRT50" s="4"/>
      <c r="TRU50" s="4"/>
      <c r="TRV50" s="4"/>
      <c r="TRW50" s="4"/>
      <c r="TRX50" s="4"/>
      <c r="TRY50" s="4"/>
      <c r="TRZ50" s="4"/>
      <c r="TSA50" s="4"/>
      <c r="TSB50" s="4"/>
      <c r="TSC50" s="4"/>
      <c r="TSD50" s="4"/>
      <c r="TSE50" s="4"/>
      <c r="TSF50" s="4"/>
      <c r="TSG50" s="4"/>
      <c r="TSH50" s="4"/>
      <c r="TSI50" s="4"/>
      <c r="TSJ50" s="4"/>
      <c r="TSK50" s="4"/>
      <c r="TSL50" s="4"/>
      <c r="TSM50" s="4"/>
      <c r="TSN50" s="4"/>
      <c r="TSO50" s="4"/>
      <c r="TSP50" s="4"/>
      <c r="TSQ50" s="4"/>
      <c r="TSR50" s="4"/>
      <c r="TSS50" s="4"/>
      <c r="TST50" s="4"/>
      <c r="TSU50" s="4"/>
      <c r="TSV50" s="4"/>
      <c r="TSW50" s="4"/>
      <c r="TSX50" s="4"/>
      <c r="TSY50" s="4"/>
      <c r="TSZ50" s="4"/>
      <c r="TTA50" s="4"/>
      <c r="TTB50" s="4"/>
      <c r="TTC50" s="4"/>
      <c r="TTD50" s="4"/>
      <c r="TTE50" s="4"/>
      <c r="TTF50" s="4"/>
      <c r="TTG50" s="4"/>
      <c r="TTH50" s="4"/>
      <c r="TTI50" s="4"/>
      <c r="TTJ50" s="4"/>
      <c r="TTK50" s="4"/>
      <c r="TTL50" s="4"/>
      <c r="TTM50" s="4"/>
      <c r="TTN50" s="4"/>
      <c r="TTO50" s="4"/>
      <c r="TTP50" s="4"/>
      <c r="TTQ50" s="4"/>
      <c r="TTR50" s="4"/>
      <c r="TTS50" s="4"/>
      <c r="TTT50" s="4"/>
      <c r="TTU50" s="4"/>
      <c r="TTV50" s="4"/>
      <c r="TTW50" s="4"/>
      <c r="TTX50" s="4"/>
      <c r="TTY50" s="4"/>
      <c r="TTZ50" s="4"/>
      <c r="TUA50" s="4"/>
      <c r="TUB50" s="4"/>
      <c r="TUC50" s="4"/>
      <c r="TUD50" s="4"/>
      <c r="TUE50" s="4"/>
      <c r="TUF50" s="4"/>
      <c r="TUG50" s="4"/>
      <c r="TUH50" s="4"/>
      <c r="TUI50" s="4"/>
      <c r="TUJ50" s="4"/>
      <c r="TUK50" s="4"/>
      <c r="TUL50" s="4"/>
      <c r="TUM50" s="4"/>
      <c r="TUN50" s="4"/>
      <c r="TUO50" s="4"/>
      <c r="TUP50" s="4"/>
      <c r="TUQ50" s="4"/>
      <c r="TUR50" s="4"/>
      <c r="TUS50" s="4"/>
      <c r="TUT50" s="4"/>
      <c r="TUU50" s="4"/>
      <c r="TUV50" s="4"/>
      <c r="TUW50" s="4"/>
      <c r="TUX50" s="4"/>
      <c r="TUY50" s="4"/>
      <c r="TUZ50" s="4"/>
      <c r="TVA50" s="4"/>
      <c r="TVB50" s="4"/>
      <c r="TVC50" s="4"/>
      <c r="TVD50" s="4"/>
      <c r="TVE50" s="4"/>
      <c r="TVF50" s="4"/>
      <c r="TVG50" s="4"/>
      <c r="TVH50" s="4"/>
      <c r="TVI50" s="4"/>
      <c r="TVJ50" s="4"/>
      <c r="TVK50" s="4"/>
      <c r="TVL50" s="4"/>
      <c r="TVM50" s="4"/>
      <c r="TVN50" s="4"/>
      <c r="TVO50" s="4"/>
      <c r="TVP50" s="4"/>
      <c r="TVQ50" s="4"/>
      <c r="TVR50" s="4"/>
      <c r="TVS50" s="4"/>
      <c r="TVT50" s="4"/>
      <c r="TVU50" s="4"/>
      <c r="TVV50" s="4"/>
      <c r="TVW50" s="4"/>
      <c r="TVX50" s="4"/>
      <c r="TVY50" s="4"/>
      <c r="TVZ50" s="4"/>
      <c r="TWA50" s="4"/>
      <c r="TWB50" s="4"/>
      <c r="TWC50" s="4"/>
      <c r="TWD50" s="4"/>
      <c r="TWE50" s="4"/>
      <c r="TWF50" s="4"/>
      <c r="TWG50" s="4"/>
      <c r="TWH50" s="4"/>
      <c r="TWI50" s="4"/>
      <c r="TWJ50" s="4"/>
      <c r="TWK50" s="4"/>
      <c r="TWL50" s="4"/>
      <c r="TWM50" s="4"/>
      <c r="TWN50" s="4"/>
      <c r="TWO50" s="4"/>
      <c r="TWP50" s="4"/>
      <c r="TWQ50" s="4"/>
      <c r="TWR50" s="4"/>
      <c r="TWS50" s="4"/>
      <c r="TWT50" s="4"/>
      <c r="TWU50" s="4"/>
      <c r="TWV50" s="4"/>
      <c r="TWW50" s="4"/>
      <c r="TWX50" s="4"/>
      <c r="TWY50" s="4"/>
      <c r="TWZ50" s="4"/>
      <c r="TXA50" s="4"/>
      <c r="TXB50" s="4"/>
      <c r="TXC50" s="4"/>
      <c r="TXD50" s="4"/>
      <c r="TXE50" s="4"/>
      <c r="TXF50" s="4"/>
      <c r="TXG50" s="4"/>
      <c r="TXH50" s="4"/>
      <c r="TXI50" s="4"/>
      <c r="TXJ50" s="4"/>
      <c r="TXK50" s="4"/>
      <c r="TXL50" s="4"/>
      <c r="TXM50" s="4"/>
      <c r="TXN50" s="4"/>
      <c r="TXO50" s="4"/>
      <c r="TXP50" s="4"/>
      <c r="TXQ50" s="4"/>
      <c r="TXR50" s="4"/>
      <c r="TXS50" s="4"/>
      <c r="TXT50" s="4"/>
      <c r="TXU50" s="4"/>
      <c r="TXV50" s="4"/>
      <c r="TXW50" s="4"/>
      <c r="TXX50" s="4"/>
      <c r="TXY50" s="4"/>
      <c r="TXZ50" s="4"/>
      <c r="TYA50" s="4"/>
      <c r="TYB50" s="4"/>
      <c r="TYC50" s="4"/>
      <c r="TYD50" s="4"/>
      <c r="TYE50" s="4"/>
      <c r="TYF50" s="4"/>
      <c r="TYG50" s="4"/>
      <c r="TYH50" s="4"/>
      <c r="TYI50" s="4"/>
      <c r="TYJ50" s="4"/>
      <c r="TYK50" s="4"/>
      <c r="TYL50" s="4"/>
      <c r="TYM50" s="4"/>
      <c r="TYN50" s="4"/>
      <c r="TYO50" s="4"/>
      <c r="TYP50" s="4"/>
      <c r="TYQ50" s="4"/>
      <c r="TYR50" s="4"/>
      <c r="TYS50" s="4"/>
      <c r="TYT50" s="4"/>
      <c r="TYU50" s="4"/>
      <c r="TYV50" s="4"/>
      <c r="TYW50" s="4"/>
      <c r="TYX50" s="4"/>
      <c r="TYY50" s="4"/>
      <c r="TYZ50" s="4"/>
      <c r="TZA50" s="4"/>
      <c r="TZB50" s="4"/>
      <c r="TZC50" s="4"/>
      <c r="TZD50" s="4"/>
      <c r="TZE50" s="4"/>
      <c r="TZF50" s="4"/>
      <c r="TZG50" s="4"/>
      <c r="TZH50" s="4"/>
      <c r="TZI50" s="4"/>
      <c r="TZJ50" s="4"/>
      <c r="TZK50" s="4"/>
      <c r="TZL50" s="4"/>
      <c r="TZM50" s="4"/>
      <c r="TZN50" s="4"/>
      <c r="TZO50" s="4"/>
      <c r="TZP50" s="4"/>
      <c r="TZQ50" s="4"/>
      <c r="TZR50" s="4"/>
      <c r="TZS50" s="4"/>
      <c r="TZT50" s="4"/>
      <c r="TZU50" s="4"/>
      <c r="TZV50" s="4"/>
      <c r="TZW50" s="4"/>
      <c r="TZX50" s="4"/>
      <c r="TZY50" s="4"/>
      <c r="TZZ50" s="4"/>
      <c r="UAA50" s="4"/>
      <c r="UAB50" s="4"/>
      <c r="UAC50" s="4"/>
      <c r="UAD50" s="4"/>
      <c r="UAE50" s="4"/>
      <c r="UAF50" s="4"/>
      <c r="UAG50" s="4"/>
      <c r="UAH50" s="4"/>
      <c r="UAI50" s="4"/>
      <c r="UAJ50" s="4"/>
      <c r="UAK50" s="4"/>
      <c r="UAL50" s="4"/>
      <c r="UAM50" s="4"/>
      <c r="UAN50" s="4"/>
      <c r="UAO50" s="4"/>
      <c r="UAP50" s="4"/>
      <c r="UAQ50" s="4"/>
      <c r="UAR50" s="4"/>
      <c r="UAS50" s="4"/>
      <c r="UAT50" s="4"/>
      <c r="UAU50" s="4"/>
      <c r="UAV50" s="4"/>
      <c r="UAW50" s="4"/>
      <c r="UAX50" s="4"/>
      <c r="UAY50" s="4"/>
      <c r="UAZ50" s="4"/>
      <c r="UBA50" s="4"/>
      <c r="UBB50" s="4"/>
      <c r="UBC50" s="4"/>
      <c r="UBD50" s="4"/>
      <c r="UBE50" s="4"/>
      <c r="UBF50" s="4"/>
      <c r="UBG50" s="4"/>
      <c r="UBH50" s="4"/>
      <c r="UBI50" s="4"/>
      <c r="UBJ50" s="4"/>
      <c r="UBK50" s="4"/>
      <c r="UBL50" s="4"/>
      <c r="UBM50" s="4"/>
      <c r="UBN50" s="4"/>
      <c r="UBO50" s="4"/>
      <c r="UBP50" s="4"/>
      <c r="UBQ50" s="4"/>
      <c r="UBR50" s="4"/>
      <c r="UBS50" s="4"/>
      <c r="UBT50" s="4"/>
      <c r="UBU50" s="4"/>
      <c r="UBV50" s="4"/>
      <c r="UBW50" s="4"/>
      <c r="UBX50" s="4"/>
      <c r="UBY50" s="4"/>
      <c r="UBZ50" s="4"/>
      <c r="UCA50" s="4"/>
      <c r="UCB50" s="4"/>
      <c r="UCC50" s="4"/>
      <c r="UCD50" s="4"/>
      <c r="UCE50" s="4"/>
      <c r="UCF50" s="4"/>
      <c r="UCG50" s="4"/>
      <c r="UCH50" s="4"/>
      <c r="UCI50" s="4"/>
      <c r="UCJ50" s="4"/>
      <c r="UCK50" s="4"/>
      <c r="UCL50" s="4"/>
      <c r="UCM50" s="4"/>
      <c r="UCN50" s="4"/>
      <c r="UCO50" s="4"/>
      <c r="UCP50" s="4"/>
      <c r="UCQ50" s="4"/>
      <c r="UCR50" s="4"/>
      <c r="UCS50" s="4"/>
      <c r="UCT50" s="4"/>
      <c r="UCU50" s="4"/>
      <c r="UCV50" s="4"/>
      <c r="UCW50" s="4"/>
      <c r="UCX50" s="4"/>
      <c r="UCY50" s="4"/>
      <c r="UCZ50" s="4"/>
      <c r="UDA50" s="4"/>
      <c r="UDB50" s="4"/>
      <c r="UDC50" s="4"/>
      <c r="UDD50" s="4"/>
      <c r="UDE50" s="4"/>
      <c r="UDF50" s="4"/>
      <c r="UDG50" s="4"/>
      <c r="UDH50" s="4"/>
      <c r="UDI50" s="4"/>
      <c r="UDJ50" s="4"/>
      <c r="UDK50" s="4"/>
      <c r="UDL50" s="4"/>
      <c r="UDM50" s="4"/>
      <c r="UDN50" s="4"/>
      <c r="UDO50" s="4"/>
      <c r="UDP50" s="4"/>
      <c r="UDQ50" s="4"/>
      <c r="UDR50" s="4"/>
      <c r="UDS50" s="4"/>
      <c r="UDT50" s="4"/>
      <c r="UDU50" s="4"/>
      <c r="UDV50" s="4"/>
      <c r="UDW50" s="4"/>
      <c r="UDX50" s="4"/>
      <c r="UDY50" s="4"/>
      <c r="UDZ50" s="4"/>
      <c r="UEA50" s="4"/>
      <c r="UEB50" s="4"/>
      <c r="UEC50" s="4"/>
      <c r="UED50" s="4"/>
      <c r="UEE50" s="4"/>
      <c r="UEF50" s="4"/>
      <c r="UEG50" s="4"/>
      <c r="UEH50" s="4"/>
      <c r="UEI50" s="4"/>
      <c r="UEJ50" s="4"/>
      <c r="UEK50" s="4"/>
      <c r="UEL50" s="4"/>
      <c r="UEM50" s="4"/>
      <c r="UEN50" s="4"/>
      <c r="UEO50" s="4"/>
      <c r="UEP50" s="4"/>
      <c r="UEQ50" s="4"/>
      <c r="UER50" s="4"/>
      <c r="UES50" s="4"/>
      <c r="UET50" s="4"/>
      <c r="UEU50" s="4"/>
      <c r="UEV50" s="4"/>
      <c r="UEW50" s="4"/>
      <c r="UEX50" s="4"/>
      <c r="UEY50" s="4"/>
      <c r="UEZ50" s="4"/>
      <c r="UFA50" s="4"/>
      <c r="UFB50" s="4"/>
      <c r="UFC50" s="4"/>
      <c r="UFD50" s="4"/>
      <c r="UFE50" s="4"/>
      <c r="UFF50" s="4"/>
      <c r="UFG50" s="4"/>
      <c r="UFH50" s="4"/>
      <c r="UFI50" s="4"/>
      <c r="UFJ50" s="4"/>
      <c r="UFK50" s="4"/>
      <c r="UFL50" s="4"/>
      <c r="UFM50" s="4"/>
      <c r="UFN50" s="4"/>
      <c r="UFO50" s="4"/>
      <c r="UFP50" s="4"/>
      <c r="UFQ50" s="4"/>
      <c r="UFR50" s="4"/>
      <c r="UFS50" s="4"/>
      <c r="UFT50" s="4"/>
      <c r="UFU50" s="4"/>
      <c r="UFV50" s="4"/>
      <c r="UFW50" s="4"/>
      <c r="UFX50" s="4"/>
      <c r="UFY50" s="4"/>
      <c r="UFZ50" s="4"/>
      <c r="UGA50" s="4"/>
      <c r="UGB50" s="4"/>
      <c r="UGC50" s="4"/>
      <c r="UGD50" s="4"/>
      <c r="UGE50" s="4"/>
      <c r="UGF50" s="4"/>
      <c r="UGG50" s="4"/>
      <c r="UGH50" s="4"/>
      <c r="UGI50" s="4"/>
      <c r="UGJ50" s="4"/>
      <c r="UGK50" s="4"/>
      <c r="UGL50" s="4"/>
      <c r="UGM50" s="4"/>
      <c r="UGN50" s="4"/>
      <c r="UGO50" s="4"/>
      <c r="UGP50" s="4"/>
      <c r="UGQ50" s="4"/>
      <c r="UGR50" s="4"/>
      <c r="UGS50" s="4"/>
      <c r="UGT50" s="4"/>
      <c r="UGU50" s="4"/>
      <c r="UGV50" s="4"/>
      <c r="UGW50" s="4"/>
      <c r="UGX50" s="4"/>
      <c r="UGY50" s="4"/>
      <c r="UGZ50" s="4"/>
      <c r="UHA50" s="4"/>
      <c r="UHB50" s="4"/>
      <c r="UHC50" s="4"/>
      <c r="UHD50" s="4"/>
      <c r="UHE50" s="4"/>
      <c r="UHF50" s="4"/>
      <c r="UHG50" s="4"/>
      <c r="UHH50" s="4"/>
      <c r="UHI50" s="4"/>
      <c r="UHJ50" s="4"/>
      <c r="UHK50" s="4"/>
      <c r="UHL50" s="4"/>
      <c r="UHM50" s="4"/>
      <c r="UHN50" s="4"/>
      <c r="UHO50" s="4"/>
      <c r="UHP50" s="4"/>
      <c r="UHQ50" s="4"/>
      <c r="UHR50" s="4"/>
      <c r="UHS50" s="4"/>
      <c r="UHT50" s="4"/>
      <c r="UHU50" s="4"/>
      <c r="UHV50" s="4"/>
      <c r="UHW50" s="4"/>
      <c r="UHX50" s="4"/>
      <c r="UHY50" s="4"/>
      <c r="UHZ50" s="4"/>
      <c r="UIA50" s="4"/>
      <c r="UIB50" s="4"/>
      <c r="UIC50" s="4"/>
      <c r="UID50" s="4"/>
      <c r="UIE50" s="4"/>
      <c r="UIF50" s="4"/>
      <c r="UIG50" s="4"/>
      <c r="UIH50" s="4"/>
      <c r="UII50" s="4"/>
      <c r="UIJ50" s="4"/>
      <c r="UIK50" s="4"/>
      <c r="UIL50" s="4"/>
      <c r="UIM50" s="4"/>
      <c r="UIN50" s="4"/>
      <c r="UIO50" s="4"/>
      <c r="UIP50" s="4"/>
      <c r="UIQ50" s="4"/>
      <c r="UIR50" s="4"/>
      <c r="UIS50" s="4"/>
      <c r="UIT50" s="4"/>
      <c r="UIU50" s="4"/>
      <c r="UIV50" s="4"/>
      <c r="UIW50" s="4"/>
      <c r="UIX50" s="4"/>
      <c r="UIY50" s="4"/>
      <c r="UIZ50" s="4"/>
      <c r="UJA50" s="4"/>
      <c r="UJB50" s="4"/>
      <c r="UJC50" s="4"/>
      <c r="UJD50" s="4"/>
      <c r="UJE50" s="4"/>
      <c r="UJF50" s="4"/>
      <c r="UJG50" s="4"/>
      <c r="UJH50" s="4"/>
      <c r="UJI50" s="4"/>
      <c r="UJJ50" s="4"/>
      <c r="UJK50" s="4"/>
      <c r="UJL50" s="4"/>
      <c r="UJM50" s="4"/>
      <c r="UJN50" s="4"/>
      <c r="UJO50" s="4"/>
      <c r="UJP50" s="4"/>
      <c r="UJQ50" s="4"/>
      <c r="UJR50" s="4"/>
      <c r="UJS50" s="4"/>
      <c r="UJT50" s="4"/>
      <c r="UJU50" s="4"/>
      <c r="UJV50" s="4"/>
      <c r="UJW50" s="4"/>
      <c r="UJX50" s="4"/>
      <c r="UJY50" s="4"/>
      <c r="UJZ50" s="4"/>
      <c r="UKA50" s="4"/>
      <c r="UKB50" s="4"/>
      <c r="UKC50" s="4"/>
      <c r="UKD50" s="4"/>
      <c r="UKE50" s="4"/>
      <c r="UKF50" s="4"/>
      <c r="UKG50" s="4"/>
      <c r="UKH50" s="4"/>
      <c r="UKI50" s="4"/>
      <c r="UKJ50" s="4"/>
      <c r="UKK50" s="4"/>
      <c r="UKL50" s="4"/>
      <c r="UKM50" s="4"/>
      <c r="UKN50" s="4"/>
      <c r="UKO50" s="4"/>
      <c r="UKP50" s="4"/>
      <c r="UKQ50" s="4"/>
      <c r="UKR50" s="4"/>
      <c r="UKS50" s="4"/>
      <c r="UKT50" s="4"/>
      <c r="UKU50" s="4"/>
      <c r="UKV50" s="4"/>
      <c r="UKW50" s="4"/>
      <c r="UKX50" s="4"/>
      <c r="UKY50" s="4"/>
      <c r="UKZ50" s="4"/>
      <c r="ULA50" s="4"/>
      <c r="ULB50" s="4"/>
      <c r="ULC50" s="4"/>
      <c r="ULD50" s="4"/>
      <c r="ULE50" s="4"/>
      <c r="ULF50" s="4"/>
      <c r="ULG50" s="4"/>
      <c r="ULH50" s="4"/>
      <c r="ULI50" s="4"/>
      <c r="ULJ50" s="4"/>
      <c r="ULK50" s="4"/>
      <c r="ULL50" s="4"/>
      <c r="ULM50" s="4"/>
      <c r="ULN50" s="4"/>
      <c r="ULO50" s="4"/>
      <c r="ULP50" s="4"/>
      <c r="ULQ50" s="4"/>
      <c r="ULR50" s="4"/>
      <c r="ULS50" s="4"/>
      <c r="ULT50" s="4"/>
      <c r="ULU50" s="4"/>
      <c r="ULV50" s="4"/>
      <c r="ULW50" s="4"/>
      <c r="ULX50" s="4"/>
      <c r="ULY50" s="4"/>
      <c r="ULZ50" s="4"/>
      <c r="UMA50" s="4"/>
      <c r="UMB50" s="4"/>
      <c r="UMC50" s="4"/>
      <c r="UMD50" s="4"/>
      <c r="UME50" s="4"/>
      <c r="UMF50" s="4"/>
      <c r="UMG50" s="4"/>
      <c r="UMH50" s="4"/>
      <c r="UMI50" s="4"/>
      <c r="UMJ50" s="4"/>
      <c r="UMK50" s="4"/>
      <c r="UML50" s="4"/>
      <c r="UMM50" s="4"/>
      <c r="UMN50" s="4"/>
      <c r="UMO50" s="4"/>
      <c r="UMP50" s="4"/>
      <c r="UMQ50" s="4"/>
      <c r="UMR50" s="4"/>
      <c r="UMS50" s="4"/>
      <c r="UMT50" s="4"/>
      <c r="UMU50" s="4"/>
      <c r="UMV50" s="4"/>
      <c r="UMW50" s="4"/>
      <c r="UMX50" s="4"/>
      <c r="UMY50" s="4"/>
      <c r="UMZ50" s="4"/>
      <c r="UNA50" s="4"/>
      <c r="UNB50" s="4"/>
      <c r="UNC50" s="4"/>
      <c r="UND50" s="4"/>
      <c r="UNE50" s="4"/>
      <c r="UNF50" s="4"/>
      <c r="UNG50" s="4"/>
      <c r="UNH50" s="4"/>
      <c r="UNI50" s="4"/>
      <c r="UNJ50" s="4"/>
      <c r="UNK50" s="4"/>
      <c r="UNL50" s="4"/>
      <c r="UNM50" s="4"/>
      <c r="UNN50" s="4"/>
      <c r="UNO50" s="4"/>
      <c r="UNP50" s="4"/>
      <c r="UNQ50" s="4"/>
      <c r="UNR50" s="4"/>
      <c r="UNS50" s="4"/>
      <c r="UNT50" s="4"/>
      <c r="UNU50" s="4"/>
      <c r="UNV50" s="4"/>
      <c r="UNW50" s="4"/>
      <c r="UNX50" s="4"/>
      <c r="UNY50" s="4"/>
      <c r="UNZ50" s="4"/>
      <c r="UOA50" s="4"/>
      <c r="UOB50" s="4"/>
      <c r="UOC50" s="4"/>
      <c r="UOD50" s="4"/>
      <c r="UOE50" s="4"/>
      <c r="UOF50" s="4"/>
      <c r="UOG50" s="4"/>
      <c r="UOH50" s="4"/>
      <c r="UOI50" s="4"/>
      <c r="UOJ50" s="4"/>
      <c r="UOK50" s="4"/>
      <c r="UOL50" s="4"/>
      <c r="UOM50" s="4"/>
      <c r="UON50" s="4"/>
      <c r="UOO50" s="4"/>
      <c r="UOP50" s="4"/>
      <c r="UOQ50" s="4"/>
      <c r="UOR50" s="4"/>
      <c r="UOS50" s="4"/>
      <c r="UOT50" s="4"/>
      <c r="UOU50" s="4"/>
      <c r="UOV50" s="4"/>
      <c r="UOW50" s="4"/>
      <c r="UOX50" s="4"/>
      <c r="UOY50" s="4"/>
      <c r="UOZ50" s="4"/>
      <c r="UPA50" s="4"/>
      <c r="UPB50" s="4"/>
      <c r="UPC50" s="4"/>
      <c r="UPD50" s="4"/>
      <c r="UPE50" s="4"/>
      <c r="UPF50" s="4"/>
      <c r="UPG50" s="4"/>
      <c r="UPH50" s="4"/>
      <c r="UPI50" s="4"/>
      <c r="UPJ50" s="4"/>
      <c r="UPK50" s="4"/>
      <c r="UPL50" s="4"/>
      <c r="UPM50" s="4"/>
      <c r="UPN50" s="4"/>
      <c r="UPO50" s="4"/>
      <c r="UPP50" s="4"/>
      <c r="UPQ50" s="4"/>
      <c r="UPR50" s="4"/>
      <c r="UPS50" s="4"/>
      <c r="UPT50" s="4"/>
      <c r="UPU50" s="4"/>
      <c r="UPV50" s="4"/>
      <c r="UPW50" s="4"/>
      <c r="UPX50" s="4"/>
      <c r="UPY50" s="4"/>
      <c r="UPZ50" s="4"/>
      <c r="UQA50" s="4"/>
      <c r="UQB50" s="4"/>
      <c r="UQC50" s="4"/>
      <c r="UQD50" s="4"/>
      <c r="UQE50" s="4"/>
      <c r="UQF50" s="4"/>
      <c r="UQG50" s="4"/>
      <c r="UQH50" s="4"/>
      <c r="UQI50" s="4"/>
      <c r="UQJ50" s="4"/>
      <c r="UQK50" s="4"/>
      <c r="UQL50" s="4"/>
      <c r="UQM50" s="4"/>
      <c r="UQN50" s="4"/>
      <c r="UQO50" s="4"/>
      <c r="UQP50" s="4"/>
      <c r="UQQ50" s="4"/>
      <c r="UQR50" s="4"/>
      <c r="UQS50" s="4"/>
      <c r="UQT50" s="4"/>
      <c r="UQU50" s="4"/>
      <c r="UQV50" s="4"/>
      <c r="UQW50" s="4"/>
      <c r="UQX50" s="4"/>
      <c r="UQY50" s="4"/>
      <c r="UQZ50" s="4"/>
      <c r="URA50" s="4"/>
      <c r="URB50" s="4"/>
      <c r="URC50" s="4"/>
      <c r="URD50" s="4"/>
      <c r="URE50" s="4"/>
      <c r="URF50" s="4"/>
      <c r="URG50" s="4"/>
      <c r="URH50" s="4"/>
      <c r="URI50" s="4"/>
      <c r="URJ50" s="4"/>
      <c r="URK50" s="4"/>
      <c r="URL50" s="4"/>
      <c r="URM50" s="4"/>
      <c r="URN50" s="4"/>
      <c r="URO50" s="4"/>
      <c r="URP50" s="4"/>
      <c r="URQ50" s="4"/>
      <c r="URR50" s="4"/>
      <c r="URS50" s="4"/>
      <c r="URT50" s="4"/>
      <c r="URU50" s="4"/>
      <c r="URV50" s="4"/>
      <c r="URW50" s="4"/>
      <c r="URX50" s="4"/>
      <c r="URY50" s="4"/>
      <c r="URZ50" s="4"/>
      <c r="USA50" s="4"/>
      <c r="USB50" s="4"/>
      <c r="USC50" s="4"/>
      <c r="USD50" s="4"/>
      <c r="USE50" s="4"/>
      <c r="USF50" s="4"/>
      <c r="USG50" s="4"/>
      <c r="USH50" s="4"/>
      <c r="USI50" s="4"/>
      <c r="USJ50" s="4"/>
      <c r="USK50" s="4"/>
      <c r="USL50" s="4"/>
      <c r="USM50" s="4"/>
      <c r="USN50" s="4"/>
      <c r="USO50" s="4"/>
      <c r="USP50" s="4"/>
      <c r="USQ50" s="4"/>
      <c r="USR50" s="4"/>
      <c r="USS50" s="4"/>
      <c r="UST50" s="4"/>
      <c r="USU50" s="4"/>
      <c r="USV50" s="4"/>
      <c r="USW50" s="4"/>
      <c r="USX50" s="4"/>
      <c r="USY50" s="4"/>
      <c r="USZ50" s="4"/>
      <c r="UTA50" s="4"/>
      <c r="UTB50" s="4"/>
      <c r="UTC50" s="4"/>
      <c r="UTD50" s="4"/>
      <c r="UTE50" s="4"/>
      <c r="UTF50" s="4"/>
      <c r="UTG50" s="4"/>
      <c r="UTH50" s="4"/>
      <c r="UTI50" s="4"/>
      <c r="UTJ50" s="4"/>
      <c r="UTK50" s="4"/>
      <c r="UTL50" s="4"/>
      <c r="UTM50" s="4"/>
      <c r="UTN50" s="4"/>
      <c r="UTO50" s="4"/>
      <c r="UTP50" s="4"/>
      <c r="UTQ50" s="4"/>
      <c r="UTR50" s="4"/>
      <c r="UTS50" s="4"/>
      <c r="UTT50" s="4"/>
      <c r="UTU50" s="4"/>
      <c r="UTV50" s="4"/>
      <c r="UTW50" s="4"/>
      <c r="UTX50" s="4"/>
      <c r="UTY50" s="4"/>
      <c r="UTZ50" s="4"/>
      <c r="UUA50" s="4"/>
      <c r="UUB50" s="4"/>
      <c r="UUC50" s="4"/>
      <c r="UUD50" s="4"/>
      <c r="UUE50" s="4"/>
      <c r="UUF50" s="4"/>
      <c r="UUG50" s="4"/>
      <c r="UUH50" s="4"/>
      <c r="UUI50" s="4"/>
      <c r="UUJ50" s="4"/>
      <c r="UUK50" s="4"/>
      <c r="UUL50" s="4"/>
      <c r="UUM50" s="4"/>
      <c r="UUN50" s="4"/>
      <c r="UUO50" s="4"/>
      <c r="UUP50" s="4"/>
      <c r="UUQ50" s="4"/>
      <c r="UUR50" s="4"/>
      <c r="UUS50" s="4"/>
      <c r="UUT50" s="4"/>
      <c r="UUU50" s="4"/>
      <c r="UUV50" s="4"/>
      <c r="UUW50" s="4"/>
      <c r="UUX50" s="4"/>
      <c r="UUY50" s="4"/>
      <c r="UUZ50" s="4"/>
      <c r="UVA50" s="4"/>
      <c r="UVB50" s="4"/>
      <c r="UVC50" s="4"/>
      <c r="UVD50" s="4"/>
      <c r="UVE50" s="4"/>
      <c r="UVF50" s="4"/>
      <c r="UVG50" s="4"/>
      <c r="UVH50" s="4"/>
      <c r="UVI50" s="4"/>
      <c r="UVJ50" s="4"/>
      <c r="UVK50" s="4"/>
      <c r="UVL50" s="4"/>
      <c r="UVM50" s="4"/>
      <c r="UVN50" s="4"/>
      <c r="UVO50" s="4"/>
      <c r="UVP50" s="4"/>
      <c r="UVQ50" s="4"/>
      <c r="UVR50" s="4"/>
      <c r="UVS50" s="4"/>
      <c r="UVT50" s="4"/>
      <c r="UVU50" s="4"/>
      <c r="UVV50" s="4"/>
      <c r="UVW50" s="4"/>
      <c r="UVX50" s="4"/>
      <c r="UVY50" s="4"/>
      <c r="UVZ50" s="4"/>
      <c r="UWA50" s="4"/>
      <c r="UWB50" s="4"/>
      <c r="UWC50" s="4"/>
      <c r="UWD50" s="4"/>
      <c r="UWE50" s="4"/>
      <c r="UWF50" s="4"/>
      <c r="UWG50" s="4"/>
      <c r="UWH50" s="4"/>
      <c r="UWI50" s="4"/>
      <c r="UWJ50" s="4"/>
      <c r="UWK50" s="4"/>
      <c r="UWL50" s="4"/>
      <c r="UWM50" s="4"/>
      <c r="UWN50" s="4"/>
      <c r="UWO50" s="4"/>
      <c r="UWP50" s="4"/>
      <c r="UWQ50" s="4"/>
      <c r="UWR50" s="4"/>
      <c r="UWS50" s="4"/>
      <c r="UWT50" s="4"/>
      <c r="UWU50" s="4"/>
      <c r="UWV50" s="4"/>
      <c r="UWW50" s="4"/>
      <c r="UWX50" s="4"/>
      <c r="UWY50" s="4"/>
      <c r="UWZ50" s="4"/>
      <c r="UXA50" s="4"/>
      <c r="UXB50" s="4"/>
      <c r="UXC50" s="4"/>
      <c r="UXD50" s="4"/>
      <c r="UXE50" s="4"/>
      <c r="UXF50" s="4"/>
      <c r="UXG50" s="4"/>
      <c r="UXH50" s="4"/>
      <c r="UXI50" s="4"/>
      <c r="UXJ50" s="4"/>
      <c r="UXK50" s="4"/>
      <c r="UXL50" s="4"/>
      <c r="UXM50" s="4"/>
      <c r="UXN50" s="4"/>
      <c r="UXO50" s="4"/>
      <c r="UXP50" s="4"/>
      <c r="UXQ50" s="4"/>
      <c r="UXR50" s="4"/>
      <c r="UXS50" s="4"/>
      <c r="UXT50" s="4"/>
      <c r="UXU50" s="4"/>
      <c r="UXV50" s="4"/>
      <c r="UXW50" s="4"/>
      <c r="UXX50" s="4"/>
      <c r="UXY50" s="4"/>
      <c r="UXZ50" s="4"/>
      <c r="UYA50" s="4"/>
      <c r="UYB50" s="4"/>
      <c r="UYC50" s="4"/>
      <c r="UYD50" s="4"/>
      <c r="UYE50" s="4"/>
      <c r="UYF50" s="4"/>
      <c r="UYG50" s="4"/>
      <c r="UYH50" s="4"/>
      <c r="UYI50" s="4"/>
      <c r="UYJ50" s="4"/>
      <c r="UYK50" s="4"/>
      <c r="UYL50" s="4"/>
      <c r="UYM50" s="4"/>
      <c r="UYN50" s="4"/>
      <c r="UYO50" s="4"/>
      <c r="UYP50" s="4"/>
      <c r="UYQ50" s="4"/>
      <c r="UYR50" s="4"/>
      <c r="UYS50" s="4"/>
      <c r="UYT50" s="4"/>
      <c r="UYU50" s="4"/>
      <c r="UYV50" s="4"/>
      <c r="UYW50" s="4"/>
      <c r="UYX50" s="4"/>
      <c r="UYY50" s="4"/>
      <c r="UYZ50" s="4"/>
      <c r="UZA50" s="4"/>
      <c r="UZB50" s="4"/>
      <c r="UZC50" s="4"/>
      <c r="UZD50" s="4"/>
      <c r="UZE50" s="4"/>
      <c r="UZF50" s="4"/>
      <c r="UZG50" s="4"/>
      <c r="UZH50" s="4"/>
      <c r="UZI50" s="4"/>
      <c r="UZJ50" s="4"/>
      <c r="UZK50" s="4"/>
      <c r="UZL50" s="4"/>
      <c r="UZM50" s="4"/>
      <c r="UZN50" s="4"/>
      <c r="UZO50" s="4"/>
      <c r="UZP50" s="4"/>
      <c r="UZQ50" s="4"/>
      <c r="UZR50" s="4"/>
      <c r="UZS50" s="4"/>
      <c r="UZT50" s="4"/>
      <c r="UZU50" s="4"/>
      <c r="UZV50" s="4"/>
      <c r="UZW50" s="4"/>
      <c r="UZX50" s="4"/>
      <c r="UZY50" s="4"/>
      <c r="UZZ50" s="4"/>
      <c r="VAA50" s="4"/>
      <c r="VAB50" s="4"/>
      <c r="VAC50" s="4"/>
      <c r="VAD50" s="4"/>
      <c r="VAE50" s="4"/>
      <c r="VAF50" s="4"/>
      <c r="VAG50" s="4"/>
      <c r="VAH50" s="4"/>
      <c r="VAI50" s="4"/>
      <c r="VAJ50" s="4"/>
      <c r="VAK50" s="4"/>
      <c r="VAL50" s="4"/>
      <c r="VAM50" s="4"/>
      <c r="VAN50" s="4"/>
      <c r="VAO50" s="4"/>
      <c r="VAP50" s="4"/>
      <c r="VAQ50" s="4"/>
      <c r="VAR50" s="4"/>
      <c r="VAS50" s="4"/>
      <c r="VAT50" s="4"/>
      <c r="VAU50" s="4"/>
      <c r="VAV50" s="4"/>
      <c r="VAW50" s="4"/>
      <c r="VAX50" s="4"/>
      <c r="VAY50" s="4"/>
      <c r="VAZ50" s="4"/>
      <c r="VBA50" s="4"/>
      <c r="VBB50" s="4"/>
      <c r="VBC50" s="4"/>
      <c r="VBD50" s="4"/>
      <c r="VBE50" s="4"/>
      <c r="VBF50" s="4"/>
      <c r="VBG50" s="4"/>
      <c r="VBH50" s="4"/>
      <c r="VBI50" s="4"/>
      <c r="VBJ50" s="4"/>
      <c r="VBK50" s="4"/>
      <c r="VBL50" s="4"/>
      <c r="VBM50" s="4"/>
      <c r="VBN50" s="4"/>
      <c r="VBO50" s="4"/>
      <c r="VBP50" s="4"/>
      <c r="VBQ50" s="4"/>
      <c r="VBR50" s="4"/>
      <c r="VBS50" s="4"/>
      <c r="VBT50" s="4"/>
      <c r="VBU50" s="4"/>
      <c r="VBV50" s="4"/>
      <c r="VBW50" s="4"/>
      <c r="VBX50" s="4"/>
      <c r="VBY50" s="4"/>
      <c r="VBZ50" s="4"/>
      <c r="VCA50" s="4"/>
      <c r="VCB50" s="4"/>
      <c r="VCC50" s="4"/>
      <c r="VCD50" s="4"/>
      <c r="VCE50" s="4"/>
      <c r="VCF50" s="4"/>
      <c r="VCG50" s="4"/>
      <c r="VCH50" s="4"/>
      <c r="VCI50" s="4"/>
      <c r="VCJ50" s="4"/>
      <c r="VCK50" s="4"/>
      <c r="VCL50" s="4"/>
      <c r="VCM50" s="4"/>
      <c r="VCN50" s="4"/>
      <c r="VCO50" s="4"/>
      <c r="VCP50" s="4"/>
      <c r="VCQ50" s="4"/>
      <c r="VCR50" s="4"/>
      <c r="VCS50" s="4"/>
      <c r="VCT50" s="4"/>
      <c r="VCU50" s="4"/>
      <c r="VCV50" s="4"/>
      <c r="VCW50" s="4"/>
      <c r="VCX50" s="4"/>
      <c r="VCY50" s="4"/>
      <c r="VCZ50" s="4"/>
      <c r="VDA50" s="4"/>
      <c r="VDB50" s="4"/>
      <c r="VDC50" s="4"/>
      <c r="VDD50" s="4"/>
      <c r="VDE50" s="4"/>
      <c r="VDF50" s="4"/>
      <c r="VDG50" s="4"/>
      <c r="VDH50" s="4"/>
      <c r="VDI50" s="4"/>
      <c r="VDJ50" s="4"/>
      <c r="VDK50" s="4"/>
      <c r="VDL50" s="4"/>
      <c r="VDM50" s="4"/>
      <c r="VDN50" s="4"/>
      <c r="VDO50" s="4"/>
      <c r="VDP50" s="4"/>
      <c r="VDQ50" s="4"/>
      <c r="VDR50" s="4"/>
      <c r="VDS50" s="4"/>
      <c r="VDT50" s="4"/>
      <c r="VDU50" s="4"/>
      <c r="VDV50" s="4"/>
      <c r="VDW50" s="4"/>
      <c r="VDX50" s="4"/>
      <c r="VDY50" s="4"/>
      <c r="VDZ50" s="4"/>
      <c r="VEA50" s="4"/>
      <c r="VEB50" s="4"/>
      <c r="VEC50" s="4"/>
      <c r="VED50" s="4"/>
      <c r="VEE50" s="4"/>
      <c r="VEF50" s="4"/>
      <c r="VEG50" s="4"/>
      <c r="VEH50" s="4"/>
      <c r="VEI50" s="4"/>
      <c r="VEJ50" s="4"/>
      <c r="VEK50" s="4"/>
      <c r="VEL50" s="4"/>
      <c r="VEM50" s="4"/>
      <c r="VEN50" s="4"/>
      <c r="VEO50" s="4"/>
      <c r="VEP50" s="4"/>
      <c r="VEQ50" s="4"/>
      <c r="VER50" s="4"/>
      <c r="VES50" s="4"/>
      <c r="VET50" s="4"/>
      <c r="VEU50" s="4"/>
      <c r="VEV50" s="4"/>
      <c r="VEW50" s="4"/>
      <c r="VEX50" s="4"/>
      <c r="VEY50" s="4"/>
      <c r="VEZ50" s="4"/>
      <c r="VFA50" s="4"/>
      <c r="VFB50" s="4"/>
      <c r="VFC50" s="4"/>
      <c r="VFD50" s="4"/>
      <c r="VFE50" s="4"/>
      <c r="VFF50" s="4"/>
      <c r="VFG50" s="4"/>
      <c r="VFH50" s="4"/>
      <c r="VFI50" s="4"/>
      <c r="VFJ50" s="4"/>
      <c r="VFK50" s="4"/>
      <c r="VFL50" s="4"/>
      <c r="VFM50" s="4"/>
      <c r="VFN50" s="4"/>
      <c r="VFO50" s="4"/>
      <c r="VFP50" s="4"/>
      <c r="VFQ50" s="4"/>
      <c r="VFR50" s="4"/>
      <c r="VFS50" s="4"/>
      <c r="VFT50" s="4"/>
      <c r="VFU50" s="4"/>
      <c r="VFV50" s="4"/>
      <c r="VFW50" s="4"/>
      <c r="VFX50" s="4"/>
      <c r="VFY50" s="4"/>
      <c r="VFZ50" s="4"/>
      <c r="VGA50" s="4"/>
      <c r="VGB50" s="4"/>
      <c r="VGC50" s="4"/>
      <c r="VGD50" s="4"/>
      <c r="VGE50" s="4"/>
      <c r="VGF50" s="4"/>
      <c r="VGG50" s="4"/>
      <c r="VGH50" s="4"/>
      <c r="VGI50" s="4"/>
      <c r="VGJ50" s="4"/>
      <c r="VGK50" s="4"/>
      <c r="VGL50" s="4"/>
      <c r="VGM50" s="4"/>
      <c r="VGN50" s="4"/>
      <c r="VGO50" s="4"/>
      <c r="VGP50" s="4"/>
      <c r="VGQ50" s="4"/>
      <c r="VGR50" s="4"/>
      <c r="VGS50" s="4"/>
      <c r="VGT50" s="4"/>
      <c r="VGU50" s="4"/>
      <c r="VGV50" s="4"/>
      <c r="VGW50" s="4"/>
      <c r="VGX50" s="4"/>
      <c r="VGY50" s="4"/>
      <c r="VGZ50" s="4"/>
      <c r="VHA50" s="4"/>
      <c r="VHB50" s="4"/>
      <c r="VHC50" s="4"/>
      <c r="VHD50" s="4"/>
      <c r="VHE50" s="4"/>
      <c r="VHF50" s="4"/>
      <c r="VHG50" s="4"/>
      <c r="VHH50" s="4"/>
      <c r="VHI50" s="4"/>
      <c r="VHJ50" s="4"/>
      <c r="VHK50" s="4"/>
      <c r="VHL50" s="4"/>
      <c r="VHM50" s="4"/>
      <c r="VHN50" s="4"/>
      <c r="VHO50" s="4"/>
      <c r="VHP50" s="4"/>
      <c r="VHQ50" s="4"/>
      <c r="VHR50" s="4"/>
      <c r="VHS50" s="4"/>
      <c r="VHT50" s="4"/>
      <c r="VHU50" s="4"/>
      <c r="VHV50" s="4"/>
      <c r="VHW50" s="4"/>
      <c r="VHX50" s="4"/>
      <c r="VHY50" s="4"/>
      <c r="VHZ50" s="4"/>
      <c r="VIA50" s="4"/>
      <c r="VIB50" s="4"/>
      <c r="VIC50" s="4"/>
      <c r="VID50" s="4"/>
      <c r="VIE50" s="4"/>
      <c r="VIF50" s="4"/>
      <c r="VIG50" s="4"/>
      <c r="VIH50" s="4"/>
      <c r="VII50" s="4"/>
      <c r="VIJ50" s="4"/>
      <c r="VIK50" s="4"/>
      <c r="VIL50" s="4"/>
      <c r="VIM50" s="4"/>
      <c r="VIN50" s="4"/>
      <c r="VIO50" s="4"/>
      <c r="VIP50" s="4"/>
      <c r="VIQ50" s="4"/>
      <c r="VIR50" s="4"/>
      <c r="VIS50" s="4"/>
      <c r="VIT50" s="4"/>
      <c r="VIU50" s="4"/>
      <c r="VIV50" s="4"/>
      <c r="VIW50" s="4"/>
      <c r="VIX50" s="4"/>
      <c r="VIY50" s="4"/>
      <c r="VIZ50" s="4"/>
      <c r="VJA50" s="4"/>
      <c r="VJB50" s="4"/>
      <c r="VJC50" s="4"/>
      <c r="VJD50" s="4"/>
      <c r="VJE50" s="4"/>
      <c r="VJF50" s="4"/>
      <c r="VJG50" s="4"/>
      <c r="VJH50" s="4"/>
      <c r="VJI50" s="4"/>
      <c r="VJJ50" s="4"/>
      <c r="VJK50" s="4"/>
      <c r="VJL50" s="4"/>
      <c r="VJM50" s="4"/>
      <c r="VJN50" s="4"/>
      <c r="VJO50" s="4"/>
      <c r="VJP50" s="4"/>
      <c r="VJQ50" s="4"/>
      <c r="VJR50" s="4"/>
      <c r="VJS50" s="4"/>
      <c r="VJT50" s="4"/>
      <c r="VJU50" s="4"/>
      <c r="VJV50" s="4"/>
      <c r="VJW50" s="4"/>
      <c r="VJX50" s="4"/>
      <c r="VJY50" s="4"/>
      <c r="VJZ50" s="4"/>
      <c r="VKA50" s="4"/>
      <c r="VKB50" s="4"/>
      <c r="VKC50" s="4"/>
      <c r="VKD50" s="4"/>
      <c r="VKE50" s="4"/>
      <c r="VKF50" s="4"/>
      <c r="VKG50" s="4"/>
      <c r="VKH50" s="4"/>
      <c r="VKI50" s="4"/>
      <c r="VKJ50" s="4"/>
      <c r="VKK50" s="4"/>
      <c r="VKL50" s="4"/>
      <c r="VKM50" s="4"/>
      <c r="VKN50" s="4"/>
      <c r="VKO50" s="4"/>
      <c r="VKP50" s="4"/>
      <c r="VKQ50" s="4"/>
      <c r="VKR50" s="4"/>
      <c r="VKS50" s="4"/>
      <c r="VKT50" s="4"/>
      <c r="VKU50" s="4"/>
      <c r="VKV50" s="4"/>
      <c r="VKW50" s="4"/>
      <c r="VKX50" s="4"/>
      <c r="VKY50" s="4"/>
      <c r="VKZ50" s="4"/>
      <c r="VLA50" s="4"/>
      <c r="VLB50" s="4"/>
      <c r="VLC50" s="4"/>
      <c r="VLD50" s="4"/>
      <c r="VLE50" s="4"/>
      <c r="VLF50" s="4"/>
      <c r="VLG50" s="4"/>
      <c r="VLH50" s="4"/>
      <c r="VLI50" s="4"/>
      <c r="VLJ50" s="4"/>
      <c r="VLK50" s="4"/>
      <c r="VLL50" s="4"/>
      <c r="VLM50" s="4"/>
      <c r="VLN50" s="4"/>
      <c r="VLO50" s="4"/>
      <c r="VLP50" s="4"/>
      <c r="VLQ50" s="4"/>
      <c r="VLR50" s="4"/>
      <c r="VLS50" s="4"/>
      <c r="VLT50" s="4"/>
      <c r="VLU50" s="4"/>
      <c r="VLV50" s="4"/>
      <c r="VLW50" s="4"/>
      <c r="VLX50" s="4"/>
      <c r="VLY50" s="4"/>
      <c r="VLZ50" s="4"/>
      <c r="VMA50" s="4"/>
      <c r="VMB50" s="4"/>
      <c r="VMC50" s="4"/>
      <c r="VMD50" s="4"/>
      <c r="VME50" s="4"/>
      <c r="VMF50" s="4"/>
      <c r="VMG50" s="4"/>
      <c r="VMH50" s="4"/>
      <c r="VMI50" s="4"/>
      <c r="VMJ50" s="4"/>
      <c r="VMK50" s="4"/>
      <c r="VML50" s="4"/>
      <c r="VMM50" s="4"/>
      <c r="VMN50" s="4"/>
      <c r="VMO50" s="4"/>
      <c r="VMP50" s="4"/>
      <c r="VMQ50" s="4"/>
      <c r="VMR50" s="4"/>
      <c r="VMS50" s="4"/>
      <c r="VMT50" s="4"/>
      <c r="VMU50" s="4"/>
      <c r="VMV50" s="4"/>
      <c r="VMW50" s="4"/>
      <c r="VMX50" s="4"/>
      <c r="VMY50" s="4"/>
      <c r="VMZ50" s="4"/>
      <c r="VNA50" s="4"/>
      <c r="VNB50" s="4"/>
      <c r="VNC50" s="4"/>
      <c r="VND50" s="4"/>
      <c r="VNE50" s="4"/>
      <c r="VNF50" s="4"/>
      <c r="VNG50" s="4"/>
      <c r="VNH50" s="4"/>
      <c r="VNI50" s="4"/>
      <c r="VNJ50" s="4"/>
      <c r="VNK50" s="4"/>
      <c r="VNL50" s="4"/>
      <c r="VNM50" s="4"/>
      <c r="VNN50" s="4"/>
      <c r="VNO50" s="4"/>
      <c r="VNP50" s="4"/>
      <c r="VNQ50" s="4"/>
      <c r="VNR50" s="4"/>
      <c r="VNS50" s="4"/>
      <c r="VNT50" s="4"/>
      <c r="VNU50" s="4"/>
      <c r="VNV50" s="4"/>
      <c r="VNW50" s="4"/>
      <c r="VNX50" s="4"/>
      <c r="VNY50" s="4"/>
      <c r="VNZ50" s="4"/>
      <c r="VOA50" s="4"/>
      <c r="VOB50" s="4"/>
      <c r="VOC50" s="4"/>
      <c r="VOD50" s="4"/>
      <c r="VOE50" s="4"/>
      <c r="VOF50" s="4"/>
      <c r="VOG50" s="4"/>
      <c r="VOH50" s="4"/>
      <c r="VOI50" s="4"/>
      <c r="VOJ50" s="4"/>
      <c r="VOK50" s="4"/>
      <c r="VOL50" s="4"/>
      <c r="VOM50" s="4"/>
      <c r="VON50" s="4"/>
      <c r="VOO50" s="4"/>
      <c r="VOP50" s="4"/>
      <c r="VOQ50" s="4"/>
      <c r="VOR50" s="4"/>
      <c r="VOS50" s="4"/>
      <c r="VOT50" s="4"/>
      <c r="VOU50" s="4"/>
      <c r="VOV50" s="4"/>
      <c r="VOW50" s="4"/>
      <c r="VOX50" s="4"/>
      <c r="VOY50" s="4"/>
      <c r="VOZ50" s="4"/>
      <c r="VPA50" s="4"/>
      <c r="VPB50" s="4"/>
      <c r="VPC50" s="4"/>
      <c r="VPD50" s="4"/>
      <c r="VPE50" s="4"/>
      <c r="VPF50" s="4"/>
      <c r="VPG50" s="4"/>
      <c r="VPH50" s="4"/>
      <c r="VPI50" s="4"/>
      <c r="VPJ50" s="4"/>
      <c r="VPK50" s="4"/>
      <c r="VPL50" s="4"/>
      <c r="VPM50" s="4"/>
      <c r="VPN50" s="4"/>
      <c r="VPO50" s="4"/>
      <c r="VPP50" s="4"/>
      <c r="VPQ50" s="4"/>
      <c r="VPR50" s="4"/>
      <c r="VPS50" s="4"/>
      <c r="VPT50" s="4"/>
      <c r="VPU50" s="4"/>
      <c r="VPV50" s="4"/>
      <c r="VPW50" s="4"/>
      <c r="VPX50" s="4"/>
      <c r="VPY50" s="4"/>
      <c r="VPZ50" s="4"/>
      <c r="VQA50" s="4"/>
      <c r="VQB50" s="4"/>
      <c r="VQC50" s="4"/>
      <c r="VQD50" s="4"/>
      <c r="VQE50" s="4"/>
      <c r="VQF50" s="4"/>
      <c r="VQG50" s="4"/>
      <c r="VQH50" s="4"/>
      <c r="VQI50" s="4"/>
      <c r="VQJ50" s="4"/>
      <c r="VQK50" s="4"/>
      <c r="VQL50" s="4"/>
      <c r="VQM50" s="4"/>
      <c r="VQN50" s="4"/>
      <c r="VQO50" s="4"/>
      <c r="VQP50" s="4"/>
      <c r="VQQ50" s="4"/>
      <c r="VQR50" s="4"/>
      <c r="VQS50" s="4"/>
      <c r="VQT50" s="4"/>
      <c r="VQU50" s="4"/>
      <c r="VQV50" s="4"/>
      <c r="VQW50" s="4"/>
      <c r="VQX50" s="4"/>
      <c r="VQY50" s="4"/>
      <c r="VQZ50" s="4"/>
      <c r="VRA50" s="4"/>
      <c r="VRB50" s="4"/>
      <c r="VRC50" s="4"/>
      <c r="VRD50" s="4"/>
      <c r="VRE50" s="4"/>
      <c r="VRF50" s="4"/>
      <c r="VRG50" s="4"/>
      <c r="VRH50" s="4"/>
      <c r="VRI50" s="4"/>
      <c r="VRJ50" s="4"/>
      <c r="VRK50" s="4"/>
      <c r="VRL50" s="4"/>
      <c r="VRM50" s="4"/>
      <c r="VRN50" s="4"/>
      <c r="VRO50" s="4"/>
      <c r="VRP50" s="4"/>
      <c r="VRQ50" s="4"/>
      <c r="VRR50" s="4"/>
      <c r="VRS50" s="4"/>
      <c r="VRT50" s="4"/>
      <c r="VRU50" s="4"/>
      <c r="VRV50" s="4"/>
      <c r="VRW50" s="4"/>
      <c r="VRX50" s="4"/>
      <c r="VRY50" s="4"/>
      <c r="VRZ50" s="4"/>
      <c r="VSA50" s="4"/>
      <c r="VSB50" s="4"/>
      <c r="VSC50" s="4"/>
      <c r="VSD50" s="4"/>
      <c r="VSE50" s="4"/>
      <c r="VSF50" s="4"/>
      <c r="VSG50" s="4"/>
      <c r="VSH50" s="4"/>
      <c r="VSI50" s="4"/>
      <c r="VSJ50" s="4"/>
      <c r="VSK50" s="4"/>
      <c r="VSL50" s="4"/>
      <c r="VSM50" s="4"/>
      <c r="VSN50" s="4"/>
      <c r="VSO50" s="4"/>
      <c r="VSP50" s="4"/>
      <c r="VSQ50" s="4"/>
      <c r="VSR50" s="4"/>
      <c r="VSS50" s="4"/>
      <c r="VST50" s="4"/>
      <c r="VSU50" s="4"/>
      <c r="VSV50" s="4"/>
      <c r="VSW50" s="4"/>
      <c r="VSX50" s="4"/>
      <c r="VSY50" s="4"/>
      <c r="VSZ50" s="4"/>
      <c r="VTA50" s="4"/>
      <c r="VTB50" s="4"/>
      <c r="VTC50" s="4"/>
      <c r="VTD50" s="4"/>
      <c r="VTE50" s="4"/>
      <c r="VTF50" s="4"/>
      <c r="VTG50" s="4"/>
      <c r="VTH50" s="4"/>
      <c r="VTI50" s="4"/>
      <c r="VTJ50" s="4"/>
      <c r="VTK50" s="4"/>
      <c r="VTL50" s="4"/>
      <c r="VTM50" s="4"/>
      <c r="VTN50" s="4"/>
      <c r="VTO50" s="4"/>
      <c r="VTP50" s="4"/>
      <c r="VTQ50" s="4"/>
      <c r="VTR50" s="4"/>
      <c r="VTS50" s="4"/>
      <c r="VTT50" s="4"/>
      <c r="VTU50" s="4"/>
      <c r="VTV50" s="4"/>
      <c r="VTW50" s="4"/>
      <c r="VTX50" s="4"/>
      <c r="VTY50" s="4"/>
      <c r="VTZ50" s="4"/>
      <c r="VUA50" s="4"/>
      <c r="VUB50" s="4"/>
      <c r="VUC50" s="4"/>
      <c r="VUD50" s="4"/>
      <c r="VUE50" s="4"/>
      <c r="VUF50" s="4"/>
      <c r="VUG50" s="4"/>
      <c r="VUH50" s="4"/>
      <c r="VUI50" s="4"/>
      <c r="VUJ50" s="4"/>
      <c r="VUK50" s="4"/>
      <c r="VUL50" s="4"/>
      <c r="VUM50" s="4"/>
      <c r="VUN50" s="4"/>
      <c r="VUO50" s="4"/>
      <c r="VUP50" s="4"/>
      <c r="VUQ50" s="4"/>
      <c r="VUR50" s="4"/>
      <c r="VUS50" s="4"/>
      <c r="VUT50" s="4"/>
      <c r="VUU50" s="4"/>
      <c r="VUV50" s="4"/>
      <c r="VUW50" s="4"/>
      <c r="VUX50" s="4"/>
      <c r="VUY50" s="4"/>
      <c r="VUZ50" s="4"/>
      <c r="VVA50" s="4"/>
      <c r="VVB50" s="4"/>
      <c r="VVC50" s="4"/>
      <c r="VVD50" s="4"/>
      <c r="VVE50" s="4"/>
      <c r="VVF50" s="4"/>
      <c r="VVG50" s="4"/>
      <c r="VVH50" s="4"/>
      <c r="VVI50" s="4"/>
      <c r="VVJ50" s="4"/>
      <c r="VVK50" s="4"/>
      <c r="VVL50" s="4"/>
      <c r="VVM50" s="4"/>
      <c r="VVN50" s="4"/>
      <c r="VVO50" s="4"/>
      <c r="VVP50" s="4"/>
      <c r="VVQ50" s="4"/>
      <c r="VVR50" s="4"/>
      <c r="VVS50" s="4"/>
      <c r="VVT50" s="4"/>
      <c r="VVU50" s="4"/>
      <c r="VVV50" s="4"/>
      <c r="VVW50" s="4"/>
      <c r="VVX50" s="4"/>
      <c r="VVY50" s="4"/>
      <c r="VVZ50" s="4"/>
      <c r="VWA50" s="4"/>
      <c r="VWB50" s="4"/>
      <c r="VWC50" s="4"/>
      <c r="VWD50" s="4"/>
      <c r="VWE50" s="4"/>
      <c r="VWF50" s="4"/>
      <c r="VWG50" s="4"/>
      <c r="VWH50" s="4"/>
      <c r="VWI50" s="4"/>
      <c r="VWJ50" s="4"/>
      <c r="VWK50" s="4"/>
      <c r="VWL50" s="4"/>
      <c r="VWM50" s="4"/>
      <c r="VWN50" s="4"/>
      <c r="VWO50" s="4"/>
      <c r="VWP50" s="4"/>
      <c r="VWQ50" s="4"/>
      <c r="VWR50" s="4"/>
      <c r="VWS50" s="4"/>
      <c r="VWT50" s="4"/>
      <c r="VWU50" s="4"/>
      <c r="VWV50" s="4"/>
      <c r="VWW50" s="4"/>
      <c r="VWX50" s="4"/>
      <c r="VWY50" s="4"/>
      <c r="VWZ50" s="4"/>
      <c r="VXA50" s="4"/>
      <c r="VXB50" s="4"/>
      <c r="VXC50" s="4"/>
      <c r="VXD50" s="4"/>
      <c r="VXE50" s="4"/>
      <c r="VXF50" s="4"/>
      <c r="VXG50" s="4"/>
      <c r="VXH50" s="4"/>
      <c r="VXI50" s="4"/>
      <c r="VXJ50" s="4"/>
      <c r="VXK50" s="4"/>
      <c r="VXL50" s="4"/>
      <c r="VXM50" s="4"/>
      <c r="VXN50" s="4"/>
      <c r="VXO50" s="4"/>
      <c r="VXP50" s="4"/>
      <c r="VXQ50" s="4"/>
      <c r="VXR50" s="4"/>
      <c r="VXS50" s="4"/>
      <c r="VXT50" s="4"/>
      <c r="VXU50" s="4"/>
      <c r="VXV50" s="4"/>
      <c r="VXW50" s="4"/>
      <c r="VXX50" s="4"/>
      <c r="VXY50" s="4"/>
      <c r="VXZ50" s="4"/>
      <c r="VYA50" s="4"/>
      <c r="VYB50" s="4"/>
      <c r="VYC50" s="4"/>
      <c r="VYD50" s="4"/>
      <c r="VYE50" s="4"/>
      <c r="VYF50" s="4"/>
      <c r="VYG50" s="4"/>
      <c r="VYH50" s="4"/>
      <c r="VYI50" s="4"/>
      <c r="VYJ50" s="4"/>
      <c r="VYK50" s="4"/>
      <c r="VYL50" s="4"/>
      <c r="VYM50" s="4"/>
      <c r="VYN50" s="4"/>
      <c r="VYO50" s="4"/>
      <c r="VYP50" s="4"/>
      <c r="VYQ50" s="4"/>
      <c r="VYR50" s="4"/>
      <c r="VYS50" s="4"/>
      <c r="VYT50" s="4"/>
      <c r="VYU50" s="4"/>
      <c r="VYV50" s="4"/>
      <c r="VYW50" s="4"/>
      <c r="VYX50" s="4"/>
      <c r="VYY50" s="4"/>
      <c r="VYZ50" s="4"/>
      <c r="VZA50" s="4"/>
      <c r="VZB50" s="4"/>
      <c r="VZC50" s="4"/>
      <c r="VZD50" s="4"/>
      <c r="VZE50" s="4"/>
      <c r="VZF50" s="4"/>
      <c r="VZG50" s="4"/>
      <c r="VZH50" s="4"/>
      <c r="VZI50" s="4"/>
      <c r="VZJ50" s="4"/>
      <c r="VZK50" s="4"/>
      <c r="VZL50" s="4"/>
      <c r="VZM50" s="4"/>
      <c r="VZN50" s="4"/>
      <c r="VZO50" s="4"/>
      <c r="VZP50" s="4"/>
      <c r="VZQ50" s="4"/>
      <c r="VZR50" s="4"/>
      <c r="VZS50" s="4"/>
      <c r="VZT50" s="4"/>
      <c r="VZU50" s="4"/>
      <c r="VZV50" s="4"/>
      <c r="VZW50" s="4"/>
      <c r="VZX50" s="4"/>
      <c r="VZY50" s="4"/>
      <c r="VZZ50" s="4"/>
      <c r="WAA50" s="4"/>
      <c r="WAB50" s="4"/>
      <c r="WAC50" s="4"/>
      <c r="WAD50" s="4"/>
      <c r="WAE50" s="4"/>
      <c r="WAF50" s="4"/>
      <c r="WAG50" s="4"/>
      <c r="WAH50" s="4"/>
      <c r="WAI50" s="4"/>
      <c r="WAJ50" s="4"/>
      <c r="WAK50" s="4"/>
      <c r="WAL50" s="4"/>
      <c r="WAM50" s="4"/>
      <c r="WAN50" s="4"/>
      <c r="WAO50" s="4"/>
      <c r="WAP50" s="4"/>
      <c r="WAQ50" s="4"/>
      <c r="WAR50" s="4"/>
      <c r="WAS50" s="4"/>
      <c r="WAT50" s="4"/>
      <c r="WAU50" s="4"/>
      <c r="WAV50" s="4"/>
      <c r="WAW50" s="4"/>
      <c r="WAX50" s="4"/>
      <c r="WAY50" s="4"/>
      <c r="WAZ50" s="4"/>
      <c r="WBA50" s="4"/>
      <c r="WBB50" s="4"/>
      <c r="WBC50" s="4"/>
      <c r="WBD50" s="4"/>
      <c r="WBE50" s="4"/>
      <c r="WBF50" s="4"/>
      <c r="WBG50" s="4"/>
      <c r="WBH50" s="4"/>
      <c r="WBI50" s="4"/>
      <c r="WBJ50" s="4"/>
      <c r="WBK50" s="4"/>
      <c r="WBL50" s="4"/>
      <c r="WBM50" s="4"/>
      <c r="WBN50" s="4"/>
      <c r="WBO50" s="4"/>
      <c r="WBP50" s="4"/>
      <c r="WBQ50" s="4"/>
      <c r="WBR50" s="4"/>
      <c r="WBS50" s="4"/>
      <c r="WBT50" s="4"/>
      <c r="WBU50" s="4"/>
      <c r="WBV50" s="4"/>
      <c r="WBW50" s="4"/>
      <c r="WBX50" s="4"/>
      <c r="WBY50" s="4"/>
      <c r="WBZ50" s="4"/>
      <c r="WCA50" s="4"/>
      <c r="WCB50" s="4"/>
      <c r="WCC50" s="4"/>
      <c r="WCD50" s="4"/>
      <c r="WCE50" s="4"/>
      <c r="WCF50" s="4"/>
      <c r="WCG50" s="4"/>
      <c r="WCH50" s="4"/>
      <c r="WCI50" s="4"/>
      <c r="WCJ50" s="4"/>
      <c r="WCK50" s="4"/>
      <c r="WCL50" s="4"/>
      <c r="WCM50" s="4"/>
      <c r="WCN50" s="4"/>
      <c r="WCO50" s="4"/>
      <c r="WCP50" s="4"/>
      <c r="WCQ50" s="4"/>
      <c r="WCR50" s="4"/>
      <c r="WCS50" s="4"/>
      <c r="WCT50" s="4"/>
      <c r="WCU50" s="4"/>
      <c r="WCV50" s="4"/>
      <c r="WCW50" s="4"/>
      <c r="WCX50" s="4"/>
      <c r="WCY50" s="4"/>
      <c r="WCZ50" s="4"/>
      <c r="WDA50" s="4"/>
      <c r="WDB50" s="4"/>
      <c r="WDC50" s="4"/>
      <c r="WDD50" s="4"/>
      <c r="WDE50" s="4"/>
      <c r="WDF50" s="4"/>
      <c r="WDG50" s="4"/>
      <c r="WDH50" s="4"/>
      <c r="WDI50" s="4"/>
      <c r="WDJ50" s="4"/>
      <c r="WDK50" s="4"/>
      <c r="WDL50" s="4"/>
      <c r="WDM50" s="4"/>
      <c r="WDN50" s="4"/>
      <c r="WDO50" s="4"/>
      <c r="WDP50" s="4"/>
      <c r="WDQ50" s="4"/>
      <c r="WDR50" s="4"/>
      <c r="WDS50" s="4"/>
      <c r="WDT50" s="4"/>
      <c r="WDU50" s="4"/>
      <c r="WDV50" s="4"/>
      <c r="WDW50" s="4"/>
      <c r="WDX50" s="4"/>
      <c r="WDY50" s="4"/>
      <c r="WDZ50" s="4"/>
      <c r="WEA50" s="4"/>
      <c r="WEB50" s="4"/>
      <c r="WEC50" s="4"/>
      <c r="WED50" s="4"/>
      <c r="WEE50" s="4"/>
      <c r="WEF50" s="4"/>
      <c r="WEG50" s="4"/>
      <c r="WEH50" s="4"/>
      <c r="WEI50" s="4"/>
      <c r="WEJ50" s="4"/>
      <c r="WEK50" s="4"/>
      <c r="WEL50" s="4"/>
      <c r="WEM50" s="4"/>
      <c r="WEN50" s="4"/>
      <c r="WEO50" s="4"/>
      <c r="WEP50" s="4"/>
      <c r="WEQ50" s="4"/>
      <c r="WER50" s="4"/>
      <c r="WES50" s="4"/>
      <c r="WET50" s="4"/>
      <c r="WEU50" s="4"/>
      <c r="WEV50" s="4"/>
      <c r="WEW50" s="4"/>
      <c r="WEX50" s="4"/>
      <c r="WEY50" s="4"/>
      <c r="WEZ50" s="4"/>
      <c r="WFA50" s="4"/>
      <c r="WFB50" s="4"/>
      <c r="WFC50" s="4"/>
      <c r="WFD50" s="4"/>
      <c r="WFE50" s="4"/>
      <c r="WFF50" s="4"/>
      <c r="WFG50" s="4"/>
      <c r="WFH50" s="4"/>
      <c r="WFI50" s="4"/>
      <c r="WFJ50" s="4"/>
      <c r="WFK50" s="4"/>
      <c r="WFL50" s="4"/>
      <c r="WFM50" s="4"/>
      <c r="WFN50" s="4"/>
      <c r="WFO50" s="4"/>
      <c r="WFP50" s="4"/>
      <c r="WFQ50" s="4"/>
      <c r="WFR50" s="4"/>
      <c r="WFS50" s="4"/>
      <c r="WFT50" s="4"/>
      <c r="WFU50" s="4"/>
      <c r="WFV50" s="4"/>
      <c r="WFW50" s="4"/>
      <c r="WFX50" s="4"/>
      <c r="WFY50" s="4"/>
      <c r="WFZ50" s="4"/>
      <c r="WGA50" s="4"/>
      <c r="WGB50" s="4"/>
      <c r="WGC50" s="4"/>
      <c r="WGD50" s="4"/>
      <c r="WGE50" s="4"/>
      <c r="WGF50" s="4"/>
      <c r="WGG50" s="4"/>
      <c r="WGH50" s="4"/>
      <c r="WGI50" s="4"/>
      <c r="WGJ50" s="4"/>
      <c r="WGK50" s="4"/>
      <c r="WGL50" s="4"/>
      <c r="WGM50" s="4"/>
      <c r="WGN50" s="4"/>
      <c r="WGO50" s="4"/>
      <c r="WGP50" s="4"/>
      <c r="WGQ50" s="4"/>
      <c r="WGR50" s="4"/>
      <c r="WGS50" s="4"/>
      <c r="WGT50" s="4"/>
      <c r="WGU50" s="4"/>
      <c r="WGV50" s="4"/>
      <c r="WGW50" s="4"/>
      <c r="WGX50" s="4"/>
      <c r="WGY50" s="4"/>
      <c r="WGZ50" s="4"/>
      <c r="WHA50" s="4"/>
      <c r="WHB50" s="4"/>
      <c r="WHC50" s="4"/>
      <c r="WHD50" s="4"/>
      <c r="WHE50" s="4"/>
      <c r="WHF50" s="4"/>
      <c r="WHG50" s="4"/>
      <c r="WHH50" s="4"/>
      <c r="WHI50" s="4"/>
      <c r="WHJ50" s="4"/>
      <c r="WHK50" s="4"/>
      <c r="WHL50" s="4"/>
      <c r="WHM50" s="4"/>
      <c r="WHN50" s="4"/>
      <c r="WHO50" s="4"/>
      <c r="WHP50" s="4"/>
      <c r="WHQ50" s="4"/>
      <c r="WHR50" s="4"/>
      <c r="WHS50" s="4"/>
      <c r="WHT50" s="4"/>
      <c r="WHU50" s="4"/>
      <c r="WHV50" s="4"/>
      <c r="WHW50" s="4"/>
      <c r="WHX50" s="4"/>
      <c r="WHY50" s="4"/>
      <c r="WHZ50" s="4"/>
      <c r="WIA50" s="4"/>
      <c r="WIB50" s="4"/>
      <c r="WIC50" s="4"/>
      <c r="WID50" s="4"/>
      <c r="WIE50" s="4"/>
      <c r="WIF50" s="4"/>
      <c r="WIG50" s="4"/>
      <c r="WIH50" s="4"/>
      <c r="WII50" s="4"/>
      <c r="WIJ50" s="4"/>
      <c r="WIK50" s="4"/>
      <c r="WIL50" s="4"/>
      <c r="WIM50" s="4"/>
      <c r="WIN50" s="4"/>
      <c r="WIO50" s="4"/>
      <c r="WIP50" s="4"/>
      <c r="WIQ50" s="4"/>
      <c r="WIR50" s="4"/>
      <c r="WIS50" s="4"/>
      <c r="WIT50" s="4"/>
      <c r="WIU50" s="4"/>
      <c r="WIV50" s="4"/>
      <c r="WIW50" s="4"/>
      <c r="WIX50" s="4"/>
      <c r="WIY50" s="4"/>
      <c r="WIZ50" s="4"/>
      <c r="WJA50" s="4"/>
      <c r="WJB50" s="4"/>
      <c r="WJC50" s="4"/>
      <c r="WJD50" s="4"/>
      <c r="WJE50" s="4"/>
      <c r="WJF50" s="4"/>
      <c r="WJG50" s="4"/>
      <c r="WJH50" s="4"/>
      <c r="WJI50" s="4"/>
      <c r="WJJ50" s="4"/>
      <c r="WJK50" s="4"/>
      <c r="WJL50" s="4"/>
      <c r="WJM50" s="4"/>
      <c r="WJN50" s="4"/>
      <c r="WJO50" s="4"/>
      <c r="WJP50" s="4"/>
      <c r="WJQ50" s="4"/>
      <c r="WJR50" s="4"/>
      <c r="WJS50" s="4"/>
      <c r="WJT50" s="4"/>
      <c r="WJU50" s="4"/>
      <c r="WJV50" s="4"/>
      <c r="WJW50" s="4"/>
      <c r="WJX50" s="4"/>
      <c r="WJY50" s="4"/>
      <c r="WJZ50" s="4"/>
      <c r="WKA50" s="4"/>
      <c r="WKB50" s="4"/>
      <c r="WKC50" s="4"/>
      <c r="WKD50" s="4"/>
      <c r="WKE50" s="4"/>
      <c r="WKF50" s="4"/>
      <c r="WKG50" s="4"/>
      <c r="WKH50" s="4"/>
      <c r="WKI50" s="4"/>
      <c r="WKJ50" s="4"/>
      <c r="WKK50" s="4"/>
      <c r="WKL50" s="4"/>
      <c r="WKM50" s="4"/>
      <c r="WKN50" s="4"/>
      <c r="WKO50" s="4"/>
      <c r="WKP50" s="4"/>
      <c r="WKQ50" s="4"/>
      <c r="WKR50" s="4"/>
      <c r="WKS50" s="4"/>
      <c r="WKT50" s="4"/>
      <c r="WKU50" s="4"/>
      <c r="WKV50" s="4"/>
      <c r="WKW50" s="4"/>
      <c r="WKX50" s="4"/>
      <c r="WKY50" s="4"/>
      <c r="WKZ50" s="4"/>
      <c r="WLA50" s="4"/>
      <c r="WLB50" s="4"/>
      <c r="WLC50" s="4"/>
      <c r="WLD50" s="4"/>
      <c r="WLE50" s="4"/>
      <c r="WLF50" s="4"/>
      <c r="WLG50" s="4"/>
      <c r="WLH50" s="4"/>
      <c r="WLI50" s="4"/>
      <c r="WLJ50" s="4"/>
      <c r="WLK50" s="4"/>
      <c r="WLL50" s="4"/>
      <c r="WLM50" s="4"/>
      <c r="WLN50" s="4"/>
      <c r="WLO50" s="4"/>
      <c r="WLP50" s="4"/>
      <c r="WLQ50" s="4"/>
      <c r="WLR50" s="4"/>
      <c r="WLS50" s="4"/>
      <c r="WLT50" s="4"/>
      <c r="WLU50" s="4"/>
      <c r="WLV50" s="4"/>
      <c r="WLW50" s="4"/>
      <c r="WLX50" s="4"/>
      <c r="WLY50" s="4"/>
      <c r="WLZ50" s="4"/>
      <c r="WMA50" s="4"/>
      <c r="WMB50" s="4"/>
      <c r="WMC50" s="4"/>
      <c r="WMD50" s="4"/>
      <c r="WME50" s="4"/>
      <c r="WMF50" s="4"/>
      <c r="WMG50" s="4"/>
      <c r="WMH50" s="4"/>
      <c r="WMI50" s="4"/>
      <c r="WMJ50" s="4"/>
      <c r="WMK50" s="4"/>
      <c r="WML50" s="4"/>
      <c r="WMM50" s="4"/>
      <c r="WMN50" s="4"/>
      <c r="WMO50" s="4"/>
      <c r="WMP50" s="4"/>
      <c r="WMQ50" s="4"/>
      <c r="WMR50" s="4"/>
      <c r="WMS50" s="4"/>
      <c r="WMT50" s="4"/>
      <c r="WMU50" s="4"/>
      <c r="WMV50" s="4"/>
      <c r="WMW50" s="4"/>
      <c r="WMX50" s="4"/>
      <c r="WMY50" s="4"/>
      <c r="WMZ50" s="4"/>
      <c r="WNA50" s="4"/>
      <c r="WNB50" s="4"/>
      <c r="WNC50" s="4"/>
      <c r="WND50" s="4"/>
      <c r="WNE50" s="4"/>
      <c r="WNF50" s="4"/>
      <c r="WNG50" s="4"/>
      <c r="WNH50" s="4"/>
      <c r="WNI50" s="4"/>
      <c r="WNJ50" s="4"/>
      <c r="WNK50" s="4"/>
      <c r="WNL50" s="4"/>
      <c r="WNM50" s="4"/>
      <c r="WNN50" s="4"/>
      <c r="WNO50" s="4"/>
      <c r="WNP50" s="4"/>
      <c r="WNQ50" s="4"/>
      <c r="WNR50" s="4"/>
      <c r="WNS50" s="4"/>
      <c r="WNT50" s="4"/>
      <c r="WNU50" s="4"/>
      <c r="WNV50" s="4"/>
      <c r="WNW50" s="4"/>
      <c r="WNX50" s="4"/>
      <c r="WNY50" s="4"/>
      <c r="WNZ50" s="4"/>
      <c r="WOA50" s="4"/>
      <c r="WOB50" s="4"/>
      <c r="WOC50" s="4"/>
      <c r="WOD50" s="4"/>
      <c r="WOE50" s="4"/>
      <c r="WOF50" s="4"/>
      <c r="WOG50" s="4"/>
      <c r="WOH50" s="4"/>
      <c r="WOI50" s="4"/>
      <c r="WOJ50" s="4"/>
      <c r="WOK50" s="4"/>
      <c r="WOL50" s="4"/>
      <c r="WOM50" s="4"/>
      <c r="WON50" s="4"/>
      <c r="WOO50" s="4"/>
      <c r="WOP50" s="4"/>
      <c r="WOQ50" s="4"/>
      <c r="WOR50" s="4"/>
      <c r="WOS50" s="4"/>
      <c r="WOT50" s="4"/>
      <c r="WOU50" s="4"/>
      <c r="WOV50" s="4"/>
      <c r="WOW50" s="4"/>
      <c r="WOX50" s="4"/>
      <c r="WOY50" s="4"/>
      <c r="WOZ50" s="4"/>
      <c r="WPA50" s="4"/>
      <c r="WPB50" s="4"/>
      <c r="WPC50" s="4"/>
      <c r="WPD50" s="4"/>
      <c r="WPE50" s="4"/>
      <c r="WPF50" s="4"/>
      <c r="WPG50" s="4"/>
      <c r="WPH50" s="4"/>
      <c r="WPI50" s="4"/>
      <c r="WPJ50" s="4"/>
      <c r="WPK50" s="4"/>
      <c r="WPL50" s="4"/>
      <c r="WPM50" s="4"/>
      <c r="WPN50" s="4"/>
      <c r="WPO50" s="4"/>
      <c r="WPP50" s="4"/>
      <c r="WPQ50" s="4"/>
      <c r="WPR50" s="4"/>
      <c r="WPS50" s="4"/>
      <c r="WPT50" s="4"/>
      <c r="WPU50" s="4"/>
      <c r="WPV50" s="4"/>
      <c r="WPW50" s="4"/>
      <c r="WPX50" s="4"/>
      <c r="WPY50" s="4"/>
      <c r="WPZ50" s="4"/>
      <c r="WQA50" s="4"/>
      <c r="WQB50" s="4"/>
      <c r="WQC50" s="4"/>
      <c r="WQD50" s="4"/>
      <c r="WQE50" s="4"/>
      <c r="WQF50" s="4"/>
      <c r="WQG50" s="4"/>
      <c r="WQH50" s="4"/>
      <c r="WQI50" s="4"/>
      <c r="WQJ50" s="4"/>
      <c r="WQK50" s="4"/>
      <c r="WQL50" s="4"/>
      <c r="WQM50" s="4"/>
      <c r="WQN50" s="4"/>
      <c r="WQO50" s="4"/>
      <c r="WQP50" s="4"/>
      <c r="WQQ50" s="4"/>
      <c r="WQR50" s="4"/>
      <c r="WQS50" s="4"/>
      <c r="WQT50" s="4"/>
      <c r="WQU50" s="4"/>
      <c r="WQV50" s="4"/>
      <c r="WQW50" s="4"/>
      <c r="WQX50" s="4"/>
      <c r="WQY50" s="4"/>
      <c r="WQZ50" s="4"/>
      <c r="WRA50" s="4"/>
      <c r="WRB50" s="4"/>
      <c r="WRC50" s="4"/>
      <c r="WRD50" s="4"/>
      <c r="WRE50" s="4"/>
      <c r="WRF50" s="4"/>
      <c r="WRG50" s="4"/>
      <c r="WRH50" s="4"/>
      <c r="WRI50" s="4"/>
      <c r="WRJ50" s="4"/>
      <c r="WRK50" s="4"/>
      <c r="WRL50" s="4"/>
      <c r="WRM50" s="4"/>
      <c r="WRN50" s="4"/>
      <c r="WRO50" s="4"/>
      <c r="WRP50" s="4"/>
      <c r="WRQ50" s="4"/>
      <c r="WRR50" s="4"/>
      <c r="WRS50" s="4"/>
      <c r="WRT50" s="4"/>
      <c r="WRU50" s="4"/>
      <c r="WRV50" s="4"/>
      <c r="WRW50" s="4"/>
      <c r="WRX50" s="4"/>
      <c r="WRY50" s="4"/>
      <c r="WRZ50" s="4"/>
      <c r="WSA50" s="4"/>
      <c r="WSB50" s="4"/>
      <c r="WSC50" s="4"/>
      <c r="WSD50" s="4"/>
      <c r="WSE50" s="4"/>
      <c r="WSF50" s="4"/>
      <c r="WSG50" s="4"/>
      <c r="WSH50" s="4"/>
      <c r="WSI50" s="4"/>
      <c r="WSJ50" s="4"/>
      <c r="WSK50" s="4"/>
      <c r="WSL50" s="4"/>
      <c r="WSM50" s="4"/>
      <c r="WSN50" s="4"/>
      <c r="WSO50" s="4"/>
      <c r="WSP50" s="4"/>
      <c r="WSQ50" s="4"/>
      <c r="WSR50" s="4"/>
      <c r="WSS50" s="4"/>
      <c r="WST50" s="4"/>
      <c r="WSU50" s="4"/>
      <c r="WSV50" s="4"/>
      <c r="WSW50" s="4"/>
      <c r="WSX50" s="4"/>
      <c r="WSY50" s="4"/>
      <c r="WSZ50" s="4"/>
      <c r="WTA50" s="4"/>
      <c r="WTB50" s="4"/>
      <c r="WTC50" s="4"/>
      <c r="WTD50" s="4"/>
      <c r="WTE50" s="4"/>
      <c r="WTF50" s="4"/>
      <c r="WTG50" s="4"/>
      <c r="WTH50" s="4"/>
      <c r="WTI50" s="4"/>
      <c r="WTJ50" s="4"/>
      <c r="WTK50" s="4"/>
      <c r="WTL50" s="4"/>
      <c r="WTM50" s="4"/>
      <c r="WTN50" s="4"/>
      <c r="WTO50" s="4"/>
      <c r="WTP50" s="4"/>
      <c r="WTQ50" s="4"/>
      <c r="WTR50" s="4"/>
      <c r="WTS50" s="4"/>
      <c r="WTT50" s="4"/>
      <c r="WTU50" s="4"/>
      <c r="WTV50" s="4"/>
      <c r="WTW50" s="4"/>
      <c r="WTX50" s="4"/>
      <c r="WTY50" s="4"/>
      <c r="WTZ50" s="4"/>
      <c r="WUA50" s="4"/>
      <c r="WUB50" s="4"/>
      <c r="WUC50" s="4"/>
      <c r="WUD50" s="4"/>
      <c r="WUE50" s="4"/>
      <c r="WUF50" s="4"/>
      <c r="WUG50" s="4"/>
      <c r="WUH50" s="4"/>
      <c r="WUI50" s="4"/>
      <c r="WUJ50" s="4"/>
      <c r="WUK50" s="4"/>
      <c r="WUL50" s="4"/>
      <c r="WUM50" s="4"/>
      <c r="WUN50" s="4"/>
      <c r="WUO50" s="4"/>
      <c r="WUP50" s="4"/>
      <c r="WUQ50" s="4"/>
      <c r="WUR50" s="4"/>
      <c r="WUS50" s="4"/>
      <c r="WUT50" s="4"/>
      <c r="WUU50" s="4"/>
      <c r="WUV50" s="4"/>
      <c r="WUW50" s="4"/>
      <c r="WUX50" s="4"/>
      <c r="WUY50" s="4"/>
      <c r="WUZ50" s="4"/>
      <c r="WVA50" s="4"/>
      <c r="WVB50" s="4"/>
      <c r="WVC50" s="4"/>
      <c r="WVD50" s="4"/>
      <c r="WVE50" s="4"/>
      <c r="WVF50" s="4"/>
      <c r="WVG50" s="4"/>
      <c r="WVH50" s="4"/>
      <c r="WVI50" s="4"/>
      <c r="WVJ50" s="4"/>
      <c r="WVK50" s="4"/>
      <c r="WVL50" s="4"/>
      <c r="WVM50" s="4"/>
      <c r="WVN50" s="4"/>
      <c r="WVO50" s="4"/>
      <c r="WVP50" s="4"/>
      <c r="WVQ50" s="4"/>
      <c r="WVR50" s="4"/>
      <c r="WVS50" s="4"/>
      <c r="WVT50" s="4"/>
      <c r="WVU50" s="4"/>
      <c r="WVV50" s="4"/>
      <c r="WVW50" s="4"/>
      <c r="WVX50" s="4"/>
      <c r="WVY50" s="4"/>
      <c r="WVZ50" s="4"/>
      <c r="WWA50" s="4"/>
      <c r="WWB50" s="4"/>
      <c r="WWC50" s="4"/>
      <c r="WWD50" s="4"/>
      <c r="WWE50" s="4"/>
      <c r="WWF50" s="4"/>
      <c r="WWG50" s="4"/>
      <c r="WWH50" s="4"/>
      <c r="WWI50" s="4"/>
      <c r="WWJ50" s="4"/>
      <c r="WWK50" s="4"/>
      <c r="WWL50" s="4"/>
      <c r="WWM50" s="4"/>
      <c r="WWN50" s="4"/>
      <c r="WWO50" s="4"/>
      <c r="WWP50" s="4"/>
      <c r="WWQ50" s="4"/>
      <c r="WWR50" s="4"/>
      <c r="WWS50" s="4"/>
      <c r="WWT50" s="4"/>
      <c r="WWU50" s="4"/>
      <c r="WWV50" s="4"/>
      <c r="WWW50" s="4"/>
      <c r="WWX50" s="4"/>
      <c r="WWY50" s="4"/>
      <c r="WWZ50" s="4"/>
      <c r="WXA50" s="4"/>
      <c r="WXB50" s="4"/>
      <c r="WXC50" s="4"/>
      <c r="WXD50" s="4"/>
      <c r="WXE50" s="4"/>
      <c r="WXF50" s="4"/>
      <c r="WXG50" s="4"/>
      <c r="WXH50" s="4"/>
      <c r="WXI50" s="4"/>
      <c r="WXJ50" s="4"/>
      <c r="WXK50" s="4"/>
      <c r="WXL50" s="4"/>
      <c r="WXM50" s="4"/>
      <c r="WXN50" s="4"/>
      <c r="WXO50" s="4"/>
      <c r="WXP50" s="4"/>
      <c r="WXQ50" s="4"/>
      <c r="WXR50" s="4"/>
      <c r="WXS50" s="4"/>
      <c r="WXT50" s="4"/>
      <c r="WXU50" s="4"/>
      <c r="WXV50" s="4"/>
      <c r="WXW50" s="4"/>
      <c r="WXX50" s="4"/>
      <c r="WXY50" s="4"/>
      <c r="WXZ50" s="4"/>
      <c r="WYA50" s="4"/>
      <c r="WYB50" s="4"/>
      <c r="WYC50" s="4"/>
      <c r="WYD50" s="4"/>
      <c r="WYE50" s="4"/>
      <c r="WYF50" s="4"/>
      <c r="WYG50" s="4"/>
      <c r="WYH50" s="4"/>
      <c r="WYI50" s="4"/>
      <c r="WYJ50" s="4"/>
      <c r="WYK50" s="4"/>
      <c r="WYL50" s="4"/>
      <c r="WYM50" s="4"/>
      <c r="WYN50" s="4"/>
      <c r="WYO50" s="4"/>
      <c r="WYP50" s="4"/>
      <c r="WYQ50" s="4"/>
      <c r="WYR50" s="4"/>
      <c r="WYS50" s="4"/>
      <c r="WYT50" s="4"/>
      <c r="WYU50" s="4"/>
      <c r="WYV50" s="4"/>
      <c r="WYW50" s="4"/>
      <c r="WYX50" s="4"/>
      <c r="WYY50" s="4"/>
      <c r="WYZ50" s="4"/>
      <c r="WZA50" s="4"/>
      <c r="WZB50" s="4"/>
      <c r="WZC50" s="4"/>
      <c r="WZD50" s="4"/>
      <c r="WZE50" s="4"/>
      <c r="WZF50" s="4"/>
      <c r="WZG50" s="4"/>
      <c r="WZH50" s="4"/>
      <c r="WZI50" s="4"/>
      <c r="WZJ50" s="4"/>
      <c r="WZK50" s="4"/>
      <c r="WZL50" s="4"/>
      <c r="WZM50" s="4"/>
      <c r="WZN50" s="4"/>
      <c r="WZO50" s="4"/>
      <c r="WZP50" s="4"/>
      <c r="WZQ50" s="4"/>
      <c r="WZR50" s="4"/>
      <c r="WZS50" s="4"/>
      <c r="WZT50" s="4"/>
      <c r="WZU50" s="4"/>
      <c r="WZV50" s="4"/>
      <c r="WZW50" s="4"/>
      <c r="WZX50" s="4"/>
      <c r="WZY50" s="4"/>
      <c r="WZZ50" s="4"/>
      <c r="XAA50" s="4"/>
      <c r="XAB50" s="4"/>
      <c r="XAC50" s="4"/>
      <c r="XAD50" s="4"/>
      <c r="XAE50" s="4"/>
      <c r="XAF50" s="4"/>
      <c r="XAG50" s="4"/>
      <c r="XAH50" s="4"/>
      <c r="XAI50" s="4"/>
      <c r="XAJ50" s="4"/>
      <c r="XAK50" s="4"/>
      <c r="XAL50" s="4"/>
      <c r="XAM50" s="4"/>
      <c r="XAN50" s="4"/>
      <c r="XAO50" s="4"/>
      <c r="XAP50" s="4"/>
      <c r="XAQ50" s="4"/>
      <c r="XAR50" s="4"/>
      <c r="XAS50" s="4"/>
      <c r="XAT50" s="4"/>
      <c r="XAU50" s="4"/>
      <c r="XAV50" s="4"/>
      <c r="XAW50" s="4"/>
      <c r="XAX50" s="4"/>
      <c r="XAY50" s="4"/>
      <c r="XAZ50" s="4"/>
      <c r="XBA50" s="4"/>
      <c r="XBB50" s="4"/>
      <c r="XBC50" s="4"/>
      <c r="XBD50" s="4"/>
      <c r="XBE50" s="4"/>
      <c r="XBF50" s="4"/>
      <c r="XBG50" s="4"/>
      <c r="XBH50" s="4"/>
      <c r="XBI50" s="4"/>
      <c r="XBJ50" s="4"/>
      <c r="XBK50" s="4"/>
      <c r="XBL50" s="4"/>
      <c r="XBM50" s="4"/>
      <c r="XBN50" s="4"/>
      <c r="XBO50" s="4"/>
      <c r="XBP50" s="4"/>
      <c r="XBQ50" s="4"/>
      <c r="XBR50" s="4"/>
      <c r="XBS50" s="4"/>
      <c r="XBT50" s="4"/>
      <c r="XBU50" s="4"/>
      <c r="XBV50" s="4"/>
      <c r="XBW50" s="4"/>
      <c r="XBX50" s="4"/>
      <c r="XBY50" s="4"/>
      <c r="XBZ50" s="4"/>
      <c r="XCA50" s="4"/>
      <c r="XCB50" s="4"/>
      <c r="XCC50" s="4"/>
      <c r="XCD50" s="4"/>
      <c r="XCE50" s="4"/>
      <c r="XCF50" s="4"/>
      <c r="XCG50" s="4"/>
      <c r="XCH50" s="4"/>
      <c r="XCI50" s="4"/>
      <c r="XCJ50" s="4"/>
      <c r="XCK50" s="4"/>
      <c r="XCL50" s="4"/>
      <c r="XCM50" s="4"/>
      <c r="XCN50" s="4"/>
      <c r="XCO50" s="4"/>
      <c r="XCP50" s="4"/>
      <c r="XCQ50" s="4"/>
      <c r="XCR50" s="4"/>
      <c r="XCS50" s="4"/>
      <c r="XCT50" s="4"/>
      <c r="XCU50" s="4"/>
      <c r="XCV50" s="4"/>
      <c r="XCW50" s="4"/>
      <c r="XCX50" s="4"/>
      <c r="XCY50" s="4"/>
      <c r="XCZ50" s="4"/>
      <c r="XDA50" s="4"/>
      <c r="XDB50" s="4"/>
      <c r="XDC50" s="4"/>
      <c r="XDD50" s="4"/>
      <c r="XDE50" s="4"/>
      <c r="XDF50" s="4"/>
      <c r="XDG50" s="4"/>
      <c r="XDH50" s="4"/>
      <c r="XDI50" s="4"/>
      <c r="XDJ50" s="4"/>
      <c r="XDK50" s="4"/>
      <c r="XDL50" s="4"/>
      <c r="XDM50" s="4"/>
      <c r="XDN50" s="4"/>
      <c r="XDO50" s="4"/>
      <c r="XDP50" s="4"/>
      <c r="XDQ50" s="4"/>
      <c r="XDR50" s="4"/>
      <c r="XDS50" s="4"/>
      <c r="XDT50" s="4"/>
      <c r="XDU50" s="4"/>
      <c r="XDV50" s="4"/>
      <c r="XDW50" s="4"/>
      <c r="XDX50" s="4"/>
      <c r="XDY50" s="4"/>
      <c r="XDZ50" s="4"/>
      <c r="XEA50" s="4"/>
      <c r="XEB50" s="4"/>
      <c r="XEC50" s="4"/>
      <c r="XED50" s="4"/>
      <c r="XEE50" s="4"/>
      <c r="XEF50" s="4"/>
      <c r="XEG50" s="4"/>
      <c r="XEH50" s="4"/>
      <c r="XEI50" s="4"/>
      <c r="XEJ50" s="4"/>
      <c r="XEK50" s="4"/>
      <c r="XEL50" s="4"/>
      <c r="XEM50" s="4"/>
      <c r="XEN50" s="4"/>
      <c r="XEO50" s="4"/>
      <c r="XEP50" s="4"/>
      <c r="XEQ50" s="4"/>
      <c r="XER50" s="4"/>
      <c r="XES50" s="4"/>
      <c r="XET50" s="4"/>
      <c r="XEU50" s="4"/>
      <c r="XEV50" s="4"/>
      <c r="XEW50" s="4"/>
      <c r="XEX50" s="4"/>
      <c r="XEY50" s="4"/>
      <c r="XEZ50" s="4"/>
      <c r="XFA50" s="4"/>
      <c r="XFB50" s="4"/>
      <c r="XFC50" s="4"/>
      <c r="XFD50" s="4"/>
    </row>
    <row r="51" spans="1:13 1026:16384" x14ac:dyDescent="0.3">
      <c r="C51" s="34"/>
      <c r="F51" s="4"/>
      <c r="AML51" s="4"/>
      <c r="AMM51" s="4"/>
      <c r="AMN51" s="4"/>
      <c r="AMO51" s="4"/>
      <c r="AMP51" s="4"/>
      <c r="AMQ51" s="4"/>
      <c r="AMR51" s="4"/>
      <c r="AMS51" s="4"/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4"/>
      <c r="ANK51" s="4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  <c r="ASV51" s="4"/>
      <c r="ASW51" s="4"/>
      <c r="ASX51" s="4"/>
      <c r="ASY51" s="4"/>
      <c r="ASZ51" s="4"/>
      <c r="ATA51" s="4"/>
      <c r="ATB51" s="4"/>
      <c r="ATC51" s="4"/>
      <c r="ATD51" s="4"/>
      <c r="ATE51" s="4"/>
      <c r="ATF51" s="4"/>
      <c r="ATG51" s="4"/>
      <c r="ATH51" s="4"/>
      <c r="ATI51" s="4"/>
      <c r="ATJ51" s="4"/>
      <c r="ATK51" s="4"/>
      <c r="ATL51" s="4"/>
      <c r="ATM51" s="4"/>
      <c r="ATN51" s="4"/>
      <c r="ATO51" s="4"/>
      <c r="ATP51" s="4"/>
      <c r="ATQ51" s="4"/>
      <c r="ATR51" s="4"/>
      <c r="ATS51" s="4"/>
      <c r="ATT51" s="4"/>
      <c r="ATU51" s="4"/>
      <c r="ATV51" s="4"/>
      <c r="ATW51" s="4"/>
      <c r="ATX51" s="4"/>
      <c r="ATY51" s="4"/>
      <c r="ATZ51" s="4"/>
      <c r="AUA51" s="4"/>
      <c r="AUB51" s="4"/>
      <c r="AUC51" s="4"/>
      <c r="AUD51" s="4"/>
      <c r="AUE51" s="4"/>
      <c r="AUF51" s="4"/>
      <c r="AUG51" s="4"/>
      <c r="AUH51" s="4"/>
      <c r="AUI51" s="4"/>
      <c r="AUJ51" s="4"/>
      <c r="AUK51" s="4"/>
      <c r="AUL51" s="4"/>
      <c r="AUM51" s="4"/>
      <c r="AUN51" s="4"/>
      <c r="AUO51" s="4"/>
      <c r="AUP51" s="4"/>
      <c r="AUQ51" s="4"/>
      <c r="AUR51" s="4"/>
      <c r="AUS51" s="4"/>
      <c r="AUT51" s="4"/>
      <c r="AUU51" s="4"/>
      <c r="AUV51" s="4"/>
      <c r="AUW51" s="4"/>
      <c r="AUX51" s="4"/>
      <c r="AUY51" s="4"/>
      <c r="AUZ51" s="4"/>
      <c r="AVA51" s="4"/>
      <c r="AVB51" s="4"/>
      <c r="AVC51" s="4"/>
      <c r="AVD51" s="4"/>
      <c r="AVE51" s="4"/>
      <c r="AVF51" s="4"/>
      <c r="AVG51" s="4"/>
      <c r="AVH51" s="4"/>
      <c r="AVI51" s="4"/>
      <c r="AVJ51" s="4"/>
      <c r="AVK51" s="4"/>
      <c r="AVL51" s="4"/>
      <c r="AVM51" s="4"/>
      <c r="AVN51" s="4"/>
      <c r="AVO51" s="4"/>
      <c r="AVP51" s="4"/>
      <c r="AVQ51" s="4"/>
      <c r="AVR51" s="4"/>
      <c r="AVS51" s="4"/>
      <c r="AVT51" s="4"/>
      <c r="AVU51" s="4"/>
      <c r="AVV51" s="4"/>
      <c r="AVW51" s="4"/>
      <c r="AVX51" s="4"/>
      <c r="AVY51" s="4"/>
      <c r="AVZ51" s="4"/>
      <c r="AWA51" s="4"/>
      <c r="AWB51" s="4"/>
      <c r="AWC51" s="4"/>
      <c r="AWD51" s="4"/>
      <c r="AWE51" s="4"/>
      <c r="AWF51" s="4"/>
      <c r="AWG51" s="4"/>
      <c r="AWH51" s="4"/>
      <c r="AWI51" s="4"/>
      <c r="AWJ51" s="4"/>
      <c r="AWK51" s="4"/>
      <c r="AWL51" s="4"/>
      <c r="AWM51" s="4"/>
      <c r="AWN51" s="4"/>
      <c r="AWO51" s="4"/>
      <c r="AWP51" s="4"/>
      <c r="AWQ51" s="4"/>
      <c r="AWR51" s="4"/>
      <c r="AWS51" s="4"/>
      <c r="AWT51" s="4"/>
      <c r="AWU51" s="4"/>
      <c r="AWV51" s="4"/>
      <c r="AWW51" s="4"/>
      <c r="AWX51" s="4"/>
      <c r="AWY51" s="4"/>
      <c r="AWZ51" s="4"/>
      <c r="AXA51" s="4"/>
      <c r="AXB51" s="4"/>
      <c r="AXC51" s="4"/>
      <c r="AXD51" s="4"/>
      <c r="AXE51" s="4"/>
      <c r="AXF51" s="4"/>
      <c r="AXG51" s="4"/>
      <c r="AXH51" s="4"/>
      <c r="AXI51" s="4"/>
      <c r="AXJ51" s="4"/>
      <c r="AXK51" s="4"/>
      <c r="AXL51" s="4"/>
      <c r="AXM51" s="4"/>
      <c r="AXN51" s="4"/>
      <c r="AXO51" s="4"/>
      <c r="AXP51" s="4"/>
      <c r="AXQ51" s="4"/>
      <c r="AXR51" s="4"/>
      <c r="AXS51" s="4"/>
      <c r="AXT51" s="4"/>
      <c r="AXU51" s="4"/>
      <c r="AXV51" s="4"/>
      <c r="AXW51" s="4"/>
      <c r="AXX51" s="4"/>
      <c r="AXY51" s="4"/>
      <c r="AXZ51" s="4"/>
      <c r="AYA51" s="4"/>
      <c r="AYB51" s="4"/>
      <c r="AYC51" s="4"/>
      <c r="AYD51" s="4"/>
      <c r="AYE51" s="4"/>
      <c r="AYF51" s="4"/>
      <c r="AYG51" s="4"/>
      <c r="AYH51" s="4"/>
      <c r="AYI51" s="4"/>
      <c r="AYJ51" s="4"/>
      <c r="AYK51" s="4"/>
      <c r="AYL51" s="4"/>
      <c r="AYM51" s="4"/>
      <c r="AYN51" s="4"/>
      <c r="AYO51" s="4"/>
      <c r="AYP51" s="4"/>
      <c r="AYQ51" s="4"/>
      <c r="AYR51" s="4"/>
      <c r="AYS51" s="4"/>
      <c r="AYT51" s="4"/>
      <c r="AYU51" s="4"/>
      <c r="AYV51" s="4"/>
      <c r="AYW51" s="4"/>
      <c r="AYX51" s="4"/>
      <c r="AYY51" s="4"/>
      <c r="AYZ51" s="4"/>
      <c r="AZA51" s="4"/>
      <c r="AZB51" s="4"/>
      <c r="AZC51" s="4"/>
      <c r="AZD51" s="4"/>
      <c r="AZE51" s="4"/>
      <c r="AZF51" s="4"/>
      <c r="AZG51" s="4"/>
      <c r="AZH51" s="4"/>
      <c r="AZI51" s="4"/>
      <c r="AZJ51" s="4"/>
      <c r="AZK51" s="4"/>
      <c r="AZL51" s="4"/>
      <c r="AZM51" s="4"/>
      <c r="AZN51" s="4"/>
      <c r="AZO51" s="4"/>
      <c r="AZP51" s="4"/>
      <c r="AZQ51" s="4"/>
      <c r="AZR51" s="4"/>
      <c r="AZS51" s="4"/>
      <c r="AZT51" s="4"/>
      <c r="AZU51" s="4"/>
      <c r="AZV51" s="4"/>
      <c r="AZW51" s="4"/>
      <c r="AZX51" s="4"/>
      <c r="AZY51" s="4"/>
      <c r="AZZ51" s="4"/>
      <c r="BAA51" s="4"/>
      <c r="BAB51" s="4"/>
      <c r="BAC51" s="4"/>
      <c r="BAD51" s="4"/>
      <c r="BAE51" s="4"/>
      <c r="BAF51" s="4"/>
      <c r="BAG51" s="4"/>
      <c r="BAH51" s="4"/>
      <c r="BAI51" s="4"/>
      <c r="BAJ51" s="4"/>
      <c r="BAK51" s="4"/>
      <c r="BAL51" s="4"/>
      <c r="BAM51" s="4"/>
      <c r="BAN51" s="4"/>
      <c r="BAO51" s="4"/>
      <c r="BAP51" s="4"/>
      <c r="BAQ51" s="4"/>
      <c r="BAR51" s="4"/>
      <c r="BAS51" s="4"/>
      <c r="BAT51" s="4"/>
      <c r="BAU51" s="4"/>
      <c r="BAV51" s="4"/>
      <c r="BAW51" s="4"/>
      <c r="BAX51" s="4"/>
      <c r="BAY51" s="4"/>
      <c r="BAZ51" s="4"/>
      <c r="BBA51" s="4"/>
      <c r="BBB51" s="4"/>
      <c r="BBC51" s="4"/>
      <c r="BBD51" s="4"/>
      <c r="BBE51" s="4"/>
      <c r="BBF51" s="4"/>
      <c r="BBG51" s="4"/>
      <c r="BBH51" s="4"/>
      <c r="BBI51" s="4"/>
      <c r="BBJ51" s="4"/>
      <c r="BBK51" s="4"/>
      <c r="BBL51" s="4"/>
      <c r="BBM51" s="4"/>
      <c r="BBN51" s="4"/>
      <c r="BBO51" s="4"/>
      <c r="BBP51" s="4"/>
      <c r="BBQ51" s="4"/>
      <c r="BBR51" s="4"/>
      <c r="BBS51" s="4"/>
      <c r="BBT51" s="4"/>
      <c r="BBU51" s="4"/>
      <c r="BBV51" s="4"/>
      <c r="BBW51" s="4"/>
      <c r="BBX51" s="4"/>
      <c r="BBY51" s="4"/>
      <c r="BBZ51" s="4"/>
      <c r="BCA51" s="4"/>
      <c r="BCB51" s="4"/>
      <c r="BCC51" s="4"/>
      <c r="BCD51" s="4"/>
      <c r="BCE51" s="4"/>
      <c r="BCF51" s="4"/>
      <c r="BCG51" s="4"/>
      <c r="BCH51" s="4"/>
      <c r="BCI51" s="4"/>
      <c r="BCJ51" s="4"/>
      <c r="BCK51" s="4"/>
      <c r="BCL51" s="4"/>
      <c r="BCM51" s="4"/>
      <c r="BCN51" s="4"/>
      <c r="BCO51" s="4"/>
      <c r="BCP51" s="4"/>
      <c r="BCQ51" s="4"/>
      <c r="BCR51" s="4"/>
      <c r="BCS51" s="4"/>
      <c r="BCT51" s="4"/>
      <c r="BCU51" s="4"/>
      <c r="BCV51" s="4"/>
      <c r="BCW51" s="4"/>
      <c r="BCX51" s="4"/>
      <c r="BCY51" s="4"/>
      <c r="BCZ51" s="4"/>
      <c r="BDA51" s="4"/>
      <c r="BDB51" s="4"/>
      <c r="BDC51" s="4"/>
      <c r="BDD51" s="4"/>
      <c r="BDE51" s="4"/>
      <c r="BDF51" s="4"/>
      <c r="BDG51" s="4"/>
      <c r="BDH51" s="4"/>
      <c r="BDI51" s="4"/>
      <c r="BDJ51" s="4"/>
      <c r="BDK51" s="4"/>
      <c r="BDL51" s="4"/>
      <c r="BDM51" s="4"/>
      <c r="BDN51" s="4"/>
      <c r="BDO51" s="4"/>
      <c r="BDP51" s="4"/>
      <c r="BDQ51" s="4"/>
      <c r="BDR51" s="4"/>
      <c r="BDS51" s="4"/>
      <c r="BDT51" s="4"/>
      <c r="BDU51" s="4"/>
      <c r="BDV51" s="4"/>
      <c r="BDW51" s="4"/>
      <c r="BDX51" s="4"/>
      <c r="BDY51" s="4"/>
      <c r="BDZ51" s="4"/>
      <c r="BEA51" s="4"/>
      <c r="BEB51" s="4"/>
      <c r="BEC51" s="4"/>
      <c r="BED51" s="4"/>
      <c r="BEE51" s="4"/>
      <c r="BEF51" s="4"/>
      <c r="BEG51" s="4"/>
      <c r="BEH51" s="4"/>
      <c r="BEI51" s="4"/>
      <c r="BEJ51" s="4"/>
      <c r="BEK51" s="4"/>
      <c r="BEL51" s="4"/>
      <c r="BEM51" s="4"/>
      <c r="BEN51" s="4"/>
      <c r="BEO51" s="4"/>
      <c r="BEP51" s="4"/>
      <c r="BEQ51" s="4"/>
      <c r="BER51" s="4"/>
      <c r="BES51" s="4"/>
      <c r="BET51" s="4"/>
      <c r="BEU51" s="4"/>
      <c r="BEV51" s="4"/>
      <c r="BEW51" s="4"/>
      <c r="BEX51" s="4"/>
      <c r="BEY51" s="4"/>
      <c r="BEZ51" s="4"/>
      <c r="BFA51" s="4"/>
      <c r="BFB51" s="4"/>
      <c r="BFC51" s="4"/>
      <c r="BFD51" s="4"/>
      <c r="BFE51" s="4"/>
      <c r="BFF51" s="4"/>
      <c r="BFG51" s="4"/>
      <c r="BFH51" s="4"/>
      <c r="BFI51" s="4"/>
      <c r="BFJ51" s="4"/>
      <c r="BFK51" s="4"/>
      <c r="BFL51" s="4"/>
      <c r="BFM51" s="4"/>
      <c r="BFN51" s="4"/>
      <c r="BFO51" s="4"/>
      <c r="BFP51" s="4"/>
      <c r="BFQ51" s="4"/>
      <c r="BFR51" s="4"/>
      <c r="BFS51" s="4"/>
      <c r="BFT51" s="4"/>
      <c r="BFU51" s="4"/>
      <c r="BFV51" s="4"/>
      <c r="BFW51" s="4"/>
      <c r="BFX51" s="4"/>
      <c r="BFY51" s="4"/>
      <c r="BFZ51" s="4"/>
      <c r="BGA51" s="4"/>
      <c r="BGB51" s="4"/>
      <c r="BGC51" s="4"/>
      <c r="BGD51" s="4"/>
      <c r="BGE51" s="4"/>
      <c r="BGF51" s="4"/>
      <c r="BGG51" s="4"/>
      <c r="BGH51" s="4"/>
      <c r="BGI51" s="4"/>
      <c r="BGJ51" s="4"/>
      <c r="BGK51" s="4"/>
      <c r="BGL51" s="4"/>
      <c r="BGM51" s="4"/>
      <c r="BGN51" s="4"/>
      <c r="BGO51" s="4"/>
      <c r="BGP51" s="4"/>
      <c r="BGQ51" s="4"/>
      <c r="BGR51" s="4"/>
      <c r="BGS51" s="4"/>
      <c r="BGT51" s="4"/>
      <c r="BGU51" s="4"/>
      <c r="BGV51" s="4"/>
      <c r="BGW51" s="4"/>
      <c r="BGX51" s="4"/>
      <c r="BGY51" s="4"/>
      <c r="BGZ51" s="4"/>
      <c r="BHA51" s="4"/>
      <c r="BHB51" s="4"/>
      <c r="BHC51" s="4"/>
      <c r="BHD51" s="4"/>
      <c r="BHE51" s="4"/>
      <c r="BHF51" s="4"/>
      <c r="BHG51" s="4"/>
      <c r="BHH51" s="4"/>
      <c r="BHI51" s="4"/>
      <c r="BHJ51" s="4"/>
      <c r="BHK51" s="4"/>
      <c r="BHL51" s="4"/>
      <c r="BHM51" s="4"/>
      <c r="BHN51" s="4"/>
      <c r="BHO51" s="4"/>
      <c r="BHP51" s="4"/>
      <c r="BHQ51" s="4"/>
      <c r="BHR51" s="4"/>
      <c r="BHS51" s="4"/>
      <c r="BHT51" s="4"/>
      <c r="BHU51" s="4"/>
      <c r="BHV51" s="4"/>
      <c r="BHW51" s="4"/>
      <c r="BHX51" s="4"/>
      <c r="BHY51" s="4"/>
      <c r="BHZ51" s="4"/>
      <c r="BIA51" s="4"/>
      <c r="BIB51" s="4"/>
      <c r="BIC51" s="4"/>
      <c r="BID51" s="4"/>
      <c r="BIE51" s="4"/>
      <c r="BIF51" s="4"/>
      <c r="BIG51" s="4"/>
      <c r="BIH51" s="4"/>
      <c r="BII51" s="4"/>
      <c r="BIJ51" s="4"/>
      <c r="BIK51" s="4"/>
      <c r="BIL51" s="4"/>
      <c r="BIM51" s="4"/>
      <c r="BIN51" s="4"/>
      <c r="BIO51" s="4"/>
      <c r="BIP51" s="4"/>
      <c r="BIQ51" s="4"/>
      <c r="BIR51" s="4"/>
      <c r="BIS51" s="4"/>
      <c r="BIT51" s="4"/>
      <c r="BIU51" s="4"/>
      <c r="BIV51" s="4"/>
      <c r="BIW51" s="4"/>
      <c r="BIX51" s="4"/>
      <c r="BIY51" s="4"/>
      <c r="BIZ51" s="4"/>
      <c r="BJA51" s="4"/>
      <c r="BJB51" s="4"/>
      <c r="BJC51" s="4"/>
      <c r="BJD51" s="4"/>
      <c r="BJE51" s="4"/>
      <c r="BJF51" s="4"/>
      <c r="BJG51" s="4"/>
      <c r="BJH51" s="4"/>
      <c r="BJI51" s="4"/>
      <c r="BJJ51" s="4"/>
      <c r="BJK51" s="4"/>
      <c r="BJL51" s="4"/>
      <c r="BJM51" s="4"/>
      <c r="BJN51" s="4"/>
      <c r="BJO51" s="4"/>
      <c r="BJP51" s="4"/>
      <c r="BJQ51" s="4"/>
      <c r="BJR51" s="4"/>
      <c r="BJS51" s="4"/>
      <c r="BJT51" s="4"/>
      <c r="BJU51" s="4"/>
      <c r="BJV51" s="4"/>
      <c r="BJW51" s="4"/>
      <c r="BJX51" s="4"/>
      <c r="BJY51" s="4"/>
      <c r="BJZ51" s="4"/>
      <c r="BKA51" s="4"/>
      <c r="BKB51" s="4"/>
      <c r="BKC51" s="4"/>
      <c r="BKD51" s="4"/>
      <c r="BKE51" s="4"/>
      <c r="BKF51" s="4"/>
      <c r="BKG51" s="4"/>
      <c r="BKH51" s="4"/>
      <c r="BKI51" s="4"/>
      <c r="BKJ51" s="4"/>
      <c r="BKK51" s="4"/>
      <c r="BKL51" s="4"/>
      <c r="BKM51" s="4"/>
      <c r="BKN51" s="4"/>
      <c r="BKO51" s="4"/>
      <c r="BKP51" s="4"/>
      <c r="BKQ51" s="4"/>
      <c r="BKR51" s="4"/>
      <c r="BKS51" s="4"/>
      <c r="BKT51" s="4"/>
      <c r="BKU51" s="4"/>
      <c r="BKV51" s="4"/>
      <c r="BKW51" s="4"/>
      <c r="BKX51" s="4"/>
      <c r="BKY51" s="4"/>
      <c r="BKZ51" s="4"/>
      <c r="BLA51" s="4"/>
      <c r="BLB51" s="4"/>
      <c r="BLC51" s="4"/>
      <c r="BLD51" s="4"/>
      <c r="BLE51" s="4"/>
      <c r="BLF51" s="4"/>
      <c r="BLG51" s="4"/>
      <c r="BLH51" s="4"/>
      <c r="BLI51" s="4"/>
      <c r="BLJ51" s="4"/>
      <c r="BLK51" s="4"/>
      <c r="BLL51" s="4"/>
      <c r="BLM51" s="4"/>
      <c r="BLN51" s="4"/>
      <c r="BLO51" s="4"/>
      <c r="BLP51" s="4"/>
      <c r="BLQ51" s="4"/>
      <c r="BLR51" s="4"/>
      <c r="BLS51" s="4"/>
      <c r="BLT51" s="4"/>
      <c r="BLU51" s="4"/>
      <c r="BLV51" s="4"/>
      <c r="BLW51" s="4"/>
      <c r="BLX51" s="4"/>
      <c r="BLY51" s="4"/>
      <c r="BLZ51" s="4"/>
      <c r="BMA51" s="4"/>
      <c r="BMB51" s="4"/>
      <c r="BMC51" s="4"/>
      <c r="BMD51" s="4"/>
      <c r="BME51" s="4"/>
      <c r="BMF51" s="4"/>
      <c r="BMG51" s="4"/>
      <c r="BMH51" s="4"/>
      <c r="BMI51" s="4"/>
      <c r="BMJ51" s="4"/>
      <c r="BMK51" s="4"/>
      <c r="BML51" s="4"/>
      <c r="BMM51" s="4"/>
      <c r="BMN51" s="4"/>
      <c r="BMO51" s="4"/>
      <c r="BMP51" s="4"/>
      <c r="BMQ51" s="4"/>
      <c r="BMR51" s="4"/>
      <c r="BMS51" s="4"/>
      <c r="BMT51" s="4"/>
      <c r="BMU51" s="4"/>
      <c r="BMV51" s="4"/>
      <c r="BMW51" s="4"/>
      <c r="BMX51" s="4"/>
      <c r="BMY51" s="4"/>
      <c r="BMZ51" s="4"/>
      <c r="BNA51" s="4"/>
      <c r="BNB51" s="4"/>
      <c r="BNC51" s="4"/>
      <c r="BND51" s="4"/>
      <c r="BNE51" s="4"/>
      <c r="BNF51" s="4"/>
      <c r="BNG51" s="4"/>
      <c r="BNH51" s="4"/>
      <c r="BNI51" s="4"/>
      <c r="BNJ51" s="4"/>
      <c r="BNK51" s="4"/>
      <c r="BNL51" s="4"/>
      <c r="BNM51" s="4"/>
      <c r="BNN51" s="4"/>
      <c r="BNO51" s="4"/>
      <c r="BNP51" s="4"/>
      <c r="BNQ51" s="4"/>
      <c r="BNR51" s="4"/>
      <c r="BNS51" s="4"/>
      <c r="BNT51" s="4"/>
      <c r="BNU51" s="4"/>
      <c r="BNV51" s="4"/>
      <c r="BNW51" s="4"/>
      <c r="BNX51" s="4"/>
      <c r="BNY51" s="4"/>
      <c r="BNZ51" s="4"/>
      <c r="BOA51" s="4"/>
      <c r="BOB51" s="4"/>
      <c r="BOC51" s="4"/>
      <c r="BOD51" s="4"/>
      <c r="BOE51" s="4"/>
      <c r="BOF51" s="4"/>
      <c r="BOG51" s="4"/>
      <c r="BOH51" s="4"/>
      <c r="BOI51" s="4"/>
      <c r="BOJ51" s="4"/>
      <c r="BOK51" s="4"/>
      <c r="BOL51" s="4"/>
      <c r="BOM51" s="4"/>
      <c r="BON51" s="4"/>
      <c r="BOO51" s="4"/>
      <c r="BOP51" s="4"/>
      <c r="BOQ51" s="4"/>
      <c r="BOR51" s="4"/>
      <c r="BOS51" s="4"/>
      <c r="BOT51" s="4"/>
      <c r="BOU51" s="4"/>
      <c r="BOV51" s="4"/>
      <c r="BOW51" s="4"/>
      <c r="BOX51" s="4"/>
      <c r="BOY51" s="4"/>
      <c r="BOZ51" s="4"/>
      <c r="BPA51" s="4"/>
      <c r="BPB51" s="4"/>
      <c r="BPC51" s="4"/>
      <c r="BPD51" s="4"/>
      <c r="BPE51" s="4"/>
      <c r="BPF51" s="4"/>
      <c r="BPG51" s="4"/>
      <c r="BPH51" s="4"/>
      <c r="BPI51" s="4"/>
      <c r="BPJ51" s="4"/>
      <c r="BPK51" s="4"/>
      <c r="BPL51" s="4"/>
      <c r="BPM51" s="4"/>
      <c r="BPN51" s="4"/>
      <c r="BPO51" s="4"/>
      <c r="BPP51" s="4"/>
      <c r="BPQ51" s="4"/>
      <c r="BPR51" s="4"/>
      <c r="BPS51" s="4"/>
      <c r="BPT51" s="4"/>
      <c r="BPU51" s="4"/>
      <c r="BPV51" s="4"/>
      <c r="BPW51" s="4"/>
      <c r="BPX51" s="4"/>
      <c r="BPY51" s="4"/>
      <c r="BPZ51" s="4"/>
      <c r="BQA51" s="4"/>
      <c r="BQB51" s="4"/>
      <c r="BQC51" s="4"/>
      <c r="BQD51" s="4"/>
      <c r="BQE51" s="4"/>
      <c r="BQF51" s="4"/>
      <c r="BQG51" s="4"/>
      <c r="BQH51" s="4"/>
      <c r="BQI51" s="4"/>
      <c r="BQJ51" s="4"/>
      <c r="BQK51" s="4"/>
      <c r="BQL51" s="4"/>
      <c r="BQM51" s="4"/>
      <c r="BQN51" s="4"/>
      <c r="BQO51" s="4"/>
      <c r="BQP51" s="4"/>
      <c r="BQQ51" s="4"/>
      <c r="BQR51" s="4"/>
      <c r="BQS51" s="4"/>
      <c r="BQT51" s="4"/>
      <c r="BQU51" s="4"/>
      <c r="BQV51" s="4"/>
      <c r="BQW51" s="4"/>
      <c r="BQX51" s="4"/>
      <c r="BQY51" s="4"/>
      <c r="BQZ51" s="4"/>
      <c r="BRA51" s="4"/>
      <c r="BRB51" s="4"/>
      <c r="BRC51" s="4"/>
      <c r="BRD51" s="4"/>
      <c r="BRE51" s="4"/>
      <c r="BRF51" s="4"/>
      <c r="BRG51" s="4"/>
      <c r="BRH51" s="4"/>
      <c r="BRI51" s="4"/>
      <c r="BRJ51" s="4"/>
      <c r="BRK51" s="4"/>
      <c r="BRL51" s="4"/>
      <c r="BRM51" s="4"/>
      <c r="BRN51" s="4"/>
      <c r="BRO51" s="4"/>
      <c r="BRP51" s="4"/>
      <c r="BRQ51" s="4"/>
      <c r="BRR51" s="4"/>
      <c r="BRS51" s="4"/>
      <c r="BRT51" s="4"/>
      <c r="BRU51" s="4"/>
      <c r="BRV51" s="4"/>
      <c r="BRW51" s="4"/>
      <c r="BRX51" s="4"/>
      <c r="BRY51" s="4"/>
      <c r="BRZ51" s="4"/>
      <c r="BSA51" s="4"/>
      <c r="BSB51" s="4"/>
      <c r="BSC51" s="4"/>
      <c r="BSD51" s="4"/>
      <c r="BSE51" s="4"/>
      <c r="BSF51" s="4"/>
      <c r="BSG51" s="4"/>
      <c r="BSH51" s="4"/>
      <c r="BSI51" s="4"/>
      <c r="BSJ51" s="4"/>
      <c r="BSK51" s="4"/>
      <c r="BSL51" s="4"/>
      <c r="BSM51" s="4"/>
      <c r="BSN51" s="4"/>
      <c r="BSO51" s="4"/>
      <c r="BSP51" s="4"/>
      <c r="BSQ51" s="4"/>
      <c r="BSR51" s="4"/>
      <c r="BSS51" s="4"/>
      <c r="BST51" s="4"/>
      <c r="BSU51" s="4"/>
      <c r="BSV51" s="4"/>
      <c r="BSW51" s="4"/>
      <c r="BSX51" s="4"/>
      <c r="BSY51" s="4"/>
      <c r="BSZ51" s="4"/>
      <c r="BTA51" s="4"/>
      <c r="BTB51" s="4"/>
      <c r="BTC51" s="4"/>
      <c r="BTD51" s="4"/>
      <c r="BTE51" s="4"/>
      <c r="BTF51" s="4"/>
      <c r="BTG51" s="4"/>
      <c r="BTH51" s="4"/>
      <c r="BTI51" s="4"/>
      <c r="BTJ51" s="4"/>
      <c r="BTK51" s="4"/>
      <c r="BTL51" s="4"/>
      <c r="BTM51" s="4"/>
      <c r="BTN51" s="4"/>
      <c r="BTO51" s="4"/>
      <c r="BTP51" s="4"/>
      <c r="BTQ51" s="4"/>
      <c r="BTR51" s="4"/>
      <c r="BTS51" s="4"/>
      <c r="BTT51" s="4"/>
      <c r="BTU51" s="4"/>
      <c r="BTV51" s="4"/>
      <c r="BTW51" s="4"/>
      <c r="BTX51" s="4"/>
      <c r="BTY51" s="4"/>
      <c r="BTZ51" s="4"/>
      <c r="BUA51" s="4"/>
      <c r="BUB51" s="4"/>
      <c r="BUC51" s="4"/>
      <c r="BUD51" s="4"/>
      <c r="BUE51" s="4"/>
      <c r="BUF51" s="4"/>
      <c r="BUG51" s="4"/>
      <c r="BUH51" s="4"/>
      <c r="BUI51" s="4"/>
      <c r="BUJ51" s="4"/>
      <c r="BUK51" s="4"/>
      <c r="BUL51" s="4"/>
      <c r="BUM51" s="4"/>
      <c r="BUN51" s="4"/>
      <c r="BUO51" s="4"/>
      <c r="BUP51" s="4"/>
      <c r="BUQ51" s="4"/>
      <c r="BUR51" s="4"/>
      <c r="BUS51" s="4"/>
      <c r="BUT51" s="4"/>
      <c r="BUU51" s="4"/>
      <c r="BUV51" s="4"/>
      <c r="BUW51" s="4"/>
      <c r="BUX51" s="4"/>
      <c r="BUY51" s="4"/>
      <c r="BUZ51" s="4"/>
      <c r="BVA51" s="4"/>
      <c r="BVB51" s="4"/>
      <c r="BVC51" s="4"/>
      <c r="BVD51" s="4"/>
      <c r="BVE51" s="4"/>
      <c r="BVF51" s="4"/>
      <c r="BVG51" s="4"/>
      <c r="BVH51" s="4"/>
      <c r="BVI51" s="4"/>
      <c r="BVJ51" s="4"/>
      <c r="BVK51" s="4"/>
      <c r="BVL51" s="4"/>
      <c r="BVM51" s="4"/>
      <c r="BVN51" s="4"/>
      <c r="BVO51" s="4"/>
      <c r="BVP51" s="4"/>
      <c r="BVQ51" s="4"/>
      <c r="BVR51" s="4"/>
      <c r="BVS51" s="4"/>
      <c r="BVT51" s="4"/>
      <c r="BVU51" s="4"/>
      <c r="BVV51" s="4"/>
      <c r="BVW51" s="4"/>
      <c r="BVX51" s="4"/>
      <c r="BVY51" s="4"/>
      <c r="BVZ51" s="4"/>
      <c r="BWA51" s="4"/>
      <c r="BWB51" s="4"/>
      <c r="BWC51" s="4"/>
      <c r="BWD51" s="4"/>
      <c r="BWE51" s="4"/>
      <c r="BWF51" s="4"/>
      <c r="BWG51" s="4"/>
      <c r="BWH51" s="4"/>
      <c r="BWI51" s="4"/>
      <c r="BWJ51" s="4"/>
      <c r="BWK51" s="4"/>
      <c r="BWL51" s="4"/>
      <c r="BWM51" s="4"/>
      <c r="BWN51" s="4"/>
      <c r="BWO51" s="4"/>
      <c r="BWP51" s="4"/>
      <c r="BWQ51" s="4"/>
      <c r="BWR51" s="4"/>
      <c r="BWS51" s="4"/>
      <c r="BWT51" s="4"/>
      <c r="BWU51" s="4"/>
      <c r="BWV51" s="4"/>
      <c r="BWW51" s="4"/>
      <c r="BWX51" s="4"/>
      <c r="BWY51" s="4"/>
      <c r="BWZ51" s="4"/>
      <c r="BXA51" s="4"/>
      <c r="BXB51" s="4"/>
      <c r="BXC51" s="4"/>
      <c r="BXD51" s="4"/>
      <c r="BXE51" s="4"/>
      <c r="BXF51" s="4"/>
      <c r="BXG51" s="4"/>
      <c r="BXH51" s="4"/>
      <c r="BXI51" s="4"/>
      <c r="BXJ51" s="4"/>
      <c r="BXK51" s="4"/>
      <c r="BXL51" s="4"/>
      <c r="BXM51" s="4"/>
      <c r="BXN51" s="4"/>
      <c r="BXO51" s="4"/>
      <c r="BXP51" s="4"/>
      <c r="BXQ51" s="4"/>
      <c r="BXR51" s="4"/>
      <c r="BXS51" s="4"/>
      <c r="BXT51" s="4"/>
      <c r="BXU51" s="4"/>
      <c r="BXV51" s="4"/>
      <c r="BXW51" s="4"/>
      <c r="BXX51" s="4"/>
      <c r="BXY51" s="4"/>
      <c r="BXZ51" s="4"/>
      <c r="BYA51" s="4"/>
      <c r="BYB51" s="4"/>
      <c r="BYC51" s="4"/>
      <c r="BYD51" s="4"/>
      <c r="BYE51" s="4"/>
      <c r="BYF51" s="4"/>
      <c r="BYG51" s="4"/>
      <c r="BYH51" s="4"/>
      <c r="BYI51" s="4"/>
      <c r="BYJ51" s="4"/>
      <c r="BYK51" s="4"/>
      <c r="BYL51" s="4"/>
      <c r="BYM51" s="4"/>
      <c r="BYN51" s="4"/>
      <c r="BYO51" s="4"/>
      <c r="BYP51" s="4"/>
      <c r="BYQ51" s="4"/>
      <c r="BYR51" s="4"/>
      <c r="BYS51" s="4"/>
      <c r="BYT51" s="4"/>
      <c r="BYU51" s="4"/>
      <c r="BYV51" s="4"/>
      <c r="BYW51" s="4"/>
      <c r="BYX51" s="4"/>
      <c r="BYY51" s="4"/>
      <c r="BYZ51" s="4"/>
      <c r="BZA51" s="4"/>
      <c r="BZB51" s="4"/>
      <c r="BZC51" s="4"/>
      <c r="BZD51" s="4"/>
      <c r="BZE51" s="4"/>
      <c r="BZF51" s="4"/>
      <c r="BZG51" s="4"/>
      <c r="BZH51" s="4"/>
      <c r="BZI51" s="4"/>
      <c r="BZJ51" s="4"/>
      <c r="BZK51" s="4"/>
      <c r="BZL51" s="4"/>
      <c r="BZM51" s="4"/>
      <c r="BZN51" s="4"/>
      <c r="BZO51" s="4"/>
      <c r="BZP51" s="4"/>
      <c r="BZQ51" s="4"/>
      <c r="BZR51" s="4"/>
      <c r="BZS51" s="4"/>
      <c r="BZT51" s="4"/>
      <c r="BZU51" s="4"/>
      <c r="BZV51" s="4"/>
      <c r="BZW51" s="4"/>
      <c r="BZX51" s="4"/>
      <c r="BZY51" s="4"/>
      <c r="BZZ51" s="4"/>
      <c r="CAA51" s="4"/>
      <c r="CAB51" s="4"/>
      <c r="CAC51" s="4"/>
      <c r="CAD51" s="4"/>
      <c r="CAE51" s="4"/>
      <c r="CAF51" s="4"/>
      <c r="CAG51" s="4"/>
      <c r="CAH51" s="4"/>
      <c r="CAI51" s="4"/>
      <c r="CAJ51" s="4"/>
      <c r="CAK51" s="4"/>
      <c r="CAL51" s="4"/>
      <c r="CAM51" s="4"/>
      <c r="CAN51" s="4"/>
      <c r="CAO51" s="4"/>
      <c r="CAP51" s="4"/>
      <c r="CAQ51" s="4"/>
      <c r="CAR51" s="4"/>
      <c r="CAS51" s="4"/>
      <c r="CAT51" s="4"/>
      <c r="CAU51" s="4"/>
      <c r="CAV51" s="4"/>
      <c r="CAW51" s="4"/>
      <c r="CAX51" s="4"/>
      <c r="CAY51" s="4"/>
      <c r="CAZ51" s="4"/>
      <c r="CBA51" s="4"/>
      <c r="CBB51" s="4"/>
      <c r="CBC51" s="4"/>
      <c r="CBD51" s="4"/>
      <c r="CBE51" s="4"/>
      <c r="CBF51" s="4"/>
      <c r="CBG51" s="4"/>
      <c r="CBH51" s="4"/>
      <c r="CBI51" s="4"/>
      <c r="CBJ51" s="4"/>
      <c r="CBK51" s="4"/>
      <c r="CBL51" s="4"/>
      <c r="CBM51" s="4"/>
      <c r="CBN51" s="4"/>
      <c r="CBO51" s="4"/>
      <c r="CBP51" s="4"/>
      <c r="CBQ51" s="4"/>
      <c r="CBR51" s="4"/>
      <c r="CBS51" s="4"/>
      <c r="CBT51" s="4"/>
      <c r="CBU51" s="4"/>
      <c r="CBV51" s="4"/>
      <c r="CBW51" s="4"/>
      <c r="CBX51" s="4"/>
      <c r="CBY51" s="4"/>
      <c r="CBZ51" s="4"/>
      <c r="CCA51" s="4"/>
      <c r="CCB51" s="4"/>
      <c r="CCC51" s="4"/>
      <c r="CCD51" s="4"/>
      <c r="CCE51" s="4"/>
      <c r="CCF51" s="4"/>
      <c r="CCG51" s="4"/>
      <c r="CCH51" s="4"/>
      <c r="CCI51" s="4"/>
      <c r="CCJ51" s="4"/>
      <c r="CCK51" s="4"/>
      <c r="CCL51" s="4"/>
      <c r="CCM51" s="4"/>
      <c r="CCN51" s="4"/>
      <c r="CCO51" s="4"/>
      <c r="CCP51" s="4"/>
      <c r="CCQ51" s="4"/>
      <c r="CCR51" s="4"/>
      <c r="CCS51" s="4"/>
      <c r="CCT51" s="4"/>
      <c r="CCU51" s="4"/>
      <c r="CCV51" s="4"/>
      <c r="CCW51" s="4"/>
      <c r="CCX51" s="4"/>
      <c r="CCY51" s="4"/>
      <c r="CCZ51" s="4"/>
      <c r="CDA51" s="4"/>
      <c r="CDB51" s="4"/>
      <c r="CDC51" s="4"/>
      <c r="CDD51" s="4"/>
      <c r="CDE51" s="4"/>
      <c r="CDF51" s="4"/>
      <c r="CDG51" s="4"/>
      <c r="CDH51" s="4"/>
      <c r="CDI51" s="4"/>
      <c r="CDJ51" s="4"/>
      <c r="CDK51" s="4"/>
      <c r="CDL51" s="4"/>
      <c r="CDM51" s="4"/>
      <c r="CDN51" s="4"/>
      <c r="CDO51" s="4"/>
      <c r="CDP51" s="4"/>
      <c r="CDQ51" s="4"/>
      <c r="CDR51" s="4"/>
      <c r="CDS51" s="4"/>
      <c r="CDT51" s="4"/>
      <c r="CDU51" s="4"/>
      <c r="CDV51" s="4"/>
      <c r="CDW51" s="4"/>
      <c r="CDX51" s="4"/>
      <c r="CDY51" s="4"/>
      <c r="CDZ51" s="4"/>
      <c r="CEA51" s="4"/>
      <c r="CEB51" s="4"/>
      <c r="CEC51" s="4"/>
      <c r="CED51" s="4"/>
      <c r="CEE51" s="4"/>
      <c r="CEF51" s="4"/>
      <c r="CEG51" s="4"/>
      <c r="CEH51" s="4"/>
      <c r="CEI51" s="4"/>
      <c r="CEJ51" s="4"/>
      <c r="CEK51" s="4"/>
      <c r="CEL51" s="4"/>
      <c r="CEM51" s="4"/>
      <c r="CEN51" s="4"/>
      <c r="CEO51" s="4"/>
      <c r="CEP51" s="4"/>
      <c r="CEQ51" s="4"/>
      <c r="CER51" s="4"/>
      <c r="CES51" s="4"/>
      <c r="CET51" s="4"/>
      <c r="CEU51" s="4"/>
      <c r="CEV51" s="4"/>
      <c r="CEW51" s="4"/>
      <c r="CEX51" s="4"/>
      <c r="CEY51" s="4"/>
      <c r="CEZ51" s="4"/>
      <c r="CFA51" s="4"/>
      <c r="CFB51" s="4"/>
      <c r="CFC51" s="4"/>
      <c r="CFD51" s="4"/>
      <c r="CFE51" s="4"/>
      <c r="CFF51" s="4"/>
      <c r="CFG51" s="4"/>
      <c r="CFH51" s="4"/>
      <c r="CFI51" s="4"/>
      <c r="CFJ51" s="4"/>
      <c r="CFK51" s="4"/>
      <c r="CFL51" s="4"/>
      <c r="CFM51" s="4"/>
      <c r="CFN51" s="4"/>
      <c r="CFO51" s="4"/>
      <c r="CFP51" s="4"/>
      <c r="CFQ51" s="4"/>
      <c r="CFR51" s="4"/>
      <c r="CFS51" s="4"/>
      <c r="CFT51" s="4"/>
      <c r="CFU51" s="4"/>
      <c r="CFV51" s="4"/>
      <c r="CFW51" s="4"/>
      <c r="CFX51" s="4"/>
      <c r="CFY51" s="4"/>
      <c r="CFZ51" s="4"/>
      <c r="CGA51" s="4"/>
      <c r="CGB51" s="4"/>
      <c r="CGC51" s="4"/>
      <c r="CGD51" s="4"/>
      <c r="CGE51" s="4"/>
      <c r="CGF51" s="4"/>
      <c r="CGG51" s="4"/>
      <c r="CGH51" s="4"/>
      <c r="CGI51" s="4"/>
      <c r="CGJ51" s="4"/>
      <c r="CGK51" s="4"/>
      <c r="CGL51" s="4"/>
      <c r="CGM51" s="4"/>
      <c r="CGN51" s="4"/>
      <c r="CGO51" s="4"/>
      <c r="CGP51" s="4"/>
      <c r="CGQ51" s="4"/>
      <c r="CGR51" s="4"/>
      <c r="CGS51" s="4"/>
      <c r="CGT51" s="4"/>
      <c r="CGU51" s="4"/>
      <c r="CGV51" s="4"/>
      <c r="CGW51" s="4"/>
      <c r="CGX51" s="4"/>
      <c r="CGY51" s="4"/>
      <c r="CGZ51" s="4"/>
      <c r="CHA51" s="4"/>
      <c r="CHB51" s="4"/>
      <c r="CHC51" s="4"/>
      <c r="CHD51" s="4"/>
      <c r="CHE51" s="4"/>
      <c r="CHF51" s="4"/>
      <c r="CHG51" s="4"/>
      <c r="CHH51" s="4"/>
      <c r="CHI51" s="4"/>
      <c r="CHJ51" s="4"/>
      <c r="CHK51" s="4"/>
      <c r="CHL51" s="4"/>
      <c r="CHM51" s="4"/>
      <c r="CHN51" s="4"/>
      <c r="CHO51" s="4"/>
      <c r="CHP51" s="4"/>
      <c r="CHQ51" s="4"/>
      <c r="CHR51" s="4"/>
      <c r="CHS51" s="4"/>
      <c r="CHT51" s="4"/>
      <c r="CHU51" s="4"/>
      <c r="CHV51" s="4"/>
      <c r="CHW51" s="4"/>
      <c r="CHX51" s="4"/>
      <c r="CHY51" s="4"/>
      <c r="CHZ51" s="4"/>
      <c r="CIA51" s="4"/>
      <c r="CIB51" s="4"/>
      <c r="CIC51" s="4"/>
      <c r="CID51" s="4"/>
      <c r="CIE51" s="4"/>
      <c r="CIF51" s="4"/>
      <c r="CIG51" s="4"/>
      <c r="CIH51" s="4"/>
      <c r="CII51" s="4"/>
      <c r="CIJ51" s="4"/>
      <c r="CIK51" s="4"/>
      <c r="CIL51" s="4"/>
      <c r="CIM51" s="4"/>
      <c r="CIN51" s="4"/>
      <c r="CIO51" s="4"/>
      <c r="CIP51" s="4"/>
      <c r="CIQ51" s="4"/>
      <c r="CIR51" s="4"/>
      <c r="CIS51" s="4"/>
      <c r="CIT51" s="4"/>
      <c r="CIU51" s="4"/>
      <c r="CIV51" s="4"/>
      <c r="CIW51" s="4"/>
      <c r="CIX51" s="4"/>
      <c r="CIY51" s="4"/>
      <c r="CIZ51" s="4"/>
      <c r="CJA51" s="4"/>
      <c r="CJB51" s="4"/>
      <c r="CJC51" s="4"/>
      <c r="CJD51" s="4"/>
      <c r="CJE51" s="4"/>
      <c r="CJF51" s="4"/>
      <c r="CJG51" s="4"/>
      <c r="CJH51" s="4"/>
      <c r="CJI51" s="4"/>
      <c r="CJJ51" s="4"/>
      <c r="CJK51" s="4"/>
      <c r="CJL51" s="4"/>
      <c r="CJM51" s="4"/>
      <c r="CJN51" s="4"/>
      <c r="CJO51" s="4"/>
      <c r="CJP51" s="4"/>
      <c r="CJQ51" s="4"/>
      <c r="CJR51" s="4"/>
      <c r="CJS51" s="4"/>
      <c r="CJT51" s="4"/>
      <c r="CJU51" s="4"/>
      <c r="CJV51" s="4"/>
      <c r="CJW51" s="4"/>
      <c r="CJX51" s="4"/>
      <c r="CJY51" s="4"/>
      <c r="CJZ51" s="4"/>
      <c r="CKA51" s="4"/>
      <c r="CKB51" s="4"/>
      <c r="CKC51" s="4"/>
      <c r="CKD51" s="4"/>
      <c r="CKE51" s="4"/>
      <c r="CKF51" s="4"/>
      <c r="CKG51" s="4"/>
      <c r="CKH51" s="4"/>
      <c r="CKI51" s="4"/>
      <c r="CKJ51" s="4"/>
      <c r="CKK51" s="4"/>
      <c r="CKL51" s="4"/>
      <c r="CKM51" s="4"/>
      <c r="CKN51" s="4"/>
      <c r="CKO51" s="4"/>
      <c r="CKP51" s="4"/>
      <c r="CKQ51" s="4"/>
      <c r="CKR51" s="4"/>
      <c r="CKS51" s="4"/>
      <c r="CKT51" s="4"/>
      <c r="CKU51" s="4"/>
      <c r="CKV51" s="4"/>
      <c r="CKW51" s="4"/>
      <c r="CKX51" s="4"/>
      <c r="CKY51" s="4"/>
      <c r="CKZ51" s="4"/>
      <c r="CLA51" s="4"/>
      <c r="CLB51" s="4"/>
      <c r="CLC51" s="4"/>
      <c r="CLD51" s="4"/>
      <c r="CLE51" s="4"/>
      <c r="CLF51" s="4"/>
      <c r="CLG51" s="4"/>
      <c r="CLH51" s="4"/>
      <c r="CLI51" s="4"/>
      <c r="CLJ51" s="4"/>
      <c r="CLK51" s="4"/>
      <c r="CLL51" s="4"/>
      <c r="CLM51" s="4"/>
      <c r="CLN51" s="4"/>
      <c r="CLO51" s="4"/>
      <c r="CLP51" s="4"/>
      <c r="CLQ51" s="4"/>
      <c r="CLR51" s="4"/>
      <c r="CLS51" s="4"/>
      <c r="CLT51" s="4"/>
      <c r="CLU51" s="4"/>
      <c r="CLV51" s="4"/>
      <c r="CLW51" s="4"/>
      <c r="CLX51" s="4"/>
      <c r="CLY51" s="4"/>
      <c r="CLZ51" s="4"/>
      <c r="CMA51" s="4"/>
      <c r="CMB51" s="4"/>
      <c r="CMC51" s="4"/>
      <c r="CMD51" s="4"/>
      <c r="CME51" s="4"/>
      <c r="CMF51" s="4"/>
      <c r="CMG51" s="4"/>
      <c r="CMH51" s="4"/>
      <c r="CMI51" s="4"/>
      <c r="CMJ51" s="4"/>
      <c r="CMK51" s="4"/>
      <c r="CML51" s="4"/>
      <c r="CMM51" s="4"/>
      <c r="CMN51" s="4"/>
      <c r="CMO51" s="4"/>
      <c r="CMP51" s="4"/>
      <c r="CMQ51" s="4"/>
      <c r="CMR51" s="4"/>
      <c r="CMS51" s="4"/>
      <c r="CMT51" s="4"/>
      <c r="CMU51" s="4"/>
      <c r="CMV51" s="4"/>
      <c r="CMW51" s="4"/>
      <c r="CMX51" s="4"/>
      <c r="CMY51" s="4"/>
      <c r="CMZ51" s="4"/>
      <c r="CNA51" s="4"/>
      <c r="CNB51" s="4"/>
      <c r="CNC51" s="4"/>
      <c r="CND51" s="4"/>
      <c r="CNE51" s="4"/>
      <c r="CNF51" s="4"/>
      <c r="CNG51" s="4"/>
      <c r="CNH51" s="4"/>
      <c r="CNI51" s="4"/>
      <c r="CNJ51" s="4"/>
      <c r="CNK51" s="4"/>
      <c r="CNL51" s="4"/>
      <c r="CNM51" s="4"/>
      <c r="CNN51" s="4"/>
      <c r="CNO51" s="4"/>
      <c r="CNP51" s="4"/>
      <c r="CNQ51" s="4"/>
      <c r="CNR51" s="4"/>
      <c r="CNS51" s="4"/>
      <c r="CNT51" s="4"/>
      <c r="CNU51" s="4"/>
      <c r="CNV51" s="4"/>
      <c r="CNW51" s="4"/>
      <c r="CNX51" s="4"/>
      <c r="CNY51" s="4"/>
      <c r="CNZ51" s="4"/>
      <c r="COA51" s="4"/>
      <c r="COB51" s="4"/>
      <c r="COC51" s="4"/>
      <c r="COD51" s="4"/>
      <c r="COE51" s="4"/>
      <c r="COF51" s="4"/>
      <c r="COG51" s="4"/>
      <c r="COH51" s="4"/>
      <c r="COI51" s="4"/>
      <c r="COJ51" s="4"/>
      <c r="COK51" s="4"/>
      <c r="COL51" s="4"/>
      <c r="COM51" s="4"/>
      <c r="CON51" s="4"/>
      <c r="COO51" s="4"/>
      <c r="COP51" s="4"/>
      <c r="COQ51" s="4"/>
      <c r="COR51" s="4"/>
      <c r="COS51" s="4"/>
      <c r="COT51" s="4"/>
      <c r="COU51" s="4"/>
      <c r="COV51" s="4"/>
      <c r="COW51" s="4"/>
      <c r="COX51" s="4"/>
      <c r="COY51" s="4"/>
      <c r="COZ51" s="4"/>
      <c r="CPA51" s="4"/>
      <c r="CPB51" s="4"/>
      <c r="CPC51" s="4"/>
      <c r="CPD51" s="4"/>
      <c r="CPE51" s="4"/>
      <c r="CPF51" s="4"/>
      <c r="CPG51" s="4"/>
      <c r="CPH51" s="4"/>
      <c r="CPI51" s="4"/>
      <c r="CPJ51" s="4"/>
      <c r="CPK51" s="4"/>
      <c r="CPL51" s="4"/>
      <c r="CPM51" s="4"/>
      <c r="CPN51" s="4"/>
      <c r="CPO51" s="4"/>
      <c r="CPP51" s="4"/>
      <c r="CPQ51" s="4"/>
      <c r="CPR51" s="4"/>
      <c r="CPS51" s="4"/>
      <c r="CPT51" s="4"/>
      <c r="CPU51" s="4"/>
      <c r="CPV51" s="4"/>
      <c r="CPW51" s="4"/>
      <c r="CPX51" s="4"/>
      <c r="CPY51" s="4"/>
      <c r="CPZ51" s="4"/>
      <c r="CQA51" s="4"/>
      <c r="CQB51" s="4"/>
      <c r="CQC51" s="4"/>
      <c r="CQD51" s="4"/>
      <c r="CQE51" s="4"/>
      <c r="CQF51" s="4"/>
      <c r="CQG51" s="4"/>
      <c r="CQH51" s="4"/>
      <c r="CQI51" s="4"/>
      <c r="CQJ51" s="4"/>
      <c r="CQK51" s="4"/>
      <c r="CQL51" s="4"/>
      <c r="CQM51" s="4"/>
      <c r="CQN51" s="4"/>
      <c r="CQO51" s="4"/>
      <c r="CQP51" s="4"/>
      <c r="CQQ51" s="4"/>
      <c r="CQR51" s="4"/>
      <c r="CQS51" s="4"/>
      <c r="CQT51" s="4"/>
      <c r="CQU51" s="4"/>
      <c r="CQV51" s="4"/>
      <c r="CQW51" s="4"/>
      <c r="CQX51" s="4"/>
      <c r="CQY51" s="4"/>
      <c r="CQZ51" s="4"/>
      <c r="CRA51" s="4"/>
      <c r="CRB51" s="4"/>
      <c r="CRC51" s="4"/>
      <c r="CRD51" s="4"/>
      <c r="CRE51" s="4"/>
      <c r="CRF51" s="4"/>
      <c r="CRG51" s="4"/>
      <c r="CRH51" s="4"/>
      <c r="CRI51" s="4"/>
      <c r="CRJ51" s="4"/>
      <c r="CRK51" s="4"/>
      <c r="CRL51" s="4"/>
      <c r="CRM51" s="4"/>
      <c r="CRN51" s="4"/>
      <c r="CRO51" s="4"/>
      <c r="CRP51" s="4"/>
      <c r="CRQ51" s="4"/>
      <c r="CRR51" s="4"/>
      <c r="CRS51" s="4"/>
      <c r="CRT51" s="4"/>
      <c r="CRU51" s="4"/>
      <c r="CRV51" s="4"/>
      <c r="CRW51" s="4"/>
      <c r="CRX51" s="4"/>
      <c r="CRY51" s="4"/>
      <c r="CRZ51" s="4"/>
      <c r="CSA51" s="4"/>
      <c r="CSB51" s="4"/>
      <c r="CSC51" s="4"/>
      <c r="CSD51" s="4"/>
      <c r="CSE51" s="4"/>
      <c r="CSF51" s="4"/>
      <c r="CSG51" s="4"/>
      <c r="CSH51" s="4"/>
      <c r="CSI51" s="4"/>
      <c r="CSJ51" s="4"/>
      <c r="CSK51" s="4"/>
      <c r="CSL51" s="4"/>
      <c r="CSM51" s="4"/>
      <c r="CSN51" s="4"/>
      <c r="CSO51" s="4"/>
      <c r="CSP51" s="4"/>
      <c r="CSQ51" s="4"/>
      <c r="CSR51" s="4"/>
      <c r="CSS51" s="4"/>
      <c r="CST51" s="4"/>
      <c r="CSU51" s="4"/>
      <c r="CSV51" s="4"/>
      <c r="CSW51" s="4"/>
      <c r="CSX51" s="4"/>
      <c r="CSY51" s="4"/>
      <c r="CSZ51" s="4"/>
      <c r="CTA51" s="4"/>
      <c r="CTB51" s="4"/>
      <c r="CTC51" s="4"/>
      <c r="CTD51" s="4"/>
      <c r="CTE51" s="4"/>
      <c r="CTF51" s="4"/>
      <c r="CTG51" s="4"/>
      <c r="CTH51" s="4"/>
      <c r="CTI51" s="4"/>
      <c r="CTJ51" s="4"/>
      <c r="CTK51" s="4"/>
      <c r="CTL51" s="4"/>
      <c r="CTM51" s="4"/>
      <c r="CTN51" s="4"/>
      <c r="CTO51" s="4"/>
      <c r="CTP51" s="4"/>
      <c r="CTQ51" s="4"/>
      <c r="CTR51" s="4"/>
      <c r="CTS51" s="4"/>
      <c r="CTT51" s="4"/>
      <c r="CTU51" s="4"/>
      <c r="CTV51" s="4"/>
      <c r="CTW51" s="4"/>
      <c r="CTX51" s="4"/>
      <c r="CTY51" s="4"/>
      <c r="CTZ51" s="4"/>
      <c r="CUA51" s="4"/>
      <c r="CUB51" s="4"/>
      <c r="CUC51" s="4"/>
      <c r="CUD51" s="4"/>
      <c r="CUE51" s="4"/>
      <c r="CUF51" s="4"/>
      <c r="CUG51" s="4"/>
      <c r="CUH51" s="4"/>
      <c r="CUI51" s="4"/>
      <c r="CUJ51" s="4"/>
      <c r="CUK51" s="4"/>
      <c r="CUL51" s="4"/>
      <c r="CUM51" s="4"/>
      <c r="CUN51" s="4"/>
      <c r="CUO51" s="4"/>
      <c r="CUP51" s="4"/>
      <c r="CUQ51" s="4"/>
      <c r="CUR51" s="4"/>
      <c r="CUS51" s="4"/>
      <c r="CUT51" s="4"/>
      <c r="CUU51" s="4"/>
      <c r="CUV51" s="4"/>
      <c r="CUW51" s="4"/>
      <c r="CUX51" s="4"/>
      <c r="CUY51" s="4"/>
      <c r="CUZ51" s="4"/>
      <c r="CVA51" s="4"/>
      <c r="CVB51" s="4"/>
      <c r="CVC51" s="4"/>
      <c r="CVD51" s="4"/>
      <c r="CVE51" s="4"/>
      <c r="CVF51" s="4"/>
      <c r="CVG51" s="4"/>
      <c r="CVH51" s="4"/>
      <c r="CVI51" s="4"/>
      <c r="CVJ51" s="4"/>
      <c r="CVK51" s="4"/>
      <c r="CVL51" s="4"/>
      <c r="CVM51" s="4"/>
      <c r="CVN51" s="4"/>
      <c r="CVO51" s="4"/>
      <c r="CVP51" s="4"/>
      <c r="CVQ51" s="4"/>
      <c r="CVR51" s="4"/>
      <c r="CVS51" s="4"/>
      <c r="CVT51" s="4"/>
      <c r="CVU51" s="4"/>
      <c r="CVV51" s="4"/>
      <c r="CVW51" s="4"/>
      <c r="CVX51" s="4"/>
      <c r="CVY51" s="4"/>
      <c r="CVZ51" s="4"/>
      <c r="CWA51" s="4"/>
      <c r="CWB51" s="4"/>
      <c r="CWC51" s="4"/>
      <c r="CWD51" s="4"/>
      <c r="CWE51" s="4"/>
      <c r="CWF51" s="4"/>
      <c r="CWG51" s="4"/>
      <c r="CWH51" s="4"/>
      <c r="CWI51" s="4"/>
      <c r="CWJ51" s="4"/>
      <c r="CWK51" s="4"/>
      <c r="CWL51" s="4"/>
      <c r="CWM51" s="4"/>
      <c r="CWN51" s="4"/>
      <c r="CWO51" s="4"/>
      <c r="CWP51" s="4"/>
      <c r="CWQ51" s="4"/>
      <c r="CWR51" s="4"/>
      <c r="CWS51" s="4"/>
      <c r="CWT51" s="4"/>
      <c r="CWU51" s="4"/>
      <c r="CWV51" s="4"/>
      <c r="CWW51" s="4"/>
      <c r="CWX51" s="4"/>
      <c r="CWY51" s="4"/>
      <c r="CWZ51" s="4"/>
      <c r="CXA51" s="4"/>
      <c r="CXB51" s="4"/>
      <c r="CXC51" s="4"/>
      <c r="CXD51" s="4"/>
      <c r="CXE51" s="4"/>
      <c r="CXF51" s="4"/>
      <c r="CXG51" s="4"/>
      <c r="CXH51" s="4"/>
      <c r="CXI51" s="4"/>
      <c r="CXJ51" s="4"/>
      <c r="CXK51" s="4"/>
      <c r="CXL51" s="4"/>
      <c r="CXM51" s="4"/>
      <c r="CXN51" s="4"/>
      <c r="CXO51" s="4"/>
      <c r="CXP51" s="4"/>
      <c r="CXQ51" s="4"/>
      <c r="CXR51" s="4"/>
      <c r="CXS51" s="4"/>
      <c r="CXT51" s="4"/>
      <c r="CXU51" s="4"/>
      <c r="CXV51" s="4"/>
      <c r="CXW51" s="4"/>
      <c r="CXX51" s="4"/>
      <c r="CXY51" s="4"/>
      <c r="CXZ51" s="4"/>
      <c r="CYA51" s="4"/>
      <c r="CYB51" s="4"/>
      <c r="CYC51" s="4"/>
      <c r="CYD51" s="4"/>
      <c r="CYE51" s="4"/>
      <c r="CYF51" s="4"/>
      <c r="CYG51" s="4"/>
      <c r="CYH51" s="4"/>
      <c r="CYI51" s="4"/>
      <c r="CYJ51" s="4"/>
      <c r="CYK51" s="4"/>
      <c r="CYL51" s="4"/>
      <c r="CYM51" s="4"/>
      <c r="CYN51" s="4"/>
      <c r="CYO51" s="4"/>
      <c r="CYP51" s="4"/>
      <c r="CYQ51" s="4"/>
      <c r="CYR51" s="4"/>
      <c r="CYS51" s="4"/>
      <c r="CYT51" s="4"/>
      <c r="CYU51" s="4"/>
      <c r="CYV51" s="4"/>
      <c r="CYW51" s="4"/>
      <c r="CYX51" s="4"/>
      <c r="CYY51" s="4"/>
      <c r="CYZ51" s="4"/>
      <c r="CZA51" s="4"/>
      <c r="CZB51" s="4"/>
      <c r="CZC51" s="4"/>
      <c r="CZD51" s="4"/>
      <c r="CZE51" s="4"/>
      <c r="CZF51" s="4"/>
      <c r="CZG51" s="4"/>
      <c r="CZH51" s="4"/>
      <c r="CZI51" s="4"/>
      <c r="CZJ51" s="4"/>
      <c r="CZK51" s="4"/>
      <c r="CZL51" s="4"/>
      <c r="CZM51" s="4"/>
      <c r="CZN51" s="4"/>
      <c r="CZO51" s="4"/>
      <c r="CZP51" s="4"/>
      <c r="CZQ51" s="4"/>
      <c r="CZR51" s="4"/>
      <c r="CZS51" s="4"/>
      <c r="CZT51" s="4"/>
      <c r="CZU51" s="4"/>
      <c r="CZV51" s="4"/>
      <c r="CZW51" s="4"/>
      <c r="CZX51" s="4"/>
      <c r="CZY51" s="4"/>
      <c r="CZZ51" s="4"/>
      <c r="DAA51" s="4"/>
      <c r="DAB51" s="4"/>
      <c r="DAC51" s="4"/>
      <c r="DAD51" s="4"/>
      <c r="DAE51" s="4"/>
      <c r="DAF51" s="4"/>
      <c r="DAG51" s="4"/>
      <c r="DAH51" s="4"/>
      <c r="DAI51" s="4"/>
      <c r="DAJ51" s="4"/>
      <c r="DAK51" s="4"/>
      <c r="DAL51" s="4"/>
      <c r="DAM51" s="4"/>
      <c r="DAN51" s="4"/>
      <c r="DAO51" s="4"/>
      <c r="DAP51" s="4"/>
      <c r="DAQ51" s="4"/>
      <c r="DAR51" s="4"/>
      <c r="DAS51" s="4"/>
      <c r="DAT51" s="4"/>
      <c r="DAU51" s="4"/>
      <c r="DAV51" s="4"/>
      <c r="DAW51" s="4"/>
      <c r="DAX51" s="4"/>
      <c r="DAY51" s="4"/>
      <c r="DAZ51" s="4"/>
      <c r="DBA51" s="4"/>
      <c r="DBB51" s="4"/>
      <c r="DBC51" s="4"/>
      <c r="DBD51" s="4"/>
      <c r="DBE51" s="4"/>
      <c r="DBF51" s="4"/>
      <c r="DBG51" s="4"/>
      <c r="DBH51" s="4"/>
      <c r="DBI51" s="4"/>
      <c r="DBJ51" s="4"/>
      <c r="DBK51" s="4"/>
      <c r="DBL51" s="4"/>
      <c r="DBM51" s="4"/>
      <c r="DBN51" s="4"/>
      <c r="DBO51" s="4"/>
      <c r="DBP51" s="4"/>
      <c r="DBQ51" s="4"/>
      <c r="DBR51" s="4"/>
      <c r="DBS51" s="4"/>
      <c r="DBT51" s="4"/>
      <c r="DBU51" s="4"/>
      <c r="DBV51" s="4"/>
      <c r="DBW51" s="4"/>
      <c r="DBX51" s="4"/>
      <c r="DBY51" s="4"/>
      <c r="DBZ51" s="4"/>
      <c r="DCA51" s="4"/>
      <c r="DCB51" s="4"/>
      <c r="DCC51" s="4"/>
      <c r="DCD51" s="4"/>
      <c r="DCE51" s="4"/>
      <c r="DCF51" s="4"/>
      <c r="DCG51" s="4"/>
      <c r="DCH51" s="4"/>
      <c r="DCI51" s="4"/>
      <c r="DCJ51" s="4"/>
      <c r="DCK51" s="4"/>
      <c r="DCL51" s="4"/>
      <c r="DCM51" s="4"/>
      <c r="DCN51" s="4"/>
      <c r="DCO51" s="4"/>
      <c r="DCP51" s="4"/>
      <c r="DCQ51" s="4"/>
      <c r="DCR51" s="4"/>
      <c r="DCS51" s="4"/>
      <c r="DCT51" s="4"/>
      <c r="DCU51" s="4"/>
      <c r="DCV51" s="4"/>
      <c r="DCW51" s="4"/>
      <c r="DCX51" s="4"/>
      <c r="DCY51" s="4"/>
      <c r="DCZ51" s="4"/>
      <c r="DDA51" s="4"/>
      <c r="DDB51" s="4"/>
      <c r="DDC51" s="4"/>
      <c r="DDD51" s="4"/>
      <c r="DDE51" s="4"/>
      <c r="DDF51" s="4"/>
      <c r="DDG51" s="4"/>
      <c r="DDH51" s="4"/>
      <c r="DDI51" s="4"/>
      <c r="DDJ51" s="4"/>
      <c r="DDK51" s="4"/>
      <c r="DDL51" s="4"/>
      <c r="DDM51" s="4"/>
      <c r="DDN51" s="4"/>
      <c r="DDO51" s="4"/>
      <c r="DDP51" s="4"/>
      <c r="DDQ51" s="4"/>
      <c r="DDR51" s="4"/>
      <c r="DDS51" s="4"/>
      <c r="DDT51" s="4"/>
      <c r="DDU51" s="4"/>
      <c r="DDV51" s="4"/>
      <c r="DDW51" s="4"/>
      <c r="DDX51" s="4"/>
      <c r="DDY51" s="4"/>
      <c r="DDZ51" s="4"/>
      <c r="DEA51" s="4"/>
      <c r="DEB51" s="4"/>
      <c r="DEC51" s="4"/>
      <c r="DED51" s="4"/>
      <c r="DEE51" s="4"/>
      <c r="DEF51" s="4"/>
      <c r="DEG51" s="4"/>
      <c r="DEH51" s="4"/>
      <c r="DEI51" s="4"/>
      <c r="DEJ51" s="4"/>
      <c r="DEK51" s="4"/>
      <c r="DEL51" s="4"/>
      <c r="DEM51" s="4"/>
      <c r="DEN51" s="4"/>
      <c r="DEO51" s="4"/>
      <c r="DEP51" s="4"/>
      <c r="DEQ51" s="4"/>
      <c r="DER51" s="4"/>
      <c r="DES51" s="4"/>
      <c r="DET51" s="4"/>
      <c r="DEU51" s="4"/>
      <c r="DEV51" s="4"/>
      <c r="DEW51" s="4"/>
      <c r="DEX51" s="4"/>
      <c r="DEY51" s="4"/>
      <c r="DEZ51" s="4"/>
      <c r="DFA51" s="4"/>
      <c r="DFB51" s="4"/>
      <c r="DFC51" s="4"/>
      <c r="DFD51" s="4"/>
      <c r="DFE51" s="4"/>
      <c r="DFF51" s="4"/>
      <c r="DFG51" s="4"/>
      <c r="DFH51" s="4"/>
      <c r="DFI51" s="4"/>
      <c r="DFJ51" s="4"/>
      <c r="DFK51" s="4"/>
      <c r="DFL51" s="4"/>
      <c r="DFM51" s="4"/>
      <c r="DFN51" s="4"/>
      <c r="DFO51" s="4"/>
      <c r="DFP51" s="4"/>
      <c r="DFQ51" s="4"/>
      <c r="DFR51" s="4"/>
      <c r="DFS51" s="4"/>
      <c r="DFT51" s="4"/>
      <c r="DFU51" s="4"/>
      <c r="DFV51" s="4"/>
      <c r="DFW51" s="4"/>
      <c r="DFX51" s="4"/>
      <c r="DFY51" s="4"/>
      <c r="DFZ51" s="4"/>
      <c r="DGA51" s="4"/>
      <c r="DGB51" s="4"/>
      <c r="DGC51" s="4"/>
      <c r="DGD51" s="4"/>
      <c r="DGE51" s="4"/>
      <c r="DGF51" s="4"/>
      <c r="DGG51" s="4"/>
      <c r="DGH51" s="4"/>
      <c r="DGI51" s="4"/>
      <c r="DGJ51" s="4"/>
      <c r="DGK51" s="4"/>
      <c r="DGL51" s="4"/>
      <c r="DGM51" s="4"/>
      <c r="DGN51" s="4"/>
      <c r="DGO51" s="4"/>
      <c r="DGP51" s="4"/>
      <c r="DGQ51" s="4"/>
      <c r="DGR51" s="4"/>
      <c r="DGS51" s="4"/>
      <c r="DGT51" s="4"/>
      <c r="DGU51" s="4"/>
      <c r="DGV51" s="4"/>
      <c r="DGW51" s="4"/>
      <c r="DGX51" s="4"/>
      <c r="DGY51" s="4"/>
      <c r="DGZ51" s="4"/>
      <c r="DHA51" s="4"/>
      <c r="DHB51" s="4"/>
      <c r="DHC51" s="4"/>
      <c r="DHD51" s="4"/>
      <c r="DHE51" s="4"/>
      <c r="DHF51" s="4"/>
      <c r="DHG51" s="4"/>
      <c r="DHH51" s="4"/>
      <c r="DHI51" s="4"/>
      <c r="DHJ51" s="4"/>
      <c r="DHK51" s="4"/>
      <c r="DHL51" s="4"/>
      <c r="DHM51" s="4"/>
      <c r="DHN51" s="4"/>
      <c r="DHO51" s="4"/>
      <c r="DHP51" s="4"/>
      <c r="DHQ51" s="4"/>
      <c r="DHR51" s="4"/>
      <c r="DHS51" s="4"/>
      <c r="DHT51" s="4"/>
      <c r="DHU51" s="4"/>
      <c r="DHV51" s="4"/>
      <c r="DHW51" s="4"/>
      <c r="DHX51" s="4"/>
      <c r="DHY51" s="4"/>
      <c r="DHZ51" s="4"/>
      <c r="DIA51" s="4"/>
      <c r="DIB51" s="4"/>
      <c r="DIC51" s="4"/>
      <c r="DID51" s="4"/>
      <c r="DIE51" s="4"/>
      <c r="DIF51" s="4"/>
      <c r="DIG51" s="4"/>
      <c r="DIH51" s="4"/>
      <c r="DII51" s="4"/>
      <c r="DIJ51" s="4"/>
      <c r="DIK51" s="4"/>
      <c r="DIL51" s="4"/>
      <c r="DIM51" s="4"/>
      <c r="DIN51" s="4"/>
      <c r="DIO51" s="4"/>
      <c r="DIP51" s="4"/>
      <c r="DIQ51" s="4"/>
      <c r="DIR51" s="4"/>
      <c r="DIS51" s="4"/>
      <c r="DIT51" s="4"/>
      <c r="DIU51" s="4"/>
      <c r="DIV51" s="4"/>
      <c r="DIW51" s="4"/>
      <c r="DIX51" s="4"/>
      <c r="DIY51" s="4"/>
      <c r="DIZ51" s="4"/>
      <c r="DJA51" s="4"/>
      <c r="DJB51" s="4"/>
      <c r="DJC51" s="4"/>
      <c r="DJD51" s="4"/>
      <c r="DJE51" s="4"/>
      <c r="DJF51" s="4"/>
      <c r="DJG51" s="4"/>
      <c r="DJH51" s="4"/>
      <c r="DJI51" s="4"/>
      <c r="DJJ51" s="4"/>
      <c r="DJK51" s="4"/>
      <c r="DJL51" s="4"/>
      <c r="DJM51" s="4"/>
      <c r="DJN51" s="4"/>
      <c r="DJO51" s="4"/>
      <c r="DJP51" s="4"/>
      <c r="DJQ51" s="4"/>
      <c r="DJR51" s="4"/>
      <c r="DJS51" s="4"/>
      <c r="DJT51" s="4"/>
      <c r="DJU51" s="4"/>
      <c r="DJV51" s="4"/>
      <c r="DJW51" s="4"/>
      <c r="DJX51" s="4"/>
      <c r="DJY51" s="4"/>
      <c r="DJZ51" s="4"/>
      <c r="DKA51" s="4"/>
      <c r="DKB51" s="4"/>
      <c r="DKC51" s="4"/>
      <c r="DKD51" s="4"/>
      <c r="DKE51" s="4"/>
      <c r="DKF51" s="4"/>
      <c r="DKG51" s="4"/>
      <c r="DKH51" s="4"/>
      <c r="DKI51" s="4"/>
      <c r="DKJ51" s="4"/>
      <c r="DKK51" s="4"/>
      <c r="DKL51" s="4"/>
      <c r="DKM51" s="4"/>
      <c r="DKN51" s="4"/>
      <c r="DKO51" s="4"/>
      <c r="DKP51" s="4"/>
      <c r="DKQ51" s="4"/>
      <c r="DKR51" s="4"/>
      <c r="DKS51" s="4"/>
      <c r="DKT51" s="4"/>
      <c r="DKU51" s="4"/>
      <c r="DKV51" s="4"/>
      <c r="DKW51" s="4"/>
      <c r="DKX51" s="4"/>
      <c r="DKY51" s="4"/>
      <c r="DKZ51" s="4"/>
      <c r="DLA51" s="4"/>
      <c r="DLB51" s="4"/>
      <c r="DLC51" s="4"/>
      <c r="DLD51" s="4"/>
      <c r="DLE51" s="4"/>
      <c r="DLF51" s="4"/>
      <c r="DLG51" s="4"/>
      <c r="DLH51" s="4"/>
      <c r="DLI51" s="4"/>
      <c r="DLJ51" s="4"/>
      <c r="DLK51" s="4"/>
      <c r="DLL51" s="4"/>
      <c r="DLM51" s="4"/>
      <c r="DLN51" s="4"/>
      <c r="DLO51" s="4"/>
      <c r="DLP51" s="4"/>
      <c r="DLQ51" s="4"/>
      <c r="DLR51" s="4"/>
      <c r="DLS51" s="4"/>
      <c r="DLT51" s="4"/>
      <c r="DLU51" s="4"/>
      <c r="DLV51" s="4"/>
      <c r="DLW51" s="4"/>
      <c r="DLX51" s="4"/>
      <c r="DLY51" s="4"/>
      <c r="DLZ51" s="4"/>
      <c r="DMA51" s="4"/>
      <c r="DMB51" s="4"/>
      <c r="DMC51" s="4"/>
      <c r="DMD51" s="4"/>
      <c r="DME51" s="4"/>
      <c r="DMF51" s="4"/>
      <c r="DMG51" s="4"/>
      <c r="DMH51" s="4"/>
      <c r="DMI51" s="4"/>
      <c r="DMJ51" s="4"/>
      <c r="DMK51" s="4"/>
      <c r="DML51" s="4"/>
      <c r="DMM51" s="4"/>
      <c r="DMN51" s="4"/>
      <c r="DMO51" s="4"/>
      <c r="DMP51" s="4"/>
      <c r="DMQ51" s="4"/>
      <c r="DMR51" s="4"/>
      <c r="DMS51" s="4"/>
      <c r="DMT51" s="4"/>
      <c r="DMU51" s="4"/>
      <c r="DMV51" s="4"/>
      <c r="DMW51" s="4"/>
      <c r="DMX51" s="4"/>
      <c r="DMY51" s="4"/>
      <c r="DMZ51" s="4"/>
      <c r="DNA51" s="4"/>
      <c r="DNB51" s="4"/>
      <c r="DNC51" s="4"/>
      <c r="DND51" s="4"/>
      <c r="DNE51" s="4"/>
      <c r="DNF51" s="4"/>
      <c r="DNG51" s="4"/>
      <c r="DNH51" s="4"/>
      <c r="DNI51" s="4"/>
      <c r="DNJ51" s="4"/>
      <c r="DNK51" s="4"/>
      <c r="DNL51" s="4"/>
      <c r="DNM51" s="4"/>
      <c r="DNN51" s="4"/>
      <c r="DNO51" s="4"/>
      <c r="DNP51" s="4"/>
      <c r="DNQ51" s="4"/>
      <c r="DNR51" s="4"/>
      <c r="DNS51" s="4"/>
      <c r="DNT51" s="4"/>
      <c r="DNU51" s="4"/>
      <c r="DNV51" s="4"/>
      <c r="DNW51" s="4"/>
      <c r="DNX51" s="4"/>
      <c r="DNY51" s="4"/>
      <c r="DNZ51" s="4"/>
      <c r="DOA51" s="4"/>
      <c r="DOB51" s="4"/>
      <c r="DOC51" s="4"/>
      <c r="DOD51" s="4"/>
      <c r="DOE51" s="4"/>
      <c r="DOF51" s="4"/>
      <c r="DOG51" s="4"/>
      <c r="DOH51" s="4"/>
      <c r="DOI51" s="4"/>
      <c r="DOJ51" s="4"/>
      <c r="DOK51" s="4"/>
      <c r="DOL51" s="4"/>
      <c r="DOM51" s="4"/>
      <c r="DON51" s="4"/>
      <c r="DOO51" s="4"/>
      <c r="DOP51" s="4"/>
      <c r="DOQ51" s="4"/>
      <c r="DOR51" s="4"/>
      <c r="DOS51" s="4"/>
      <c r="DOT51" s="4"/>
      <c r="DOU51" s="4"/>
      <c r="DOV51" s="4"/>
      <c r="DOW51" s="4"/>
      <c r="DOX51" s="4"/>
      <c r="DOY51" s="4"/>
      <c r="DOZ51" s="4"/>
      <c r="DPA51" s="4"/>
      <c r="DPB51" s="4"/>
      <c r="DPC51" s="4"/>
      <c r="DPD51" s="4"/>
      <c r="DPE51" s="4"/>
      <c r="DPF51" s="4"/>
      <c r="DPG51" s="4"/>
      <c r="DPH51" s="4"/>
      <c r="DPI51" s="4"/>
      <c r="DPJ51" s="4"/>
      <c r="DPK51" s="4"/>
      <c r="DPL51" s="4"/>
      <c r="DPM51" s="4"/>
      <c r="DPN51" s="4"/>
      <c r="DPO51" s="4"/>
      <c r="DPP51" s="4"/>
      <c r="DPQ51" s="4"/>
      <c r="DPR51" s="4"/>
      <c r="DPS51" s="4"/>
      <c r="DPT51" s="4"/>
      <c r="DPU51" s="4"/>
      <c r="DPV51" s="4"/>
      <c r="DPW51" s="4"/>
      <c r="DPX51" s="4"/>
      <c r="DPY51" s="4"/>
      <c r="DPZ51" s="4"/>
      <c r="DQA51" s="4"/>
      <c r="DQB51" s="4"/>
      <c r="DQC51" s="4"/>
      <c r="DQD51" s="4"/>
      <c r="DQE51" s="4"/>
      <c r="DQF51" s="4"/>
      <c r="DQG51" s="4"/>
      <c r="DQH51" s="4"/>
      <c r="DQI51" s="4"/>
      <c r="DQJ51" s="4"/>
      <c r="DQK51" s="4"/>
      <c r="DQL51" s="4"/>
      <c r="DQM51" s="4"/>
      <c r="DQN51" s="4"/>
      <c r="DQO51" s="4"/>
      <c r="DQP51" s="4"/>
      <c r="DQQ51" s="4"/>
      <c r="DQR51" s="4"/>
      <c r="DQS51" s="4"/>
      <c r="DQT51" s="4"/>
      <c r="DQU51" s="4"/>
      <c r="DQV51" s="4"/>
      <c r="DQW51" s="4"/>
      <c r="DQX51" s="4"/>
      <c r="DQY51" s="4"/>
      <c r="DQZ51" s="4"/>
      <c r="DRA51" s="4"/>
      <c r="DRB51" s="4"/>
      <c r="DRC51" s="4"/>
      <c r="DRD51" s="4"/>
      <c r="DRE51" s="4"/>
      <c r="DRF51" s="4"/>
      <c r="DRG51" s="4"/>
      <c r="DRH51" s="4"/>
      <c r="DRI51" s="4"/>
      <c r="DRJ51" s="4"/>
      <c r="DRK51" s="4"/>
      <c r="DRL51" s="4"/>
      <c r="DRM51" s="4"/>
      <c r="DRN51" s="4"/>
      <c r="DRO51" s="4"/>
      <c r="DRP51" s="4"/>
      <c r="DRQ51" s="4"/>
      <c r="DRR51" s="4"/>
      <c r="DRS51" s="4"/>
      <c r="DRT51" s="4"/>
      <c r="DRU51" s="4"/>
      <c r="DRV51" s="4"/>
      <c r="DRW51" s="4"/>
      <c r="DRX51" s="4"/>
      <c r="DRY51" s="4"/>
      <c r="DRZ51" s="4"/>
      <c r="DSA51" s="4"/>
      <c r="DSB51" s="4"/>
      <c r="DSC51" s="4"/>
      <c r="DSD51" s="4"/>
      <c r="DSE51" s="4"/>
      <c r="DSF51" s="4"/>
      <c r="DSG51" s="4"/>
      <c r="DSH51" s="4"/>
      <c r="DSI51" s="4"/>
      <c r="DSJ51" s="4"/>
      <c r="DSK51" s="4"/>
      <c r="DSL51" s="4"/>
      <c r="DSM51" s="4"/>
      <c r="DSN51" s="4"/>
      <c r="DSO51" s="4"/>
      <c r="DSP51" s="4"/>
      <c r="DSQ51" s="4"/>
      <c r="DSR51" s="4"/>
      <c r="DSS51" s="4"/>
      <c r="DST51" s="4"/>
      <c r="DSU51" s="4"/>
      <c r="DSV51" s="4"/>
      <c r="DSW51" s="4"/>
      <c r="DSX51" s="4"/>
      <c r="DSY51" s="4"/>
      <c r="DSZ51" s="4"/>
      <c r="DTA51" s="4"/>
      <c r="DTB51" s="4"/>
      <c r="DTC51" s="4"/>
      <c r="DTD51" s="4"/>
      <c r="DTE51" s="4"/>
      <c r="DTF51" s="4"/>
      <c r="DTG51" s="4"/>
      <c r="DTH51" s="4"/>
      <c r="DTI51" s="4"/>
      <c r="DTJ51" s="4"/>
      <c r="DTK51" s="4"/>
      <c r="DTL51" s="4"/>
      <c r="DTM51" s="4"/>
      <c r="DTN51" s="4"/>
      <c r="DTO51" s="4"/>
      <c r="DTP51" s="4"/>
      <c r="DTQ51" s="4"/>
      <c r="DTR51" s="4"/>
      <c r="DTS51" s="4"/>
      <c r="DTT51" s="4"/>
      <c r="DTU51" s="4"/>
      <c r="DTV51" s="4"/>
      <c r="DTW51" s="4"/>
      <c r="DTX51" s="4"/>
      <c r="DTY51" s="4"/>
      <c r="DTZ51" s="4"/>
      <c r="DUA51" s="4"/>
      <c r="DUB51" s="4"/>
      <c r="DUC51" s="4"/>
      <c r="DUD51" s="4"/>
      <c r="DUE51" s="4"/>
      <c r="DUF51" s="4"/>
      <c r="DUG51" s="4"/>
      <c r="DUH51" s="4"/>
      <c r="DUI51" s="4"/>
      <c r="DUJ51" s="4"/>
      <c r="DUK51" s="4"/>
      <c r="DUL51" s="4"/>
      <c r="DUM51" s="4"/>
      <c r="DUN51" s="4"/>
      <c r="DUO51" s="4"/>
      <c r="DUP51" s="4"/>
      <c r="DUQ51" s="4"/>
      <c r="DUR51" s="4"/>
      <c r="DUS51" s="4"/>
      <c r="DUT51" s="4"/>
      <c r="DUU51" s="4"/>
      <c r="DUV51" s="4"/>
      <c r="DUW51" s="4"/>
      <c r="DUX51" s="4"/>
      <c r="DUY51" s="4"/>
      <c r="DUZ51" s="4"/>
      <c r="DVA51" s="4"/>
      <c r="DVB51" s="4"/>
      <c r="DVC51" s="4"/>
      <c r="DVD51" s="4"/>
      <c r="DVE51" s="4"/>
      <c r="DVF51" s="4"/>
      <c r="DVG51" s="4"/>
      <c r="DVH51" s="4"/>
      <c r="DVI51" s="4"/>
      <c r="DVJ51" s="4"/>
      <c r="DVK51" s="4"/>
      <c r="DVL51" s="4"/>
      <c r="DVM51" s="4"/>
      <c r="DVN51" s="4"/>
      <c r="DVO51" s="4"/>
      <c r="DVP51" s="4"/>
      <c r="DVQ51" s="4"/>
      <c r="DVR51" s="4"/>
      <c r="DVS51" s="4"/>
      <c r="DVT51" s="4"/>
      <c r="DVU51" s="4"/>
      <c r="DVV51" s="4"/>
      <c r="DVW51" s="4"/>
      <c r="DVX51" s="4"/>
      <c r="DVY51" s="4"/>
      <c r="DVZ51" s="4"/>
      <c r="DWA51" s="4"/>
      <c r="DWB51" s="4"/>
      <c r="DWC51" s="4"/>
      <c r="DWD51" s="4"/>
      <c r="DWE51" s="4"/>
      <c r="DWF51" s="4"/>
      <c r="DWG51" s="4"/>
      <c r="DWH51" s="4"/>
      <c r="DWI51" s="4"/>
      <c r="DWJ51" s="4"/>
      <c r="DWK51" s="4"/>
      <c r="DWL51" s="4"/>
      <c r="DWM51" s="4"/>
      <c r="DWN51" s="4"/>
      <c r="DWO51" s="4"/>
      <c r="DWP51" s="4"/>
      <c r="DWQ51" s="4"/>
      <c r="DWR51" s="4"/>
      <c r="DWS51" s="4"/>
      <c r="DWT51" s="4"/>
      <c r="DWU51" s="4"/>
      <c r="DWV51" s="4"/>
      <c r="DWW51" s="4"/>
      <c r="DWX51" s="4"/>
      <c r="DWY51" s="4"/>
      <c r="DWZ51" s="4"/>
      <c r="DXA51" s="4"/>
      <c r="DXB51" s="4"/>
      <c r="DXC51" s="4"/>
      <c r="DXD51" s="4"/>
      <c r="DXE51" s="4"/>
      <c r="DXF51" s="4"/>
      <c r="DXG51" s="4"/>
      <c r="DXH51" s="4"/>
      <c r="DXI51" s="4"/>
      <c r="DXJ51" s="4"/>
      <c r="DXK51" s="4"/>
      <c r="DXL51" s="4"/>
      <c r="DXM51" s="4"/>
      <c r="DXN51" s="4"/>
      <c r="DXO51" s="4"/>
      <c r="DXP51" s="4"/>
      <c r="DXQ51" s="4"/>
      <c r="DXR51" s="4"/>
      <c r="DXS51" s="4"/>
      <c r="DXT51" s="4"/>
      <c r="DXU51" s="4"/>
      <c r="DXV51" s="4"/>
      <c r="DXW51" s="4"/>
      <c r="DXX51" s="4"/>
      <c r="DXY51" s="4"/>
      <c r="DXZ51" s="4"/>
      <c r="DYA51" s="4"/>
      <c r="DYB51" s="4"/>
      <c r="DYC51" s="4"/>
      <c r="DYD51" s="4"/>
      <c r="DYE51" s="4"/>
      <c r="DYF51" s="4"/>
      <c r="DYG51" s="4"/>
      <c r="DYH51" s="4"/>
      <c r="DYI51" s="4"/>
      <c r="DYJ51" s="4"/>
      <c r="DYK51" s="4"/>
      <c r="DYL51" s="4"/>
      <c r="DYM51" s="4"/>
      <c r="DYN51" s="4"/>
      <c r="DYO51" s="4"/>
      <c r="DYP51" s="4"/>
      <c r="DYQ51" s="4"/>
      <c r="DYR51" s="4"/>
      <c r="DYS51" s="4"/>
      <c r="DYT51" s="4"/>
      <c r="DYU51" s="4"/>
      <c r="DYV51" s="4"/>
      <c r="DYW51" s="4"/>
      <c r="DYX51" s="4"/>
      <c r="DYY51" s="4"/>
      <c r="DYZ51" s="4"/>
      <c r="DZA51" s="4"/>
      <c r="DZB51" s="4"/>
      <c r="DZC51" s="4"/>
      <c r="DZD51" s="4"/>
      <c r="DZE51" s="4"/>
      <c r="DZF51" s="4"/>
      <c r="DZG51" s="4"/>
      <c r="DZH51" s="4"/>
      <c r="DZI51" s="4"/>
      <c r="DZJ51" s="4"/>
      <c r="DZK51" s="4"/>
      <c r="DZL51" s="4"/>
      <c r="DZM51" s="4"/>
      <c r="DZN51" s="4"/>
      <c r="DZO51" s="4"/>
      <c r="DZP51" s="4"/>
      <c r="DZQ51" s="4"/>
      <c r="DZR51" s="4"/>
      <c r="DZS51" s="4"/>
      <c r="DZT51" s="4"/>
      <c r="DZU51" s="4"/>
      <c r="DZV51" s="4"/>
      <c r="DZW51" s="4"/>
      <c r="DZX51" s="4"/>
      <c r="DZY51" s="4"/>
      <c r="DZZ51" s="4"/>
      <c r="EAA51" s="4"/>
      <c r="EAB51" s="4"/>
      <c r="EAC51" s="4"/>
      <c r="EAD51" s="4"/>
      <c r="EAE51" s="4"/>
      <c r="EAF51" s="4"/>
      <c r="EAG51" s="4"/>
      <c r="EAH51" s="4"/>
      <c r="EAI51" s="4"/>
      <c r="EAJ51" s="4"/>
      <c r="EAK51" s="4"/>
      <c r="EAL51" s="4"/>
      <c r="EAM51" s="4"/>
      <c r="EAN51" s="4"/>
      <c r="EAO51" s="4"/>
      <c r="EAP51" s="4"/>
      <c r="EAQ51" s="4"/>
      <c r="EAR51" s="4"/>
      <c r="EAS51" s="4"/>
      <c r="EAT51" s="4"/>
      <c r="EAU51" s="4"/>
      <c r="EAV51" s="4"/>
      <c r="EAW51" s="4"/>
      <c r="EAX51" s="4"/>
      <c r="EAY51" s="4"/>
      <c r="EAZ51" s="4"/>
      <c r="EBA51" s="4"/>
      <c r="EBB51" s="4"/>
      <c r="EBC51" s="4"/>
      <c r="EBD51" s="4"/>
      <c r="EBE51" s="4"/>
      <c r="EBF51" s="4"/>
      <c r="EBG51" s="4"/>
      <c r="EBH51" s="4"/>
      <c r="EBI51" s="4"/>
      <c r="EBJ51" s="4"/>
      <c r="EBK51" s="4"/>
      <c r="EBL51" s="4"/>
      <c r="EBM51" s="4"/>
      <c r="EBN51" s="4"/>
      <c r="EBO51" s="4"/>
      <c r="EBP51" s="4"/>
      <c r="EBQ51" s="4"/>
      <c r="EBR51" s="4"/>
      <c r="EBS51" s="4"/>
      <c r="EBT51" s="4"/>
      <c r="EBU51" s="4"/>
      <c r="EBV51" s="4"/>
      <c r="EBW51" s="4"/>
      <c r="EBX51" s="4"/>
      <c r="EBY51" s="4"/>
      <c r="EBZ51" s="4"/>
      <c r="ECA51" s="4"/>
      <c r="ECB51" s="4"/>
      <c r="ECC51" s="4"/>
      <c r="ECD51" s="4"/>
      <c r="ECE51" s="4"/>
      <c r="ECF51" s="4"/>
      <c r="ECG51" s="4"/>
      <c r="ECH51" s="4"/>
      <c r="ECI51" s="4"/>
      <c r="ECJ51" s="4"/>
      <c r="ECK51" s="4"/>
      <c r="ECL51" s="4"/>
      <c r="ECM51" s="4"/>
      <c r="ECN51" s="4"/>
      <c r="ECO51" s="4"/>
      <c r="ECP51" s="4"/>
      <c r="ECQ51" s="4"/>
      <c r="ECR51" s="4"/>
      <c r="ECS51" s="4"/>
      <c r="ECT51" s="4"/>
      <c r="ECU51" s="4"/>
      <c r="ECV51" s="4"/>
      <c r="ECW51" s="4"/>
      <c r="ECX51" s="4"/>
      <c r="ECY51" s="4"/>
      <c r="ECZ51" s="4"/>
      <c r="EDA51" s="4"/>
      <c r="EDB51" s="4"/>
      <c r="EDC51" s="4"/>
      <c r="EDD51" s="4"/>
      <c r="EDE51" s="4"/>
      <c r="EDF51" s="4"/>
      <c r="EDG51" s="4"/>
      <c r="EDH51" s="4"/>
      <c r="EDI51" s="4"/>
      <c r="EDJ51" s="4"/>
      <c r="EDK51" s="4"/>
      <c r="EDL51" s="4"/>
      <c r="EDM51" s="4"/>
      <c r="EDN51" s="4"/>
      <c r="EDO51" s="4"/>
      <c r="EDP51" s="4"/>
      <c r="EDQ51" s="4"/>
      <c r="EDR51" s="4"/>
      <c r="EDS51" s="4"/>
      <c r="EDT51" s="4"/>
      <c r="EDU51" s="4"/>
      <c r="EDV51" s="4"/>
      <c r="EDW51" s="4"/>
      <c r="EDX51" s="4"/>
      <c r="EDY51" s="4"/>
      <c r="EDZ51" s="4"/>
      <c r="EEA51" s="4"/>
      <c r="EEB51" s="4"/>
      <c r="EEC51" s="4"/>
      <c r="EED51" s="4"/>
      <c r="EEE51" s="4"/>
      <c r="EEF51" s="4"/>
      <c r="EEG51" s="4"/>
      <c r="EEH51" s="4"/>
      <c r="EEI51" s="4"/>
      <c r="EEJ51" s="4"/>
      <c r="EEK51" s="4"/>
      <c r="EEL51" s="4"/>
      <c r="EEM51" s="4"/>
      <c r="EEN51" s="4"/>
      <c r="EEO51" s="4"/>
      <c r="EEP51" s="4"/>
      <c r="EEQ51" s="4"/>
      <c r="EER51" s="4"/>
      <c r="EES51" s="4"/>
      <c r="EET51" s="4"/>
      <c r="EEU51" s="4"/>
      <c r="EEV51" s="4"/>
      <c r="EEW51" s="4"/>
      <c r="EEX51" s="4"/>
      <c r="EEY51" s="4"/>
      <c r="EEZ51" s="4"/>
      <c r="EFA51" s="4"/>
      <c r="EFB51" s="4"/>
      <c r="EFC51" s="4"/>
      <c r="EFD51" s="4"/>
      <c r="EFE51" s="4"/>
      <c r="EFF51" s="4"/>
      <c r="EFG51" s="4"/>
      <c r="EFH51" s="4"/>
      <c r="EFI51" s="4"/>
      <c r="EFJ51" s="4"/>
      <c r="EFK51" s="4"/>
      <c r="EFL51" s="4"/>
      <c r="EFM51" s="4"/>
      <c r="EFN51" s="4"/>
      <c r="EFO51" s="4"/>
      <c r="EFP51" s="4"/>
      <c r="EFQ51" s="4"/>
      <c r="EFR51" s="4"/>
      <c r="EFS51" s="4"/>
      <c r="EFT51" s="4"/>
      <c r="EFU51" s="4"/>
      <c r="EFV51" s="4"/>
      <c r="EFW51" s="4"/>
      <c r="EFX51" s="4"/>
      <c r="EFY51" s="4"/>
      <c r="EFZ51" s="4"/>
      <c r="EGA51" s="4"/>
      <c r="EGB51" s="4"/>
      <c r="EGC51" s="4"/>
      <c r="EGD51" s="4"/>
      <c r="EGE51" s="4"/>
      <c r="EGF51" s="4"/>
      <c r="EGG51" s="4"/>
      <c r="EGH51" s="4"/>
      <c r="EGI51" s="4"/>
      <c r="EGJ51" s="4"/>
      <c r="EGK51" s="4"/>
      <c r="EGL51" s="4"/>
      <c r="EGM51" s="4"/>
      <c r="EGN51" s="4"/>
      <c r="EGO51" s="4"/>
      <c r="EGP51" s="4"/>
      <c r="EGQ51" s="4"/>
      <c r="EGR51" s="4"/>
      <c r="EGS51" s="4"/>
      <c r="EGT51" s="4"/>
      <c r="EGU51" s="4"/>
      <c r="EGV51" s="4"/>
      <c r="EGW51" s="4"/>
      <c r="EGX51" s="4"/>
      <c r="EGY51" s="4"/>
      <c r="EGZ51" s="4"/>
      <c r="EHA51" s="4"/>
      <c r="EHB51" s="4"/>
      <c r="EHC51" s="4"/>
      <c r="EHD51" s="4"/>
      <c r="EHE51" s="4"/>
      <c r="EHF51" s="4"/>
      <c r="EHG51" s="4"/>
      <c r="EHH51" s="4"/>
      <c r="EHI51" s="4"/>
      <c r="EHJ51" s="4"/>
      <c r="EHK51" s="4"/>
      <c r="EHL51" s="4"/>
      <c r="EHM51" s="4"/>
      <c r="EHN51" s="4"/>
      <c r="EHO51" s="4"/>
      <c r="EHP51" s="4"/>
      <c r="EHQ51" s="4"/>
      <c r="EHR51" s="4"/>
      <c r="EHS51" s="4"/>
      <c r="EHT51" s="4"/>
      <c r="EHU51" s="4"/>
      <c r="EHV51" s="4"/>
      <c r="EHW51" s="4"/>
      <c r="EHX51" s="4"/>
      <c r="EHY51" s="4"/>
      <c r="EHZ51" s="4"/>
      <c r="EIA51" s="4"/>
      <c r="EIB51" s="4"/>
      <c r="EIC51" s="4"/>
      <c r="EID51" s="4"/>
      <c r="EIE51" s="4"/>
      <c r="EIF51" s="4"/>
      <c r="EIG51" s="4"/>
      <c r="EIH51" s="4"/>
      <c r="EII51" s="4"/>
      <c r="EIJ51" s="4"/>
      <c r="EIK51" s="4"/>
      <c r="EIL51" s="4"/>
      <c r="EIM51" s="4"/>
      <c r="EIN51" s="4"/>
      <c r="EIO51" s="4"/>
      <c r="EIP51" s="4"/>
      <c r="EIQ51" s="4"/>
      <c r="EIR51" s="4"/>
      <c r="EIS51" s="4"/>
      <c r="EIT51" s="4"/>
      <c r="EIU51" s="4"/>
      <c r="EIV51" s="4"/>
      <c r="EIW51" s="4"/>
      <c r="EIX51" s="4"/>
      <c r="EIY51" s="4"/>
      <c r="EIZ51" s="4"/>
      <c r="EJA51" s="4"/>
      <c r="EJB51" s="4"/>
      <c r="EJC51" s="4"/>
      <c r="EJD51" s="4"/>
      <c r="EJE51" s="4"/>
      <c r="EJF51" s="4"/>
      <c r="EJG51" s="4"/>
      <c r="EJH51" s="4"/>
      <c r="EJI51" s="4"/>
      <c r="EJJ51" s="4"/>
      <c r="EJK51" s="4"/>
      <c r="EJL51" s="4"/>
      <c r="EJM51" s="4"/>
      <c r="EJN51" s="4"/>
      <c r="EJO51" s="4"/>
      <c r="EJP51" s="4"/>
      <c r="EJQ51" s="4"/>
      <c r="EJR51" s="4"/>
      <c r="EJS51" s="4"/>
      <c r="EJT51" s="4"/>
      <c r="EJU51" s="4"/>
      <c r="EJV51" s="4"/>
      <c r="EJW51" s="4"/>
      <c r="EJX51" s="4"/>
      <c r="EJY51" s="4"/>
      <c r="EJZ51" s="4"/>
      <c r="EKA51" s="4"/>
      <c r="EKB51" s="4"/>
      <c r="EKC51" s="4"/>
      <c r="EKD51" s="4"/>
      <c r="EKE51" s="4"/>
      <c r="EKF51" s="4"/>
      <c r="EKG51" s="4"/>
      <c r="EKH51" s="4"/>
      <c r="EKI51" s="4"/>
      <c r="EKJ51" s="4"/>
      <c r="EKK51" s="4"/>
      <c r="EKL51" s="4"/>
      <c r="EKM51" s="4"/>
      <c r="EKN51" s="4"/>
      <c r="EKO51" s="4"/>
      <c r="EKP51" s="4"/>
      <c r="EKQ51" s="4"/>
      <c r="EKR51" s="4"/>
      <c r="EKS51" s="4"/>
      <c r="EKT51" s="4"/>
      <c r="EKU51" s="4"/>
      <c r="EKV51" s="4"/>
      <c r="EKW51" s="4"/>
      <c r="EKX51" s="4"/>
      <c r="EKY51" s="4"/>
      <c r="EKZ51" s="4"/>
      <c r="ELA51" s="4"/>
      <c r="ELB51" s="4"/>
      <c r="ELC51" s="4"/>
      <c r="ELD51" s="4"/>
      <c r="ELE51" s="4"/>
      <c r="ELF51" s="4"/>
      <c r="ELG51" s="4"/>
      <c r="ELH51" s="4"/>
      <c r="ELI51" s="4"/>
      <c r="ELJ51" s="4"/>
      <c r="ELK51" s="4"/>
      <c r="ELL51" s="4"/>
      <c r="ELM51" s="4"/>
      <c r="ELN51" s="4"/>
      <c r="ELO51" s="4"/>
      <c r="ELP51" s="4"/>
      <c r="ELQ51" s="4"/>
      <c r="ELR51" s="4"/>
      <c r="ELS51" s="4"/>
      <c r="ELT51" s="4"/>
      <c r="ELU51" s="4"/>
      <c r="ELV51" s="4"/>
      <c r="ELW51" s="4"/>
      <c r="ELX51" s="4"/>
      <c r="ELY51" s="4"/>
      <c r="ELZ51" s="4"/>
      <c r="EMA51" s="4"/>
      <c r="EMB51" s="4"/>
      <c r="EMC51" s="4"/>
      <c r="EMD51" s="4"/>
      <c r="EME51" s="4"/>
      <c r="EMF51" s="4"/>
      <c r="EMG51" s="4"/>
      <c r="EMH51" s="4"/>
      <c r="EMI51" s="4"/>
      <c r="EMJ51" s="4"/>
      <c r="EMK51" s="4"/>
      <c r="EML51" s="4"/>
      <c r="EMM51" s="4"/>
      <c r="EMN51" s="4"/>
      <c r="EMO51" s="4"/>
      <c r="EMP51" s="4"/>
      <c r="EMQ51" s="4"/>
      <c r="EMR51" s="4"/>
      <c r="EMS51" s="4"/>
      <c r="EMT51" s="4"/>
      <c r="EMU51" s="4"/>
      <c r="EMV51" s="4"/>
      <c r="EMW51" s="4"/>
      <c r="EMX51" s="4"/>
      <c r="EMY51" s="4"/>
      <c r="EMZ51" s="4"/>
      <c r="ENA51" s="4"/>
      <c r="ENB51" s="4"/>
      <c r="ENC51" s="4"/>
      <c r="END51" s="4"/>
      <c r="ENE51" s="4"/>
      <c r="ENF51" s="4"/>
      <c r="ENG51" s="4"/>
      <c r="ENH51" s="4"/>
      <c r="ENI51" s="4"/>
      <c r="ENJ51" s="4"/>
      <c r="ENK51" s="4"/>
      <c r="ENL51" s="4"/>
      <c r="ENM51" s="4"/>
      <c r="ENN51" s="4"/>
      <c r="ENO51" s="4"/>
      <c r="ENP51" s="4"/>
      <c r="ENQ51" s="4"/>
      <c r="ENR51" s="4"/>
      <c r="ENS51" s="4"/>
      <c r="ENT51" s="4"/>
      <c r="ENU51" s="4"/>
      <c r="ENV51" s="4"/>
      <c r="ENW51" s="4"/>
      <c r="ENX51" s="4"/>
      <c r="ENY51" s="4"/>
      <c r="ENZ51" s="4"/>
      <c r="EOA51" s="4"/>
      <c r="EOB51" s="4"/>
      <c r="EOC51" s="4"/>
      <c r="EOD51" s="4"/>
      <c r="EOE51" s="4"/>
      <c r="EOF51" s="4"/>
      <c r="EOG51" s="4"/>
      <c r="EOH51" s="4"/>
      <c r="EOI51" s="4"/>
      <c r="EOJ51" s="4"/>
      <c r="EOK51" s="4"/>
      <c r="EOL51" s="4"/>
      <c r="EOM51" s="4"/>
      <c r="EON51" s="4"/>
      <c r="EOO51" s="4"/>
      <c r="EOP51" s="4"/>
      <c r="EOQ51" s="4"/>
      <c r="EOR51" s="4"/>
      <c r="EOS51" s="4"/>
      <c r="EOT51" s="4"/>
      <c r="EOU51" s="4"/>
      <c r="EOV51" s="4"/>
      <c r="EOW51" s="4"/>
      <c r="EOX51" s="4"/>
      <c r="EOY51" s="4"/>
      <c r="EOZ51" s="4"/>
      <c r="EPA51" s="4"/>
      <c r="EPB51" s="4"/>
      <c r="EPC51" s="4"/>
      <c r="EPD51" s="4"/>
      <c r="EPE51" s="4"/>
      <c r="EPF51" s="4"/>
      <c r="EPG51" s="4"/>
      <c r="EPH51" s="4"/>
      <c r="EPI51" s="4"/>
      <c r="EPJ51" s="4"/>
      <c r="EPK51" s="4"/>
      <c r="EPL51" s="4"/>
      <c r="EPM51" s="4"/>
      <c r="EPN51" s="4"/>
      <c r="EPO51" s="4"/>
      <c r="EPP51" s="4"/>
      <c r="EPQ51" s="4"/>
      <c r="EPR51" s="4"/>
      <c r="EPS51" s="4"/>
      <c r="EPT51" s="4"/>
      <c r="EPU51" s="4"/>
      <c r="EPV51" s="4"/>
      <c r="EPW51" s="4"/>
      <c r="EPX51" s="4"/>
      <c r="EPY51" s="4"/>
      <c r="EPZ51" s="4"/>
      <c r="EQA51" s="4"/>
      <c r="EQB51" s="4"/>
      <c r="EQC51" s="4"/>
      <c r="EQD51" s="4"/>
      <c r="EQE51" s="4"/>
      <c r="EQF51" s="4"/>
      <c r="EQG51" s="4"/>
      <c r="EQH51" s="4"/>
      <c r="EQI51" s="4"/>
      <c r="EQJ51" s="4"/>
      <c r="EQK51" s="4"/>
      <c r="EQL51" s="4"/>
      <c r="EQM51" s="4"/>
      <c r="EQN51" s="4"/>
      <c r="EQO51" s="4"/>
      <c r="EQP51" s="4"/>
      <c r="EQQ51" s="4"/>
      <c r="EQR51" s="4"/>
      <c r="EQS51" s="4"/>
      <c r="EQT51" s="4"/>
      <c r="EQU51" s="4"/>
      <c r="EQV51" s="4"/>
      <c r="EQW51" s="4"/>
      <c r="EQX51" s="4"/>
      <c r="EQY51" s="4"/>
      <c r="EQZ51" s="4"/>
      <c r="ERA51" s="4"/>
      <c r="ERB51" s="4"/>
      <c r="ERC51" s="4"/>
      <c r="ERD51" s="4"/>
      <c r="ERE51" s="4"/>
      <c r="ERF51" s="4"/>
      <c r="ERG51" s="4"/>
      <c r="ERH51" s="4"/>
      <c r="ERI51" s="4"/>
      <c r="ERJ51" s="4"/>
      <c r="ERK51" s="4"/>
      <c r="ERL51" s="4"/>
      <c r="ERM51" s="4"/>
      <c r="ERN51" s="4"/>
      <c r="ERO51" s="4"/>
      <c r="ERP51" s="4"/>
      <c r="ERQ51" s="4"/>
      <c r="ERR51" s="4"/>
      <c r="ERS51" s="4"/>
      <c r="ERT51" s="4"/>
      <c r="ERU51" s="4"/>
      <c r="ERV51" s="4"/>
      <c r="ERW51" s="4"/>
      <c r="ERX51" s="4"/>
      <c r="ERY51" s="4"/>
      <c r="ERZ51" s="4"/>
      <c r="ESA51" s="4"/>
      <c r="ESB51" s="4"/>
      <c r="ESC51" s="4"/>
      <c r="ESD51" s="4"/>
      <c r="ESE51" s="4"/>
      <c r="ESF51" s="4"/>
      <c r="ESG51" s="4"/>
      <c r="ESH51" s="4"/>
      <c r="ESI51" s="4"/>
      <c r="ESJ51" s="4"/>
      <c r="ESK51" s="4"/>
      <c r="ESL51" s="4"/>
      <c r="ESM51" s="4"/>
      <c r="ESN51" s="4"/>
      <c r="ESO51" s="4"/>
      <c r="ESP51" s="4"/>
      <c r="ESQ51" s="4"/>
      <c r="ESR51" s="4"/>
      <c r="ESS51" s="4"/>
      <c r="EST51" s="4"/>
      <c r="ESU51" s="4"/>
      <c r="ESV51" s="4"/>
      <c r="ESW51" s="4"/>
      <c r="ESX51" s="4"/>
      <c r="ESY51" s="4"/>
      <c r="ESZ51" s="4"/>
      <c r="ETA51" s="4"/>
      <c r="ETB51" s="4"/>
      <c r="ETC51" s="4"/>
      <c r="ETD51" s="4"/>
      <c r="ETE51" s="4"/>
      <c r="ETF51" s="4"/>
      <c r="ETG51" s="4"/>
      <c r="ETH51" s="4"/>
      <c r="ETI51" s="4"/>
      <c r="ETJ51" s="4"/>
      <c r="ETK51" s="4"/>
      <c r="ETL51" s="4"/>
      <c r="ETM51" s="4"/>
      <c r="ETN51" s="4"/>
      <c r="ETO51" s="4"/>
      <c r="ETP51" s="4"/>
      <c r="ETQ51" s="4"/>
      <c r="ETR51" s="4"/>
      <c r="ETS51" s="4"/>
      <c r="ETT51" s="4"/>
      <c r="ETU51" s="4"/>
      <c r="ETV51" s="4"/>
      <c r="ETW51" s="4"/>
      <c r="ETX51" s="4"/>
      <c r="ETY51" s="4"/>
      <c r="ETZ51" s="4"/>
      <c r="EUA51" s="4"/>
      <c r="EUB51" s="4"/>
      <c r="EUC51" s="4"/>
      <c r="EUD51" s="4"/>
      <c r="EUE51" s="4"/>
      <c r="EUF51" s="4"/>
      <c r="EUG51" s="4"/>
      <c r="EUH51" s="4"/>
      <c r="EUI51" s="4"/>
      <c r="EUJ51" s="4"/>
      <c r="EUK51" s="4"/>
      <c r="EUL51" s="4"/>
      <c r="EUM51" s="4"/>
      <c r="EUN51" s="4"/>
      <c r="EUO51" s="4"/>
      <c r="EUP51" s="4"/>
      <c r="EUQ51" s="4"/>
      <c r="EUR51" s="4"/>
      <c r="EUS51" s="4"/>
      <c r="EUT51" s="4"/>
      <c r="EUU51" s="4"/>
      <c r="EUV51" s="4"/>
      <c r="EUW51" s="4"/>
      <c r="EUX51" s="4"/>
      <c r="EUY51" s="4"/>
      <c r="EUZ51" s="4"/>
      <c r="EVA51" s="4"/>
      <c r="EVB51" s="4"/>
      <c r="EVC51" s="4"/>
      <c r="EVD51" s="4"/>
      <c r="EVE51" s="4"/>
      <c r="EVF51" s="4"/>
      <c r="EVG51" s="4"/>
      <c r="EVH51" s="4"/>
      <c r="EVI51" s="4"/>
      <c r="EVJ51" s="4"/>
      <c r="EVK51" s="4"/>
      <c r="EVL51" s="4"/>
      <c r="EVM51" s="4"/>
      <c r="EVN51" s="4"/>
      <c r="EVO51" s="4"/>
      <c r="EVP51" s="4"/>
      <c r="EVQ51" s="4"/>
      <c r="EVR51" s="4"/>
      <c r="EVS51" s="4"/>
      <c r="EVT51" s="4"/>
      <c r="EVU51" s="4"/>
      <c r="EVV51" s="4"/>
      <c r="EVW51" s="4"/>
      <c r="EVX51" s="4"/>
      <c r="EVY51" s="4"/>
      <c r="EVZ51" s="4"/>
      <c r="EWA51" s="4"/>
      <c r="EWB51" s="4"/>
      <c r="EWC51" s="4"/>
      <c r="EWD51" s="4"/>
      <c r="EWE51" s="4"/>
      <c r="EWF51" s="4"/>
      <c r="EWG51" s="4"/>
      <c r="EWH51" s="4"/>
      <c r="EWI51" s="4"/>
      <c r="EWJ51" s="4"/>
      <c r="EWK51" s="4"/>
      <c r="EWL51" s="4"/>
      <c r="EWM51" s="4"/>
      <c r="EWN51" s="4"/>
      <c r="EWO51" s="4"/>
      <c r="EWP51" s="4"/>
      <c r="EWQ51" s="4"/>
      <c r="EWR51" s="4"/>
      <c r="EWS51" s="4"/>
      <c r="EWT51" s="4"/>
      <c r="EWU51" s="4"/>
      <c r="EWV51" s="4"/>
      <c r="EWW51" s="4"/>
      <c r="EWX51" s="4"/>
      <c r="EWY51" s="4"/>
      <c r="EWZ51" s="4"/>
      <c r="EXA51" s="4"/>
      <c r="EXB51" s="4"/>
      <c r="EXC51" s="4"/>
      <c r="EXD51" s="4"/>
      <c r="EXE51" s="4"/>
      <c r="EXF51" s="4"/>
      <c r="EXG51" s="4"/>
      <c r="EXH51" s="4"/>
      <c r="EXI51" s="4"/>
      <c r="EXJ51" s="4"/>
      <c r="EXK51" s="4"/>
      <c r="EXL51" s="4"/>
      <c r="EXM51" s="4"/>
      <c r="EXN51" s="4"/>
      <c r="EXO51" s="4"/>
      <c r="EXP51" s="4"/>
      <c r="EXQ51" s="4"/>
      <c r="EXR51" s="4"/>
      <c r="EXS51" s="4"/>
      <c r="EXT51" s="4"/>
      <c r="EXU51" s="4"/>
      <c r="EXV51" s="4"/>
      <c r="EXW51" s="4"/>
      <c r="EXX51" s="4"/>
      <c r="EXY51" s="4"/>
      <c r="EXZ51" s="4"/>
      <c r="EYA51" s="4"/>
      <c r="EYB51" s="4"/>
      <c r="EYC51" s="4"/>
      <c r="EYD51" s="4"/>
      <c r="EYE51" s="4"/>
      <c r="EYF51" s="4"/>
      <c r="EYG51" s="4"/>
      <c r="EYH51" s="4"/>
      <c r="EYI51" s="4"/>
      <c r="EYJ51" s="4"/>
      <c r="EYK51" s="4"/>
      <c r="EYL51" s="4"/>
      <c r="EYM51" s="4"/>
      <c r="EYN51" s="4"/>
      <c r="EYO51" s="4"/>
      <c r="EYP51" s="4"/>
      <c r="EYQ51" s="4"/>
      <c r="EYR51" s="4"/>
      <c r="EYS51" s="4"/>
      <c r="EYT51" s="4"/>
      <c r="EYU51" s="4"/>
      <c r="EYV51" s="4"/>
      <c r="EYW51" s="4"/>
      <c r="EYX51" s="4"/>
      <c r="EYY51" s="4"/>
      <c r="EYZ51" s="4"/>
      <c r="EZA51" s="4"/>
      <c r="EZB51" s="4"/>
      <c r="EZC51" s="4"/>
      <c r="EZD51" s="4"/>
      <c r="EZE51" s="4"/>
      <c r="EZF51" s="4"/>
      <c r="EZG51" s="4"/>
      <c r="EZH51" s="4"/>
      <c r="EZI51" s="4"/>
      <c r="EZJ51" s="4"/>
      <c r="EZK51" s="4"/>
      <c r="EZL51" s="4"/>
      <c r="EZM51" s="4"/>
      <c r="EZN51" s="4"/>
      <c r="EZO51" s="4"/>
      <c r="EZP51" s="4"/>
      <c r="EZQ51" s="4"/>
      <c r="EZR51" s="4"/>
      <c r="EZS51" s="4"/>
      <c r="EZT51" s="4"/>
      <c r="EZU51" s="4"/>
      <c r="EZV51" s="4"/>
      <c r="EZW51" s="4"/>
      <c r="EZX51" s="4"/>
      <c r="EZY51" s="4"/>
      <c r="EZZ51" s="4"/>
      <c r="FAA51" s="4"/>
      <c r="FAB51" s="4"/>
      <c r="FAC51" s="4"/>
      <c r="FAD51" s="4"/>
      <c r="FAE51" s="4"/>
      <c r="FAF51" s="4"/>
      <c r="FAG51" s="4"/>
      <c r="FAH51" s="4"/>
      <c r="FAI51" s="4"/>
      <c r="FAJ51" s="4"/>
      <c r="FAK51" s="4"/>
      <c r="FAL51" s="4"/>
      <c r="FAM51" s="4"/>
      <c r="FAN51" s="4"/>
      <c r="FAO51" s="4"/>
      <c r="FAP51" s="4"/>
      <c r="FAQ51" s="4"/>
      <c r="FAR51" s="4"/>
      <c r="FAS51" s="4"/>
      <c r="FAT51" s="4"/>
      <c r="FAU51" s="4"/>
      <c r="FAV51" s="4"/>
      <c r="FAW51" s="4"/>
      <c r="FAX51" s="4"/>
      <c r="FAY51" s="4"/>
      <c r="FAZ51" s="4"/>
      <c r="FBA51" s="4"/>
      <c r="FBB51" s="4"/>
      <c r="FBC51" s="4"/>
      <c r="FBD51" s="4"/>
      <c r="FBE51" s="4"/>
      <c r="FBF51" s="4"/>
      <c r="FBG51" s="4"/>
      <c r="FBH51" s="4"/>
      <c r="FBI51" s="4"/>
      <c r="FBJ51" s="4"/>
      <c r="FBK51" s="4"/>
      <c r="FBL51" s="4"/>
      <c r="FBM51" s="4"/>
      <c r="FBN51" s="4"/>
      <c r="FBO51" s="4"/>
      <c r="FBP51" s="4"/>
      <c r="FBQ51" s="4"/>
      <c r="FBR51" s="4"/>
      <c r="FBS51" s="4"/>
      <c r="FBT51" s="4"/>
      <c r="FBU51" s="4"/>
      <c r="FBV51" s="4"/>
      <c r="FBW51" s="4"/>
      <c r="FBX51" s="4"/>
      <c r="FBY51" s="4"/>
      <c r="FBZ51" s="4"/>
      <c r="FCA51" s="4"/>
      <c r="FCB51" s="4"/>
      <c r="FCC51" s="4"/>
      <c r="FCD51" s="4"/>
      <c r="FCE51" s="4"/>
      <c r="FCF51" s="4"/>
      <c r="FCG51" s="4"/>
      <c r="FCH51" s="4"/>
      <c r="FCI51" s="4"/>
      <c r="FCJ51" s="4"/>
      <c r="FCK51" s="4"/>
      <c r="FCL51" s="4"/>
      <c r="FCM51" s="4"/>
      <c r="FCN51" s="4"/>
      <c r="FCO51" s="4"/>
      <c r="FCP51" s="4"/>
      <c r="FCQ51" s="4"/>
      <c r="FCR51" s="4"/>
      <c r="FCS51" s="4"/>
      <c r="FCT51" s="4"/>
      <c r="FCU51" s="4"/>
      <c r="FCV51" s="4"/>
      <c r="FCW51" s="4"/>
      <c r="FCX51" s="4"/>
      <c r="FCY51" s="4"/>
      <c r="FCZ51" s="4"/>
      <c r="FDA51" s="4"/>
      <c r="FDB51" s="4"/>
      <c r="FDC51" s="4"/>
      <c r="FDD51" s="4"/>
      <c r="FDE51" s="4"/>
      <c r="FDF51" s="4"/>
      <c r="FDG51" s="4"/>
      <c r="FDH51" s="4"/>
      <c r="FDI51" s="4"/>
      <c r="FDJ51" s="4"/>
      <c r="FDK51" s="4"/>
      <c r="FDL51" s="4"/>
      <c r="FDM51" s="4"/>
      <c r="FDN51" s="4"/>
      <c r="FDO51" s="4"/>
      <c r="FDP51" s="4"/>
      <c r="FDQ51" s="4"/>
      <c r="FDR51" s="4"/>
      <c r="FDS51" s="4"/>
      <c r="FDT51" s="4"/>
      <c r="FDU51" s="4"/>
      <c r="FDV51" s="4"/>
      <c r="FDW51" s="4"/>
      <c r="FDX51" s="4"/>
      <c r="FDY51" s="4"/>
      <c r="FDZ51" s="4"/>
      <c r="FEA51" s="4"/>
      <c r="FEB51" s="4"/>
      <c r="FEC51" s="4"/>
      <c r="FED51" s="4"/>
      <c r="FEE51" s="4"/>
      <c r="FEF51" s="4"/>
      <c r="FEG51" s="4"/>
      <c r="FEH51" s="4"/>
      <c r="FEI51" s="4"/>
      <c r="FEJ51" s="4"/>
      <c r="FEK51" s="4"/>
      <c r="FEL51" s="4"/>
      <c r="FEM51" s="4"/>
      <c r="FEN51" s="4"/>
      <c r="FEO51" s="4"/>
      <c r="FEP51" s="4"/>
      <c r="FEQ51" s="4"/>
      <c r="FER51" s="4"/>
      <c r="FES51" s="4"/>
      <c r="FET51" s="4"/>
      <c r="FEU51" s="4"/>
      <c r="FEV51" s="4"/>
      <c r="FEW51" s="4"/>
      <c r="FEX51" s="4"/>
      <c r="FEY51" s="4"/>
      <c r="FEZ51" s="4"/>
      <c r="FFA51" s="4"/>
      <c r="FFB51" s="4"/>
      <c r="FFC51" s="4"/>
      <c r="FFD51" s="4"/>
      <c r="FFE51" s="4"/>
      <c r="FFF51" s="4"/>
      <c r="FFG51" s="4"/>
      <c r="FFH51" s="4"/>
      <c r="FFI51" s="4"/>
      <c r="FFJ51" s="4"/>
      <c r="FFK51" s="4"/>
      <c r="FFL51" s="4"/>
      <c r="FFM51" s="4"/>
      <c r="FFN51" s="4"/>
      <c r="FFO51" s="4"/>
      <c r="FFP51" s="4"/>
      <c r="FFQ51" s="4"/>
      <c r="FFR51" s="4"/>
      <c r="FFS51" s="4"/>
      <c r="FFT51" s="4"/>
      <c r="FFU51" s="4"/>
      <c r="FFV51" s="4"/>
      <c r="FFW51" s="4"/>
      <c r="FFX51" s="4"/>
      <c r="FFY51" s="4"/>
      <c r="FFZ51" s="4"/>
      <c r="FGA51" s="4"/>
      <c r="FGB51" s="4"/>
      <c r="FGC51" s="4"/>
      <c r="FGD51" s="4"/>
      <c r="FGE51" s="4"/>
      <c r="FGF51" s="4"/>
      <c r="FGG51" s="4"/>
      <c r="FGH51" s="4"/>
      <c r="FGI51" s="4"/>
      <c r="FGJ51" s="4"/>
      <c r="FGK51" s="4"/>
      <c r="FGL51" s="4"/>
      <c r="FGM51" s="4"/>
      <c r="FGN51" s="4"/>
      <c r="FGO51" s="4"/>
      <c r="FGP51" s="4"/>
      <c r="FGQ51" s="4"/>
      <c r="FGR51" s="4"/>
      <c r="FGS51" s="4"/>
      <c r="FGT51" s="4"/>
      <c r="FGU51" s="4"/>
      <c r="FGV51" s="4"/>
      <c r="FGW51" s="4"/>
      <c r="FGX51" s="4"/>
      <c r="FGY51" s="4"/>
      <c r="FGZ51" s="4"/>
      <c r="FHA51" s="4"/>
      <c r="FHB51" s="4"/>
      <c r="FHC51" s="4"/>
      <c r="FHD51" s="4"/>
      <c r="FHE51" s="4"/>
      <c r="FHF51" s="4"/>
      <c r="FHG51" s="4"/>
      <c r="FHH51" s="4"/>
      <c r="FHI51" s="4"/>
      <c r="FHJ51" s="4"/>
      <c r="FHK51" s="4"/>
      <c r="FHL51" s="4"/>
      <c r="FHM51" s="4"/>
      <c r="FHN51" s="4"/>
      <c r="FHO51" s="4"/>
      <c r="FHP51" s="4"/>
      <c r="FHQ51" s="4"/>
      <c r="FHR51" s="4"/>
      <c r="FHS51" s="4"/>
      <c r="FHT51" s="4"/>
      <c r="FHU51" s="4"/>
      <c r="FHV51" s="4"/>
      <c r="FHW51" s="4"/>
      <c r="FHX51" s="4"/>
      <c r="FHY51" s="4"/>
      <c r="FHZ51" s="4"/>
      <c r="FIA51" s="4"/>
      <c r="FIB51" s="4"/>
      <c r="FIC51" s="4"/>
      <c r="FID51" s="4"/>
      <c r="FIE51" s="4"/>
      <c r="FIF51" s="4"/>
      <c r="FIG51" s="4"/>
      <c r="FIH51" s="4"/>
      <c r="FII51" s="4"/>
      <c r="FIJ51" s="4"/>
      <c r="FIK51" s="4"/>
      <c r="FIL51" s="4"/>
      <c r="FIM51" s="4"/>
      <c r="FIN51" s="4"/>
      <c r="FIO51" s="4"/>
      <c r="FIP51" s="4"/>
      <c r="FIQ51" s="4"/>
      <c r="FIR51" s="4"/>
      <c r="FIS51" s="4"/>
      <c r="FIT51" s="4"/>
      <c r="FIU51" s="4"/>
      <c r="FIV51" s="4"/>
      <c r="FIW51" s="4"/>
      <c r="FIX51" s="4"/>
      <c r="FIY51" s="4"/>
      <c r="FIZ51" s="4"/>
      <c r="FJA51" s="4"/>
      <c r="FJB51" s="4"/>
      <c r="FJC51" s="4"/>
      <c r="FJD51" s="4"/>
      <c r="FJE51" s="4"/>
      <c r="FJF51" s="4"/>
      <c r="FJG51" s="4"/>
      <c r="FJH51" s="4"/>
      <c r="FJI51" s="4"/>
      <c r="FJJ51" s="4"/>
      <c r="FJK51" s="4"/>
      <c r="FJL51" s="4"/>
      <c r="FJM51" s="4"/>
      <c r="FJN51" s="4"/>
      <c r="FJO51" s="4"/>
      <c r="FJP51" s="4"/>
      <c r="FJQ51" s="4"/>
      <c r="FJR51" s="4"/>
      <c r="FJS51" s="4"/>
      <c r="FJT51" s="4"/>
      <c r="FJU51" s="4"/>
      <c r="FJV51" s="4"/>
      <c r="FJW51" s="4"/>
      <c r="FJX51" s="4"/>
      <c r="FJY51" s="4"/>
      <c r="FJZ51" s="4"/>
      <c r="FKA51" s="4"/>
      <c r="FKB51" s="4"/>
      <c r="FKC51" s="4"/>
      <c r="FKD51" s="4"/>
      <c r="FKE51" s="4"/>
      <c r="FKF51" s="4"/>
      <c r="FKG51" s="4"/>
      <c r="FKH51" s="4"/>
      <c r="FKI51" s="4"/>
      <c r="FKJ51" s="4"/>
      <c r="FKK51" s="4"/>
      <c r="FKL51" s="4"/>
      <c r="FKM51" s="4"/>
      <c r="FKN51" s="4"/>
      <c r="FKO51" s="4"/>
      <c r="FKP51" s="4"/>
      <c r="FKQ51" s="4"/>
      <c r="FKR51" s="4"/>
      <c r="FKS51" s="4"/>
      <c r="FKT51" s="4"/>
      <c r="FKU51" s="4"/>
      <c r="FKV51" s="4"/>
      <c r="FKW51" s="4"/>
      <c r="FKX51" s="4"/>
      <c r="FKY51" s="4"/>
      <c r="FKZ51" s="4"/>
      <c r="FLA51" s="4"/>
      <c r="FLB51" s="4"/>
      <c r="FLC51" s="4"/>
      <c r="FLD51" s="4"/>
      <c r="FLE51" s="4"/>
      <c r="FLF51" s="4"/>
      <c r="FLG51" s="4"/>
      <c r="FLH51" s="4"/>
      <c r="FLI51" s="4"/>
      <c r="FLJ51" s="4"/>
      <c r="FLK51" s="4"/>
      <c r="FLL51" s="4"/>
      <c r="FLM51" s="4"/>
      <c r="FLN51" s="4"/>
      <c r="FLO51" s="4"/>
      <c r="FLP51" s="4"/>
      <c r="FLQ51" s="4"/>
      <c r="FLR51" s="4"/>
      <c r="FLS51" s="4"/>
      <c r="FLT51" s="4"/>
      <c r="FLU51" s="4"/>
      <c r="FLV51" s="4"/>
      <c r="FLW51" s="4"/>
      <c r="FLX51" s="4"/>
      <c r="FLY51" s="4"/>
      <c r="FLZ51" s="4"/>
      <c r="FMA51" s="4"/>
      <c r="FMB51" s="4"/>
      <c r="FMC51" s="4"/>
      <c r="FMD51" s="4"/>
      <c r="FME51" s="4"/>
      <c r="FMF51" s="4"/>
      <c r="FMG51" s="4"/>
      <c r="FMH51" s="4"/>
      <c r="FMI51" s="4"/>
      <c r="FMJ51" s="4"/>
      <c r="FMK51" s="4"/>
      <c r="FML51" s="4"/>
      <c r="FMM51" s="4"/>
      <c r="FMN51" s="4"/>
      <c r="FMO51" s="4"/>
      <c r="FMP51" s="4"/>
      <c r="FMQ51" s="4"/>
      <c r="FMR51" s="4"/>
      <c r="FMS51" s="4"/>
      <c r="FMT51" s="4"/>
      <c r="FMU51" s="4"/>
      <c r="FMV51" s="4"/>
      <c r="FMW51" s="4"/>
      <c r="FMX51" s="4"/>
      <c r="FMY51" s="4"/>
      <c r="FMZ51" s="4"/>
      <c r="FNA51" s="4"/>
      <c r="FNB51" s="4"/>
      <c r="FNC51" s="4"/>
      <c r="FND51" s="4"/>
      <c r="FNE51" s="4"/>
      <c r="FNF51" s="4"/>
      <c r="FNG51" s="4"/>
      <c r="FNH51" s="4"/>
      <c r="FNI51" s="4"/>
      <c r="FNJ51" s="4"/>
      <c r="FNK51" s="4"/>
      <c r="FNL51" s="4"/>
      <c r="FNM51" s="4"/>
      <c r="FNN51" s="4"/>
      <c r="FNO51" s="4"/>
      <c r="FNP51" s="4"/>
      <c r="FNQ51" s="4"/>
      <c r="FNR51" s="4"/>
      <c r="FNS51" s="4"/>
      <c r="FNT51" s="4"/>
      <c r="FNU51" s="4"/>
      <c r="FNV51" s="4"/>
      <c r="FNW51" s="4"/>
      <c r="FNX51" s="4"/>
      <c r="FNY51" s="4"/>
      <c r="FNZ51" s="4"/>
      <c r="FOA51" s="4"/>
      <c r="FOB51" s="4"/>
      <c r="FOC51" s="4"/>
      <c r="FOD51" s="4"/>
      <c r="FOE51" s="4"/>
      <c r="FOF51" s="4"/>
      <c r="FOG51" s="4"/>
      <c r="FOH51" s="4"/>
      <c r="FOI51" s="4"/>
      <c r="FOJ51" s="4"/>
      <c r="FOK51" s="4"/>
      <c r="FOL51" s="4"/>
      <c r="FOM51" s="4"/>
      <c r="FON51" s="4"/>
      <c r="FOO51" s="4"/>
      <c r="FOP51" s="4"/>
      <c r="FOQ51" s="4"/>
      <c r="FOR51" s="4"/>
      <c r="FOS51" s="4"/>
      <c r="FOT51" s="4"/>
      <c r="FOU51" s="4"/>
      <c r="FOV51" s="4"/>
      <c r="FOW51" s="4"/>
      <c r="FOX51" s="4"/>
      <c r="FOY51" s="4"/>
      <c r="FOZ51" s="4"/>
      <c r="FPA51" s="4"/>
      <c r="FPB51" s="4"/>
      <c r="FPC51" s="4"/>
      <c r="FPD51" s="4"/>
      <c r="FPE51" s="4"/>
      <c r="FPF51" s="4"/>
      <c r="FPG51" s="4"/>
      <c r="FPH51" s="4"/>
      <c r="FPI51" s="4"/>
      <c r="FPJ51" s="4"/>
      <c r="FPK51" s="4"/>
      <c r="FPL51" s="4"/>
      <c r="FPM51" s="4"/>
      <c r="FPN51" s="4"/>
      <c r="FPO51" s="4"/>
      <c r="FPP51" s="4"/>
      <c r="FPQ51" s="4"/>
      <c r="FPR51" s="4"/>
      <c r="FPS51" s="4"/>
      <c r="FPT51" s="4"/>
      <c r="FPU51" s="4"/>
      <c r="FPV51" s="4"/>
      <c r="FPW51" s="4"/>
      <c r="FPX51" s="4"/>
      <c r="FPY51" s="4"/>
      <c r="FPZ51" s="4"/>
      <c r="FQA51" s="4"/>
      <c r="FQB51" s="4"/>
      <c r="FQC51" s="4"/>
      <c r="FQD51" s="4"/>
      <c r="FQE51" s="4"/>
      <c r="FQF51" s="4"/>
      <c r="FQG51" s="4"/>
      <c r="FQH51" s="4"/>
      <c r="FQI51" s="4"/>
      <c r="FQJ51" s="4"/>
      <c r="FQK51" s="4"/>
      <c r="FQL51" s="4"/>
      <c r="FQM51" s="4"/>
      <c r="FQN51" s="4"/>
      <c r="FQO51" s="4"/>
      <c r="FQP51" s="4"/>
      <c r="FQQ51" s="4"/>
      <c r="FQR51" s="4"/>
      <c r="FQS51" s="4"/>
      <c r="FQT51" s="4"/>
      <c r="FQU51" s="4"/>
      <c r="FQV51" s="4"/>
      <c r="FQW51" s="4"/>
      <c r="FQX51" s="4"/>
      <c r="FQY51" s="4"/>
      <c r="FQZ51" s="4"/>
      <c r="FRA51" s="4"/>
      <c r="FRB51" s="4"/>
      <c r="FRC51" s="4"/>
      <c r="FRD51" s="4"/>
      <c r="FRE51" s="4"/>
      <c r="FRF51" s="4"/>
      <c r="FRG51" s="4"/>
      <c r="FRH51" s="4"/>
      <c r="FRI51" s="4"/>
      <c r="FRJ51" s="4"/>
      <c r="FRK51" s="4"/>
      <c r="FRL51" s="4"/>
      <c r="FRM51" s="4"/>
      <c r="FRN51" s="4"/>
      <c r="FRO51" s="4"/>
      <c r="FRP51" s="4"/>
      <c r="FRQ51" s="4"/>
      <c r="FRR51" s="4"/>
      <c r="FRS51" s="4"/>
      <c r="FRT51" s="4"/>
      <c r="FRU51" s="4"/>
      <c r="FRV51" s="4"/>
      <c r="FRW51" s="4"/>
      <c r="FRX51" s="4"/>
      <c r="FRY51" s="4"/>
      <c r="FRZ51" s="4"/>
      <c r="FSA51" s="4"/>
      <c r="FSB51" s="4"/>
      <c r="FSC51" s="4"/>
      <c r="FSD51" s="4"/>
      <c r="FSE51" s="4"/>
      <c r="FSF51" s="4"/>
      <c r="FSG51" s="4"/>
      <c r="FSH51" s="4"/>
      <c r="FSI51" s="4"/>
      <c r="FSJ51" s="4"/>
      <c r="FSK51" s="4"/>
      <c r="FSL51" s="4"/>
      <c r="FSM51" s="4"/>
      <c r="FSN51" s="4"/>
      <c r="FSO51" s="4"/>
      <c r="FSP51" s="4"/>
      <c r="FSQ51" s="4"/>
      <c r="FSR51" s="4"/>
      <c r="FSS51" s="4"/>
      <c r="FST51" s="4"/>
      <c r="FSU51" s="4"/>
      <c r="FSV51" s="4"/>
      <c r="FSW51" s="4"/>
      <c r="FSX51" s="4"/>
      <c r="FSY51" s="4"/>
      <c r="FSZ51" s="4"/>
      <c r="FTA51" s="4"/>
      <c r="FTB51" s="4"/>
      <c r="FTC51" s="4"/>
      <c r="FTD51" s="4"/>
      <c r="FTE51" s="4"/>
      <c r="FTF51" s="4"/>
      <c r="FTG51" s="4"/>
      <c r="FTH51" s="4"/>
      <c r="FTI51" s="4"/>
      <c r="FTJ51" s="4"/>
      <c r="FTK51" s="4"/>
      <c r="FTL51" s="4"/>
      <c r="FTM51" s="4"/>
      <c r="FTN51" s="4"/>
      <c r="FTO51" s="4"/>
      <c r="FTP51" s="4"/>
      <c r="FTQ51" s="4"/>
      <c r="FTR51" s="4"/>
      <c r="FTS51" s="4"/>
      <c r="FTT51" s="4"/>
      <c r="FTU51" s="4"/>
      <c r="FTV51" s="4"/>
      <c r="FTW51" s="4"/>
      <c r="FTX51" s="4"/>
      <c r="FTY51" s="4"/>
      <c r="FTZ51" s="4"/>
      <c r="FUA51" s="4"/>
      <c r="FUB51" s="4"/>
      <c r="FUC51" s="4"/>
      <c r="FUD51" s="4"/>
      <c r="FUE51" s="4"/>
      <c r="FUF51" s="4"/>
      <c r="FUG51" s="4"/>
      <c r="FUH51" s="4"/>
      <c r="FUI51" s="4"/>
      <c r="FUJ51" s="4"/>
      <c r="FUK51" s="4"/>
      <c r="FUL51" s="4"/>
      <c r="FUM51" s="4"/>
      <c r="FUN51" s="4"/>
      <c r="FUO51" s="4"/>
      <c r="FUP51" s="4"/>
      <c r="FUQ51" s="4"/>
      <c r="FUR51" s="4"/>
      <c r="FUS51" s="4"/>
      <c r="FUT51" s="4"/>
      <c r="FUU51" s="4"/>
      <c r="FUV51" s="4"/>
      <c r="FUW51" s="4"/>
      <c r="FUX51" s="4"/>
      <c r="FUY51" s="4"/>
      <c r="FUZ51" s="4"/>
      <c r="FVA51" s="4"/>
      <c r="FVB51" s="4"/>
      <c r="FVC51" s="4"/>
      <c r="FVD51" s="4"/>
      <c r="FVE51" s="4"/>
      <c r="FVF51" s="4"/>
      <c r="FVG51" s="4"/>
      <c r="FVH51" s="4"/>
      <c r="FVI51" s="4"/>
      <c r="FVJ51" s="4"/>
      <c r="FVK51" s="4"/>
      <c r="FVL51" s="4"/>
      <c r="FVM51" s="4"/>
      <c r="FVN51" s="4"/>
      <c r="FVO51" s="4"/>
      <c r="FVP51" s="4"/>
      <c r="FVQ51" s="4"/>
      <c r="FVR51" s="4"/>
      <c r="FVS51" s="4"/>
      <c r="FVT51" s="4"/>
      <c r="FVU51" s="4"/>
      <c r="FVV51" s="4"/>
      <c r="FVW51" s="4"/>
      <c r="FVX51" s="4"/>
      <c r="FVY51" s="4"/>
      <c r="FVZ51" s="4"/>
      <c r="FWA51" s="4"/>
      <c r="FWB51" s="4"/>
      <c r="FWC51" s="4"/>
      <c r="FWD51" s="4"/>
      <c r="FWE51" s="4"/>
      <c r="FWF51" s="4"/>
      <c r="FWG51" s="4"/>
      <c r="FWH51" s="4"/>
      <c r="FWI51" s="4"/>
      <c r="FWJ51" s="4"/>
      <c r="FWK51" s="4"/>
      <c r="FWL51" s="4"/>
      <c r="FWM51" s="4"/>
      <c r="FWN51" s="4"/>
      <c r="FWO51" s="4"/>
      <c r="FWP51" s="4"/>
      <c r="FWQ51" s="4"/>
      <c r="FWR51" s="4"/>
      <c r="FWS51" s="4"/>
      <c r="FWT51" s="4"/>
      <c r="FWU51" s="4"/>
      <c r="FWV51" s="4"/>
      <c r="FWW51" s="4"/>
      <c r="FWX51" s="4"/>
      <c r="FWY51" s="4"/>
      <c r="FWZ51" s="4"/>
      <c r="FXA51" s="4"/>
      <c r="FXB51" s="4"/>
      <c r="FXC51" s="4"/>
      <c r="FXD51" s="4"/>
      <c r="FXE51" s="4"/>
      <c r="FXF51" s="4"/>
      <c r="FXG51" s="4"/>
      <c r="FXH51" s="4"/>
      <c r="FXI51" s="4"/>
      <c r="FXJ51" s="4"/>
      <c r="FXK51" s="4"/>
      <c r="FXL51" s="4"/>
      <c r="FXM51" s="4"/>
      <c r="FXN51" s="4"/>
      <c r="FXO51" s="4"/>
      <c r="FXP51" s="4"/>
      <c r="FXQ51" s="4"/>
      <c r="FXR51" s="4"/>
      <c r="FXS51" s="4"/>
      <c r="FXT51" s="4"/>
      <c r="FXU51" s="4"/>
      <c r="FXV51" s="4"/>
      <c r="FXW51" s="4"/>
      <c r="FXX51" s="4"/>
      <c r="FXY51" s="4"/>
      <c r="FXZ51" s="4"/>
      <c r="FYA51" s="4"/>
      <c r="FYB51" s="4"/>
      <c r="FYC51" s="4"/>
      <c r="FYD51" s="4"/>
      <c r="FYE51" s="4"/>
      <c r="FYF51" s="4"/>
      <c r="FYG51" s="4"/>
      <c r="FYH51" s="4"/>
      <c r="FYI51" s="4"/>
      <c r="FYJ51" s="4"/>
      <c r="FYK51" s="4"/>
      <c r="FYL51" s="4"/>
      <c r="FYM51" s="4"/>
      <c r="FYN51" s="4"/>
      <c r="FYO51" s="4"/>
      <c r="FYP51" s="4"/>
      <c r="FYQ51" s="4"/>
      <c r="FYR51" s="4"/>
      <c r="FYS51" s="4"/>
      <c r="FYT51" s="4"/>
      <c r="FYU51" s="4"/>
      <c r="FYV51" s="4"/>
      <c r="FYW51" s="4"/>
      <c r="FYX51" s="4"/>
      <c r="FYY51" s="4"/>
      <c r="FYZ51" s="4"/>
      <c r="FZA51" s="4"/>
      <c r="FZB51" s="4"/>
      <c r="FZC51" s="4"/>
      <c r="FZD51" s="4"/>
      <c r="FZE51" s="4"/>
      <c r="FZF51" s="4"/>
      <c r="FZG51" s="4"/>
      <c r="FZH51" s="4"/>
      <c r="FZI51" s="4"/>
      <c r="FZJ51" s="4"/>
      <c r="FZK51" s="4"/>
      <c r="FZL51" s="4"/>
      <c r="FZM51" s="4"/>
      <c r="FZN51" s="4"/>
      <c r="FZO51" s="4"/>
      <c r="FZP51" s="4"/>
      <c r="FZQ51" s="4"/>
      <c r="FZR51" s="4"/>
      <c r="FZS51" s="4"/>
      <c r="FZT51" s="4"/>
      <c r="FZU51" s="4"/>
      <c r="FZV51" s="4"/>
      <c r="FZW51" s="4"/>
      <c r="FZX51" s="4"/>
      <c r="FZY51" s="4"/>
      <c r="FZZ51" s="4"/>
      <c r="GAA51" s="4"/>
      <c r="GAB51" s="4"/>
      <c r="GAC51" s="4"/>
      <c r="GAD51" s="4"/>
      <c r="GAE51" s="4"/>
      <c r="GAF51" s="4"/>
      <c r="GAG51" s="4"/>
      <c r="GAH51" s="4"/>
      <c r="GAI51" s="4"/>
      <c r="GAJ51" s="4"/>
      <c r="GAK51" s="4"/>
      <c r="GAL51" s="4"/>
      <c r="GAM51" s="4"/>
      <c r="GAN51" s="4"/>
      <c r="GAO51" s="4"/>
      <c r="GAP51" s="4"/>
      <c r="GAQ51" s="4"/>
      <c r="GAR51" s="4"/>
      <c r="GAS51" s="4"/>
      <c r="GAT51" s="4"/>
      <c r="GAU51" s="4"/>
      <c r="GAV51" s="4"/>
      <c r="GAW51" s="4"/>
      <c r="GAX51" s="4"/>
      <c r="GAY51" s="4"/>
      <c r="GAZ51" s="4"/>
      <c r="GBA51" s="4"/>
      <c r="GBB51" s="4"/>
      <c r="GBC51" s="4"/>
      <c r="GBD51" s="4"/>
      <c r="GBE51" s="4"/>
      <c r="GBF51" s="4"/>
      <c r="GBG51" s="4"/>
      <c r="GBH51" s="4"/>
      <c r="GBI51" s="4"/>
      <c r="GBJ51" s="4"/>
      <c r="GBK51" s="4"/>
      <c r="GBL51" s="4"/>
      <c r="GBM51" s="4"/>
      <c r="GBN51" s="4"/>
      <c r="GBO51" s="4"/>
      <c r="GBP51" s="4"/>
      <c r="GBQ51" s="4"/>
      <c r="GBR51" s="4"/>
      <c r="GBS51" s="4"/>
      <c r="GBT51" s="4"/>
      <c r="GBU51" s="4"/>
      <c r="GBV51" s="4"/>
      <c r="GBW51" s="4"/>
      <c r="GBX51" s="4"/>
      <c r="GBY51" s="4"/>
      <c r="GBZ51" s="4"/>
      <c r="GCA51" s="4"/>
      <c r="GCB51" s="4"/>
      <c r="GCC51" s="4"/>
      <c r="GCD51" s="4"/>
      <c r="GCE51" s="4"/>
      <c r="GCF51" s="4"/>
      <c r="GCG51" s="4"/>
      <c r="GCH51" s="4"/>
      <c r="GCI51" s="4"/>
      <c r="GCJ51" s="4"/>
      <c r="GCK51" s="4"/>
      <c r="GCL51" s="4"/>
      <c r="GCM51" s="4"/>
      <c r="GCN51" s="4"/>
      <c r="GCO51" s="4"/>
      <c r="GCP51" s="4"/>
      <c r="GCQ51" s="4"/>
      <c r="GCR51" s="4"/>
      <c r="GCS51" s="4"/>
      <c r="GCT51" s="4"/>
      <c r="GCU51" s="4"/>
      <c r="GCV51" s="4"/>
      <c r="GCW51" s="4"/>
      <c r="GCX51" s="4"/>
      <c r="GCY51" s="4"/>
      <c r="GCZ51" s="4"/>
      <c r="GDA51" s="4"/>
      <c r="GDB51" s="4"/>
      <c r="GDC51" s="4"/>
      <c r="GDD51" s="4"/>
      <c r="GDE51" s="4"/>
      <c r="GDF51" s="4"/>
      <c r="GDG51" s="4"/>
      <c r="GDH51" s="4"/>
      <c r="GDI51" s="4"/>
      <c r="GDJ51" s="4"/>
      <c r="GDK51" s="4"/>
      <c r="GDL51" s="4"/>
      <c r="GDM51" s="4"/>
      <c r="GDN51" s="4"/>
      <c r="GDO51" s="4"/>
      <c r="GDP51" s="4"/>
      <c r="GDQ51" s="4"/>
      <c r="GDR51" s="4"/>
      <c r="GDS51" s="4"/>
      <c r="GDT51" s="4"/>
      <c r="GDU51" s="4"/>
      <c r="GDV51" s="4"/>
      <c r="GDW51" s="4"/>
      <c r="GDX51" s="4"/>
      <c r="GDY51" s="4"/>
      <c r="GDZ51" s="4"/>
      <c r="GEA51" s="4"/>
      <c r="GEB51" s="4"/>
      <c r="GEC51" s="4"/>
      <c r="GED51" s="4"/>
      <c r="GEE51" s="4"/>
      <c r="GEF51" s="4"/>
      <c r="GEG51" s="4"/>
      <c r="GEH51" s="4"/>
      <c r="GEI51" s="4"/>
      <c r="GEJ51" s="4"/>
      <c r="GEK51" s="4"/>
      <c r="GEL51" s="4"/>
      <c r="GEM51" s="4"/>
      <c r="GEN51" s="4"/>
      <c r="GEO51" s="4"/>
      <c r="GEP51" s="4"/>
      <c r="GEQ51" s="4"/>
      <c r="GER51" s="4"/>
      <c r="GES51" s="4"/>
      <c r="GET51" s="4"/>
      <c r="GEU51" s="4"/>
      <c r="GEV51" s="4"/>
      <c r="GEW51" s="4"/>
      <c r="GEX51" s="4"/>
      <c r="GEY51" s="4"/>
      <c r="GEZ51" s="4"/>
      <c r="GFA51" s="4"/>
      <c r="GFB51" s="4"/>
      <c r="GFC51" s="4"/>
      <c r="GFD51" s="4"/>
      <c r="GFE51" s="4"/>
      <c r="GFF51" s="4"/>
      <c r="GFG51" s="4"/>
      <c r="GFH51" s="4"/>
      <c r="GFI51" s="4"/>
      <c r="GFJ51" s="4"/>
      <c r="GFK51" s="4"/>
      <c r="GFL51" s="4"/>
      <c r="GFM51" s="4"/>
      <c r="GFN51" s="4"/>
      <c r="GFO51" s="4"/>
      <c r="GFP51" s="4"/>
      <c r="GFQ51" s="4"/>
      <c r="GFR51" s="4"/>
      <c r="GFS51" s="4"/>
      <c r="GFT51" s="4"/>
      <c r="GFU51" s="4"/>
      <c r="GFV51" s="4"/>
      <c r="GFW51" s="4"/>
      <c r="GFX51" s="4"/>
      <c r="GFY51" s="4"/>
      <c r="GFZ51" s="4"/>
      <c r="GGA51" s="4"/>
      <c r="GGB51" s="4"/>
      <c r="GGC51" s="4"/>
      <c r="GGD51" s="4"/>
      <c r="GGE51" s="4"/>
      <c r="GGF51" s="4"/>
      <c r="GGG51" s="4"/>
      <c r="GGH51" s="4"/>
      <c r="GGI51" s="4"/>
      <c r="GGJ51" s="4"/>
      <c r="GGK51" s="4"/>
      <c r="GGL51" s="4"/>
      <c r="GGM51" s="4"/>
      <c r="GGN51" s="4"/>
      <c r="GGO51" s="4"/>
      <c r="GGP51" s="4"/>
      <c r="GGQ51" s="4"/>
      <c r="GGR51" s="4"/>
      <c r="GGS51" s="4"/>
      <c r="GGT51" s="4"/>
      <c r="GGU51" s="4"/>
      <c r="GGV51" s="4"/>
      <c r="GGW51" s="4"/>
      <c r="GGX51" s="4"/>
      <c r="GGY51" s="4"/>
      <c r="GGZ51" s="4"/>
      <c r="GHA51" s="4"/>
      <c r="GHB51" s="4"/>
      <c r="GHC51" s="4"/>
      <c r="GHD51" s="4"/>
      <c r="GHE51" s="4"/>
      <c r="GHF51" s="4"/>
      <c r="GHG51" s="4"/>
      <c r="GHH51" s="4"/>
      <c r="GHI51" s="4"/>
      <c r="GHJ51" s="4"/>
      <c r="GHK51" s="4"/>
      <c r="GHL51" s="4"/>
      <c r="GHM51" s="4"/>
      <c r="GHN51" s="4"/>
      <c r="GHO51" s="4"/>
      <c r="GHP51" s="4"/>
      <c r="GHQ51" s="4"/>
      <c r="GHR51" s="4"/>
      <c r="GHS51" s="4"/>
      <c r="GHT51" s="4"/>
      <c r="GHU51" s="4"/>
      <c r="GHV51" s="4"/>
      <c r="GHW51" s="4"/>
      <c r="GHX51" s="4"/>
      <c r="GHY51" s="4"/>
      <c r="GHZ51" s="4"/>
      <c r="GIA51" s="4"/>
      <c r="GIB51" s="4"/>
      <c r="GIC51" s="4"/>
      <c r="GID51" s="4"/>
      <c r="GIE51" s="4"/>
      <c r="GIF51" s="4"/>
      <c r="GIG51" s="4"/>
      <c r="GIH51" s="4"/>
      <c r="GII51" s="4"/>
      <c r="GIJ51" s="4"/>
      <c r="GIK51" s="4"/>
      <c r="GIL51" s="4"/>
      <c r="GIM51" s="4"/>
      <c r="GIN51" s="4"/>
      <c r="GIO51" s="4"/>
      <c r="GIP51" s="4"/>
      <c r="GIQ51" s="4"/>
      <c r="GIR51" s="4"/>
      <c r="GIS51" s="4"/>
      <c r="GIT51" s="4"/>
      <c r="GIU51" s="4"/>
      <c r="GIV51" s="4"/>
      <c r="GIW51" s="4"/>
      <c r="GIX51" s="4"/>
      <c r="GIY51" s="4"/>
      <c r="GIZ51" s="4"/>
      <c r="GJA51" s="4"/>
      <c r="GJB51" s="4"/>
      <c r="GJC51" s="4"/>
      <c r="GJD51" s="4"/>
      <c r="GJE51" s="4"/>
      <c r="GJF51" s="4"/>
      <c r="GJG51" s="4"/>
      <c r="GJH51" s="4"/>
      <c r="GJI51" s="4"/>
      <c r="GJJ51" s="4"/>
      <c r="GJK51" s="4"/>
      <c r="GJL51" s="4"/>
      <c r="GJM51" s="4"/>
      <c r="GJN51" s="4"/>
      <c r="GJO51" s="4"/>
      <c r="GJP51" s="4"/>
      <c r="GJQ51" s="4"/>
      <c r="GJR51" s="4"/>
      <c r="GJS51" s="4"/>
      <c r="GJT51" s="4"/>
      <c r="GJU51" s="4"/>
      <c r="GJV51" s="4"/>
      <c r="GJW51" s="4"/>
      <c r="GJX51" s="4"/>
      <c r="GJY51" s="4"/>
      <c r="GJZ51" s="4"/>
      <c r="GKA51" s="4"/>
      <c r="GKB51" s="4"/>
      <c r="GKC51" s="4"/>
      <c r="GKD51" s="4"/>
      <c r="GKE51" s="4"/>
      <c r="GKF51" s="4"/>
      <c r="GKG51" s="4"/>
      <c r="GKH51" s="4"/>
      <c r="GKI51" s="4"/>
      <c r="GKJ51" s="4"/>
      <c r="GKK51" s="4"/>
      <c r="GKL51" s="4"/>
      <c r="GKM51" s="4"/>
      <c r="GKN51" s="4"/>
      <c r="GKO51" s="4"/>
      <c r="GKP51" s="4"/>
      <c r="GKQ51" s="4"/>
      <c r="GKR51" s="4"/>
      <c r="GKS51" s="4"/>
      <c r="GKT51" s="4"/>
      <c r="GKU51" s="4"/>
      <c r="GKV51" s="4"/>
      <c r="GKW51" s="4"/>
      <c r="GKX51" s="4"/>
      <c r="GKY51" s="4"/>
      <c r="GKZ51" s="4"/>
      <c r="GLA51" s="4"/>
      <c r="GLB51" s="4"/>
      <c r="GLC51" s="4"/>
      <c r="GLD51" s="4"/>
      <c r="GLE51" s="4"/>
      <c r="GLF51" s="4"/>
      <c r="GLG51" s="4"/>
      <c r="GLH51" s="4"/>
      <c r="GLI51" s="4"/>
      <c r="GLJ51" s="4"/>
      <c r="GLK51" s="4"/>
      <c r="GLL51" s="4"/>
      <c r="GLM51" s="4"/>
      <c r="GLN51" s="4"/>
      <c r="GLO51" s="4"/>
      <c r="GLP51" s="4"/>
      <c r="GLQ51" s="4"/>
      <c r="GLR51" s="4"/>
      <c r="GLS51" s="4"/>
      <c r="GLT51" s="4"/>
      <c r="GLU51" s="4"/>
      <c r="GLV51" s="4"/>
      <c r="GLW51" s="4"/>
      <c r="GLX51" s="4"/>
      <c r="GLY51" s="4"/>
      <c r="GLZ51" s="4"/>
      <c r="GMA51" s="4"/>
      <c r="GMB51" s="4"/>
      <c r="GMC51" s="4"/>
      <c r="GMD51" s="4"/>
      <c r="GME51" s="4"/>
      <c r="GMF51" s="4"/>
      <c r="GMG51" s="4"/>
      <c r="GMH51" s="4"/>
      <c r="GMI51" s="4"/>
      <c r="GMJ51" s="4"/>
      <c r="GMK51" s="4"/>
      <c r="GML51" s="4"/>
      <c r="GMM51" s="4"/>
      <c r="GMN51" s="4"/>
      <c r="GMO51" s="4"/>
      <c r="GMP51" s="4"/>
      <c r="GMQ51" s="4"/>
      <c r="GMR51" s="4"/>
      <c r="GMS51" s="4"/>
      <c r="GMT51" s="4"/>
      <c r="GMU51" s="4"/>
      <c r="GMV51" s="4"/>
      <c r="GMW51" s="4"/>
      <c r="GMX51" s="4"/>
      <c r="GMY51" s="4"/>
      <c r="GMZ51" s="4"/>
      <c r="GNA51" s="4"/>
      <c r="GNB51" s="4"/>
      <c r="GNC51" s="4"/>
      <c r="GND51" s="4"/>
      <c r="GNE51" s="4"/>
      <c r="GNF51" s="4"/>
      <c r="GNG51" s="4"/>
      <c r="GNH51" s="4"/>
      <c r="GNI51" s="4"/>
      <c r="GNJ51" s="4"/>
      <c r="GNK51" s="4"/>
      <c r="GNL51" s="4"/>
      <c r="GNM51" s="4"/>
      <c r="GNN51" s="4"/>
      <c r="GNO51" s="4"/>
      <c r="GNP51" s="4"/>
      <c r="GNQ51" s="4"/>
      <c r="GNR51" s="4"/>
      <c r="GNS51" s="4"/>
      <c r="GNT51" s="4"/>
      <c r="GNU51" s="4"/>
      <c r="GNV51" s="4"/>
      <c r="GNW51" s="4"/>
      <c r="GNX51" s="4"/>
      <c r="GNY51" s="4"/>
      <c r="GNZ51" s="4"/>
      <c r="GOA51" s="4"/>
      <c r="GOB51" s="4"/>
      <c r="GOC51" s="4"/>
      <c r="GOD51" s="4"/>
      <c r="GOE51" s="4"/>
      <c r="GOF51" s="4"/>
      <c r="GOG51" s="4"/>
      <c r="GOH51" s="4"/>
      <c r="GOI51" s="4"/>
      <c r="GOJ51" s="4"/>
      <c r="GOK51" s="4"/>
      <c r="GOL51" s="4"/>
      <c r="GOM51" s="4"/>
      <c r="GON51" s="4"/>
      <c r="GOO51" s="4"/>
      <c r="GOP51" s="4"/>
      <c r="GOQ51" s="4"/>
      <c r="GOR51" s="4"/>
      <c r="GOS51" s="4"/>
      <c r="GOT51" s="4"/>
      <c r="GOU51" s="4"/>
      <c r="GOV51" s="4"/>
      <c r="GOW51" s="4"/>
      <c r="GOX51" s="4"/>
      <c r="GOY51" s="4"/>
      <c r="GOZ51" s="4"/>
      <c r="GPA51" s="4"/>
      <c r="GPB51" s="4"/>
      <c r="GPC51" s="4"/>
      <c r="GPD51" s="4"/>
      <c r="GPE51" s="4"/>
      <c r="GPF51" s="4"/>
      <c r="GPG51" s="4"/>
      <c r="GPH51" s="4"/>
      <c r="GPI51" s="4"/>
      <c r="GPJ51" s="4"/>
      <c r="GPK51" s="4"/>
      <c r="GPL51" s="4"/>
      <c r="GPM51" s="4"/>
      <c r="GPN51" s="4"/>
      <c r="GPO51" s="4"/>
      <c r="GPP51" s="4"/>
      <c r="GPQ51" s="4"/>
      <c r="GPR51" s="4"/>
      <c r="GPS51" s="4"/>
      <c r="GPT51" s="4"/>
      <c r="GPU51" s="4"/>
      <c r="GPV51" s="4"/>
      <c r="GPW51" s="4"/>
      <c r="GPX51" s="4"/>
      <c r="GPY51" s="4"/>
      <c r="GPZ51" s="4"/>
      <c r="GQA51" s="4"/>
      <c r="GQB51" s="4"/>
      <c r="GQC51" s="4"/>
      <c r="GQD51" s="4"/>
      <c r="GQE51" s="4"/>
      <c r="GQF51" s="4"/>
      <c r="GQG51" s="4"/>
      <c r="GQH51" s="4"/>
      <c r="GQI51" s="4"/>
      <c r="GQJ51" s="4"/>
      <c r="GQK51" s="4"/>
      <c r="GQL51" s="4"/>
      <c r="GQM51" s="4"/>
      <c r="GQN51" s="4"/>
      <c r="GQO51" s="4"/>
      <c r="GQP51" s="4"/>
      <c r="GQQ51" s="4"/>
      <c r="GQR51" s="4"/>
      <c r="GQS51" s="4"/>
      <c r="GQT51" s="4"/>
      <c r="GQU51" s="4"/>
      <c r="GQV51" s="4"/>
      <c r="GQW51" s="4"/>
      <c r="GQX51" s="4"/>
      <c r="GQY51" s="4"/>
      <c r="GQZ51" s="4"/>
      <c r="GRA51" s="4"/>
      <c r="GRB51" s="4"/>
      <c r="GRC51" s="4"/>
      <c r="GRD51" s="4"/>
      <c r="GRE51" s="4"/>
      <c r="GRF51" s="4"/>
      <c r="GRG51" s="4"/>
      <c r="GRH51" s="4"/>
      <c r="GRI51" s="4"/>
      <c r="GRJ51" s="4"/>
      <c r="GRK51" s="4"/>
      <c r="GRL51" s="4"/>
      <c r="GRM51" s="4"/>
      <c r="GRN51" s="4"/>
      <c r="GRO51" s="4"/>
      <c r="GRP51" s="4"/>
      <c r="GRQ51" s="4"/>
      <c r="GRR51" s="4"/>
      <c r="GRS51" s="4"/>
      <c r="GRT51" s="4"/>
      <c r="GRU51" s="4"/>
      <c r="GRV51" s="4"/>
      <c r="GRW51" s="4"/>
      <c r="GRX51" s="4"/>
      <c r="GRY51" s="4"/>
      <c r="GRZ51" s="4"/>
      <c r="GSA51" s="4"/>
      <c r="GSB51" s="4"/>
      <c r="GSC51" s="4"/>
      <c r="GSD51" s="4"/>
      <c r="GSE51" s="4"/>
      <c r="GSF51" s="4"/>
      <c r="GSG51" s="4"/>
      <c r="GSH51" s="4"/>
      <c r="GSI51" s="4"/>
      <c r="GSJ51" s="4"/>
      <c r="GSK51" s="4"/>
      <c r="GSL51" s="4"/>
      <c r="GSM51" s="4"/>
      <c r="GSN51" s="4"/>
      <c r="GSO51" s="4"/>
      <c r="GSP51" s="4"/>
      <c r="GSQ51" s="4"/>
      <c r="GSR51" s="4"/>
      <c r="GSS51" s="4"/>
      <c r="GST51" s="4"/>
      <c r="GSU51" s="4"/>
      <c r="GSV51" s="4"/>
      <c r="GSW51" s="4"/>
      <c r="GSX51" s="4"/>
      <c r="GSY51" s="4"/>
      <c r="GSZ51" s="4"/>
      <c r="GTA51" s="4"/>
      <c r="GTB51" s="4"/>
      <c r="GTC51" s="4"/>
      <c r="GTD51" s="4"/>
      <c r="GTE51" s="4"/>
      <c r="GTF51" s="4"/>
      <c r="GTG51" s="4"/>
      <c r="GTH51" s="4"/>
      <c r="GTI51" s="4"/>
      <c r="GTJ51" s="4"/>
      <c r="GTK51" s="4"/>
      <c r="GTL51" s="4"/>
      <c r="GTM51" s="4"/>
      <c r="GTN51" s="4"/>
      <c r="GTO51" s="4"/>
      <c r="GTP51" s="4"/>
      <c r="GTQ51" s="4"/>
      <c r="GTR51" s="4"/>
      <c r="GTS51" s="4"/>
      <c r="GTT51" s="4"/>
      <c r="GTU51" s="4"/>
      <c r="GTV51" s="4"/>
      <c r="GTW51" s="4"/>
      <c r="GTX51" s="4"/>
      <c r="GTY51" s="4"/>
      <c r="GTZ51" s="4"/>
      <c r="GUA51" s="4"/>
      <c r="GUB51" s="4"/>
      <c r="GUC51" s="4"/>
      <c r="GUD51" s="4"/>
      <c r="GUE51" s="4"/>
      <c r="GUF51" s="4"/>
      <c r="GUG51" s="4"/>
      <c r="GUH51" s="4"/>
      <c r="GUI51" s="4"/>
      <c r="GUJ51" s="4"/>
      <c r="GUK51" s="4"/>
      <c r="GUL51" s="4"/>
      <c r="GUM51" s="4"/>
      <c r="GUN51" s="4"/>
      <c r="GUO51" s="4"/>
      <c r="GUP51" s="4"/>
      <c r="GUQ51" s="4"/>
      <c r="GUR51" s="4"/>
      <c r="GUS51" s="4"/>
      <c r="GUT51" s="4"/>
      <c r="GUU51" s="4"/>
      <c r="GUV51" s="4"/>
      <c r="GUW51" s="4"/>
      <c r="GUX51" s="4"/>
      <c r="GUY51" s="4"/>
      <c r="GUZ51" s="4"/>
      <c r="GVA51" s="4"/>
      <c r="GVB51" s="4"/>
      <c r="GVC51" s="4"/>
      <c r="GVD51" s="4"/>
      <c r="GVE51" s="4"/>
      <c r="GVF51" s="4"/>
      <c r="GVG51" s="4"/>
      <c r="GVH51" s="4"/>
      <c r="GVI51" s="4"/>
      <c r="GVJ51" s="4"/>
      <c r="GVK51" s="4"/>
      <c r="GVL51" s="4"/>
      <c r="GVM51" s="4"/>
      <c r="GVN51" s="4"/>
      <c r="GVO51" s="4"/>
      <c r="GVP51" s="4"/>
      <c r="GVQ51" s="4"/>
      <c r="GVR51" s="4"/>
      <c r="GVS51" s="4"/>
      <c r="GVT51" s="4"/>
      <c r="GVU51" s="4"/>
      <c r="GVV51" s="4"/>
      <c r="GVW51" s="4"/>
      <c r="GVX51" s="4"/>
      <c r="GVY51" s="4"/>
      <c r="GVZ51" s="4"/>
      <c r="GWA51" s="4"/>
      <c r="GWB51" s="4"/>
      <c r="GWC51" s="4"/>
      <c r="GWD51" s="4"/>
      <c r="GWE51" s="4"/>
      <c r="GWF51" s="4"/>
      <c r="GWG51" s="4"/>
      <c r="GWH51" s="4"/>
      <c r="GWI51" s="4"/>
      <c r="GWJ51" s="4"/>
      <c r="GWK51" s="4"/>
      <c r="GWL51" s="4"/>
      <c r="GWM51" s="4"/>
      <c r="GWN51" s="4"/>
      <c r="GWO51" s="4"/>
      <c r="GWP51" s="4"/>
      <c r="GWQ51" s="4"/>
      <c r="GWR51" s="4"/>
      <c r="GWS51" s="4"/>
      <c r="GWT51" s="4"/>
      <c r="GWU51" s="4"/>
      <c r="GWV51" s="4"/>
      <c r="GWW51" s="4"/>
      <c r="GWX51" s="4"/>
      <c r="GWY51" s="4"/>
      <c r="GWZ51" s="4"/>
      <c r="GXA51" s="4"/>
      <c r="GXB51" s="4"/>
      <c r="GXC51" s="4"/>
      <c r="GXD51" s="4"/>
      <c r="GXE51" s="4"/>
      <c r="GXF51" s="4"/>
      <c r="GXG51" s="4"/>
      <c r="GXH51" s="4"/>
      <c r="GXI51" s="4"/>
      <c r="GXJ51" s="4"/>
      <c r="GXK51" s="4"/>
      <c r="GXL51" s="4"/>
      <c r="GXM51" s="4"/>
      <c r="GXN51" s="4"/>
      <c r="GXO51" s="4"/>
      <c r="GXP51" s="4"/>
      <c r="GXQ51" s="4"/>
      <c r="GXR51" s="4"/>
      <c r="GXS51" s="4"/>
      <c r="GXT51" s="4"/>
      <c r="GXU51" s="4"/>
      <c r="GXV51" s="4"/>
      <c r="GXW51" s="4"/>
      <c r="GXX51" s="4"/>
      <c r="GXY51" s="4"/>
      <c r="GXZ51" s="4"/>
      <c r="GYA51" s="4"/>
      <c r="GYB51" s="4"/>
      <c r="GYC51" s="4"/>
      <c r="GYD51" s="4"/>
      <c r="GYE51" s="4"/>
      <c r="GYF51" s="4"/>
      <c r="GYG51" s="4"/>
      <c r="GYH51" s="4"/>
      <c r="GYI51" s="4"/>
      <c r="GYJ51" s="4"/>
      <c r="GYK51" s="4"/>
      <c r="GYL51" s="4"/>
      <c r="GYM51" s="4"/>
      <c r="GYN51" s="4"/>
      <c r="GYO51" s="4"/>
      <c r="GYP51" s="4"/>
      <c r="GYQ51" s="4"/>
      <c r="GYR51" s="4"/>
      <c r="GYS51" s="4"/>
      <c r="GYT51" s="4"/>
      <c r="GYU51" s="4"/>
      <c r="GYV51" s="4"/>
      <c r="GYW51" s="4"/>
      <c r="GYX51" s="4"/>
      <c r="GYY51" s="4"/>
      <c r="GYZ51" s="4"/>
      <c r="GZA51" s="4"/>
      <c r="GZB51" s="4"/>
      <c r="GZC51" s="4"/>
      <c r="GZD51" s="4"/>
      <c r="GZE51" s="4"/>
      <c r="GZF51" s="4"/>
      <c r="GZG51" s="4"/>
      <c r="GZH51" s="4"/>
      <c r="GZI51" s="4"/>
      <c r="GZJ51" s="4"/>
      <c r="GZK51" s="4"/>
      <c r="GZL51" s="4"/>
      <c r="GZM51" s="4"/>
      <c r="GZN51" s="4"/>
      <c r="GZO51" s="4"/>
      <c r="GZP51" s="4"/>
      <c r="GZQ51" s="4"/>
      <c r="GZR51" s="4"/>
      <c r="GZS51" s="4"/>
      <c r="GZT51" s="4"/>
      <c r="GZU51" s="4"/>
      <c r="GZV51" s="4"/>
      <c r="GZW51" s="4"/>
      <c r="GZX51" s="4"/>
      <c r="GZY51" s="4"/>
      <c r="GZZ51" s="4"/>
      <c r="HAA51" s="4"/>
      <c r="HAB51" s="4"/>
      <c r="HAC51" s="4"/>
      <c r="HAD51" s="4"/>
      <c r="HAE51" s="4"/>
      <c r="HAF51" s="4"/>
      <c r="HAG51" s="4"/>
      <c r="HAH51" s="4"/>
      <c r="HAI51" s="4"/>
      <c r="HAJ51" s="4"/>
      <c r="HAK51" s="4"/>
      <c r="HAL51" s="4"/>
      <c r="HAM51" s="4"/>
      <c r="HAN51" s="4"/>
      <c r="HAO51" s="4"/>
      <c r="HAP51" s="4"/>
      <c r="HAQ51" s="4"/>
      <c r="HAR51" s="4"/>
      <c r="HAS51" s="4"/>
      <c r="HAT51" s="4"/>
      <c r="HAU51" s="4"/>
      <c r="HAV51" s="4"/>
      <c r="HAW51" s="4"/>
      <c r="HAX51" s="4"/>
      <c r="HAY51" s="4"/>
      <c r="HAZ51" s="4"/>
      <c r="HBA51" s="4"/>
      <c r="HBB51" s="4"/>
      <c r="HBC51" s="4"/>
      <c r="HBD51" s="4"/>
      <c r="HBE51" s="4"/>
      <c r="HBF51" s="4"/>
      <c r="HBG51" s="4"/>
      <c r="HBH51" s="4"/>
      <c r="HBI51" s="4"/>
      <c r="HBJ51" s="4"/>
      <c r="HBK51" s="4"/>
      <c r="HBL51" s="4"/>
      <c r="HBM51" s="4"/>
      <c r="HBN51" s="4"/>
      <c r="HBO51" s="4"/>
      <c r="HBP51" s="4"/>
      <c r="HBQ51" s="4"/>
      <c r="HBR51" s="4"/>
      <c r="HBS51" s="4"/>
      <c r="HBT51" s="4"/>
      <c r="HBU51" s="4"/>
      <c r="HBV51" s="4"/>
      <c r="HBW51" s="4"/>
      <c r="HBX51" s="4"/>
      <c r="HBY51" s="4"/>
      <c r="HBZ51" s="4"/>
      <c r="HCA51" s="4"/>
      <c r="HCB51" s="4"/>
      <c r="HCC51" s="4"/>
      <c r="HCD51" s="4"/>
      <c r="HCE51" s="4"/>
      <c r="HCF51" s="4"/>
      <c r="HCG51" s="4"/>
      <c r="HCH51" s="4"/>
      <c r="HCI51" s="4"/>
      <c r="HCJ51" s="4"/>
      <c r="HCK51" s="4"/>
      <c r="HCL51" s="4"/>
      <c r="HCM51" s="4"/>
      <c r="HCN51" s="4"/>
      <c r="HCO51" s="4"/>
      <c r="HCP51" s="4"/>
      <c r="HCQ51" s="4"/>
      <c r="HCR51" s="4"/>
      <c r="HCS51" s="4"/>
      <c r="HCT51" s="4"/>
      <c r="HCU51" s="4"/>
      <c r="HCV51" s="4"/>
      <c r="HCW51" s="4"/>
      <c r="HCX51" s="4"/>
      <c r="HCY51" s="4"/>
      <c r="HCZ51" s="4"/>
      <c r="HDA51" s="4"/>
      <c r="HDB51" s="4"/>
      <c r="HDC51" s="4"/>
      <c r="HDD51" s="4"/>
      <c r="HDE51" s="4"/>
      <c r="HDF51" s="4"/>
      <c r="HDG51" s="4"/>
      <c r="HDH51" s="4"/>
      <c r="HDI51" s="4"/>
      <c r="HDJ51" s="4"/>
      <c r="HDK51" s="4"/>
      <c r="HDL51" s="4"/>
      <c r="HDM51" s="4"/>
      <c r="HDN51" s="4"/>
      <c r="HDO51" s="4"/>
      <c r="HDP51" s="4"/>
      <c r="HDQ51" s="4"/>
      <c r="HDR51" s="4"/>
      <c r="HDS51" s="4"/>
      <c r="HDT51" s="4"/>
      <c r="HDU51" s="4"/>
      <c r="HDV51" s="4"/>
      <c r="HDW51" s="4"/>
      <c r="HDX51" s="4"/>
      <c r="HDY51" s="4"/>
      <c r="HDZ51" s="4"/>
      <c r="HEA51" s="4"/>
      <c r="HEB51" s="4"/>
      <c r="HEC51" s="4"/>
      <c r="HED51" s="4"/>
      <c r="HEE51" s="4"/>
      <c r="HEF51" s="4"/>
      <c r="HEG51" s="4"/>
      <c r="HEH51" s="4"/>
      <c r="HEI51" s="4"/>
      <c r="HEJ51" s="4"/>
      <c r="HEK51" s="4"/>
      <c r="HEL51" s="4"/>
      <c r="HEM51" s="4"/>
      <c r="HEN51" s="4"/>
      <c r="HEO51" s="4"/>
      <c r="HEP51" s="4"/>
      <c r="HEQ51" s="4"/>
      <c r="HER51" s="4"/>
      <c r="HES51" s="4"/>
      <c r="HET51" s="4"/>
      <c r="HEU51" s="4"/>
      <c r="HEV51" s="4"/>
      <c r="HEW51" s="4"/>
      <c r="HEX51" s="4"/>
      <c r="HEY51" s="4"/>
      <c r="HEZ51" s="4"/>
      <c r="HFA51" s="4"/>
      <c r="HFB51" s="4"/>
      <c r="HFC51" s="4"/>
      <c r="HFD51" s="4"/>
      <c r="HFE51" s="4"/>
      <c r="HFF51" s="4"/>
      <c r="HFG51" s="4"/>
      <c r="HFH51" s="4"/>
      <c r="HFI51" s="4"/>
      <c r="HFJ51" s="4"/>
      <c r="HFK51" s="4"/>
      <c r="HFL51" s="4"/>
      <c r="HFM51" s="4"/>
      <c r="HFN51" s="4"/>
      <c r="HFO51" s="4"/>
      <c r="HFP51" s="4"/>
      <c r="HFQ51" s="4"/>
      <c r="HFR51" s="4"/>
      <c r="HFS51" s="4"/>
      <c r="HFT51" s="4"/>
      <c r="HFU51" s="4"/>
      <c r="HFV51" s="4"/>
      <c r="HFW51" s="4"/>
      <c r="HFX51" s="4"/>
      <c r="HFY51" s="4"/>
      <c r="HFZ51" s="4"/>
      <c r="HGA51" s="4"/>
      <c r="HGB51" s="4"/>
      <c r="HGC51" s="4"/>
      <c r="HGD51" s="4"/>
      <c r="HGE51" s="4"/>
      <c r="HGF51" s="4"/>
      <c r="HGG51" s="4"/>
      <c r="HGH51" s="4"/>
      <c r="HGI51" s="4"/>
      <c r="HGJ51" s="4"/>
      <c r="HGK51" s="4"/>
      <c r="HGL51" s="4"/>
      <c r="HGM51" s="4"/>
      <c r="HGN51" s="4"/>
      <c r="HGO51" s="4"/>
      <c r="HGP51" s="4"/>
      <c r="HGQ51" s="4"/>
      <c r="HGR51" s="4"/>
      <c r="HGS51" s="4"/>
      <c r="HGT51" s="4"/>
      <c r="HGU51" s="4"/>
      <c r="HGV51" s="4"/>
      <c r="HGW51" s="4"/>
      <c r="HGX51" s="4"/>
      <c r="HGY51" s="4"/>
      <c r="HGZ51" s="4"/>
      <c r="HHA51" s="4"/>
      <c r="HHB51" s="4"/>
      <c r="HHC51" s="4"/>
      <c r="HHD51" s="4"/>
      <c r="HHE51" s="4"/>
      <c r="HHF51" s="4"/>
      <c r="HHG51" s="4"/>
      <c r="HHH51" s="4"/>
      <c r="HHI51" s="4"/>
      <c r="HHJ51" s="4"/>
      <c r="HHK51" s="4"/>
      <c r="HHL51" s="4"/>
      <c r="HHM51" s="4"/>
      <c r="HHN51" s="4"/>
      <c r="HHO51" s="4"/>
      <c r="HHP51" s="4"/>
      <c r="HHQ51" s="4"/>
      <c r="HHR51" s="4"/>
      <c r="HHS51" s="4"/>
      <c r="HHT51" s="4"/>
      <c r="HHU51" s="4"/>
      <c r="HHV51" s="4"/>
      <c r="HHW51" s="4"/>
      <c r="HHX51" s="4"/>
      <c r="HHY51" s="4"/>
      <c r="HHZ51" s="4"/>
      <c r="HIA51" s="4"/>
      <c r="HIB51" s="4"/>
      <c r="HIC51" s="4"/>
      <c r="HID51" s="4"/>
      <c r="HIE51" s="4"/>
      <c r="HIF51" s="4"/>
      <c r="HIG51" s="4"/>
      <c r="HIH51" s="4"/>
      <c r="HII51" s="4"/>
      <c r="HIJ51" s="4"/>
      <c r="HIK51" s="4"/>
      <c r="HIL51" s="4"/>
      <c r="HIM51" s="4"/>
      <c r="HIN51" s="4"/>
      <c r="HIO51" s="4"/>
      <c r="HIP51" s="4"/>
      <c r="HIQ51" s="4"/>
      <c r="HIR51" s="4"/>
      <c r="HIS51" s="4"/>
      <c r="HIT51" s="4"/>
      <c r="HIU51" s="4"/>
      <c r="HIV51" s="4"/>
      <c r="HIW51" s="4"/>
      <c r="HIX51" s="4"/>
      <c r="HIY51" s="4"/>
      <c r="HIZ51" s="4"/>
      <c r="HJA51" s="4"/>
      <c r="HJB51" s="4"/>
      <c r="HJC51" s="4"/>
      <c r="HJD51" s="4"/>
      <c r="HJE51" s="4"/>
      <c r="HJF51" s="4"/>
      <c r="HJG51" s="4"/>
      <c r="HJH51" s="4"/>
      <c r="HJI51" s="4"/>
      <c r="HJJ51" s="4"/>
      <c r="HJK51" s="4"/>
      <c r="HJL51" s="4"/>
      <c r="HJM51" s="4"/>
      <c r="HJN51" s="4"/>
      <c r="HJO51" s="4"/>
      <c r="HJP51" s="4"/>
      <c r="HJQ51" s="4"/>
      <c r="HJR51" s="4"/>
      <c r="HJS51" s="4"/>
      <c r="HJT51" s="4"/>
      <c r="HJU51" s="4"/>
      <c r="HJV51" s="4"/>
      <c r="HJW51" s="4"/>
      <c r="HJX51" s="4"/>
      <c r="HJY51" s="4"/>
      <c r="HJZ51" s="4"/>
      <c r="HKA51" s="4"/>
      <c r="HKB51" s="4"/>
      <c r="HKC51" s="4"/>
      <c r="HKD51" s="4"/>
      <c r="HKE51" s="4"/>
      <c r="HKF51" s="4"/>
      <c r="HKG51" s="4"/>
      <c r="HKH51" s="4"/>
      <c r="HKI51" s="4"/>
      <c r="HKJ51" s="4"/>
      <c r="HKK51" s="4"/>
      <c r="HKL51" s="4"/>
      <c r="HKM51" s="4"/>
      <c r="HKN51" s="4"/>
      <c r="HKO51" s="4"/>
      <c r="HKP51" s="4"/>
      <c r="HKQ51" s="4"/>
      <c r="HKR51" s="4"/>
      <c r="HKS51" s="4"/>
      <c r="HKT51" s="4"/>
      <c r="HKU51" s="4"/>
      <c r="HKV51" s="4"/>
      <c r="HKW51" s="4"/>
      <c r="HKX51" s="4"/>
      <c r="HKY51" s="4"/>
      <c r="HKZ51" s="4"/>
      <c r="HLA51" s="4"/>
      <c r="HLB51" s="4"/>
      <c r="HLC51" s="4"/>
      <c r="HLD51" s="4"/>
      <c r="HLE51" s="4"/>
      <c r="HLF51" s="4"/>
      <c r="HLG51" s="4"/>
      <c r="HLH51" s="4"/>
      <c r="HLI51" s="4"/>
      <c r="HLJ51" s="4"/>
      <c r="HLK51" s="4"/>
      <c r="HLL51" s="4"/>
      <c r="HLM51" s="4"/>
      <c r="HLN51" s="4"/>
      <c r="HLO51" s="4"/>
      <c r="HLP51" s="4"/>
      <c r="HLQ51" s="4"/>
      <c r="HLR51" s="4"/>
      <c r="HLS51" s="4"/>
      <c r="HLT51" s="4"/>
      <c r="HLU51" s="4"/>
      <c r="HLV51" s="4"/>
      <c r="HLW51" s="4"/>
      <c r="HLX51" s="4"/>
      <c r="HLY51" s="4"/>
      <c r="HLZ51" s="4"/>
      <c r="HMA51" s="4"/>
      <c r="HMB51" s="4"/>
      <c r="HMC51" s="4"/>
      <c r="HMD51" s="4"/>
      <c r="HME51" s="4"/>
      <c r="HMF51" s="4"/>
      <c r="HMG51" s="4"/>
      <c r="HMH51" s="4"/>
      <c r="HMI51" s="4"/>
      <c r="HMJ51" s="4"/>
      <c r="HMK51" s="4"/>
      <c r="HML51" s="4"/>
      <c r="HMM51" s="4"/>
      <c r="HMN51" s="4"/>
      <c r="HMO51" s="4"/>
      <c r="HMP51" s="4"/>
      <c r="HMQ51" s="4"/>
      <c r="HMR51" s="4"/>
      <c r="HMS51" s="4"/>
      <c r="HMT51" s="4"/>
      <c r="HMU51" s="4"/>
      <c r="HMV51" s="4"/>
      <c r="HMW51" s="4"/>
      <c r="HMX51" s="4"/>
      <c r="HMY51" s="4"/>
      <c r="HMZ51" s="4"/>
      <c r="HNA51" s="4"/>
      <c r="HNB51" s="4"/>
      <c r="HNC51" s="4"/>
      <c r="HND51" s="4"/>
      <c r="HNE51" s="4"/>
      <c r="HNF51" s="4"/>
      <c r="HNG51" s="4"/>
      <c r="HNH51" s="4"/>
      <c r="HNI51" s="4"/>
      <c r="HNJ51" s="4"/>
      <c r="HNK51" s="4"/>
      <c r="HNL51" s="4"/>
      <c r="HNM51" s="4"/>
      <c r="HNN51" s="4"/>
      <c r="HNO51" s="4"/>
      <c r="HNP51" s="4"/>
      <c r="HNQ51" s="4"/>
      <c r="HNR51" s="4"/>
      <c r="HNS51" s="4"/>
      <c r="HNT51" s="4"/>
      <c r="HNU51" s="4"/>
      <c r="HNV51" s="4"/>
      <c r="HNW51" s="4"/>
      <c r="HNX51" s="4"/>
      <c r="HNY51" s="4"/>
      <c r="HNZ51" s="4"/>
      <c r="HOA51" s="4"/>
      <c r="HOB51" s="4"/>
      <c r="HOC51" s="4"/>
      <c r="HOD51" s="4"/>
      <c r="HOE51" s="4"/>
      <c r="HOF51" s="4"/>
      <c r="HOG51" s="4"/>
      <c r="HOH51" s="4"/>
      <c r="HOI51" s="4"/>
      <c r="HOJ51" s="4"/>
      <c r="HOK51" s="4"/>
      <c r="HOL51" s="4"/>
      <c r="HOM51" s="4"/>
      <c r="HON51" s="4"/>
      <c r="HOO51" s="4"/>
      <c r="HOP51" s="4"/>
      <c r="HOQ51" s="4"/>
      <c r="HOR51" s="4"/>
      <c r="HOS51" s="4"/>
      <c r="HOT51" s="4"/>
      <c r="HOU51" s="4"/>
      <c r="HOV51" s="4"/>
      <c r="HOW51" s="4"/>
      <c r="HOX51" s="4"/>
      <c r="HOY51" s="4"/>
      <c r="HOZ51" s="4"/>
      <c r="HPA51" s="4"/>
      <c r="HPB51" s="4"/>
      <c r="HPC51" s="4"/>
      <c r="HPD51" s="4"/>
      <c r="HPE51" s="4"/>
      <c r="HPF51" s="4"/>
      <c r="HPG51" s="4"/>
      <c r="HPH51" s="4"/>
      <c r="HPI51" s="4"/>
      <c r="HPJ51" s="4"/>
      <c r="HPK51" s="4"/>
      <c r="HPL51" s="4"/>
      <c r="HPM51" s="4"/>
      <c r="HPN51" s="4"/>
      <c r="HPO51" s="4"/>
      <c r="HPP51" s="4"/>
      <c r="HPQ51" s="4"/>
      <c r="HPR51" s="4"/>
      <c r="HPS51" s="4"/>
      <c r="HPT51" s="4"/>
      <c r="HPU51" s="4"/>
      <c r="HPV51" s="4"/>
      <c r="HPW51" s="4"/>
      <c r="HPX51" s="4"/>
      <c r="HPY51" s="4"/>
      <c r="HPZ51" s="4"/>
      <c r="HQA51" s="4"/>
      <c r="HQB51" s="4"/>
      <c r="HQC51" s="4"/>
      <c r="HQD51" s="4"/>
      <c r="HQE51" s="4"/>
      <c r="HQF51" s="4"/>
      <c r="HQG51" s="4"/>
      <c r="HQH51" s="4"/>
      <c r="HQI51" s="4"/>
      <c r="HQJ51" s="4"/>
      <c r="HQK51" s="4"/>
      <c r="HQL51" s="4"/>
      <c r="HQM51" s="4"/>
      <c r="HQN51" s="4"/>
      <c r="HQO51" s="4"/>
      <c r="HQP51" s="4"/>
      <c r="HQQ51" s="4"/>
      <c r="HQR51" s="4"/>
      <c r="HQS51" s="4"/>
      <c r="HQT51" s="4"/>
      <c r="HQU51" s="4"/>
      <c r="HQV51" s="4"/>
      <c r="HQW51" s="4"/>
      <c r="HQX51" s="4"/>
      <c r="HQY51" s="4"/>
      <c r="HQZ51" s="4"/>
      <c r="HRA51" s="4"/>
      <c r="HRB51" s="4"/>
      <c r="HRC51" s="4"/>
      <c r="HRD51" s="4"/>
      <c r="HRE51" s="4"/>
      <c r="HRF51" s="4"/>
      <c r="HRG51" s="4"/>
      <c r="HRH51" s="4"/>
      <c r="HRI51" s="4"/>
      <c r="HRJ51" s="4"/>
      <c r="HRK51" s="4"/>
      <c r="HRL51" s="4"/>
      <c r="HRM51" s="4"/>
      <c r="HRN51" s="4"/>
      <c r="HRO51" s="4"/>
      <c r="HRP51" s="4"/>
      <c r="HRQ51" s="4"/>
      <c r="HRR51" s="4"/>
      <c r="HRS51" s="4"/>
      <c r="HRT51" s="4"/>
      <c r="HRU51" s="4"/>
      <c r="HRV51" s="4"/>
      <c r="HRW51" s="4"/>
      <c r="HRX51" s="4"/>
      <c r="HRY51" s="4"/>
      <c r="HRZ51" s="4"/>
      <c r="HSA51" s="4"/>
      <c r="HSB51" s="4"/>
      <c r="HSC51" s="4"/>
      <c r="HSD51" s="4"/>
      <c r="HSE51" s="4"/>
      <c r="HSF51" s="4"/>
      <c r="HSG51" s="4"/>
      <c r="HSH51" s="4"/>
      <c r="HSI51" s="4"/>
      <c r="HSJ51" s="4"/>
      <c r="HSK51" s="4"/>
      <c r="HSL51" s="4"/>
      <c r="HSM51" s="4"/>
      <c r="HSN51" s="4"/>
      <c r="HSO51" s="4"/>
      <c r="HSP51" s="4"/>
      <c r="HSQ51" s="4"/>
      <c r="HSR51" s="4"/>
      <c r="HSS51" s="4"/>
      <c r="HST51" s="4"/>
      <c r="HSU51" s="4"/>
      <c r="HSV51" s="4"/>
      <c r="HSW51" s="4"/>
      <c r="HSX51" s="4"/>
      <c r="HSY51" s="4"/>
      <c r="HSZ51" s="4"/>
      <c r="HTA51" s="4"/>
      <c r="HTB51" s="4"/>
      <c r="HTC51" s="4"/>
      <c r="HTD51" s="4"/>
      <c r="HTE51" s="4"/>
      <c r="HTF51" s="4"/>
      <c r="HTG51" s="4"/>
      <c r="HTH51" s="4"/>
      <c r="HTI51" s="4"/>
      <c r="HTJ51" s="4"/>
      <c r="HTK51" s="4"/>
      <c r="HTL51" s="4"/>
      <c r="HTM51" s="4"/>
      <c r="HTN51" s="4"/>
      <c r="HTO51" s="4"/>
      <c r="HTP51" s="4"/>
      <c r="HTQ51" s="4"/>
      <c r="HTR51" s="4"/>
      <c r="HTS51" s="4"/>
      <c r="HTT51" s="4"/>
      <c r="HTU51" s="4"/>
      <c r="HTV51" s="4"/>
      <c r="HTW51" s="4"/>
      <c r="HTX51" s="4"/>
      <c r="HTY51" s="4"/>
      <c r="HTZ51" s="4"/>
      <c r="HUA51" s="4"/>
      <c r="HUB51" s="4"/>
      <c r="HUC51" s="4"/>
      <c r="HUD51" s="4"/>
      <c r="HUE51" s="4"/>
      <c r="HUF51" s="4"/>
      <c r="HUG51" s="4"/>
      <c r="HUH51" s="4"/>
      <c r="HUI51" s="4"/>
      <c r="HUJ51" s="4"/>
      <c r="HUK51" s="4"/>
      <c r="HUL51" s="4"/>
      <c r="HUM51" s="4"/>
      <c r="HUN51" s="4"/>
      <c r="HUO51" s="4"/>
      <c r="HUP51" s="4"/>
      <c r="HUQ51" s="4"/>
      <c r="HUR51" s="4"/>
      <c r="HUS51" s="4"/>
      <c r="HUT51" s="4"/>
      <c r="HUU51" s="4"/>
      <c r="HUV51" s="4"/>
      <c r="HUW51" s="4"/>
      <c r="HUX51" s="4"/>
      <c r="HUY51" s="4"/>
      <c r="HUZ51" s="4"/>
      <c r="HVA51" s="4"/>
      <c r="HVB51" s="4"/>
      <c r="HVC51" s="4"/>
      <c r="HVD51" s="4"/>
      <c r="HVE51" s="4"/>
      <c r="HVF51" s="4"/>
      <c r="HVG51" s="4"/>
      <c r="HVH51" s="4"/>
      <c r="HVI51" s="4"/>
      <c r="HVJ51" s="4"/>
      <c r="HVK51" s="4"/>
      <c r="HVL51" s="4"/>
      <c r="HVM51" s="4"/>
      <c r="HVN51" s="4"/>
      <c r="HVO51" s="4"/>
      <c r="HVP51" s="4"/>
      <c r="HVQ51" s="4"/>
      <c r="HVR51" s="4"/>
      <c r="HVS51" s="4"/>
      <c r="HVT51" s="4"/>
      <c r="HVU51" s="4"/>
      <c r="HVV51" s="4"/>
      <c r="HVW51" s="4"/>
      <c r="HVX51" s="4"/>
      <c r="HVY51" s="4"/>
      <c r="HVZ51" s="4"/>
      <c r="HWA51" s="4"/>
      <c r="HWB51" s="4"/>
      <c r="HWC51" s="4"/>
      <c r="HWD51" s="4"/>
      <c r="HWE51" s="4"/>
      <c r="HWF51" s="4"/>
      <c r="HWG51" s="4"/>
      <c r="HWH51" s="4"/>
      <c r="HWI51" s="4"/>
      <c r="HWJ51" s="4"/>
      <c r="HWK51" s="4"/>
      <c r="HWL51" s="4"/>
      <c r="HWM51" s="4"/>
      <c r="HWN51" s="4"/>
      <c r="HWO51" s="4"/>
      <c r="HWP51" s="4"/>
      <c r="HWQ51" s="4"/>
      <c r="HWR51" s="4"/>
      <c r="HWS51" s="4"/>
      <c r="HWT51" s="4"/>
      <c r="HWU51" s="4"/>
      <c r="HWV51" s="4"/>
      <c r="HWW51" s="4"/>
      <c r="HWX51" s="4"/>
      <c r="HWY51" s="4"/>
      <c r="HWZ51" s="4"/>
      <c r="HXA51" s="4"/>
      <c r="HXB51" s="4"/>
      <c r="HXC51" s="4"/>
      <c r="HXD51" s="4"/>
      <c r="HXE51" s="4"/>
      <c r="HXF51" s="4"/>
      <c r="HXG51" s="4"/>
      <c r="HXH51" s="4"/>
      <c r="HXI51" s="4"/>
      <c r="HXJ51" s="4"/>
      <c r="HXK51" s="4"/>
      <c r="HXL51" s="4"/>
      <c r="HXM51" s="4"/>
      <c r="HXN51" s="4"/>
      <c r="HXO51" s="4"/>
      <c r="HXP51" s="4"/>
      <c r="HXQ51" s="4"/>
      <c r="HXR51" s="4"/>
      <c r="HXS51" s="4"/>
      <c r="HXT51" s="4"/>
      <c r="HXU51" s="4"/>
      <c r="HXV51" s="4"/>
      <c r="HXW51" s="4"/>
      <c r="HXX51" s="4"/>
      <c r="HXY51" s="4"/>
      <c r="HXZ51" s="4"/>
      <c r="HYA51" s="4"/>
      <c r="HYB51" s="4"/>
      <c r="HYC51" s="4"/>
      <c r="HYD51" s="4"/>
      <c r="HYE51" s="4"/>
      <c r="HYF51" s="4"/>
      <c r="HYG51" s="4"/>
      <c r="HYH51" s="4"/>
      <c r="HYI51" s="4"/>
      <c r="HYJ51" s="4"/>
      <c r="HYK51" s="4"/>
      <c r="HYL51" s="4"/>
      <c r="HYM51" s="4"/>
      <c r="HYN51" s="4"/>
      <c r="HYO51" s="4"/>
      <c r="HYP51" s="4"/>
      <c r="HYQ51" s="4"/>
      <c r="HYR51" s="4"/>
      <c r="HYS51" s="4"/>
      <c r="HYT51" s="4"/>
      <c r="HYU51" s="4"/>
      <c r="HYV51" s="4"/>
      <c r="HYW51" s="4"/>
      <c r="HYX51" s="4"/>
      <c r="HYY51" s="4"/>
      <c r="HYZ51" s="4"/>
      <c r="HZA51" s="4"/>
      <c r="HZB51" s="4"/>
      <c r="HZC51" s="4"/>
      <c r="HZD51" s="4"/>
      <c r="HZE51" s="4"/>
      <c r="HZF51" s="4"/>
      <c r="HZG51" s="4"/>
      <c r="HZH51" s="4"/>
      <c r="HZI51" s="4"/>
      <c r="HZJ51" s="4"/>
      <c r="HZK51" s="4"/>
      <c r="HZL51" s="4"/>
      <c r="HZM51" s="4"/>
      <c r="HZN51" s="4"/>
      <c r="HZO51" s="4"/>
      <c r="HZP51" s="4"/>
      <c r="HZQ51" s="4"/>
      <c r="HZR51" s="4"/>
      <c r="HZS51" s="4"/>
      <c r="HZT51" s="4"/>
      <c r="HZU51" s="4"/>
      <c r="HZV51" s="4"/>
      <c r="HZW51" s="4"/>
      <c r="HZX51" s="4"/>
      <c r="HZY51" s="4"/>
      <c r="HZZ51" s="4"/>
      <c r="IAA51" s="4"/>
      <c r="IAB51" s="4"/>
      <c r="IAC51" s="4"/>
      <c r="IAD51" s="4"/>
      <c r="IAE51" s="4"/>
      <c r="IAF51" s="4"/>
      <c r="IAG51" s="4"/>
      <c r="IAH51" s="4"/>
      <c r="IAI51" s="4"/>
      <c r="IAJ51" s="4"/>
      <c r="IAK51" s="4"/>
      <c r="IAL51" s="4"/>
      <c r="IAM51" s="4"/>
      <c r="IAN51" s="4"/>
      <c r="IAO51" s="4"/>
      <c r="IAP51" s="4"/>
      <c r="IAQ51" s="4"/>
      <c r="IAR51" s="4"/>
      <c r="IAS51" s="4"/>
      <c r="IAT51" s="4"/>
      <c r="IAU51" s="4"/>
      <c r="IAV51" s="4"/>
      <c r="IAW51" s="4"/>
      <c r="IAX51" s="4"/>
      <c r="IAY51" s="4"/>
      <c r="IAZ51" s="4"/>
      <c r="IBA51" s="4"/>
      <c r="IBB51" s="4"/>
      <c r="IBC51" s="4"/>
      <c r="IBD51" s="4"/>
      <c r="IBE51" s="4"/>
      <c r="IBF51" s="4"/>
      <c r="IBG51" s="4"/>
      <c r="IBH51" s="4"/>
      <c r="IBI51" s="4"/>
      <c r="IBJ51" s="4"/>
      <c r="IBK51" s="4"/>
      <c r="IBL51" s="4"/>
      <c r="IBM51" s="4"/>
      <c r="IBN51" s="4"/>
      <c r="IBO51" s="4"/>
      <c r="IBP51" s="4"/>
      <c r="IBQ51" s="4"/>
      <c r="IBR51" s="4"/>
      <c r="IBS51" s="4"/>
      <c r="IBT51" s="4"/>
      <c r="IBU51" s="4"/>
      <c r="IBV51" s="4"/>
      <c r="IBW51" s="4"/>
      <c r="IBX51" s="4"/>
      <c r="IBY51" s="4"/>
      <c r="IBZ51" s="4"/>
      <c r="ICA51" s="4"/>
      <c r="ICB51" s="4"/>
      <c r="ICC51" s="4"/>
      <c r="ICD51" s="4"/>
      <c r="ICE51" s="4"/>
      <c r="ICF51" s="4"/>
      <c r="ICG51" s="4"/>
      <c r="ICH51" s="4"/>
      <c r="ICI51" s="4"/>
      <c r="ICJ51" s="4"/>
      <c r="ICK51" s="4"/>
      <c r="ICL51" s="4"/>
      <c r="ICM51" s="4"/>
      <c r="ICN51" s="4"/>
      <c r="ICO51" s="4"/>
      <c r="ICP51" s="4"/>
      <c r="ICQ51" s="4"/>
      <c r="ICR51" s="4"/>
      <c r="ICS51" s="4"/>
      <c r="ICT51" s="4"/>
      <c r="ICU51" s="4"/>
      <c r="ICV51" s="4"/>
      <c r="ICW51" s="4"/>
      <c r="ICX51" s="4"/>
      <c r="ICY51" s="4"/>
      <c r="ICZ51" s="4"/>
      <c r="IDA51" s="4"/>
      <c r="IDB51" s="4"/>
      <c r="IDC51" s="4"/>
      <c r="IDD51" s="4"/>
      <c r="IDE51" s="4"/>
      <c r="IDF51" s="4"/>
      <c r="IDG51" s="4"/>
      <c r="IDH51" s="4"/>
      <c r="IDI51" s="4"/>
      <c r="IDJ51" s="4"/>
      <c r="IDK51" s="4"/>
      <c r="IDL51" s="4"/>
      <c r="IDM51" s="4"/>
      <c r="IDN51" s="4"/>
      <c r="IDO51" s="4"/>
      <c r="IDP51" s="4"/>
      <c r="IDQ51" s="4"/>
      <c r="IDR51" s="4"/>
      <c r="IDS51" s="4"/>
      <c r="IDT51" s="4"/>
      <c r="IDU51" s="4"/>
      <c r="IDV51" s="4"/>
      <c r="IDW51" s="4"/>
      <c r="IDX51" s="4"/>
      <c r="IDY51" s="4"/>
      <c r="IDZ51" s="4"/>
      <c r="IEA51" s="4"/>
      <c r="IEB51" s="4"/>
      <c r="IEC51" s="4"/>
      <c r="IED51" s="4"/>
      <c r="IEE51" s="4"/>
      <c r="IEF51" s="4"/>
      <c r="IEG51" s="4"/>
      <c r="IEH51" s="4"/>
      <c r="IEI51" s="4"/>
      <c r="IEJ51" s="4"/>
      <c r="IEK51" s="4"/>
      <c r="IEL51" s="4"/>
      <c r="IEM51" s="4"/>
      <c r="IEN51" s="4"/>
      <c r="IEO51" s="4"/>
      <c r="IEP51" s="4"/>
      <c r="IEQ51" s="4"/>
      <c r="IER51" s="4"/>
      <c r="IES51" s="4"/>
      <c r="IET51" s="4"/>
      <c r="IEU51" s="4"/>
      <c r="IEV51" s="4"/>
      <c r="IEW51" s="4"/>
      <c r="IEX51" s="4"/>
      <c r="IEY51" s="4"/>
      <c r="IEZ51" s="4"/>
      <c r="IFA51" s="4"/>
      <c r="IFB51" s="4"/>
      <c r="IFC51" s="4"/>
      <c r="IFD51" s="4"/>
      <c r="IFE51" s="4"/>
      <c r="IFF51" s="4"/>
      <c r="IFG51" s="4"/>
      <c r="IFH51" s="4"/>
      <c r="IFI51" s="4"/>
      <c r="IFJ51" s="4"/>
      <c r="IFK51" s="4"/>
      <c r="IFL51" s="4"/>
      <c r="IFM51" s="4"/>
      <c r="IFN51" s="4"/>
      <c r="IFO51" s="4"/>
      <c r="IFP51" s="4"/>
      <c r="IFQ51" s="4"/>
      <c r="IFR51" s="4"/>
      <c r="IFS51" s="4"/>
      <c r="IFT51" s="4"/>
      <c r="IFU51" s="4"/>
      <c r="IFV51" s="4"/>
      <c r="IFW51" s="4"/>
      <c r="IFX51" s="4"/>
      <c r="IFY51" s="4"/>
      <c r="IFZ51" s="4"/>
      <c r="IGA51" s="4"/>
      <c r="IGB51" s="4"/>
      <c r="IGC51" s="4"/>
      <c r="IGD51" s="4"/>
      <c r="IGE51" s="4"/>
      <c r="IGF51" s="4"/>
      <c r="IGG51" s="4"/>
      <c r="IGH51" s="4"/>
      <c r="IGI51" s="4"/>
      <c r="IGJ51" s="4"/>
      <c r="IGK51" s="4"/>
      <c r="IGL51" s="4"/>
      <c r="IGM51" s="4"/>
      <c r="IGN51" s="4"/>
      <c r="IGO51" s="4"/>
      <c r="IGP51" s="4"/>
      <c r="IGQ51" s="4"/>
      <c r="IGR51" s="4"/>
      <c r="IGS51" s="4"/>
      <c r="IGT51" s="4"/>
      <c r="IGU51" s="4"/>
      <c r="IGV51" s="4"/>
      <c r="IGW51" s="4"/>
      <c r="IGX51" s="4"/>
      <c r="IGY51" s="4"/>
      <c r="IGZ51" s="4"/>
      <c r="IHA51" s="4"/>
      <c r="IHB51" s="4"/>
      <c r="IHC51" s="4"/>
      <c r="IHD51" s="4"/>
      <c r="IHE51" s="4"/>
      <c r="IHF51" s="4"/>
      <c r="IHG51" s="4"/>
      <c r="IHH51" s="4"/>
      <c r="IHI51" s="4"/>
      <c r="IHJ51" s="4"/>
      <c r="IHK51" s="4"/>
      <c r="IHL51" s="4"/>
      <c r="IHM51" s="4"/>
      <c r="IHN51" s="4"/>
      <c r="IHO51" s="4"/>
      <c r="IHP51" s="4"/>
      <c r="IHQ51" s="4"/>
      <c r="IHR51" s="4"/>
      <c r="IHS51" s="4"/>
      <c r="IHT51" s="4"/>
      <c r="IHU51" s="4"/>
      <c r="IHV51" s="4"/>
      <c r="IHW51" s="4"/>
      <c r="IHX51" s="4"/>
      <c r="IHY51" s="4"/>
      <c r="IHZ51" s="4"/>
      <c r="IIA51" s="4"/>
      <c r="IIB51" s="4"/>
      <c r="IIC51" s="4"/>
      <c r="IID51" s="4"/>
      <c r="IIE51" s="4"/>
      <c r="IIF51" s="4"/>
      <c r="IIG51" s="4"/>
      <c r="IIH51" s="4"/>
      <c r="III51" s="4"/>
      <c r="IIJ51" s="4"/>
      <c r="IIK51" s="4"/>
      <c r="IIL51" s="4"/>
      <c r="IIM51" s="4"/>
      <c r="IIN51" s="4"/>
      <c r="IIO51" s="4"/>
      <c r="IIP51" s="4"/>
      <c r="IIQ51" s="4"/>
      <c r="IIR51" s="4"/>
      <c r="IIS51" s="4"/>
      <c r="IIT51" s="4"/>
      <c r="IIU51" s="4"/>
      <c r="IIV51" s="4"/>
      <c r="IIW51" s="4"/>
      <c r="IIX51" s="4"/>
      <c r="IIY51" s="4"/>
      <c r="IIZ51" s="4"/>
      <c r="IJA51" s="4"/>
      <c r="IJB51" s="4"/>
      <c r="IJC51" s="4"/>
      <c r="IJD51" s="4"/>
      <c r="IJE51" s="4"/>
      <c r="IJF51" s="4"/>
      <c r="IJG51" s="4"/>
      <c r="IJH51" s="4"/>
      <c r="IJI51" s="4"/>
      <c r="IJJ51" s="4"/>
      <c r="IJK51" s="4"/>
      <c r="IJL51" s="4"/>
      <c r="IJM51" s="4"/>
      <c r="IJN51" s="4"/>
      <c r="IJO51" s="4"/>
      <c r="IJP51" s="4"/>
      <c r="IJQ51" s="4"/>
      <c r="IJR51" s="4"/>
      <c r="IJS51" s="4"/>
      <c r="IJT51" s="4"/>
      <c r="IJU51" s="4"/>
      <c r="IJV51" s="4"/>
      <c r="IJW51" s="4"/>
      <c r="IJX51" s="4"/>
      <c r="IJY51" s="4"/>
      <c r="IJZ51" s="4"/>
      <c r="IKA51" s="4"/>
      <c r="IKB51" s="4"/>
      <c r="IKC51" s="4"/>
      <c r="IKD51" s="4"/>
      <c r="IKE51" s="4"/>
      <c r="IKF51" s="4"/>
      <c r="IKG51" s="4"/>
      <c r="IKH51" s="4"/>
      <c r="IKI51" s="4"/>
      <c r="IKJ51" s="4"/>
      <c r="IKK51" s="4"/>
      <c r="IKL51" s="4"/>
      <c r="IKM51" s="4"/>
      <c r="IKN51" s="4"/>
      <c r="IKO51" s="4"/>
      <c r="IKP51" s="4"/>
      <c r="IKQ51" s="4"/>
      <c r="IKR51" s="4"/>
      <c r="IKS51" s="4"/>
      <c r="IKT51" s="4"/>
      <c r="IKU51" s="4"/>
      <c r="IKV51" s="4"/>
      <c r="IKW51" s="4"/>
      <c r="IKX51" s="4"/>
      <c r="IKY51" s="4"/>
      <c r="IKZ51" s="4"/>
      <c r="ILA51" s="4"/>
      <c r="ILB51" s="4"/>
      <c r="ILC51" s="4"/>
      <c r="ILD51" s="4"/>
      <c r="ILE51" s="4"/>
      <c r="ILF51" s="4"/>
      <c r="ILG51" s="4"/>
      <c r="ILH51" s="4"/>
      <c r="ILI51" s="4"/>
      <c r="ILJ51" s="4"/>
      <c r="ILK51" s="4"/>
      <c r="ILL51" s="4"/>
      <c r="ILM51" s="4"/>
      <c r="ILN51" s="4"/>
      <c r="ILO51" s="4"/>
      <c r="ILP51" s="4"/>
      <c r="ILQ51" s="4"/>
      <c r="ILR51" s="4"/>
      <c r="ILS51" s="4"/>
      <c r="ILT51" s="4"/>
      <c r="ILU51" s="4"/>
      <c r="ILV51" s="4"/>
      <c r="ILW51" s="4"/>
      <c r="ILX51" s="4"/>
      <c r="ILY51" s="4"/>
      <c r="ILZ51" s="4"/>
      <c r="IMA51" s="4"/>
      <c r="IMB51" s="4"/>
      <c r="IMC51" s="4"/>
      <c r="IMD51" s="4"/>
      <c r="IME51" s="4"/>
      <c r="IMF51" s="4"/>
      <c r="IMG51" s="4"/>
      <c r="IMH51" s="4"/>
      <c r="IMI51" s="4"/>
      <c r="IMJ51" s="4"/>
      <c r="IMK51" s="4"/>
      <c r="IML51" s="4"/>
      <c r="IMM51" s="4"/>
      <c r="IMN51" s="4"/>
      <c r="IMO51" s="4"/>
      <c r="IMP51" s="4"/>
      <c r="IMQ51" s="4"/>
      <c r="IMR51" s="4"/>
      <c r="IMS51" s="4"/>
      <c r="IMT51" s="4"/>
      <c r="IMU51" s="4"/>
      <c r="IMV51" s="4"/>
      <c r="IMW51" s="4"/>
      <c r="IMX51" s="4"/>
      <c r="IMY51" s="4"/>
      <c r="IMZ51" s="4"/>
      <c r="INA51" s="4"/>
      <c r="INB51" s="4"/>
      <c r="INC51" s="4"/>
      <c r="IND51" s="4"/>
      <c r="INE51" s="4"/>
      <c r="INF51" s="4"/>
      <c r="ING51" s="4"/>
      <c r="INH51" s="4"/>
      <c r="INI51" s="4"/>
      <c r="INJ51" s="4"/>
      <c r="INK51" s="4"/>
      <c r="INL51" s="4"/>
      <c r="INM51" s="4"/>
      <c r="INN51" s="4"/>
      <c r="INO51" s="4"/>
      <c r="INP51" s="4"/>
      <c r="INQ51" s="4"/>
      <c r="INR51" s="4"/>
      <c r="INS51" s="4"/>
      <c r="INT51" s="4"/>
      <c r="INU51" s="4"/>
      <c r="INV51" s="4"/>
      <c r="INW51" s="4"/>
      <c r="INX51" s="4"/>
      <c r="INY51" s="4"/>
      <c r="INZ51" s="4"/>
      <c r="IOA51" s="4"/>
      <c r="IOB51" s="4"/>
      <c r="IOC51" s="4"/>
      <c r="IOD51" s="4"/>
      <c r="IOE51" s="4"/>
      <c r="IOF51" s="4"/>
      <c r="IOG51" s="4"/>
      <c r="IOH51" s="4"/>
      <c r="IOI51" s="4"/>
      <c r="IOJ51" s="4"/>
      <c r="IOK51" s="4"/>
      <c r="IOL51" s="4"/>
      <c r="IOM51" s="4"/>
      <c r="ION51" s="4"/>
      <c r="IOO51" s="4"/>
      <c r="IOP51" s="4"/>
      <c r="IOQ51" s="4"/>
      <c r="IOR51" s="4"/>
      <c r="IOS51" s="4"/>
      <c r="IOT51" s="4"/>
      <c r="IOU51" s="4"/>
      <c r="IOV51" s="4"/>
      <c r="IOW51" s="4"/>
      <c r="IOX51" s="4"/>
      <c r="IOY51" s="4"/>
      <c r="IOZ51" s="4"/>
      <c r="IPA51" s="4"/>
      <c r="IPB51" s="4"/>
      <c r="IPC51" s="4"/>
      <c r="IPD51" s="4"/>
      <c r="IPE51" s="4"/>
      <c r="IPF51" s="4"/>
      <c r="IPG51" s="4"/>
      <c r="IPH51" s="4"/>
      <c r="IPI51" s="4"/>
      <c r="IPJ51" s="4"/>
      <c r="IPK51" s="4"/>
      <c r="IPL51" s="4"/>
      <c r="IPM51" s="4"/>
      <c r="IPN51" s="4"/>
      <c r="IPO51" s="4"/>
      <c r="IPP51" s="4"/>
      <c r="IPQ51" s="4"/>
      <c r="IPR51" s="4"/>
      <c r="IPS51" s="4"/>
      <c r="IPT51" s="4"/>
      <c r="IPU51" s="4"/>
      <c r="IPV51" s="4"/>
      <c r="IPW51" s="4"/>
      <c r="IPX51" s="4"/>
      <c r="IPY51" s="4"/>
      <c r="IPZ51" s="4"/>
      <c r="IQA51" s="4"/>
      <c r="IQB51" s="4"/>
      <c r="IQC51" s="4"/>
      <c r="IQD51" s="4"/>
      <c r="IQE51" s="4"/>
      <c r="IQF51" s="4"/>
      <c r="IQG51" s="4"/>
      <c r="IQH51" s="4"/>
      <c r="IQI51" s="4"/>
      <c r="IQJ51" s="4"/>
      <c r="IQK51" s="4"/>
      <c r="IQL51" s="4"/>
      <c r="IQM51" s="4"/>
      <c r="IQN51" s="4"/>
      <c r="IQO51" s="4"/>
      <c r="IQP51" s="4"/>
      <c r="IQQ51" s="4"/>
      <c r="IQR51" s="4"/>
      <c r="IQS51" s="4"/>
      <c r="IQT51" s="4"/>
      <c r="IQU51" s="4"/>
      <c r="IQV51" s="4"/>
      <c r="IQW51" s="4"/>
      <c r="IQX51" s="4"/>
      <c r="IQY51" s="4"/>
      <c r="IQZ51" s="4"/>
      <c r="IRA51" s="4"/>
      <c r="IRB51" s="4"/>
      <c r="IRC51" s="4"/>
      <c r="IRD51" s="4"/>
      <c r="IRE51" s="4"/>
      <c r="IRF51" s="4"/>
      <c r="IRG51" s="4"/>
      <c r="IRH51" s="4"/>
      <c r="IRI51" s="4"/>
      <c r="IRJ51" s="4"/>
      <c r="IRK51" s="4"/>
      <c r="IRL51" s="4"/>
      <c r="IRM51" s="4"/>
      <c r="IRN51" s="4"/>
      <c r="IRO51" s="4"/>
      <c r="IRP51" s="4"/>
      <c r="IRQ51" s="4"/>
      <c r="IRR51" s="4"/>
      <c r="IRS51" s="4"/>
      <c r="IRT51" s="4"/>
      <c r="IRU51" s="4"/>
      <c r="IRV51" s="4"/>
      <c r="IRW51" s="4"/>
      <c r="IRX51" s="4"/>
      <c r="IRY51" s="4"/>
      <c r="IRZ51" s="4"/>
      <c r="ISA51" s="4"/>
      <c r="ISB51" s="4"/>
      <c r="ISC51" s="4"/>
      <c r="ISD51" s="4"/>
      <c r="ISE51" s="4"/>
      <c r="ISF51" s="4"/>
      <c r="ISG51" s="4"/>
      <c r="ISH51" s="4"/>
      <c r="ISI51" s="4"/>
      <c r="ISJ51" s="4"/>
      <c r="ISK51" s="4"/>
      <c r="ISL51" s="4"/>
      <c r="ISM51" s="4"/>
      <c r="ISN51" s="4"/>
      <c r="ISO51" s="4"/>
      <c r="ISP51" s="4"/>
      <c r="ISQ51" s="4"/>
      <c r="ISR51" s="4"/>
      <c r="ISS51" s="4"/>
      <c r="IST51" s="4"/>
      <c r="ISU51" s="4"/>
      <c r="ISV51" s="4"/>
      <c r="ISW51" s="4"/>
      <c r="ISX51" s="4"/>
      <c r="ISY51" s="4"/>
      <c r="ISZ51" s="4"/>
      <c r="ITA51" s="4"/>
      <c r="ITB51" s="4"/>
      <c r="ITC51" s="4"/>
      <c r="ITD51" s="4"/>
      <c r="ITE51" s="4"/>
      <c r="ITF51" s="4"/>
      <c r="ITG51" s="4"/>
      <c r="ITH51" s="4"/>
      <c r="ITI51" s="4"/>
      <c r="ITJ51" s="4"/>
      <c r="ITK51" s="4"/>
      <c r="ITL51" s="4"/>
      <c r="ITM51" s="4"/>
      <c r="ITN51" s="4"/>
      <c r="ITO51" s="4"/>
      <c r="ITP51" s="4"/>
      <c r="ITQ51" s="4"/>
      <c r="ITR51" s="4"/>
      <c r="ITS51" s="4"/>
      <c r="ITT51" s="4"/>
      <c r="ITU51" s="4"/>
      <c r="ITV51" s="4"/>
      <c r="ITW51" s="4"/>
      <c r="ITX51" s="4"/>
      <c r="ITY51" s="4"/>
      <c r="ITZ51" s="4"/>
      <c r="IUA51" s="4"/>
      <c r="IUB51" s="4"/>
      <c r="IUC51" s="4"/>
      <c r="IUD51" s="4"/>
      <c r="IUE51" s="4"/>
      <c r="IUF51" s="4"/>
      <c r="IUG51" s="4"/>
      <c r="IUH51" s="4"/>
      <c r="IUI51" s="4"/>
      <c r="IUJ51" s="4"/>
      <c r="IUK51" s="4"/>
      <c r="IUL51" s="4"/>
      <c r="IUM51" s="4"/>
      <c r="IUN51" s="4"/>
      <c r="IUO51" s="4"/>
      <c r="IUP51" s="4"/>
      <c r="IUQ51" s="4"/>
      <c r="IUR51" s="4"/>
      <c r="IUS51" s="4"/>
      <c r="IUT51" s="4"/>
      <c r="IUU51" s="4"/>
      <c r="IUV51" s="4"/>
      <c r="IUW51" s="4"/>
      <c r="IUX51" s="4"/>
      <c r="IUY51" s="4"/>
      <c r="IUZ51" s="4"/>
      <c r="IVA51" s="4"/>
      <c r="IVB51" s="4"/>
      <c r="IVC51" s="4"/>
      <c r="IVD51" s="4"/>
      <c r="IVE51" s="4"/>
      <c r="IVF51" s="4"/>
      <c r="IVG51" s="4"/>
      <c r="IVH51" s="4"/>
      <c r="IVI51" s="4"/>
      <c r="IVJ51" s="4"/>
      <c r="IVK51" s="4"/>
      <c r="IVL51" s="4"/>
      <c r="IVM51" s="4"/>
      <c r="IVN51" s="4"/>
      <c r="IVO51" s="4"/>
      <c r="IVP51" s="4"/>
      <c r="IVQ51" s="4"/>
      <c r="IVR51" s="4"/>
      <c r="IVS51" s="4"/>
      <c r="IVT51" s="4"/>
      <c r="IVU51" s="4"/>
      <c r="IVV51" s="4"/>
      <c r="IVW51" s="4"/>
      <c r="IVX51" s="4"/>
      <c r="IVY51" s="4"/>
      <c r="IVZ51" s="4"/>
      <c r="IWA51" s="4"/>
      <c r="IWB51" s="4"/>
      <c r="IWC51" s="4"/>
      <c r="IWD51" s="4"/>
      <c r="IWE51" s="4"/>
      <c r="IWF51" s="4"/>
      <c r="IWG51" s="4"/>
      <c r="IWH51" s="4"/>
      <c r="IWI51" s="4"/>
      <c r="IWJ51" s="4"/>
      <c r="IWK51" s="4"/>
      <c r="IWL51" s="4"/>
      <c r="IWM51" s="4"/>
      <c r="IWN51" s="4"/>
      <c r="IWO51" s="4"/>
      <c r="IWP51" s="4"/>
      <c r="IWQ51" s="4"/>
      <c r="IWR51" s="4"/>
      <c r="IWS51" s="4"/>
      <c r="IWT51" s="4"/>
      <c r="IWU51" s="4"/>
      <c r="IWV51" s="4"/>
      <c r="IWW51" s="4"/>
      <c r="IWX51" s="4"/>
      <c r="IWY51" s="4"/>
      <c r="IWZ51" s="4"/>
      <c r="IXA51" s="4"/>
      <c r="IXB51" s="4"/>
      <c r="IXC51" s="4"/>
      <c r="IXD51" s="4"/>
      <c r="IXE51" s="4"/>
      <c r="IXF51" s="4"/>
      <c r="IXG51" s="4"/>
      <c r="IXH51" s="4"/>
      <c r="IXI51" s="4"/>
      <c r="IXJ51" s="4"/>
      <c r="IXK51" s="4"/>
      <c r="IXL51" s="4"/>
      <c r="IXM51" s="4"/>
      <c r="IXN51" s="4"/>
      <c r="IXO51" s="4"/>
      <c r="IXP51" s="4"/>
      <c r="IXQ51" s="4"/>
      <c r="IXR51" s="4"/>
      <c r="IXS51" s="4"/>
      <c r="IXT51" s="4"/>
      <c r="IXU51" s="4"/>
      <c r="IXV51" s="4"/>
      <c r="IXW51" s="4"/>
      <c r="IXX51" s="4"/>
      <c r="IXY51" s="4"/>
      <c r="IXZ51" s="4"/>
      <c r="IYA51" s="4"/>
      <c r="IYB51" s="4"/>
      <c r="IYC51" s="4"/>
      <c r="IYD51" s="4"/>
      <c r="IYE51" s="4"/>
      <c r="IYF51" s="4"/>
      <c r="IYG51" s="4"/>
      <c r="IYH51" s="4"/>
      <c r="IYI51" s="4"/>
      <c r="IYJ51" s="4"/>
      <c r="IYK51" s="4"/>
      <c r="IYL51" s="4"/>
      <c r="IYM51" s="4"/>
      <c r="IYN51" s="4"/>
      <c r="IYO51" s="4"/>
      <c r="IYP51" s="4"/>
      <c r="IYQ51" s="4"/>
      <c r="IYR51" s="4"/>
      <c r="IYS51" s="4"/>
      <c r="IYT51" s="4"/>
      <c r="IYU51" s="4"/>
      <c r="IYV51" s="4"/>
      <c r="IYW51" s="4"/>
      <c r="IYX51" s="4"/>
      <c r="IYY51" s="4"/>
      <c r="IYZ51" s="4"/>
      <c r="IZA51" s="4"/>
      <c r="IZB51" s="4"/>
      <c r="IZC51" s="4"/>
      <c r="IZD51" s="4"/>
      <c r="IZE51" s="4"/>
      <c r="IZF51" s="4"/>
      <c r="IZG51" s="4"/>
      <c r="IZH51" s="4"/>
      <c r="IZI51" s="4"/>
      <c r="IZJ51" s="4"/>
      <c r="IZK51" s="4"/>
      <c r="IZL51" s="4"/>
      <c r="IZM51" s="4"/>
      <c r="IZN51" s="4"/>
      <c r="IZO51" s="4"/>
      <c r="IZP51" s="4"/>
      <c r="IZQ51" s="4"/>
      <c r="IZR51" s="4"/>
      <c r="IZS51" s="4"/>
      <c r="IZT51" s="4"/>
      <c r="IZU51" s="4"/>
      <c r="IZV51" s="4"/>
      <c r="IZW51" s="4"/>
      <c r="IZX51" s="4"/>
      <c r="IZY51" s="4"/>
      <c r="IZZ51" s="4"/>
      <c r="JAA51" s="4"/>
      <c r="JAB51" s="4"/>
      <c r="JAC51" s="4"/>
      <c r="JAD51" s="4"/>
      <c r="JAE51" s="4"/>
      <c r="JAF51" s="4"/>
      <c r="JAG51" s="4"/>
      <c r="JAH51" s="4"/>
      <c r="JAI51" s="4"/>
      <c r="JAJ51" s="4"/>
      <c r="JAK51" s="4"/>
      <c r="JAL51" s="4"/>
      <c r="JAM51" s="4"/>
      <c r="JAN51" s="4"/>
      <c r="JAO51" s="4"/>
      <c r="JAP51" s="4"/>
      <c r="JAQ51" s="4"/>
      <c r="JAR51" s="4"/>
      <c r="JAS51" s="4"/>
      <c r="JAT51" s="4"/>
      <c r="JAU51" s="4"/>
      <c r="JAV51" s="4"/>
      <c r="JAW51" s="4"/>
      <c r="JAX51" s="4"/>
      <c r="JAY51" s="4"/>
      <c r="JAZ51" s="4"/>
      <c r="JBA51" s="4"/>
      <c r="JBB51" s="4"/>
      <c r="JBC51" s="4"/>
      <c r="JBD51" s="4"/>
      <c r="JBE51" s="4"/>
      <c r="JBF51" s="4"/>
      <c r="JBG51" s="4"/>
      <c r="JBH51" s="4"/>
      <c r="JBI51" s="4"/>
      <c r="JBJ51" s="4"/>
      <c r="JBK51" s="4"/>
      <c r="JBL51" s="4"/>
      <c r="JBM51" s="4"/>
      <c r="JBN51" s="4"/>
      <c r="JBO51" s="4"/>
      <c r="JBP51" s="4"/>
      <c r="JBQ51" s="4"/>
      <c r="JBR51" s="4"/>
      <c r="JBS51" s="4"/>
      <c r="JBT51" s="4"/>
      <c r="JBU51" s="4"/>
      <c r="JBV51" s="4"/>
      <c r="JBW51" s="4"/>
      <c r="JBX51" s="4"/>
      <c r="JBY51" s="4"/>
      <c r="JBZ51" s="4"/>
      <c r="JCA51" s="4"/>
      <c r="JCB51" s="4"/>
      <c r="JCC51" s="4"/>
      <c r="JCD51" s="4"/>
      <c r="JCE51" s="4"/>
      <c r="JCF51" s="4"/>
      <c r="JCG51" s="4"/>
      <c r="JCH51" s="4"/>
      <c r="JCI51" s="4"/>
      <c r="JCJ51" s="4"/>
      <c r="JCK51" s="4"/>
      <c r="JCL51" s="4"/>
      <c r="JCM51" s="4"/>
      <c r="JCN51" s="4"/>
      <c r="JCO51" s="4"/>
      <c r="JCP51" s="4"/>
      <c r="JCQ51" s="4"/>
      <c r="JCR51" s="4"/>
      <c r="JCS51" s="4"/>
      <c r="JCT51" s="4"/>
      <c r="JCU51" s="4"/>
      <c r="JCV51" s="4"/>
      <c r="JCW51" s="4"/>
      <c r="JCX51" s="4"/>
      <c r="JCY51" s="4"/>
      <c r="JCZ51" s="4"/>
      <c r="JDA51" s="4"/>
      <c r="JDB51" s="4"/>
      <c r="JDC51" s="4"/>
      <c r="JDD51" s="4"/>
      <c r="JDE51" s="4"/>
      <c r="JDF51" s="4"/>
      <c r="JDG51" s="4"/>
      <c r="JDH51" s="4"/>
      <c r="JDI51" s="4"/>
      <c r="JDJ51" s="4"/>
      <c r="JDK51" s="4"/>
      <c r="JDL51" s="4"/>
      <c r="JDM51" s="4"/>
      <c r="JDN51" s="4"/>
      <c r="JDO51" s="4"/>
      <c r="JDP51" s="4"/>
      <c r="JDQ51" s="4"/>
      <c r="JDR51" s="4"/>
      <c r="JDS51" s="4"/>
      <c r="JDT51" s="4"/>
      <c r="JDU51" s="4"/>
      <c r="JDV51" s="4"/>
      <c r="JDW51" s="4"/>
      <c r="JDX51" s="4"/>
      <c r="JDY51" s="4"/>
      <c r="JDZ51" s="4"/>
      <c r="JEA51" s="4"/>
      <c r="JEB51" s="4"/>
      <c r="JEC51" s="4"/>
      <c r="JED51" s="4"/>
      <c r="JEE51" s="4"/>
      <c r="JEF51" s="4"/>
      <c r="JEG51" s="4"/>
      <c r="JEH51" s="4"/>
      <c r="JEI51" s="4"/>
      <c r="JEJ51" s="4"/>
      <c r="JEK51" s="4"/>
      <c r="JEL51" s="4"/>
      <c r="JEM51" s="4"/>
      <c r="JEN51" s="4"/>
      <c r="JEO51" s="4"/>
      <c r="JEP51" s="4"/>
      <c r="JEQ51" s="4"/>
      <c r="JER51" s="4"/>
      <c r="JES51" s="4"/>
      <c r="JET51" s="4"/>
      <c r="JEU51" s="4"/>
      <c r="JEV51" s="4"/>
      <c r="JEW51" s="4"/>
      <c r="JEX51" s="4"/>
      <c r="JEY51" s="4"/>
      <c r="JEZ51" s="4"/>
      <c r="JFA51" s="4"/>
      <c r="JFB51" s="4"/>
      <c r="JFC51" s="4"/>
      <c r="JFD51" s="4"/>
      <c r="JFE51" s="4"/>
      <c r="JFF51" s="4"/>
      <c r="JFG51" s="4"/>
      <c r="JFH51" s="4"/>
      <c r="JFI51" s="4"/>
      <c r="JFJ51" s="4"/>
      <c r="JFK51" s="4"/>
      <c r="JFL51" s="4"/>
      <c r="JFM51" s="4"/>
      <c r="JFN51" s="4"/>
      <c r="JFO51" s="4"/>
      <c r="JFP51" s="4"/>
      <c r="JFQ51" s="4"/>
      <c r="JFR51" s="4"/>
      <c r="JFS51" s="4"/>
      <c r="JFT51" s="4"/>
      <c r="JFU51" s="4"/>
      <c r="JFV51" s="4"/>
      <c r="JFW51" s="4"/>
      <c r="JFX51" s="4"/>
      <c r="JFY51" s="4"/>
      <c r="JFZ51" s="4"/>
      <c r="JGA51" s="4"/>
      <c r="JGB51" s="4"/>
      <c r="JGC51" s="4"/>
      <c r="JGD51" s="4"/>
      <c r="JGE51" s="4"/>
      <c r="JGF51" s="4"/>
      <c r="JGG51" s="4"/>
      <c r="JGH51" s="4"/>
      <c r="JGI51" s="4"/>
      <c r="JGJ51" s="4"/>
      <c r="JGK51" s="4"/>
      <c r="JGL51" s="4"/>
      <c r="JGM51" s="4"/>
      <c r="JGN51" s="4"/>
      <c r="JGO51" s="4"/>
      <c r="JGP51" s="4"/>
      <c r="JGQ51" s="4"/>
      <c r="JGR51" s="4"/>
      <c r="JGS51" s="4"/>
      <c r="JGT51" s="4"/>
      <c r="JGU51" s="4"/>
      <c r="JGV51" s="4"/>
      <c r="JGW51" s="4"/>
      <c r="JGX51" s="4"/>
      <c r="JGY51" s="4"/>
      <c r="JGZ51" s="4"/>
      <c r="JHA51" s="4"/>
      <c r="JHB51" s="4"/>
      <c r="JHC51" s="4"/>
      <c r="JHD51" s="4"/>
      <c r="JHE51" s="4"/>
      <c r="JHF51" s="4"/>
      <c r="JHG51" s="4"/>
      <c r="JHH51" s="4"/>
      <c r="JHI51" s="4"/>
      <c r="JHJ51" s="4"/>
      <c r="JHK51" s="4"/>
      <c r="JHL51" s="4"/>
      <c r="JHM51" s="4"/>
      <c r="JHN51" s="4"/>
      <c r="JHO51" s="4"/>
      <c r="JHP51" s="4"/>
      <c r="JHQ51" s="4"/>
      <c r="JHR51" s="4"/>
      <c r="JHS51" s="4"/>
      <c r="JHT51" s="4"/>
      <c r="JHU51" s="4"/>
      <c r="JHV51" s="4"/>
      <c r="JHW51" s="4"/>
      <c r="JHX51" s="4"/>
      <c r="JHY51" s="4"/>
      <c r="JHZ51" s="4"/>
      <c r="JIA51" s="4"/>
      <c r="JIB51" s="4"/>
      <c r="JIC51" s="4"/>
      <c r="JID51" s="4"/>
      <c r="JIE51" s="4"/>
      <c r="JIF51" s="4"/>
      <c r="JIG51" s="4"/>
      <c r="JIH51" s="4"/>
      <c r="JII51" s="4"/>
      <c r="JIJ51" s="4"/>
      <c r="JIK51" s="4"/>
      <c r="JIL51" s="4"/>
      <c r="JIM51" s="4"/>
      <c r="JIN51" s="4"/>
      <c r="JIO51" s="4"/>
      <c r="JIP51" s="4"/>
      <c r="JIQ51" s="4"/>
      <c r="JIR51" s="4"/>
      <c r="JIS51" s="4"/>
      <c r="JIT51" s="4"/>
      <c r="JIU51" s="4"/>
      <c r="JIV51" s="4"/>
      <c r="JIW51" s="4"/>
      <c r="JIX51" s="4"/>
      <c r="JIY51" s="4"/>
      <c r="JIZ51" s="4"/>
      <c r="JJA51" s="4"/>
      <c r="JJB51" s="4"/>
      <c r="JJC51" s="4"/>
      <c r="JJD51" s="4"/>
      <c r="JJE51" s="4"/>
      <c r="JJF51" s="4"/>
      <c r="JJG51" s="4"/>
      <c r="JJH51" s="4"/>
      <c r="JJI51" s="4"/>
      <c r="JJJ51" s="4"/>
      <c r="JJK51" s="4"/>
      <c r="JJL51" s="4"/>
      <c r="JJM51" s="4"/>
      <c r="JJN51" s="4"/>
      <c r="JJO51" s="4"/>
      <c r="JJP51" s="4"/>
      <c r="JJQ51" s="4"/>
      <c r="JJR51" s="4"/>
      <c r="JJS51" s="4"/>
      <c r="JJT51" s="4"/>
      <c r="JJU51" s="4"/>
      <c r="JJV51" s="4"/>
      <c r="JJW51" s="4"/>
      <c r="JJX51" s="4"/>
      <c r="JJY51" s="4"/>
      <c r="JJZ51" s="4"/>
      <c r="JKA51" s="4"/>
      <c r="JKB51" s="4"/>
      <c r="JKC51" s="4"/>
      <c r="JKD51" s="4"/>
      <c r="JKE51" s="4"/>
      <c r="JKF51" s="4"/>
      <c r="JKG51" s="4"/>
      <c r="JKH51" s="4"/>
      <c r="JKI51" s="4"/>
      <c r="JKJ51" s="4"/>
      <c r="JKK51" s="4"/>
      <c r="JKL51" s="4"/>
      <c r="JKM51" s="4"/>
      <c r="JKN51" s="4"/>
      <c r="JKO51" s="4"/>
      <c r="JKP51" s="4"/>
      <c r="JKQ51" s="4"/>
      <c r="JKR51" s="4"/>
      <c r="JKS51" s="4"/>
      <c r="JKT51" s="4"/>
      <c r="JKU51" s="4"/>
      <c r="JKV51" s="4"/>
      <c r="JKW51" s="4"/>
      <c r="JKX51" s="4"/>
      <c r="JKY51" s="4"/>
      <c r="JKZ51" s="4"/>
      <c r="JLA51" s="4"/>
      <c r="JLB51" s="4"/>
      <c r="JLC51" s="4"/>
      <c r="JLD51" s="4"/>
      <c r="JLE51" s="4"/>
      <c r="JLF51" s="4"/>
      <c r="JLG51" s="4"/>
      <c r="JLH51" s="4"/>
      <c r="JLI51" s="4"/>
      <c r="JLJ51" s="4"/>
      <c r="JLK51" s="4"/>
      <c r="JLL51" s="4"/>
      <c r="JLM51" s="4"/>
      <c r="JLN51" s="4"/>
      <c r="JLO51" s="4"/>
      <c r="JLP51" s="4"/>
      <c r="JLQ51" s="4"/>
      <c r="JLR51" s="4"/>
      <c r="JLS51" s="4"/>
      <c r="JLT51" s="4"/>
      <c r="JLU51" s="4"/>
      <c r="JLV51" s="4"/>
      <c r="JLW51" s="4"/>
      <c r="JLX51" s="4"/>
      <c r="JLY51" s="4"/>
      <c r="JLZ51" s="4"/>
      <c r="JMA51" s="4"/>
      <c r="JMB51" s="4"/>
      <c r="JMC51" s="4"/>
      <c r="JMD51" s="4"/>
      <c r="JME51" s="4"/>
      <c r="JMF51" s="4"/>
      <c r="JMG51" s="4"/>
      <c r="JMH51" s="4"/>
      <c r="JMI51" s="4"/>
      <c r="JMJ51" s="4"/>
      <c r="JMK51" s="4"/>
      <c r="JML51" s="4"/>
      <c r="JMM51" s="4"/>
      <c r="JMN51" s="4"/>
      <c r="JMO51" s="4"/>
      <c r="JMP51" s="4"/>
      <c r="JMQ51" s="4"/>
      <c r="JMR51" s="4"/>
      <c r="JMS51" s="4"/>
      <c r="JMT51" s="4"/>
      <c r="JMU51" s="4"/>
      <c r="JMV51" s="4"/>
      <c r="JMW51" s="4"/>
      <c r="JMX51" s="4"/>
      <c r="JMY51" s="4"/>
      <c r="JMZ51" s="4"/>
      <c r="JNA51" s="4"/>
      <c r="JNB51" s="4"/>
      <c r="JNC51" s="4"/>
      <c r="JND51" s="4"/>
      <c r="JNE51" s="4"/>
      <c r="JNF51" s="4"/>
      <c r="JNG51" s="4"/>
      <c r="JNH51" s="4"/>
      <c r="JNI51" s="4"/>
      <c r="JNJ51" s="4"/>
      <c r="JNK51" s="4"/>
      <c r="JNL51" s="4"/>
      <c r="JNM51" s="4"/>
      <c r="JNN51" s="4"/>
      <c r="JNO51" s="4"/>
      <c r="JNP51" s="4"/>
      <c r="JNQ51" s="4"/>
      <c r="JNR51" s="4"/>
      <c r="JNS51" s="4"/>
      <c r="JNT51" s="4"/>
      <c r="JNU51" s="4"/>
      <c r="JNV51" s="4"/>
      <c r="JNW51" s="4"/>
      <c r="JNX51" s="4"/>
      <c r="JNY51" s="4"/>
      <c r="JNZ51" s="4"/>
      <c r="JOA51" s="4"/>
      <c r="JOB51" s="4"/>
      <c r="JOC51" s="4"/>
      <c r="JOD51" s="4"/>
      <c r="JOE51" s="4"/>
      <c r="JOF51" s="4"/>
      <c r="JOG51" s="4"/>
      <c r="JOH51" s="4"/>
      <c r="JOI51" s="4"/>
      <c r="JOJ51" s="4"/>
      <c r="JOK51" s="4"/>
      <c r="JOL51" s="4"/>
      <c r="JOM51" s="4"/>
      <c r="JON51" s="4"/>
      <c r="JOO51" s="4"/>
      <c r="JOP51" s="4"/>
      <c r="JOQ51" s="4"/>
      <c r="JOR51" s="4"/>
      <c r="JOS51" s="4"/>
      <c r="JOT51" s="4"/>
      <c r="JOU51" s="4"/>
      <c r="JOV51" s="4"/>
      <c r="JOW51" s="4"/>
      <c r="JOX51" s="4"/>
      <c r="JOY51" s="4"/>
      <c r="JOZ51" s="4"/>
      <c r="JPA51" s="4"/>
      <c r="JPB51" s="4"/>
      <c r="JPC51" s="4"/>
      <c r="JPD51" s="4"/>
      <c r="JPE51" s="4"/>
      <c r="JPF51" s="4"/>
      <c r="JPG51" s="4"/>
      <c r="JPH51" s="4"/>
      <c r="JPI51" s="4"/>
      <c r="JPJ51" s="4"/>
      <c r="JPK51" s="4"/>
      <c r="JPL51" s="4"/>
      <c r="JPM51" s="4"/>
      <c r="JPN51" s="4"/>
      <c r="JPO51" s="4"/>
      <c r="JPP51" s="4"/>
      <c r="JPQ51" s="4"/>
      <c r="JPR51" s="4"/>
      <c r="JPS51" s="4"/>
      <c r="JPT51" s="4"/>
      <c r="JPU51" s="4"/>
      <c r="JPV51" s="4"/>
      <c r="JPW51" s="4"/>
      <c r="JPX51" s="4"/>
      <c r="JPY51" s="4"/>
      <c r="JPZ51" s="4"/>
      <c r="JQA51" s="4"/>
      <c r="JQB51" s="4"/>
      <c r="JQC51" s="4"/>
      <c r="JQD51" s="4"/>
      <c r="JQE51" s="4"/>
      <c r="JQF51" s="4"/>
      <c r="JQG51" s="4"/>
      <c r="JQH51" s="4"/>
      <c r="JQI51" s="4"/>
      <c r="JQJ51" s="4"/>
      <c r="JQK51" s="4"/>
      <c r="JQL51" s="4"/>
      <c r="JQM51" s="4"/>
      <c r="JQN51" s="4"/>
      <c r="JQO51" s="4"/>
      <c r="JQP51" s="4"/>
      <c r="JQQ51" s="4"/>
      <c r="JQR51" s="4"/>
      <c r="JQS51" s="4"/>
      <c r="JQT51" s="4"/>
      <c r="JQU51" s="4"/>
      <c r="JQV51" s="4"/>
      <c r="JQW51" s="4"/>
      <c r="JQX51" s="4"/>
      <c r="JQY51" s="4"/>
      <c r="JQZ51" s="4"/>
      <c r="JRA51" s="4"/>
      <c r="JRB51" s="4"/>
      <c r="JRC51" s="4"/>
      <c r="JRD51" s="4"/>
      <c r="JRE51" s="4"/>
      <c r="JRF51" s="4"/>
      <c r="JRG51" s="4"/>
      <c r="JRH51" s="4"/>
      <c r="JRI51" s="4"/>
      <c r="JRJ51" s="4"/>
      <c r="JRK51" s="4"/>
      <c r="JRL51" s="4"/>
      <c r="JRM51" s="4"/>
      <c r="JRN51" s="4"/>
      <c r="JRO51" s="4"/>
      <c r="JRP51" s="4"/>
      <c r="JRQ51" s="4"/>
      <c r="JRR51" s="4"/>
      <c r="JRS51" s="4"/>
      <c r="JRT51" s="4"/>
      <c r="JRU51" s="4"/>
      <c r="JRV51" s="4"/>
      <c r="JRW51" s="4"/>
      <c r="JRX51" s="4"/>
      <c r="JRY51" s="4"/>
      <c r="JRZ51" s="4"/>
      <c r="JSA51" s="4"/>
      <c r="JSB51" s="4"/>
      <c r="JSC51" s="4"/>
      <c r="JSD51" s="4"/>
      <c r="JSE51" s="4"/>
      <c r="JSF51" s="4"/>
      <c r="JSG51" s="4"/>
      <c r="JSH51" s="4"/>
      <c r="JSI51" s="4"/>
      <c r="JSJ51" s="4"/>
      <c r="JSK51" s="4"/>
      <c r="JSL51" s="4"/>
      <c r="JSM51" s="4"/>
      <c r="JSN51" s="4"/>
      <c r="JSO51" s="4"/>
      <c r="JSP51" s="4"/>
      <c r="JSQ51" s="4"/>
      <c r="JSR51" s="4"/>
      <c r="JSS51" s="4"/>
      <c r="JST51" s="4"/>
      <c r="JSU51" s="4"/>
      <c r="JSV51" s="4"/>
      <c r="JSW51" s="4"/>
      <c r="JSX51" s="4"/>
      <c r="JSY51" s="4"/>
      <c r="JSZ51" s="4"/>
      <c r="JTA51" s="4"/>
      <c r="JTB51" s="4"/>
      <c r="JTC51" s="4"/>
      <c r="JTD51" s="4"/>
      <c r="JTE51" s="4"/>
      <c r="JTF51" s="4"/>
      <c r="JTG51" s="4"/>
      <c r="JTH51" s="4"/>
      <c r="JTI51" s="4"/>
      <c r="JTJ51" s="4"/>
      <c r="JTK51" s="4"/>
      <c r="JTL51" s="4"/>
      <c r="JTM51" s="4"/>
      <c r="JTN51" s="4"/>
      <c r="JTO51" s="4"/>
      <c r="JTP51" s="4"/>
      <c r="JTQ51" s="4"/>
      <c r="JTR51" s="4"/>
      <c r="JTS51" s="4"/>
      <c r="JTT51" s="4"/>
      <c r="JTU51" s="4"/>
      <c r="JTV51" s="4"/>
      <c r="JTW51" s="4"/>
      <c r="JTX51" s="4"/>
      <c r="JTY51" s="4"/>
      <c r="JTZ51" s="4"/>
      <c r="JUA51" s="4"/>
      <c r="JUB51" s="4"/>
      <c r="JUC51" s="4"/>
      <c r="JUD51" s="4"/>
      <c r="JUE51" s="4"/>
      <c r="JUF51" s="4"/>
      <c r="JUG51" s="4"/>
      <c r="JUH51" s="4"/>
      <c r="JUI51" s="4"/>
      <c r="JUJ51" s="4"/>
      <c r="JUK51" s="4"/>
      <c r="JUL51" s="4"/>
      <c r="JUM51" s="4"/>
      <c r="JUN51" s="4"/>
      <c r="JUO51" s="4"/>
      <c r="JUP51" s="4"/>
      <c r="JUQ51" s="4"/>
      <c r="JUR51" s="4"/>
      <c r="JUS51" s="4"/>
      <c r="JUT51" s="4"/>
      <c r="JUU51" s="4"/>
      <c r="JUV51" s="4"/>
      <c r="JUW51" s="4"/>
      <c r="JUX51" s="4"/>
      <c r="JUY51" s="4"/>
      <c r="JUZ51" s="4"/>
      <c r="JVA51" s="4"/>
      <c r="JVB51" s="4"/>
      <c r="JVC51" s="4"/>
      <c r="JVD51" s="4"/>
      <c r="JVE51" s="4"/>
      <c r="JVF51" s="4"/>
      <c r="JVG51" s="4"/>
      <c r="JVH51" s="4"/>
      <c r="JVI51" s="4"/>
      <c r="JVJ51" s="4"/>
      <c r="JVK51" s="4"/>
      <c r="JVL51" s="4"/>
      <c r="JVM51" s="4"/>
      <c r="JVN51" s="4"/>
      <c r="JVO51" s="4"/>
      <c r="JVP51" s="4"/>
      <c r="JVQ51" s="4"/>
      <c r="JVR51" s="4"/>
      <c r="JVS51" s="4"/>
      <c r="JVT51" s="4"/>
      <c r="JVU51" s="4"/>
      <c r="JVV51" s="4"/>
      <c r="JVW51" s="4"/>
      <c r="JVX51" s="4"/>
      <c r="JVY51" s="4"/>
      <c r="JVZ51" s="4"/>
      <c r="JWA51" s="4"/>
      <c r="JWB51" s="4"/>
      <c r="JWC51" s="4"/>
      <c r="JWD51" s="4"/>
      <c r="JWE51" s="4"/>
      <c r="JWF51" s="4"/>
      <c r="JWG51" s="4"/>
      <c r="JWH51" s="4"/>
      <c r="JWI51" s="4"/>
      <c r="JWJ51" s="4"/>
      <c r="JWK51" s="4"/>
      <c r="JWL51" s="4"/>
      <c r="JWM51" s="4"/>
      <c r="JWN51" s="4"/>
      <c r="JWO51" s="4"/>
      <c r="JWP51" s="4"/>
      <c r="JWQ51" s="4"/>
      <c r="JWR51" s="4"/>
      <c r="JWS51" s="4"/>
      <c r="JWT51" s="4"/>
      <c r="JWU51" s="4"/>
      <c r="JWV51" s="4"/>
      <c r="JWW51" s="4"/>
      <c r="JWX51" s="4"/>
      <c r="JWY51" s="4"/>
      <c r="JWZ51" s="4"/>
      <c r="JXA51" s="4"/>
      <c r="JXB51" s="4"/>
      <c r="JXC51" s="4"/>
      <c r="JXD51" s="4"/>
      <c r="JXE51" s="4"/>
      <c r="JXF51" s="4"/>
      <c r="JXG51" s="4"/>
      <c r="JXH51" s="4"/>
      <c r="JXI51" s="4"/>
      <c r="JXJ51" s="4"/>
      <c r="JXK51" s="4"/>
      <c r="JXL51" s="4"/>
      <c r="JXM51" s="4"/>
      <c r="JXN51" s="4"/>
      <c r="JXO51" s="4"/>
      <c r="JXP51" s="4"/>
      <c r="JXQ51" s="4"/>
      <c r="JXR51" s="4"/>
      <c r="JXS51" s="4"/>
      <c r="JXT51" s="4"/>
      <c r="JXU51" s="4"/>
      <c r="JXV51" s="4"/>
      <c r="JXW51" s="4"/>
      <c r="JXX51" s="4"/>
      <c r="JXY51" s="4"/>
      <c r="JXZ51" s="4"/>
      <c r="JYA51" s="4"/>
      <c r="JYB51" s="4"/>
      <c r="JYC51" s="4"/>
      <c r="JYD51" s="4"/>
      <c r="JYE51" s="4"/>
      <c r="JYF51" s="4"/>
      <c r="JYG51" s="4"/>
      <c r="JYH51" s="4"/>
      <c r="JYI51" s="4"/>
      <c r="JYJ51" s="4"/>
      <c r="JYK51" s="4"/>
      <c r="JYL51" s="4"/>
      <c r="JYM51" s="4"/>
      <c r="JYN51" s="4"/>
      <c r="JYO51" s="4"/>
      <c r="JYP51" s="4"/>
      <c r="JYQ51" s="4"/>
      <c r="JYR51" s="4"/>
      <c r="JYS51" s="4"/>
      <c r="JYT51" s="4"/>
      <c r="JYU51" s="4"/>
      <c r="JYV51" s="4"/>
      <c r="JYW51" s="4"/>
      <c r="JYX51" s="4"/>
      <c r="JYY51" s="4"/>
      <c r="JYZ51" s="4"/>
      <c r="JZA51" s="4"/>
      <c r="JZB51" s="4"/>
      <c r="JZC51" s="4"/>
      <c r="JZD51" s="4"/>
      <c r="JZE51" s="4"/>
      <c r="JZF51" s="4"/>
      <c r="JZG51" s="4"/>
      <c r="JZH51" s="4"/>
      <c r="JZI51" s="4"/>
      <c r="JZJ51" s="4"/>
      <c r="JZK51" s="4"/>
      <c r="JZL51" s="4"/>
      <c r="JZM51" s="4"/>
      <c r="JZN51" s="4"/>
      <c r="JZO51" s="4"/>
      <c r="JZP51" s="4"/>
      <c r="JZQ51" s="4"/>
      <c r="JZR51" s="4"/>
      <c r="JZS51" s="4"/>
      <c r="JZT51" s="4"/>
      <c r="JZU51" s="4"/>
      <c r="JZV51" s="4"/>
      <c r="JZW51" s="4"/>
      <c r="JZX51" s="4"/>
      <c r="JZY51" s="4"/>
      <c r="JZZ51" s="4"/>
      <c r="KAA51" s="4"/>
      <c r="KAB51" s="4"/>
      <c r="KAC51" s="4"/>
      <c r="KAD51" s="4"/>
      <c r="KAE51" s="4"/>
      <c r="KAF51" s="4"/>
      <c r="KAG51" s="4"/>
      <c r="KAH51" s="4"/>
      <c r="KAI51" s="4"/>
      <c r="KAJ51" s="4"/>
      <c r="KAK51" s="4"/>
      <c r="KAL51" s="4"/>
      <c r="KAM51" s="4"/>
      <c r="KAN51" s="4"/>
      <c r="KAO51" s="4"/>
      <c r="KAP51" s="4"/>
      <c r="KAQ51" s="4"/>
      <c r="KAR51" s="4"/>
      <c r="KAS51" s="4"/>
      <c r="KAT51" s="4"/>
      <c r="KAU51" s="4"/>
      <c r="KAV51" s="4"/>
      <c r="KAW51" s="4"/>
      <c r="KAX51" s="4"/>
      <c r="KAY51" s="4"/>
      <c r="KAZ51" s="4"/>
      <c r="KBA51" s="4"/>
      <c r="KBB51" s="4"/>
      <c r="KBC51" s="4"/>
      <c r="KBD51" s="4"/>
      <c r="KBE51" s="4"/>
      <c r="KBF51" s="4"/>
      <c r="KBG51" s="4"/>
      <c r="KBH51" s="4"/>
      <c r="KBI51" s="4"/>
      <c r="KBJ51" s="4"/>
      <c r="KBK51" s="4"/>
      <c r="KBL51" s="4"/>
      <c r="KBM51" s="4"/>
      <c r="KBN51" s="4"/>
      <c r="KBO51" s="4"/>
      <c r="KBP51" s="4"/>
      <c r="KBQ51" s="4"/>
      <c r="KBR51" s="4"/>
      <c r="KBS51" s="4"/>
      <c r="KBT51" s="4"/>
      <c r="KBU51" s="4"/>
      <c r="KBV51" s="4"/>
      <c r="KBW51" s="4"/>
      <c r="KBX51" s="4"/>
      <c r="KBY51" s="4"/>
      <c r="KBZ51" s="4"/>
      <c r="KCA51" s="4"/>
      <c r="KCB51" s="4"/>
      <c r="KCC51" s="4"/>
      <c r="KCD51" s="4"/>
      <c r="KCE51" s="4"/>
      <c r="KCF51" s="4"/>
      <c r="KCG51" s="4"/>
      <c r="KCH51" s="4"/>
      <c r="KCI51" s="4"/>
      <c r="KCJ51" s="4"/>
      <c r="KCK51" s="4"/>
      <c r="KCL51" s="4"/>
      <c r="KCM51" s="4"/>
      <c r="KCN51" s="4"/>
      <c r="KCO51" s="4"/>
      <c r="KCP51" s="4"/>
      <c r="KCQ51" s="4"/>
      <c r="KCR51" s="4"/>
      <c r="KCS51" s="4"/>
      <c r="KCT51" s="4"/>
      <c r="KCU51" s="4"/>
      <c r="KCV51" s="4"/>
      <c r="KCW51" s="4"/>
      <c r="KCX51" s="4"/>
      <c r="KCY51" s="4"/>
      <c r="KCZ51" s="4"/>
      <c r="KDA51" s="4"/>
      <c r="KDB51" s="4"/>
      <c r="KDC51" s="4"/>
      <c r="KDD51" s="4"/>
      <c r="KDE51" s="4"/>
      <c r="KDF51" s="4"/>
      <c r="KDG51" s="4"/>
      <c r="KDH51" s="4"/>
      <c r="KDI51" s="4"/>
      <c r="KDJ51" s="4"/>
      <c r="KDK51" s="4"/>
      <c r="KDL51" s="4"/>
      <c r="KDM51" s="4"/>
      <c r="KDN51" s="4"/>
      <c r="KDO51" s="4"/>
      <c r="KDP51" s="4"/>
      <c r="KDQ51" s="4"/>
      <c r="KDR51" s="4"/>
      <c r="KDS51" s="4"/>
      <c r="KDT51" s="4"/>
      <c r="KDU51" s="4"/>
      <c r="KDV51" s="4"/>
      <c r="KDW51" s="4"/>
      <c r="KDX51" s="4"/>
      <c r="KDY51" s="4"/>
      <c r="KDZ51" s="4"/>
      <c r="KEA51" s="4"/>
      <c r="KEB51" s="4"/>
      <c r="KEC51" s="4"/>
      <c r="KED51" s="4"/>
      <c r="KEE51" s="4"/>
      <c r="KEF51" s="4"/>
      <c r="KEG51" s="4"/>
      <c r="KEH51" s="4"/>
      <c r="KEI51" s="4"/>
      <c r="KEJ51" s="4"/>
      <c r="KEK51" s="4"/>
      <c r="KEL51" s="4"/>
      <c r="KEM51" s="4"/>
      <c r="KEN51" s="4"/>
      <c r="KEO51" s="4"/>
      <c r="KEP51" s="4"/>
      <c r="KEQ51" s="4"/>
      <c r="KER51" s="4"/>
      <c r="KES51" s="4"/>
      <c r="KET51" s="4"/>
      <c r="KEU51" s="4"/>
      <c r="KEV51" s="4"/>
      <c r="KEW51" s="4"/>
      <c r="KEX51" s="4"/>
      <c r="KEY51" s="4"/>
      <c r="KEZ51" s="4"/>
      <c r="KFA51" s="4"/>
      <c r="KFB51" s="4"/>
      <c r="KFC51" s="4"/>
      <c r="KFD51" s="4"/>
      <c r="KFE51" s="4"/>
      <c r="KFF51" s="4"/>
      <c r="KFG51" s="4"/>
      <c r="KFH51" s="4"/>
      <c r="KFI51" s="4"/>
      <c r="KFJ51" s="4"/>
      <c r="KFK51" s="4"/>
      <c r="KFL51" s="4"/>
      <c r="KFM51" s="4"/>
      <c r="KFN51" s="4"/>
      <c r="KFO51" s="4"/>
      <c r="KFP51" s="4"/>
      <c r="KFQ51" s="4"/>
      <c r="KFR51" s="4"/>
      <c r="KFS51" s="4"/>
      <c r="KFT51" s="4"/>
      <c r="KFU51" s="4"/>
      <c r="KFV51" s="4"/>
      <c r="KFW51" s="4"/>
      <c r="KFX51" s="4"/>
      <c r="KFY51" s="4"/>
      <c r="KFZ51" s="4"/>
      <c r="KGA51" s="4"/>
      <c r="KGB51" s="4"/>
      <c r="KGC51" s="4"/>
      <c r="KGD51" s="4"/>
      <c r="KGE51" s="4"/>
      <c r="KGF51" s="4"/>
      <c r="KGG51" s="4"/>
      <c r="KGH51" s="4"/>
      <c r="KGI51" s="4"/>
      <c r="KGJ51" s="4"/>
      <c r="KGK51" s="4"/>
      <c r="KGL51" s="4"/>
      <c r="KGM51" s="4"/>
      <c r="KGN51" s="4"/>
      <c r="KGO51" s="4"/>
      <c r="KGP51" s="4"/>
      <c r="KGQ51" s="4"/>
      <c r="KGR51" s="4"/>
      <c r="KGS51" s="4"/>
      <c r="KGT51" s="4"/>
      <c r="KGU51" s="4"/>
      <c r="KGV51" s="4"/>
      <c r="KGW51" s="4"/>
      <c r="KGX51" s="4"/>
      <c r="KGY51" s="4"/>
      <c r="KGZ51" s="4"/>
      <c r="KHA51" s="4"/>
      <c r="KHB51" s="4"/>
      <c r="KHC51" s="4"/>
      <c r="KHD51" s="4"/>
      <c r="KHE51" s="4"/>
      <c r="KHF51" s="4"/>
      <c r="KHG51" s="4"/>
      <c r="KHH51" s="4"/>
      <c r="KHI51" s="4"/>
      <c r="KHJ51" s="4"/>
      <c r="KHK51" s="4"/>
      <c r="KHL51" s="4"/>
      <c r="KHM51" s="4"/>
      <c r="KHN51" s="4"/>
      <c r="KHO51" s="4"/>
      <c r="KHP51" s="4"/>
      <c r="KHQ51" s="4"/>
      <c r="KHR51" s="4"/>
      <c r="KHS51" s="4"/>
      <c r="KHT51" s="4"/>
      <c r="KHU51" s="4"/>
      <c r="KHV51" s="4"/>
      <c r="KHW51" s="4"/>
      <c r="KHX51" s="4"/>
      <c r="KHY51" s="4"/>
      <c r="KHZ51" s="4"/>
      <c r="KIA51" s="4"/>
      <c r="KIB51" s="4"/>
      <c r="KIC51" s="4"/>
      <c r="KID51" s="4"/>
      <c r="KIE51" s="4"/>
      <c r="KIF51" s="4"/>
      <c r="KIG51" s="4"/>
      <c r="KIH51" s="4"/>
      <c r="KII51" s="4"/>
      <c r="KIJ51" s="4"/>
      <c r="KIK51" s="4"/>
      <c r="KIL51" s="4"/>
      <c r="KIM51" s="4"/>
      <c r="KIN51" s="4"/>
      <c r="KIO51" s="4"/>
      <c r="KIP51" s="4"/>
      <c r="KIQ51" s="4"/>
      <c r="KIR51" s="4"/>
      <c r="KIS51" s="4"/>
      <c r="KIT51" s="4"/>
      <c r="KIU51" s="4"/>
      <c r="KIV51" s="4"/>
      <c r="KIW51" s="4"/>
      <c r="KIX51" s="4"/>
      <c r="KIY51" s="4"/>
      <c r="KIZ51" s="4"/>
      <c r="KJA51" s="4"/>
      <c r="KJB51" s="4"/>
      <c r="KJC51" s="4"/>
      <c r="KJD51" s="4"/>
      <c r="KJE51" s="4"/>
      <c r="KJF51" s="4"/>
      <c r="KJG51" s="4"/>
      <c r="KJH51" s="4"/>
      <c r="KJI51" s="4"/>
      <c r="KJJ51" s="4"/>
      <c r="KJK51" s="4"/>
      <c r="KJL51" s="4"/>
      <c r="KJM51" s="4"/>
      <c r="KJN51" s="4"/>
      <c r="KJO51" s="4"/>
      <c r="KJP51" s="4"/>
      <c r="KJQ51" s="4"/>
      <c r="KJR51" s="4"/>
      <c r="KJS51" s="4"/>
      <c r="KJT51" s="4"/>
      <c r="KJU51" s="4"/>
      <c r="KJV51" s="4"/>
      <c r="KJW51" s="4"/>
      <c r="KJX51" s="4"/>
      <c r="KJY51" s="4"/>
      <c r="KJZ51" s="4"/>
      <c r="KKA51" s="4"/>
      <c r="KKB51" s="4"/>
      <c r="KKC51" s="4"/>
      <c r="KKD51" s="4"/>
      <c r="KKE51" s="4"/>
      <c r="KKF51" s="4"/>
      <c r="KKG51" s="4"/>
      <c r="KKH51" s="4"/>
      <c r="KKI51" s="4"/>
      <c r="KKJ51" s="4"/>
      <c r="KKK51" s="4"/>
      <c r="KKL51" s="4"/>
      <c r="KKM51" s="4"/>
      <c r="KKN51" s="4"/>
      <c r="KKO51" s="4"/>
      <c r="KKP51" s="4"/>
      <c r="KKQ51" s="4"/>
      <c r="KKR51" s="4"/>
      <c r="KKS51" s="4"/>
      <c r="KKT51" s="4"/>
      <c r="KKU51" s="4"/>
      <c r="KKV51" s="4"/>
      <c r="KKW51" s="4"/>
      <c r="KKX51" s="4"/>
      <c r="KKY51" s="4"/>
      <c r="KKZ51" s="4"/>
      <c r="KLA51" s="4"/>
      <c r="KLB51" s="4"/>
      <c r="KLC51" s="4"/>
      <c r="KLD51" s="4"/>
      <c r="KLE51" s="4"/>
      <c r="KLF51" s="4"/>
      <c r="KLG51" s="4"/>
      <c r="KLH51" s="4"/>
      <c r="KLI51" s="4"/>
      <c r="KLJ51" s="4"/>
      <c r="KLK51" s="4"/>
      <c r="KLL51" s="4"/>
      <c r="KLM51" s="4"/>
      <c r="KLN51" s="4"/>
      <c r="KLO51" s="4"/>
      <c r="KLP51" s="4"/>
      <c r="KLQ51" s="4"/>
      <c r="KLR51" s="4"/>
      <c r="KLS51" s="4"/>
      <c r="KLT51" s="4"/>
      <c r="KLU51" s="4"/>
      <c r="KLV51" s="4"/>
      <c r="KLW51" s="4"/>
      <c r="KLX51" s="4"/>
      <c r="KLY51" s="4"/>
      <c r="KLZ51" s="4"/>
      <c r="KMA51" s="4"/>
      <c r="KMB51" s="4"/>
      <c r="KMC51" s="4"/>
      <c r="KMD51" s="4"/>
      <c r="KME51" s="4"/>
      <c r="KMF51" s="4"/>
      <c r="KMG51" s="4"/>
      <c r="KMH51" s="4"/>
      <c r="KMI51" s="4"/>
      <c r="KMJ51" s="4"/>
      <c r="KMK51" s="4"/>
      <c r="KML51" s="4"/>
      <c r="KMM51" s="4"/>
      <c r="KMN51" s="4"/>
      <c r="KMO51" s="4"/>
      <c r="KMP51" s="4"/>
      <c r="KMQ51" s="4"/>
      <c r="KMR51" s="4"/>
      <c r="KMS51" s="4"/>
      <c r="KMT51" s="4"/>
      <c r="KMU51" s="4"/>
      <c r="KMV51" s="4"/>
      <c r="KMW51" s="4"/>
      <c r="KMX51" s="4"/>
      <c r="KMY51" s="4"/>
      <c r="KMZ51" s="4"/>
      <c r="KNA51" s="4"/>
      <c r="KNB51" s="4"/>
      <c r="KNC51" s="4"/>
      <c r="KND51" s="4"/>
      <c r="KNE51" s="4"/>
      <c r="KNF51" s="4"/>
      <c r="KNG51" s="4"/>
      <c r="KNH51" s="4"/>
      <c r="KNI51" s="4"/>
      <c r="KNJ51" s="4"/>
      <c r="KNK51" s="4"/>
      <c r="KNL51" s="4"/>
      <c r="KNM51" s="4"/>
      <c r="KNN51" s="4"/>
      <c r="KNO51" s="4"/>
      <c r="KNP51" s="4"/>
      <c r="KNQ51" s="4"/>
      <c r="KNR51" s="4"/>
      <c r="KNS51" s="4"/>
      <c r="KNT51" s="4"/>
      <c r="KNU51" s="4"/>
      <c r="KNV51" s="4"/>
      <c r="KNW51" s="4"/>
      <c r="KNX51" s="4"/>
      <c r="KNY51" s="4"/>
      <c r="KNZ51" s="4"/>
      <c r="KOA51" s="4"/>
      <c r="KOB51" s="4"/>
      <c r="KOC51" s="4"/>
      <c r="KOD51" s="4"/>
      <c r="KOE51" s="4"/>
      <c r="KOF51" s="4"/>
      <c r="KOG51" s="4"/>
      <c r="KOH51" s="4"/>
      <c r="KOI51" s="4"/>
      <c r="KOJ51" s="4"/>
      <c r="KOK51" s="4"/>
      <c r="KOL51" s="4"/>
      <c r="KOM51" s="4"/>
      <c r="KON51" s="4"/>
      <c r="KOO51" s="4"/>
      <c r="KOP51" s="4"/>
      <c r="KOQ51" s="4"/>
      <c r="KOR51" s="4"/>
      <c r="KOS51" s="4"/>
      <c r="KOT51" s="4"/>
      <c r="KOU51" s="4"/>
      <c r="KOV51" s="4"/>
      <c r="KOW51" s="4"/>
      <c r="KOX51" s="4"/>
      <c r="KOY51" s="4"/>
      <c r="KOZ51" s="4"/>
      <c r="KPA51" s="4"/>
      <c r="KPB51" s="4"/>
      <c r="KPC51" s="4"/>
      <c r="KPD51" s="4"/>
      <c r="KPE51" s="4"/>
      <c r="KPF51" s="4"/>
      <c r="KPG51" s="4"/>
      <c r="KPH51" s="4"/>
      <c r="KPI51" s="4"/>
      <c r="KPJ51" s="4"/>
      <c r="KPK51" s="4"/>
      <c r="KPL51" s="4"/>
      <c r="KPM51" s="4"/>
      <c r="KPN51" s="4"/>
      <c r="KPO51" s="4"/>
      <c r="KPP51" s="4"/>
      <c r="KPQ51" s="4"/>
      <c r="KPR51" s="4"/>
      <c r="KPS51" s="4"/>
      <c r="KPT51" s="4"/>
      <c r="KPU51" s="4"/>
      <c r="KPV51" s="4"/>
      <c r="KPW51" s="4"/>
      <c r="KPX51" s="4"/>
      <c r="KPY51" s="4"/>
      <c r="KPZ51" s="4"/>
      <c r="KQA51" s="4"/>
      <c r="KQB51" s="4"/>
      <c r="KQC51" s="4"/>
      <c r="KQD51" s="4"/>
      <c r="KQE51" s="4"/>
      <c r="KQF51" s="4"/>
      <c r="KQG51" s="4"/>
      <c r="KQH51" s="4"/>
      <c r="KQI51" s="4"/>
      <c r="KQJ51" s="4"/>
      <c r="KQK51" s="4"/>
      <c r="KQL51" s="4"/>
      <c r="KQM51" s="4"/>
      <c r="KQN51" s="4"/>
      <c r="KQO51" s="4"/>
      <c r="KQP51" s="4"/>
      <c r="KQQ51" s="4"/>
      <c r="KQR51" s="4"/>
      <c r="KQS51" s="4"/>
      <c r="KQT51" s="4"/>
      <c r="KQU51" s="4"/>
      <c r="KQV51" s="4"/>
      <c r="KQW51" s="4"/>
      <c r="KQX51" s="4"/>
      <c r="KQY51" s="4"/>
      <c r="KQZ51" s="4"/>
      <c r="KRA51" s="4"/>
      <c r="KRB51" s="4"/>
      <c r="KRC51" s="4"/>
      <c r="KRD51" s="4"/>
      <c r="KRE51" s="4"/>
      <c r="KRF51" s="4"/>
      <c r="KRG51" s="4"/>
      <c r="KRH51" s="4"/>
      <c r="KRI51" s="4"/>
      <c r="KRJ51" s="4"/>
      <c r="KRK51" s="4"/>
      <c r="KRL51" s="4"/>
      <c r="KRM51" s="4"/>
      <c r="KRN51" s="4"/>
      <c r="KRO51" s="4"/>
      <c r="KRP51" s="4"/>
      <c r="KRQ51" s="4"/>
      <c r="KRR51" s="4"/>
      <c r="KRS51" s="4"/>
      <c r="KRT51" s="4"/>
      <c r="KRU51" s="4"/>
      <c r="KRV51" s="4"/>
      <c r="KRW51" s="4"/>
      <c r="KRX51" s="4"/>
      <c r="KRY51" s="4"/>
      <c r="KRZ51" s="4"/>
      <c r="KSA51" s="4"/>
      <c r="KSB51" s="4"/>
      <c r="KSC51" s="4"/>
      <c r="KSD51" s="4"/>
      <c r="KSE51" s="4"/>
      <c r="KSF51" s="4"/>
      <c r="KSG51" s="4"/>
      <c r="KSH51" s="4"/>
      <c r="KSI51" s="4"/>
      <c r="KSJ51" s="4"/>
      <c r="KSK51" s="4"/>
      <c r="KSL51" s="4"/>
      <c r="KSM51" s="4"/>
      <c r="KSN51" s="4"/>
      <c r="KSO51" s="4"/>
      <c r="KSP51" s="4"/>
      <c r="KSQ51" s="4"/>
      <c r="KSR51" s="4"/>
      <c r="KSS51" s="4"/>
      <c r="KST51" s="4"/>
      <c r="KSU51" s="4"/>
      <c r="KSV51" s="4"/>
      <c r="KSW51" s="4"/>
      <c r="KSX51" s="4"/>
      <c r="KSY51" s="4"/>
      <c r="KSZ51" s="4"/>
      <c r="KTA51" s="4"/>
      <c r="KTB51" s="4"/>
      <c r="KTC51" s="4"/>
      <c r="KTD51" s="4"/>
      <c r="KTE51" s="4"/>
      <c r="KTF51" s="4"/>
      <c r="KTG51" s="4"/>
      <c r="KTH51" s="4"/>
      <c r="KTI51" s="4"/>
      <c r="KTJ51" s="4"/>
      <c r="KTK51" s="4"/>
      <c r="KTL51" s="4"/>
      <c r="KTM51" s="4"/>
      <c r="KTN51" s="4"/>
      <c r="KTO51" s="4"/>
      <c r="KTP51" s="4"/>
      <c r="KTQ51" s="4"/>
      <c r="KTR51" s="4"/>
      <c r="KTS51" s="4"/>
      <c r="KTT51" s="4"/>
      <c r="KTU51" s="4"/>
      <c r="KTV51" s="4"/>
      <c r="KTW51" s="4"/>
      <c r="KTX51" s="4"/>
      <c r="KTY51" s="4"/>
      <c r="KTZ51" s="4"/>
      <c r="KUA51" s="4"/>
      <c r="KUB51" s="4"/>
      <c r="KUC51" s="4"/>
      <c r="KUD51" s="4"/>
      <c r="KUE51" s="4"/>
      <c r="KUF51" s="4"/>
      <c r="KUG51" s="4"/>
      <c r="KUH51" s="4"/>
      <c r="KUI51" s="4"/>
      <c r="KUJ51" s="4"/>
      <c r="KUK51" s="4"/>
      <c r="KUL51" s="4"/>
      <c r="KUM51" s="4"/>
      <c r="KUN51" s="4"/>
      <c r="KUO51" s="4"/>
      <c r="KUP51" s="4"/>
      <c r="KUQ51" s="4"/>
      <c r="KUR51" s="4"/>
      <c r="KUS51" s="4"/>
      <c r="KUT51" s="4"/>
      <c r="KUU51" s="4"/>
      <c r="KUV51" s="4"/>
      <c r="KUW51" s="4"/>
      <c r="KUX51" s="4"/>
      <c r="KUY51" s="4"/>
      <c r="KUZ51" s="4"/>
      <c r="KVA51" s="4"/>
      <c r="KVB51" s="4"/>
      <c r="KVC51" s="4"/>
      <c r="KVD51" s="4"/>
      <c r="KVE51" s="4"/>
      <c r="KVF51" s="4"/>
      <c r="KVG51" s="4"/>
      <c r="KVH51" s="4"/>
      <c r="KVI51" s="4"/>
      <c r="KVJ51" s="4"/>
      <c r="KVK51" s="4"/>
      <c r="KVL51" s="4"/>
      <c r="KVM51" s="4"/>
      <c r="KVN51" s="4"/>
      <c r="KVO51" s="4"/>
      <c r="KVP51" s="4"/>
      <c r="KVQ51" s="4"/>
      <c r="KVR51" s="4"/>
      <c r="KVS51" s="4"/>
      <c r="KVT51" s="4"/>
      <c r="KVU51" s="4"/>
      <c r="KVV51" s="4"/>
      <c r="KVW51" s="4"/>
      <c r="KVX51" s="4"/>
      <c r="KVY51" s="4"/>
      <c r="KVZ51" s="4"/>
      <c r="KWA51" s="4"/>
      <c r="KWB51" s="4"/>
      <c r="KWC51" s="4"/>
      <c r="KWD51" s="4"/>
      <c r="KWE51" s="4"/>
      <c r="KWF51" s="4"/>
      <c r="KWG51" s="4"/>
      <c r="KWH51" s="4"/>
      <c r="KWI51" s="4"/>
      <c r="KWJ51" s="4"/>
      <c r="KWK51" s="4"/>
      <c r="KWL51" s="4"/>
      <c r="KWM51" s="4"/>
      <c r="KWN51" s="4"/>
      <c r="KWO51" s="4"/>
      <c r="KWP51" s="4"/>
      <c r="KWQ51" s="4"/>
      <c r="KWR51" s="4"/>
      <c r="KWS51" s="4"/>
      <c r="KWT51" s="4"/>
      <c r="KWU51" s="4"/>
      <c r="KWV51" s="4"/>
      <c r="KWW51" s="4"/>
      <c r="KWX51" s="4"/>
      <c r="KWY51" s="4"/>
      <c r="KWZ51" s="4"/>
      <c r="KXA51" s="4"/>
      <c r="KXB51" s="4"/>
      <c r="KXC51" s="4"/>
      <c r="KXD51" s="4"/>
      <c r="KXE51" s="4"/>
      <c r="KXF51" s="4"/>
      <c r="KXG51" s="4"/>
      <c r="KXH51" s="4"/>
      <c r="KXI51" s="4"/>
      <c r="KXJ51" s="4"/>
      <c r="KXK51" s="4"/>
      <c r="KXL51" s="4"/>
      <c r="KXM51" s="4"/>
      <c r="KXN51" s="4"/>
      <c r="KXO51" s="4"/>
      <c r="KXP51" s="4"/>
      <c r="KXQ51" s="4"/>
      <c r="KXR51" s="4"/>
      <c r="KXS51" s="4"/>
      <c r="KXT51" s="4"/>
      <c r="KXU51" s="4"/>
      <c r="KXV51" s="4"/>
      <c r="KXW51" s="4"/>
      <c r="KXX51" s="4"/>
      <c r="KXY51" s="4"/>
      <c r="KXZ51" s="4"/>
      <c r="KYA51" s="4"/>
      <c r="KYB51" s="4"/>
      <c r="KYC51" s="4"/>
      <c r="KYD51" s="4"/>
      <c r="KYE51" s="4"/>
      <c r="KYF51" s="4"/>
      <c r="KYG51" s="4"/>
      <c r="KYH51" s="4"/>
      <c r="KYI51" s="4"/>
      <c r="KYJ51" s="4"/>
      <c r="KYK51" s="4"/>
      <c r="KYL51" s="4"/>
      <c r="KYM51" s="4"/>
      <c r="KYN51" s="4"/>
      <c r="KYO51" s="4"/>
      <c r="KYP51" s="4"/>
      <c r="KYQ51" s="4"/>
      <c r="KYR51" s="4"/>
      <c r="KYS51" s="4"/>
      <c r="KYT51" s="4"/>
      <c r="KYU51" s="4"/>
      <c r="KYV51" s="4"/>
      <c r="KYW51" s="4"/>
      <c r="KYX51" s="4"/>
      <c r="KYY51" s="4"/>
      <c r="KYZ51" s="4"/>
      <c r="KZA51" s="4"/>
      <c r="KZB51" s="4"/>
      <c r="KZC51" s="4"/>
      <c r="KZD51" s="4"/>
      <c r="KZE51" s="4"/>
      <c r="KZF51" s="4"/>
      <c r="KZG51" s="4"/>
      <c r="KZH51" s="4"/>
      <c r="KZI51" s="4"/>
      <c r="KZJ51" s="4"/>
      <c r="KZK51" s="4"/>
      <c r="KZL51" s="4"/>
      <c r="KZM51" s="4"/>
      <c r="KZN51" s="4"/>
      <c r="KZO51" s="4"/>
      <c r="KZP51" s="4"/>
      <c r="KZQ51" s="4"/>
      <c r="KZR51" s="4"/>
      <c r="KZS51" s="4"/>
      <c r="KZT51" s="4"/>
      <c r="KZU51" s="4"/>
      <c r="KZV51" s="4"/>
      <c r="KZW51" s="4"/>
      <c r="KZX51" s="4"/>
      <c r="KZY51" s="4"/>
      <c r="KZZ51" s="4"/>
      <c r="LAA51" s="4"/>
      <c r="LAB51" s="4"/>
      <c r="LAC51" s="4"/>
      <c r="LAD51" s="4"/>
      <c r="LAE51" s="4"/>
      <c r="LAF51" s="4"/>
      <c r="LAG51" s="4"/>
      <c r="LAH51" s="4"/>
      <c r="LAI51" s="4"/>
      <c r="LAJ51" s="4"/>
      <c r="LAK51" s="4"/>
      <c r="LAL51" s="4"/>
      <c r="LAM51" s="4"/>
      <c r="LAN51" s="4"/>
      <c r="LAO51" s="4"/>
      <c r="LAP51" s="4"/>
      <c r="LAQ51" s="4"/>
      <c r="LAR51" s="4"/>
      <c r="LAS51" s="4"/>
      <c r="LAT51" s="4"/>
      <c r="LAU51" s="4"/>
      <c r="LAV51" s="4"/>
      <c r="LAW51" s="4"/>
      <c r="LAX51" s="4"/>
      <c r="LAY51" s="4"/>
      <c r="LAZ51" s="4"/>
      <c r="LBA51" s="4"/>
      <c r="LBB51" s="4"/>
      <c r="LBC51" s="4"/>
      <c r="LBD51" s="4"/>
      <c r="LBE51" s="4"/>
      <c r="LBF51" s="4"/>
      <c r="LBG51" s="4"/>
      <c r="LBH51" s="4"/>
      <c r="LBI51" s="4"/>
      <c r="LBJ51" s="4"/>
      <c r="LBK51" s="4"/>
      <c r="LBL51" s="4"/>
      <c r="LBM51" s="4"/>
      <c r="LBN51" s="4"/>
      <c r="LBO51" s="4"/>
      <c r="LBP51" s="4"/>
      <c r="LBQ51" s="4"/>
      <c r="LBR51" s="4"/>
      <c r="LBS51" s="4"/>
      <c r="LBT51" s="4"/>
      <c r="LBU51" s="4"/>
      <c r="LBV51" s="4"/>
      <c r="LBW51" s="4"/>
      <c r="LBX51" s="4"/>
      <c r="LBY51" s="4"/>
      <c r="LBZ51" s="4"/>
      <c r="LCA51" s="4"/>
      <c r="LCB51" s="4"/>
      <c r="LCC51" s="4"/>
      <c r="LCD51" s="4"/>
      <c r="LCE51" s="4"/>
      <c r="LCF51" s="4"/>
      <c r="LCG51" s="4"/>
      <c r="LCH51" s="4"/>
      <c r="LCI51" s="4"/>
      <c r="LCJ51" s="4"/>
      <c r="LCK51" s="4"/>
      <c r="LCL51" s="4"/>
      <c r="LCM51" s="4"/>
      <c r="LCN51" s="4"/>
      <c r="LCO51" s="4"/>
      <c r="LCP51" s="4"/>
      <c r="LCQ51" s="4"/>
      <c r="LCR51" s="4"/>
      <c r="LCS51" s="4"/>
      <c r="LCT51" s="4"/>
      <c r="LCU51" s="4"/>
      <c r="LCV51" s="4"/>
      <c r="LCW51" s="4"/>
      <c r="LCX51" s="4"/>
      <c r="LCY51" s="4"/>
      <c r="LCZ51" s="4"/>
      <c r="LDA51" s="4"/>
      <c r="LDB51" s="4"/>
      <c r="LDC51" s="4"/>
      <c r="LDD51" s="4"/>
      <c r="LDE51" s="4"/>
      <c r="LDF51" s="4"/>
      <c r="LDG51" s="4"/>
      <c r="LDH51" s="4"/>
      <c r="LDI51" s="4"/>
      <c r="LDJ51" s="4"/>
      <c r="LDK51" s="4"/>
      <c r="LDL51" s="4"/>
      <c r="LDM51" s="4"/>
      <c r="LDN51" s="4"/>
      <c r="LDO51" s="4"/>
      <c r="LDP51" s="4"/>
      <c r="LDQ51" s="4"/>
      <c r="LDR51" s="4"/>
      <c r="LDS51" s="4"/>
      <c r="LDT51" s="4"/>
      <c r="LDU51" s="4"/>
      <c r="LDV51" s="4"/>
      <c r="LDW51" s="4"/>
      <c r="LDX51" s="4"/>
      <c r="LDY51" s="4"/>
      <c r="LDZ51" s="4"/>
      <c r="LEA51" s="4"/>
      <c r="LEB51" s="4"/>
      <c r="LEC51" s="4"/>
      <c r="LED51" s="4"/>
      <c r="LEE51" s="4"/>
      <c r="LEF51" s="4"/>
      <c r="LEG51" s="4"/>
      <c r="LEH51" s="4"/>
      <c r="LEI51" s="4"/>
      <c r="LEJ51" s="4"/>
      <c r="LEK51" s="4"/>
      <c r="LEL51" s="4"/>
      <c r="LEM51" s="4"/>
      <c r="LEN51" s="4"/>
      <c r="LEO51" s="4"/>
      <c r="LEP51" s="4"/>
      <c r="LEQ51" s="4"/>
      <c r="LER51" s="4"/>
      <c r="LES51" s="4"/>
      <c r="LET51" s="4"/>
      <c r="LEU51" s="4"/>
      <c r="LEV51" s="4"/>
      <c r="LEW51" s="4"/>
      <c r="LEX51" s="4"/>
      <c r="LEY51" s="4"/>
      <c r="LEZ51" s="4"/>
      <c r="LFA51" s="4"/>
      <c r="LFB51" s="4"/>
      <c r="LFC51" s="4"/>
      <c r="LFD51" s="4"/>
      <c r="LFE51" s="4"/>
      <c r="LFF51" s="4"/>
      <c r="LFG51" s="4"/>
      <c r="LFH51" s="4"/>
      <c r="LFI51" s="4"/>
      <c r="LFJ51" s="4"/>
      <c r="LFK51" s="4"/>
      <c r="LFL51" s="4"/>
      <c r="LFM51" s="4"/>
      <c r="LFN51" s="4"/>
      <c r="LFO51" s="4"/>
      <c r="LFP51" s="4"/>
      <c r="LFQ51" s="4"/>
      <c r="LFR51" s="4"/>
      <c r="LFS51" s="4"/>
      <c r="LFT51" s="4"/>
      <c r="LFU51" s="4"/>
      <c r="LFV51" s="4"/>
      <c r="LFW51" s="4"/>
      <c r="LFX51" s="4"/>
      <c r="LFY51" s="4"/>
      <c r="LFZ51" s="4"/>
      <c r="LGA51" s="4"/>
      <c r="LGB51" s="4"/>
      <c r="LGC51" s="4"/>
      <c r="LGD51" s="4"/>
      <c r="LGE51" s="4"/>
      <c r="LGF51" s="4"/>
      <c r="LGG51" s="4"/>
      <c r="LGH51" s="4"/>
      <c r="LGI51" s="4"/>
      <c r="LGJ51" s="4"/>
      <c r="LGK51" s="4"/>
      <c r="LGL51" s="4"/>
      <c r="LGM51" s="4"/>
      <c r="LGN51" s="4"/>
      <c r="LGO51" s="4"/>
      <c r="LGP51" s="4"/>
      <c r="LGQ51" s="4"/>
      <c r="LGR51" s="4"/>
      <c r="LGS51" s="4"/>
      <c r="LGT51" s="4"/>
      <c r="LGU51" s="4"/>
      <c r="LGV51" s="4"/>
      <c r="LGW51" s="4"/>
      <c r="LGX51" s="4"/>
      <c r="LGY51" s="4"/>
      <c r="LGZ51" s="4"/>
      <c r="LHA51" s="4"/>
      <c r="LHB51" s="4"/>
      <c r="LHC51" s="4"/>
      <c r="LHD51" s="4"/>
      <c r="LHE51" s="4"/>
      <c r="LHF51" s="4"/>
      <c r="LHG51" s="4"/>
      <c r="LHH51" s="4"/>
      <c r="LHI51" s="4"/>
      <c r="LHJ51" s="4"/>
      <c r="LHK51" s="4"/>
      <c r="LHL51" s="4"/>
      <c r="LHM51" s="4"/>
      <c r="LHN51" s="4"/>
      <c r="LHO51" s="4"/>
      <c r="LHP51" s="4"/>
      <c r="LHQ51" s="4"/>
      <c r="LHR51" s="4"/>
      <c r="LHS51" s="4"/>
      <c r="LHT51" s="4"/>
      <c r="LHU51" s="4"/>
      <c r="LHV51" s="4"/>
      <c r="LHW51" s="4"/>
      <c r="LHX51" s="4"/>
      <c r="LHY51" s="4"/>
      <c r="LHZ51" s="4"/>
      <c r="LIA51" s="4"/>
      <c r="LIB51" s="4"/>
      <c r="LIC51" s="4"/>
      <c r="LID51" s="4"/>
      <c r="LIE51" s="4"/>
      <c r="LIF51" s="4"/>
      <c r="LIG51" s="4"/>
      <c r="LIH51" s="4"/>
      <c r="LII51" s="4"/>
      <c r="LIJ51" s="4"/>
      <c r="LIK51" s="4"/>
      <c r="LIL51" s="4"/>
      <c r="LIM51" s="4"/>
      <c r="LIN51" s="4"/>
      <c r="LIO51" s="4"/>
      <c r="LIP51" s="4"/>
      <c r="LIQ51" s="4"/>
      <c r="LIR51" s="4"/>
      <c r="LIS51" s="4"/>
      <c r="LIT51" s="4"/>
      <c r="LIU51" s="4"/>
      <c r="LIV51" s="4"/>
      <c r="LIW51" s="4"/>
      <c r="LIX51" s="4"/>
      <c r="LIY51" s="4"/>
      <c r="LIZ51" s="4"/>
      <c r="LJA51" s="4"/>
      <c r="LJB51" s="4"/>
      <c r="LJC51" s="4"/>
      <c r="LJD51" s="4"/>
      <c r="LJE51" s="4"/>
      <c r="LJF51" s="4"/>
      <c r="LJG51" s="4"/>
      <c r="LJH51" s="4"/>
      <c r="LJI51" s="4"/>
      <c r="LJJ51" s="4"/>
      <c r="LJK51" s="4"/>
      <c r="LJL51" s="4"/>
      <c r="LJM51" s="4"/>
      <c r="LJN51" s="4"/>
      <c r="LJO51" s="4"/>
      <c r="LJP51" s="4"/>
      <c r="LJQ51" s="4"/>
      <c r="LJR51" s="4"/>
      <c r="LJS51" s="4"/>
      <c r="LJT51" s="4"/>
      <c r="LJU51" s="4"/>
      <c r="LJV51" s="4"/>
      <c r="LJW51" s="4"/>
      <c r="LJX51" s="4"/>
      <c r="LJY51" s="4"/>
      <c r="LJZ51" s="4"/>
      <c r="LKA51" s="4"/>
      <c r="LKB51" s="4"/>
      <c r="LKC51" s="4"/>
      <c r="LKD51" s="4"/>
      <c r="LKE51" s="4"/>
      <c r="LKF51" s="4"/>
      <c r="LKG51" s="4"/>
      <c r="LKH51" s="4"/>
      <c r="LKI51" s="4"/>
      <c r="LKJ51" s="4"/>
      <c r="LKK51" s="4"/>
      <c r="LKL51" s="4"/>
      <c r="LKM51" s="4"/>
      <c r="LKN51" s="4"/>
      <c r="LKO51" s="4"/>
      <c r="LKP51" s="4"/>
      <c r="LKQ51" s="4"/>
      <c r="LKR51" s="4"/>
      <c r="LKS51" s="4"/>
      <c r="LKT51" s="4"/>
      <c r="LKU51" s="4"/>
      <c r="LKV51" s="4"/>
      <c r="LKW51" s="4"/>
      <c r="LKX51" s="4"/>
      <c r="LKY51" s="4"/>
      <c r="LKZ51" s="4"/>
      <c r="LLA51" s="4"/>
      <c r="LLB51" s="4"/>
      <c r="LLC51" s="4"/>
      <c r="LLD51" s="4"/>
      <c r="LLE51" s="4"/>
      <c r="LLF51" s="4"/>
      <c r="LLG51" s="4"/>
      <c r="LLH51" s="4"/>
      <c r="LLI51" s="4"/>
      <c r="LLJ51" s="4"/>
      <c r="LLK51" s="4"/>
      <c r="LLL51" s="4"/>
      <c r="LLM51" s="4"/>
      <c r="LLN51" s="4"/>
      <c r="LLO51" s="4"/>
      <c r="LLP51" s="4"/>
      <c r="LLQ51" s="4"/>
      <c r="LLR51" s="4"/>
      <c r="LLS51" s="4"/>
      <c r="LLT51" s="4"/>
      <c r="LLU51" s="4"/>
      <c r="LLV51" s="4"/>
      <c r="LLW51" s="4"/>
      <c r="LLX51" s="4"/>
      <c r="LLY51" s="4"/>
      <c r="LLZ51" s="4"/>
      <c r="LMA51" s="4"/>
      <c r="LMB51" s="4"/>
      <c r="LMC51" s="4"/>
      <c r="LMD51" s="4"/>
      <c r="LME51" s="4"/>
      <c r="LMF51" s="4"/>
      <c r="LMG51" s="4"/>
      <c r="LMH51" s="4"/>
      <c r="LMI51" s="4"/>
      <c r="LMJ51" s="4"/>
      <c r="LMK51" s="4"/>
      <c r="LML51" s="4"/>
      <c r="LMM51" s="4"/>
      <c r="LMN51" s="4"/>
      <c r="LMO51" s="4"/>
      <c r="LMP51" s="4"/>
      <c r="LMQ51" s="4"/>
      <c r="LMR51" s="4"/>
      <c r="LMS51" s="4"/>
      <c r="LMT51" s="4"/>
      <c r="LMU51" s="4"/>
      <c r="LMV51" s="4"/>
      <c r="LMW51" s="4"/>
      <c r="LMX51" s="4"/>
      <c r="LMY51" s="4"/>
      <c r="LMZ51" s="4"/>
      <c r="LNA51" s="4"/>
      <c r="LNB51" s="4"/>
      <c r="LNC51" s="4"/>
      <c r="LND51" s="4"/>
      <c r="LNE51" s="4"/>
      <c r="LNF51" s="4"/>
      <c r="LNG51" s="4"/>
      <c r="LNH51" s="4"/>
      <c r="LNI51" s="4"/>
      <c r="LNJ51" s="4"/>
      <c r="LNK51" s="4"/>
      <c r="LNL51" s="4"/>
      <c r="LNM51" s="4"/>
      <c r="LNN51" s="4"/>
      <c r="LNO51" s="4"/>
      <c r="LNP51" s="4"/>
      <c r="LNQ51" s="4"/>
      <c r="LNR51" s="4"/>
      <c r="LNS51" s="4"/>
      <c r="LNT51" s="4"/>
      <c r="LNU51" s="4"/>
      <c r="LNV51" s="4"/>
      <c r="LNW51" s="4"/>
      <c r="LNX51" s="4"/>
      <c r="LNY51" s="4"/>
      <c r="LNZ51" s="4"/>
      <c r="LOA51" s="4"/>
      <c r="LOB51" s="4"/>
      <c r="LOC51" s="4"/>
      <c r="LOD51" s="4"/>
      <c r="LOE51" s="4"/>
      <c r="LOF51" s="4"/>
      <c r="LOG51" s="4"/>
      <c r="LOH51" s="4"/>
      <c r="LOI51" s="4"/>
      <c r="LOJ51" s="4"/>
      <c r="LOK51" s="4"/>
      <c r="LOL51" s="4"/>
      <c r="LOM51" s="4"/>
      <c r="LON51" s="4"/>
      <c r="LOO51" s="4"/>
      <c r="LOP51" s="4"/>
      <c r="LOQ51" s="4"/>
      <c r="LOR51" s="4"/>
      <c r="LOS51" s="4"/>
      <c r="LOT51" s="4"/>
      <c r="LOU51" s="4"/>
      <c r="LOV51" s="4"/>
      <c r="LOW51" s="4"/>
      <c r="LOX51" s="4"/>
      <c r="LOY51" s="4"/>
      <c r="LOZ51" s="4"/>
      <c r="LPA51" s="4"/>
      <c r="LPB51" s="4"/>
      <c r="LPC51" s="4"/>
      <c r="LPD51" s="4"/>
      <c r="LPE51" s="4"/>
      <c r="LPF51" s="4"/>
      <c r="LPG51" s="4"/>
      <c r="LPH51" s="4"/>
      <c r="LPI51" s="4"/>
      <c r="LPJ51" s="4"/>
      <c r="LPK51" s="4"/>
      <c r="LPL51" s="4"/>
      <c r="LPM51" s="4"/>
      <c r="LPN51" s="4"/>
      <c r="LPO51" s="4"/>
      <c r="LPP51" s="4"/>
      <c r="LPQ51" s="4"/>
      <c r="LPR51" s="4"/>
      <c r="LPS51" s="4"/>
      <c r="LPT51" s="4"/>
      <c r="LPU51" s="4"/>
      <c r="LPV51" s="4"/>
      <c r="LPW51" s="4"/>
      <c r="LPX51" s="4"/>
      <c r="LPY51" s="4"/>
      <c r="LPZ51" s="4"/>
      <c r="LQA51" s="4"/>
      <c r="LQB51" s="4"/>
      <c r="LQC51" s="4"/>
      <c r="LQD51" s="4"/>
      <c r="LQE51" s="4"/>
      <c r="LQF51" s="4"/>
      <c r="LQG51" s="4"/>
      <c r="LQH51" s="4"/>
      <c r="LQI51" s="4"/>
      <c r="LQJ51" s="4"/>
      <c r="LQK51" s="4"/>
      <c r="LQL51" s="4"/>
      <c r="LQM51" s="4"/>
      <c r="LQN51" s="4"/>
      <c r="LQO51" s="4"/>
      <c r="LQP51" s="4"/>
      <c r="LQQ51" s="4"/>
      <c r="LQR51" s="4"/>
      <c r="LQS51" s="4"/>
      <c r="LQT51" s="4"/>
      <c r="LQU51" s="4"/>
      <c r="LQV51" s="4"/>
      <c r="LQW51" s="4"/>
      <c r="LQX51" s="4"/>
      <c r="LQY51" s="4"/>
      <c r="LQZ51" s="4"/>
      <c r="LRA51" s="4"/>
      <c r="LRB51" s="4"/>
      <c r="LRC51" s="4"/>
      <c r="LRD51" s="4"/>
      <c r="LRE51" s="4"/>
      <c r="LRF51" s="4"/>
      <c r="LRG51" s="4"/>
      <c r="LRH51" s="4"/>
      <c r="LRI51" s="4"/>
      <c r="LRJ51" s="4"/>
      <c r="LRK51" s="4"/>
      <c r="LRL51" s="4"/>
      <c r="LRM51" s="4"/>
      <c r="LRN51" s="4"/>
      <c r="LRO51" s="4"/>
      <c r="LRP51" s="4"/>
      <c r="LRQ51" s="4"/>
      <c r="LRR51" s="4"/>
      <c r="LRS51" s="4"/>
      <c r="LRT51" s="4"/>
      <c r="LRU51" s="4"/>
      <c r="LRV51" s="4"/>
      <c r="LRW51" s="4"/>
      <c r="LRX51" s="4"/>
      <c r="LRY51" s="4"/>
      <c r="LRZ51" s="4"/>
      <c r="LSA51" s="4"/>
      <c r="LSB51" s="4"/>
      <c r="LSC51" s="4"/>
      <c r="LSD51" s="4"/>
      <c r="LSE51" s="4"/>
      <c r="LSF51" s="4"/>
      <c r="LSG51" s="4"/>
      <c r="LSH51" s="4"/>
      <c r="LSI51" s="4"/>
      <c r="LSJ51" s="4"/>
      <c r="LSK51" s="4"/>
      <c r="LSL51" s="4"/>
      <c r="LSM51" s="4"/>
      <c r="LSN51" s="4"/>
      <c r="LSO51" s="4"/>
      <c r="LSP51" s="4"/>
      <c r="LSQ51" s="4"/>
      <c r="LSR51" s="4"/>
      <c r="LSS51" s="4"/>
      <c r="LST51" s="4"/>
      <c r="LSU51" s="4"/>
      <c r="LSV51" s="4"/>
      <c r="LSW51" s="4"/>
      <c r="LSX51" s="4"/>
      <c r="LSY51" s="4"/>
      <c r="LSZ51" s="4"/>
      <c r="LTA51" s="4"/>
      <c r="LTB51" s="4"/>
      <c r="LTC51" s="4"/>
      <c r="LTD51" s="4"/>
      <c r="LTE51" s="4"/>
      <c r="LTF51" s="4"/>
      <c r="LTG51" s="4"/>
      <c r="LTH51" s="4"/>
      <c r="LTI51" s="4"/>
      <c r="LTJ51" s="4"/>
      <c r="LTK51" s="4"/>
      <c r="LTL51" s="4"/>
      <c r="LTM51" s="4"/>
      <c r="LTN51" s="4"/>
      <c r="LTO51" s="4"/>
      <c r="LTP51" s="4"/>
      <c r="LTQ51" s="4"/>
      <c r="LTR51" s="4"/>
      <c r="LTS51" s="4"/>
      <c r="LTT51" s="4"/>
      <c r="LTU51" s="4"/>
      <c r="LTV51" s="4"/>
      <c r="LTW51" s="4"/>
      <c r="LTX51" s="4"/>
      <c r="LTY51" s="4"/>
      <c r="LTZ51" s="4"/>
      <c r="LUA51" s="4"/>
      <c r="LUB51" s="4"/>
      <c r="LUC51" s="4"/>
      <c r="LUD51" s="4"/>
      <c r="LUE51" s="4"/>
      <c r="LUF51" s="4"/>
      <c r="LUG51" s="4"/>
      <c r="LUH51" s="4"/>
      <c r="LUI51" s="4"/>
      <c r="LUJ51" s="4"/>
      <c r="LUK51" s="4"/>
      <c r="LUL51" s="4"/>
      <c r="LUM51" s="4"/>
      <c r="LUN51" s="4"/>
      <c r="LUO51" s="4"/>
      <c r="LUP51" s="4"/>
      <c r="LUQ51" s="4"/>
      <c r="LUR51" s="4"/>
      <c r="LUS51" s="4"/>
      <c r="LUT51" s="4"/>
      <c r="LUU51" s="4"/>
      <c r="LUV51" s="4"/>
      <c r="LUW51" s="4"/>
      <c r="LUX51" s="4"/>
      <c r="LUY51" s="4"/>
      <c r="LUZ51" s="4"/>
      <c r="LVA51" s="4"/>
      <c r="LVB51" s="4"/>
      <c r="LVC51" s="4"/>
      <c r="LVD51" s="4"/>
      <c r="LVE51" s="4"/>
      <c r="LVF51" s="4"/>
      <c r="LVG51" s="4"/>
      <c r="LVH51" s="4"/>
      <c r="LVI51" s="4"/>
      <c r="LVJ51" s="4"/>
      <c r="LVK51" s="4"/>
      <c r="LVL51" s="4"/>
      <c r="LVM51" s="4"/>
      <c r="LVN51" s="4"/>
      <c r="LVO51" s="4"/>
      <c r="LVP51" s="4"/>
      <c r="LVQ51" s="4"/>
      <c r="LVR51" s="4"/>
      <c r="LVS51" s="4"/>
      <c r="LVT51" s="4"/>
      <c r="LVU51" s="4"/>
      <c r="LVV51" s="4"/>
      <c r="LVW51" s="4"/>
      <c r="LVX51" s="4"/>
      <c r="LVY51" s="4"/>
      <c r="LVZ51" s="4"/>
      <c r="LWA51" s="4"/>
      <c r="LWB51" s="4"/>
      <c r="LWC51" s="4"/>
      <c r="LWD51" s="4"/>
      <c r="LWE51" s="4"/>
      <c r="LWF51" s="4"/>
      <c r="LWG51" s="4"/>
      <c r="LWH51" s="4"/>
      <c r="LWI51" s="4"/>
      <c r="LWJ51" s="4"/>
      <c r="LWK51" s="4"/>
      <c r="LWL51" s="4"/>
      <c r="LWM51" s="4"/>
      <c r="LWN51" s="4"/>
      <c r="LWO51" s="4"/>
      <c r="LWP51" s="4"/>
      <c r="LWQ51" s="4"/>
      <c r="LWR51" s="4"/>
      <c r="LWS51" s="4"/>
      <c r="LWT51" s="4"/>
      <c r="LWU51" s="4"/>
      <c r="LWV51" s="4"/>
      <c r="LWW51" s="4"/>
      <c r="LWX51" s="4"/>
      <c r="LWY51" s="4"/>
      <c r="LWZ51" s="4"/>
      <c r="LXA51" s="4"/>
      <c r="LXB51" s="4"/>
      <c r="LXC51" s="4"/>
      <c r="LXD51" s="4"/>
      <c r="LXE51" s="4"/>
      <c r="LXF51" s="4"/>
      <c r="LXG51" s="4"/>
      <c r="LXH51" s="4"/>
      <c r="LXI51" s="4"/>
      <c r="LXJ51" s="4"/>
      <c r="LXK51" s="4"/>
      <c r="LXL51" s="4"/>
      <c r="LXM51" s="4"/>
      <c r="LXN51" s="4"/>
      <c r="LXO51" s="4"/>
      <c r="LXP51" s="4"/>
      <c r="LXQ51" s="4"/>
      <c r="LXR51" s="4"/>
      <c r="LXS51" s="4"/>
      <c r="LXT51" s="4"/>
      <c r="LXU51" s="4"/>
      <c r="LXV51" s="4"/>
      <c r="LXW51" s="4"/>
      <c r="LXX51" s="4"/>
      <c r="LXY51" s="4"/>
      <c r="LXZ51" s="4"/>
      <c r="LYA51" s="4"/>
      <c r="LYB51" s="4"/>
      <c r="LYC51" s="4"/>
      <c r="LYD51" s="4"/>
      <c r="LYE51" s="4"/>
      <c r="LYF51" s="4"/>
      <c r="LYG51" s="4"/>
      <c r="LYH51" s="4"/>
      <c r="LYI51" s="4"/>
      <c r="LYJ51" s="4"/>
      <c r="LYK51" s="4"/>
      <c r="LYL51" s="4"/>
      <c r="LYM51" s="4"/>
      <c r="LYN51" s="4"/>
      <c r="LYO51" s="4"/>
      <c r="LYP51" s="4"/>
      <c r="LYQ51" s="4"/>
      <c r="LYR51" s="4"/>
      <c r="LYS51" s="4"/>
      <c r="LYT51" s="4"/>
      <c r="LYU51" s="4"/>
      <c r="LYV51" s="4"/>
      <c r="LYW51" s="4"/>
      <c r="LYX51" s="4"/>
      <c r="LYY51" s="4"/>
      <c r="LYZ51" s="4"/>
      <c r="LZA51" s="4"/>
      <c r="LZB51" s="4"/>
      <c r="LZC51" s="4"/>
      <c r="LZD51" s="4"/>
      <c r="LZE51" s="4"/>
      <c r="LZF51" s="4"/>
      <c r="LZG51" s="4"/>
      <c r="LZH51" s="4"/>
      <c r="LZI51" s="4"/>
      <c r="LZJ51" s="4"/>
      <c r="LZK51" s="4"/>
      <c r="LZL51" s="4"/>
      <c r="LZM51" s="4"/>
      <c r="LZN51" s="4"/>
      <c r="LZO51" s="4"/>
      <c r="LZP51" s="4"/>
      <c r="LZQ51" s="4"/>
      <c r="LZR51" s="4"/>
      <c r="LZS51" s="4"/>
      <c r="LZT51" s="4"/>
      <c r="LZU51" s="4"/>
      <c r="LZV51" s="4"/>
      <c r="LZW51" s="4"/>
      <c r="LZX51" s="4"/>
      <c r="LZY51" s="4"/>
      <c r="LZZ51" s="4"/>
      <c r="MAA51" s="4"/>
      <c r="MAB51" s="4"/>
      <c r="MAC51" s="4"/>
      <c r="MAD51" s="4"/>
      <c r="MAE51" s="4"/>
      <c r="MAF51" s="4"/>
      <c r="MAG51" s="4"/>
      <c r="MAH51" s="4"/>
      <c r="MAI51" s="4"/>
      <c r="MAJ51" s="4"/>
      <c r="MAK51" s="4"/>
      <c r="MAL51" s="4"/>
      <c r="MAM51" s="4"/>
      <c r="MAN51" s="4"/>
      <c r="MAO51" s="4"/>
      <c r="MAP51" s="4"/>
      <c r="MAQ51" s="4"/>
      <c r="MAR51" s="4"/>
      <c r="MAS51" s="4"/>
      <c r="MAT51" s="4"/>
      <c r="MAU51" s="4"/>
      <c r="MAV51" s="4"/>
      <c r="MAW51" s="4"/>
      <c r="MAX51" s="4"/>
      <c r="MAY51" s="4"/>
      <c r="MAZ51" s="4"/>
      <c r="MBA51" s="4"/>
      <c r="MBB51" s="4"/>
      <c r="MBC51" s="4"/>
      <c r="MBD51" s="4"/>
      <c r="MBE51" s="4"/>
      <c r="MBF51" s="4"/>
      <c r="MBG51" s="4"/>
      <c r="MBH51" s="4"/>
      <c r="MBI51" s="4"/>
      <c r="MBJ51" s="4"/>
      <c r="MBK51" s="4"/>
      <c r="MBL51" s="4"/>
      <c r="MBM51" s="4"/>
      <c r="MBN51" s="4"/>
      <c r="MBO51" s="4"/>
      <c r="MBP51" s="4"/>
      <c r="MBQ51" s="4"/>
      <c r="MBR51" s="4"/>
      <c r="MBS51" s="4"/>
      <c r="MBT51" s="4"/>
      <c r="MBU51" s="4"/>
      <c r="MBV51" s="4"/>
      <c r="MBW51" s="4"/>
      <c r="MBX51" s="4"/>
      <c r="MBY51" s="4"/>
      <c r="MBZ51" s="4"/>
      <c r="MCA51" s="4"/>
      <c r="MCB51" s="4"/>
      <c r="MCC51" s="4"/>
      <c r="MCD51" s="4"/>
      <c r="MCE51" s="4"/>
      <c r="MCF51" s="4"/>
      <c r="MCG51" s="4"/>
      <c r="MCH51" s="4"/>
      <c r="MCI51" s="4"/>
      <c r="MCJ51" s="4"/>
      <c r="MCK51" s="4"/>
      <c r="MCL51" s="4"/>
      <c r="MCM51" s="4"/>
      <c r="MCN51" s="4"/>
      <c r="MCO51" s="4"/>
      <c r="MCP51" s="4"/>
      <c r="MCQ51" s="4"/>
      <c r="MCR51" s="4"/>
      <c r="MCS51" s="4"/>
      <c r="MCT51" s="4"/>
      <c r="MCU51" s="4"/>
      <c r="MCV51" s="4"/>
      <c r="MCW51" s="4"/>
      <c r="MCX51" s="4"/>
      <c r="MCY51" s="4"/>
      <c r="MCZ51" s="4"/>
      <c r="MDA51" s="4"/>
      <c r="MDB51" s="4"/>
      <c r="MDC51" s="4"/>
      <c r="MDD51" s="4"/>
      <c r="MDE51" s="4"/>
      <c r="MDF51" s="4"/>
      <c r="MDG51" s="4"/>
      <c r="MDH51" s="4"/>
      <c r="MDI51" s="4"/>
      <c r="MDJ51" s="4"/>
      <c r="MDK51" s="4"/>
      <c r="MDL51" s="4"/>
      <c r="MDM51" s="4"/>
      <c r="MDN51" s="4"/>
      <c r="MDO51" s="4"/>
      <c r="MDP51" s="4"/>
      <c r="MDQ51" s="4"/>
      <c r="MDR51" s="4"/>
      <c r="MDS51" s="4"/>
      <c r="MDT51" s="4"/>
      <c r="MDU51" s="4"/>
      <c r="MDV51" s="4"/>
      <c r="MDW51" s="4"/>
      <c r="MDX51" s="4"/>
      <c r="MDY51" s="4"/>
      <c r="MDZ51" s="4"/>
      <c r="MEA51" s="4"/>
      <c r="MEB51" s="4"/>
      <c r="MEC51" s="4"/>
      <c r="MED51" s="4"/>
      <c r="MEE51" s="4"/>
      <c r="MEF51" s="4"/>
      <c r="MEG51" s="4"/>
      <c r="MEH51" s="4"/>
      <c r="MEI51" s="4"/>
      <c r="MEJ51" s="4"/>
      <c r="MEK51" s="4"/>
      <c r="MEL51" s="4"/>
      <c r="MEM51" s="4"/>
      <c r="MEN51" s="4"/>
      <c r="MEO51" s="4"/>
      <c r="MEP51" s="4"/>
      <c r="MEQ51" s="4"/>
      <c r="MER51" s="4"/>
      <c r="MES51" s="4"/>
      <c r="MET51" s="4"/>
      <c r="MEU51" s="4"/>
      <c r="MEV51" s="4"/>
      <c r="MEW51" s="4"/>
      <c r="MEX51" s="4"/>
      <c r="MEY51" s="4"/>
      <c r="MEZ51" s="4"/>
      <c r="MFA51" s="4"/>
      <c r="MFB51" s="4"/>
      <c r="MFC51" s="4"/>
      <c r="MFD51" s="4"/>
      <c r="MFE51" s="4"/>
      <c r="MFF51" s="4"/>
      <c r="MFG51" s="4"/>
      <c r="MFH51" s="4"/>
      <c r="MFI51" s="4"/>
      <c r="MFJ51" s="4"/>
      <c r="MFK51" s="4"/>
      <c r="MFL51" s="4"/>
      <c r="MFM51" s="4"/>
      <c r="MFN51" s="4"/>
      <c r="MFO51" s="4"/>
      <c r="MFP51" s="4"/>
      <c r="MFQ51" s="4"/>
      <c r="MFR51" s="4"/>
      <c r="MFS51" s="4"/>
      <c r="MFT51" s="4"/>
      <c r="MFU51" s="4"/>
      <c r="MFV51" s="4"/>
      <c r="MFW51" s="4"/>
      <c r="MFX51" s="4"/>
      <c r="MFY51" s="4"/>
      <c r="MFZ51" s="4"/>
      <c r="MGA51" s="4"/>
      <c r="MGB51" s="4"/>
      <c r="MGC51" s="4"/>
      <c r="MGD51" s="4"/>
      <c r="MGE51" s="4"/>
      <c r="MGF51" s="4"/>
      <c r="MGG51" s="4"/>
      <c r="MGH51" s="4"/>
      <c r="MGI51" s="4"/>
      <c r="MGJ51" s="4"/>
      <c r="MGK51" s="4"/>
      <c r="MGL51" s="4"/>
      <c r="MGM51" s="4"/>
      <c r="MGN51" s="4"/>
      <c r="MGO51" s="4"/>
      <c r="MGP51" s="4"/>
      <c r="MGQ51" s="4"/>
      <c r="MGR51" s="4"/>
      <c r="MGS51" s="4"/>
      <c r="MGT51" s="4"/>
      <c r="MGU51" s="4"/>
      <c r="MGV51" s="4"/>
      <c r="MGW51" s="4"/>
      <c r="MGX51" s="4"/>
      <c r="MGY51" s="4"/>
      <c r="MGZ51" s="4"/>
      <c r="MHA51" s="4"/>
      <c r="MHB51" s="4"/>
      <c r="MHC51" s="4"/>
      <c r="MHD51" s="4"/>
      <c r="MHE51" s="4"/>
      <c r="MHF51" s="4"/>
      <c r="MHG51" s="4"/>
      <c r="MHH51" s="4"/>
      <c r="MHI51" s="4"/>
      <c r="MHJ51" s="4"/>
      <c r="MHK51" s="4"/>
      <c r="MHL51" s="4"/>
      <c r="MHM51" s="4"/>
      <c r="MHN51" s="4"/>
      <c r="MHO51" s="4"/>
      <c r="MHP51" s="4"/>
      <c r="MHQ51" s="4"/>
      <c r="MHR51" s="4"/>
      <c r="MHS51" s="4"/>
      <c r="MHT51" s="4"/>
      <c r="MHU51" s="4"/>
      <c r="MHV51" s="4"/>
      <c r="MHW51" s="4"/>
      <c r="MHX51" s="4"/>
      <c r="MHY51" s="4"/>
      <c r="MHZ51" s="4"/>
      <c r="MIA51" s="4"/>
      <c r="MIB51" s="4"/>
      <c r="MIC51" s="4"/>
      <c r="MID51" s="4"/>
      <c r="MIE51" s="4"/>
      <c r="MIF51" s="4"/>
      <c r="MIG51" s="4"/>
      <c r="MIH51" s="4"/>
      <c r="MII51" s="4"/>
      <c r="MIJ51" s="4"/>
      <c r="MIK51" s="4"/>
      <c r="MIL51" s="4"/>
      <c r="MIM51" s="4"/>
      <c r="MIN51" s="4"/>
      <c r="MIO51" s="4"/>
      <c r="MIP51" s="4"/>
      <c r="MIQ51" s="4"/>
      <c r="MIR51" s="4"/>
      <c r="MIS51" s="4"/>
      <c r="MIT51" s="4"/>
      <c r="MIU51" s="4"/>
      <c r="MIV51" s="4"/>
      <c r="MIW51" s="4"/>
      <c r="MIX51" s="4"/>
      <c r="MIY51" s="4"/>
      <c r="MIZ51" s="4"/>
      <c r="MJA51" s="4"/>
      <c r="MJB51" s="4"/>
      <c r="MJC51" s="4"/>
      <c r="MJD51" s="4"/>
      <c r="MJE51" s="4"/>
      <c r="MJF51" s="4"/>
      <c r="MJG51" s="4"/>
      <c r="MJH51" s="4"/>
      <c r="MJI51" s="4"/>
      <c r="MJJ51" s="4"/>
      <c r="MJK51" s="4"/>
      <c r="MJL51" s="4"/>
      <c r="MJM51" s="4"/>
      <c r="MJN51" s="4"/>
      <c r="MJO51" s="4"/>
      <c r="MJP51" s="4"/>
      <c r="MJQ51" s="4"/>
      <c r="MJR51" s="4"/>
      <c r="MJS51" s="4"/>
      <c r="MJT51" s="4"/>
      <c r="MJU51" s="4"/>
      <c r="MJV51" s="4"/>
      <c r="MJW51" s="4"/>
      <c r="MJX51" s="4"/>
      <c r="MJY51" s="4"/>
      <c r="MJZ51" s="4"/>
      <c r="MKA51" s="4"/>
      <c r="MKB51" s="4"/>
      <c r="MKC51" s="4"/>
      <c r="MKD51" s="4"/>
      <c r="MKE51" s="4"/>
      <c r="MKF51" s="4"/>
      <c r="MKG51" s="4"/>
      <c r="MKH51" s="4"/>
      <c r="MKI51" s="4"/>
      <c r="MKJ51" s="4"/>
      <c r="MKK51" s="4"/>
      <c r="MKL51" s="4"/>
      <c r="MKM51" s="4"/>
      <c r="MKN51" s="4"/>
      <c r="MKO51" s="4"/>
      <c r="MKP51" s="4"/>
      <c r="MKQ51" s="4"/>
      <c r="MKR51" s="4"/>
      <c r="MKS51" s="4"/>
      <c r="MKT51" s="4"/>
      <c r="MKU51" s="4"/>
      <c r="MKV51" s="4"/>
      <c r="MKW51" s="4"/>
      <c r="MKX51" s="4"/>
      <c r="MKY51" s="4"/>
      <c r="MKZ51" s="4"/>
      <c r="MLA51" s="4"/>
      <c r="MLB51" s="4"/>
      <c r="MLC51" s="4"/>
      <c r="MLD51" s="4"/>
      <c r="MLE51" s="4"/>
      <c r="MLF51" s="4"/>
      <c r="MLG51" s="4"/>
      <c r="MLH51" s="4"/>
      <c r="MLI51" s="4"/>
      <c r="MLJ51" s="4"/>
      <c r="MLK51" s="4"/>
      <c r="MLL51" s="4"/>
      <c r="MLM51" s="4"/>
      <c r="MLN51" s="4"/>
      <c r="MLO51" s="4"/>
      <c r="MLP51" s="4"/>
      <c r="MLQ51" s="4"/>
      <c r="MLR51" s="4"/>
      <c r="MLS51" s="4"/>
      <c r="MLT51" s="4"/>
      <c r="MLU51" s="4"/>
      <c r="MLV51" s="4"/>
      <c r="MLW51" s="4"/>
      <c r="MLX51" s="4"/>
      <c r="MLY51" s="4"/>
      <c r="MLZ51" s="4"/>
      <c r="MMA51" s="4"/>
      <c r="MMB51" s="4"/>
      <c r="MMC51" s="4"/>
      <c r="MMD51" s="4"/>
      <c r="MME51" s="4"/>
      <c r="MMF51" s="4"/>
      <c r="MMG51" s="4"/>
      <c r="MMH51" s="4"/>
      <c r="MMI51" s="4"/>
      <c r="MMJ51" s="4"/>
      <c r="MMK51" s="4"/>
      <c r="MML51" s="4"/>
      <c r="MMM51" s="4"/>
      <c r="MMN51" s="4"/>
      <c r="MMO51" s="4"/>
      <c r="MMP51" s="4"/>
      <c r="MMQ51" s="4"/>
      <c r="MMR51" s="4"/>
      <c r="MMS51" s="4"/>
      <c r="MMT51" s="4"/>
      <c r="MMU51" s="4"/>
      <c r="MMV51" s="4"/>
      <c r="MMW51" s="4"/>
      <c r="MMX51" s="4"/>
      <c r="MMY51" s="4"/>
      <c r="MMZ51" s="4"/>
      <c r="MNA51" s="4"/>
      <c r="MNB51" s="4"/>
      <c r="MNC51" s="4"/>
      <c r="MND51" s="4"/>
      <c r="MNE51" s="4"/>
      <c r="MNF51" s="4"/>
      <c r="MNG51" s="4"/>
      <c r="MNH51" s="4"/>
      <c r="MNI51" s="4"/>
      <c r="MNJ51" s="4"/>
      <c r="MNK51" s="4"/>
      <c r="MNL51" s="4"/>
      <c r="MNM51" s="4"/>
      <c r="MNN51" s="4"/>
      <c r="MNO51" s="4"/>
      <c r="MNP51" s="4"/>
      <c r="MNQ51" s="4"/>
      <c r="MNR51" s="4"/>
      <c r="MNS51" s="4"/>
      <c r="MNT51" s="4"/>
      <c r="MNU51" s="4"/>
      <c r="MNV51" s="4"/>
      <c r="MNW51" s="4"/>
      <c r="MNX51" s="4"/>
      <c r="MNY51" s="4"/>
      <c r="MNZ51" s="4"/>
      <c r="MOA51" s="4"/>
      <c r="MOB51" s="4"/>
      <c r="MOC51" s="4"/>
      <c r="MOD51" s="4"/>
      <c r="MOE51" s="4"/>
      <c r="MOF51" s="4"/>
      <c r="MOG51" s="4"/>
      <c r="MOH51" s="4"/>
      <c r="MOI51" s="4"/>
      <c r="MOJ51" s="4"/>
      <c r="MOK51" s="4"/>
      <c r="MOL51" s="4"/>
      <c r="MOM51" s="4"/>
      <c r="MON51" s="4"/>
      <c r="MOO51" s="4"/>
      <c r="MOP51" s="4"/>
      <c r="MOQ51" s="4"/>
      <c r="MOR51" s="4"/>
      <c r="MOS51" s="4"/>
      <c r="MOT51" s="4"/>
      <c r="MOU51" s="4"/>
      <c r="MOV51" s="4"/>
      <c r="MOW51" s="4"/>
      <c r="MOX51" s="4"/>
      <c r="MOY51" s="4"/>
      <c r="MOZ51" s="4"/>
      <c r="MPA51" s="4"/>
      <c r="MPB51" s="4"/>
      <c r="MPC51" s="4"/>
      <c r="MPD51" s="4"/>
      <c r="MPE51" s="4"/>
      <c r="MPF51" s="4"/>
      <c r="MPG51" s="4"/>
      <c r="MPH51" s="4"/>
      <c r="MPI51" s="4"/>
      <c r="MPJ51" s="4"/>
      <c r="MPK51" s="4"/>
      <c r="MPL51" s="4"/>
      <c r="MPM51" s="4"/>
      <c r="MPN51" s="4"/>
      <c r="MPO51" s="4"/>
      <c r="MPP51" s="4"/>
      <c r="MPQ51" s="4"/>
      <c r="MPR51" s="4"/>
      <c r="MPS51" s="4"/>
      <c r="MPT51" s="4"/>
      <c r="MPU51" s="4"/>
      <c r="MPV51" s="4"/>
      <c r="MPW51" s="4"/>
      <c r="MPX51" s="4"/>
      <c r="MPY51" s="4"/>
      <c r="MPZ51" s="4"/>
      <c r="MQA51" s="4"/>
      <c r="MQB51" s="4"/>
      <c r="MQC51" s="4"/>
      <c r="MQD51" s="4"/>
      <c r="MQE51" s="4"/>
      <c r="MQF51" s="4"/>
      <c r="MQG51" s="4"/>
      <c r="MQH51" s="4"/>
      <c r="MQI51" s="4"/>
      <c r="MQJ51" s="4"/>
      <c r="MQK51" s="4"/>
      <c r="MQL51" s="4"/>
      <c r="MQM51" s="4"/>
      <c r="MQN51" s="4"/>
      <c r="MQO51" s="4"/>
      <c r="MQP51" s="4"/>
      <c r="MQQ51" s="4"/>
      <c r="MQR51" s="4"/>
      <c r="MQS51" s="4"/>
      <c r="MQT51" s="4"/>
      <c r="MQU51" s="4"/>
      <c r="MQV51" s="4"/>
      <c r="MQW51" s="4"/>
      <c r="MQX51" s="4"/>
      <c r="MQY51" s="4"/>
      <c r="MQZ51" s="4"/>
      <c r="MRA51" s="4"/>
      <c r="MRB51" s="4"/>
      <c r="MRC51" s="4"/>
      <c r="MRD51" s="4"/>
      <c r="MRE51" s="4"/>
      <c r="MRF51" s="4"/>
      <c r="MRG51" s="4"/>
      <c r="MRH51" s="4"/>
      <c r="MRI51" s="4"/>
      <c r="MRJ51" s="4"/>
      <c r="MRK51" s="4"/>
      <c r="MRL51" s="4"/>
      <c r="MRM51" s="4"/>
      <c r="MRN51" s="4"/>
      <c r="MRO51" s="4"/>
      <c r="MRP51" s="4"/>
      <c r="MRQ51" s="4"/>
      <c r="MRR51" s="4"/>
      <c r="MRS51" s="4"/>
      <c r="MRT51" s="4"/>
      <c r="MRU51" s="4"/>
      <c r="MRV51" s="4"/>
      <c r="MRW51" s="4"/>
      <c r="MRX51" s="4"/>
      <c r="MRY51" s="4"/>
      <c r="MRZ51" s="4"/>
      <c r="MSA51" s="4"/>
      <c r="MSB51" s="4"/>
      <c r="MSC51" s="4"/>
      <c r="MSD51" s="4"/>
      <c r="MSE51" s="4"/>
      <c r="MSF51" s="4"/>
      <c r="MSG51" s="4"/>
      <c r="MSH51" s="4"/>
      <c r="MSI51" s="4"/>
      <c r="MSJ51" s="4"/>
      <c r="MSK51" s="4"/>
      <c r="MSL51" s="4"/>
      <c r="MSM51" s="4"/>
      <c r="MSN51" s="4"/>
      <c r="MSO51" s="4"/>
      <c r="MSP51" s="4"/>
      <c r="MSQ51" s="4"/>
      <c r="MSR51" s="4"/>
      <c r="MSS51" s="4"/>
      <c r="MST51" s="4"/>
      <c r="MSU51" s="4"/>
      <c r="MSV51" s="4"/>
      <c r="MSW51" s="4"/>
      <c r="MSX51" s="4"/>
      <c r="MSY51" s="4"/>
      <c r="MSZ51" s="4"/>
      <c r="MTA51" s="4"/>
      <c r="MTB51" s="4"/>
      <c r="MTC51" s="4"/>
      <c r="MTD51" s="4"/>
      <c r="MTE51" s="4"/>
      <c r="MTF51" s="4"/>
      <c r="MTG51" s="4"/>
      <c r="MTH51" s="4"/>
      <c r="MTI51" s="4"/>
      <c r="MTJ51" s="4"/>
      <c r="MTK51" s="4"/>
      <c r="MTL51" s="4"/>
      <c r="MTM51" s="4"/>
      <c r="MTN51" s="4"/>
      <c r="MTO51" s="4"/>
      <c r="MTP51" s="4"/>
      <c r="MTQ51" s="4"/>
      <c r="MTR51" s="4"/>
      <c r="MTS51" s="4"/>
      <c r="MTT51" s="4"/>
      <c r="MTU51" s="4"/>
      <c r="MTV51" s="4"/>
      <c r="MTW51" s="4"/>
      <c r="MTX51" s="4"/>
      <c r="MTY51" s="4"/>
      <c r="MTZ51" s="4"/>
      <c r="MUA51" s="4"/>
      <c r="MUB51" s="4"/>
      <c r="MUC51" s="4"/>
      <c r="MUD51" s="4"/>
      <c r="MUE51" s="4"/>
      <c r="MUF51" s="4"/>
      <c r="MUG51" s="4"/>
      <c r="MUH51" s="4"/>
      <c r="MUI51" s="4"/>
      <c r="MUJ51" s="4"/>
      <c r="MUK51" s="4"/>
      <c r="MUL51" s="4"/>
      <c r="MUM51" s="4"/>
      <c r="MUN51" s="4"/>
      <c r="MUO51" s="4"/>
      <c r="MUP51" s="4"/>
      <c r="MUQ51" s="4"/>
      <c r="MUR51" s="4"/>
      <c r="MUS51" s="4"/>
      <c r="MUT51" s="4"/>
      <c r="MUU51" s="4"/>
      <c r="MUV51" s="4"/>
      <c r="MUW51" s="4"/>
      <c r="MUX51" s="4"/>
      <c r="MUY51" s="4"/>
      <c r="MUZ51" s="4"/>
      <c r="MVA51" s="4"/>
      <c r="MVB51" s="4"/>
      <c r="MVC51" s="4"/>
      <c r="MVD51" s="4"/>
      <c r="MVE51" s="4"/>
      <c r="MVF51" s="4"/>
      <c r="MVG51" s="4"/>
      <c r="MVH51" s="4"/>
      <c r="MVI51" s="4"/>
      <c r="MVJ51" s="4"/>
      <c r="MVK51" s="4"/>
      <c r="MVL51" s="4"/>
      <c r="MVM51" s="4"/>
      <c r="MVN51" s="4"/>
      <c r="MVO51" s="4"/>
      <c r="MVP51" s="4"/>
      <c r="MVQ51" s="4"/>
      <c r="MVR51" s="4"/>
      <c r="MVS51" s="4"/>
      <c r="MVT51" s="4"/>
      <c r="MVU51" s="4"/>
      <c r="MVV51" s="4"/>
      <c r="MVW51" s="4"/>
      <c r="MVX51" s="4"/>
      <c r="MVY51" s="4"/>
      <c r="MVZ51" s="4"/>
      <c r="MWA51" s="4"/>
      <c r="MWB51" s="4"/>
      <c r="MWC51" s="4"/>
      <c r="MWD51" s="4"/>
      <c r="MWE51" s="4"/>
      <c r="MWF51" s="4"/>
      <c r="MWG51" s="4"/>
      <c r="MWH51" s="4"/>
      <c r="MWI51" s="4"/>
      <c r="MWJ51" s="4"/>
      <c r="MWK51" s="4"/>
      <c r="MWL51" s="4"/>
      <c r="MWM51" s="4"/>
      <c r="MWN51" s="4"/>
      <c r="MWO51" s="4"/>
      <c r="MWP51" s="4"/>
      <c r="MWQ51" s="4"/>
      <c r="MWR51" s="4"/>
      <c r="MWS51" s="4"/>
      <c r="MWT51" s="4"/>
      <c r="MWU51" s="4"/>
      <c r="MWV51" s="4"/>
      <c r="MWW51" s="4"/>
      <c r="MWX51" s="4"/>
      <c r="MWY51" s="4"/>
      <c r="MWZ51" s="4"/>
      <c r="MXA51" s="4"/>
      <c r="MXB51" s="4"/>
      <c r="MXC51" s="4"/>
      <c r="MXD51" s="4"/>
      <c r="MXE51" s="4"/>
      <c r="MXF51" s="4"/>
      <c r="MXG51" s="4"/>
      <c r="MXH51" s="4"/>
      <c r="MXI51" s="4"/>
      <c r="MXJ51" s="4"/>
      <c r="MXK51" s="4"/>
      <c r="MXL51" s="4"/>
      <c r="MXM51" s="4"/>
      <c r="MXN51" s="4"/>
      <c r="MXO51" s="4"/>
      <c r="MXP51" s="4"/>
      <c r="MXQ51" s="4"/>
      <c r="MXR51" s="4"/>
      <c r="MXS51" s="4"/>
      <c r="MXT51" s="4"/>
      <c r="MXU51" s="4"/>
      <c r="MXV51" s="4"/>
      <c r="MXW51" s="4"/>
      <c r="MXX51" s="4"/>
      <c r="MXY51" s="4"/>
      <c r="MXZ51" s="4"/>
      <c r="MYA51" s="4"/>
      <c r="MYB51" s="4"/>
      <c r="MYC51" s="4"/>
      <c r="MYD51" s="4"/>
      <c r="MYE51" s="4"/>
      <c r="MYF51" s="4"/>
      <c r="MYG51" s="4"/>
      <c r="MYH51" s="4"/>
      <c r="MYI51" s="4"/>
      <c r="MYJ51" s="4"/>
      <c r="MYK51" s="4"/>
      <c r="MYL51" s="4"/>
      <c r="MYM51" s="4"/>
      <c r="MYN51" s="4"/>
      <c r="MYO51" s="4"/>
      <c r="MYP51" s="4"/>
      <c r="MYQ51" s="4"/>
      <c r="MYR51" s="4"/>
      <c r="MYS51" s="4"/>
      <c r="MYT51" s="4"/>
      <c r="MYU51" s="4"/>
      <c r="MYV51" s="4"/>
      <c r="MYW51" s="4"/>
      <c r="MYX51" s="4"/>
      <c r="MYY51" s="4"/>
      <c r="MYZ51" s="4"/>
      <c r="MZA51" s="4"/>
      <c r="MZB51" s="4"/>
      <c r="MZC51" s="4"/>
      <c r="MZD51" s="4"/>
      <c r="MZE51" s="4"/>
      <c r="MZF51" s="4"/>
      <c r="MZG51" s="4"/>
      <c r="MZH51" s="4"/>
      <c r="MZI51" s="4"/>
      <c r="MZJ51" s="4"/>
      <c r="MZK51" s="4"/>
      <c r="MZL51" s="4"/>
      <c r="MZM51" s="4"/>
      <c r="MZN51" s="4"/>
      <c r="MZO51" s="4"/>
      <c r="MZP51" s="4"/>
      <c r="MZQ51" s="4"/>
      <c r="MZR51" s="4"/>
      <c r="MZS51" s="4"/>
      <c r="MZT51" s="4"/>
      <c r="MZU51" s="4"/>
      <c r="MZV51" s="4"/>
      <c r="MZW51" s="4"/>
      <c r="MZX51" s="4"/>
      <c r="MZY51" s="4"/>
      <c r="MZZ51" s="4"/>
      <c r="NAA51" s="4"/>
      <c r="NAB51" s="4"/>
      <c r="NAC51" s="4"/>
      <c r="NAD51" s="4"/>
      <c r="NAE51" s="4"/>
      <c r="NAF51" s="4"/>
      <c r="NAG51" s="4"/>
      <c r="NAH51" s="4"/>
      <c r="NAI51" s="4"/>
      <c r="NAJ51" s="4"/>
      <c r="NAK51" s="4"/>
      <c r="NAL51" s="4"/>
      <c r="NAM51" s="4"/>
      <c r="NAN51" s="4"/>
      <c r="NAO51" s="4"/>
      <c r="NAP51" s="4"/>
      <c r="NAQ51" s="4"/>
      <c r="NAR51" s="4"/>
      <c r="NAS51" s="4"/>
      <c r="NAT51" s="4"/>
      <c r="NAU51" s="4"/>
      <c r="NAV51" s="4"/>
      <c r="NAW51" s="4"/>
      <c r="NAX51" s="4"/>
      <c r="NAY51" s="4"/>
      <c r="NAZ51" s="4"/>
      <c r="NBA51" s="4"/>
      <c r="NBB51" s="4"/>
      <c r="NBC51" s="4"/>
      <c r="NBD51" s="4"/>
      <c r="NBE51" s="4"/>
      <c r="NBF51" s="4"/>
      <c r="NBG51" s="4"/>
      <c r="NBH51" s="4"/>
      <c r="NBI51" s="4"/>
      <c r="NBJ51" s="4"/>
      <c r="NBK51" s="4"/>
      <c r="NBL51" s="4"/>
      <c r="NBM51" s="4"/>
      <c r="NBN51" s="4"/>
      <c r="NBO51" s="4"/>
      <c r="NBP51" s="4"/>
      <c r="NBQ51" s="4"/>
      <c r="NBR51" s="4"/>
      <c r="NBS51" s="4"/>
      <c r="NBT51" s="4"/>
      <c r="NBU51" s="4"/>
      <c r="NBV51" s="4"/>
      <c r="NBW51" s="4"/>
      <c r="NBX51" s="4"/>
      <c r="NBY51" s="4"/>
      <c r="NBZ51" s="4"/>
      <c r="NCA51" s="4"/>
      <c r="NCB51" s="4"/>
      <c r="NCC51" s="4"/>
      <c r="NCD51" s="4"/>
      <c r="NCE51" s="4"/>
      <c r="NCF51" s="4"/>
      <c r="NCG51" s="4"/>
      <c r="NCH51" s="4"/>
      <c r="NCI51" s="4"/>
      <c r="NCJ51" s="4"/>
      <c r="NCK51" s="4"/>
      <c r="NCL51" s="4"/>
      <c r="NCM51" s="4"/>
      <c r="NCN51" s="4"/>
      <c r="NCO51" s="4"/>
      <c r="NCP51" s="4"/>
      <c r="NCQ51" s="4"/>
      <c r="NCR51" s="4"/>
      <c r="NCS51" s="4"/>
      <c r="NCT51" s="4"/>
      <c r="NCU51" s="4"/>
      <c r="NCV51" s="4"/>
      <c r="NCW51" s="4"/>
      <c r="NCX51" s="4"/>
      <c r="NCY51" s="4"/>
      <c r="NCZ51" s="4"/>
      <c r="NDA51" s="4"/>
      <c r="NDB51" s="4"/>
      <c r="NDC51" s="4"/>
      <c r="NDD51" s="4"/>
      <c r="NDE51" s="4"/>
      <c r="NDF51" s="4"/>
      <c r="NDG51" s="4"/>
      <c r="NDH51" s="4"/>
      <c r="NDI51" s="4"/>
      <c r="NDJ51" s="4"/>
      <c r="NDK51" s="4"/>
      <c r="NDL51" s="4"/>
      <c r="NDM51" s="4"/>
      <c r="NDN51" s="4"/>
      <c r="NDO51" s="4"/>
      <c r="NDP51" s="4"/>
      <c r="NDQ51" s="4"/>
      <c r="NDR51" s="4"/>
      <c r="NDS51" s="4"/>
      <c r="NDT51" s="4"/>
      <c r="NDU51" s="4"/>
      <c r="NDV51" s="4"/>
      <c r="NDW51" s="4"/>
      <c r="NDX51" s="4"/>
      <c r="NDY51" s="4"/>
      <c r="NDZ51" s="4"/>
      <c r="NEA51" s="4"/>
      <c r="NEB51" s="4"/>
      <c r="NEC51" s="4"/>
      <c r="NED51" s="4"/>
      <c r="NEE51" s="4"/>
      <c r="NEF51" s="4"/>
      <c r="NEG51" s="4"/>
      <c r="NEH51" s="4"/>
      <c r="NEI51" s="4"/>
      <c r="NEJ51" s="4"/>
      <c r="NEK51" s="4"/>
      <c r="NEL51" s="4"/>
      <c r="NEM51" s="4"/>
      <c r="NEN51" s="4"/>
      <c r="NEO51" s="4"/>
      <c r="NEP51" s="4"/>
      <c r="NEQ51" s="4"/>
      <c r="NER51" s="4"/>
      <c r="NES51" s="4"/>
      <c r="NET51" s="4"/>
      <c r="NEU51" s="4"/>
      <c r="NEV51" s="4"/>
      <c r="NEW51" s="4"/>
      <c r="NEX51" s="4"/>
      <c r="NEY51" s="4"/>
      <c r="NEZ51" s="4"/>
      <c r="NFA51" s="4"/>
      <c r="NFB51" s="4"/>
      <c r="NFC51" s="4"/>
      <c r="NFD51" s="4"/>
      <c r="NFE51" s="4"/>
      <c r="NFF51" s="4"/>
      <c r="NFG51" s="4"/>
      <c r="NFH51" s="4"/>
      <c r="NFI51" s="4"/>
      <c r="NFJ51" s="4"/>
      <c r="NFK51" s="4"/>
      <c r="NFL51" s="4"/>
      <c r="NFM51" s="4"/>
      <c r="NFN51" s="4"/>
      <c r="NFO51" s="4"/>
      <c r="NFP51" s="4"/>
      <c r="NFQ51" s="4"/>
      <c r="NFR51" s="4"/>
      <c r="NFS51" s="4"/>
      <c r="NFT51" s="4"/>
      <c r="NFU51" s="4"/>
      <c r="NFV51" s="4"/>
      <c r="NFW51" s="4"/>
      <c r="NFX51" s="4"/>
      <c r="NFY51" s="4"/>
      <c r="NFZ51" s="4"/>
      <c r="NGA51" s="4"/>
      <c r="NGB51" s="4"/>
      <c r="NGC51" s="4"/>
      <c r="NGD51" s="4"/>
      <c r="NGE51" s="4"/>
      <c r="NGF51" s="4"/>
      <c r="NGG51" s="4"/>
      <c r="NGH51" s="4"/>
      <c r="NGI51" s="4"/>
      <c r="NGJ51" s="4"/>
      <c r="NGK51" s="4"/>
      <c r="NGL51" s="4"/>
      <c r="NGM51" s="4"/>
      <c r="NGN51" s="4"/>
      <c r="NGO51" s="4"/>
      <c r="NGP51" s="4"/>
      <c r="NGQ51" s="4"/>
      <c r="NGR51" s="4"/>
      <c r="NGS51" s="4"/>
      <c r="NGT51" s="4"/>
      <c r="NGU51" s="4"/>
      <c r="NGV51" s="4"/>
      <c r="NGW51" s="4"/>
      <c r="NGX51" s="4"/>
      <c r="NGY51" s="4"/>
      <c r="NGZ51" s="4"/>
      <c r="NHA51" s="4"/>
      <c r="NHB51" s="4"/>
      <c r="NHC51" s="4"/>
      <c r="NHD51" s="4"/>
      <c r="NHE51" s="4"/>
      <c r="NHF51" s="4"/>
      <c r="NHG51" s="4"/>
      <c r="NHH51" s="4"/>
      <c r="NHI51" s="4"/>
      <c r="NHJ51" s="4"/>
      <c r="NHK51" s="4"/>
      <c r="NHL51" s="4"/>
      <c r="NHM51" s="4"/>
      <c r="NHN51" s="4"/>
      <c r="NHO51" s="4"/>
      <c r="NHP51" s="4"/>
      <c r="NHQ51" s="4"/>
      <c r="NHR51" s="4"/>
      <c r="NHS51" s="4"/>
      <c r="NHT51" s="4"/>
      <c r="NHU51" s="4"/>
      <c r="NHV51" s="4"/>
      <c r="NHW51" s="4"/>
      <c r="NHX51" s="4"/>
      <c r="NHY51" s="4"/>
      <c r="NHZ51" s="4"/>
      <c r="NIA51" s="4"/>
      <c r="NIB51" s="4"/>
      <c r="NIC51" s="4"/>
      <c r="NID51" s="4"/>
      <c r="NIE51" s="4"/>
      <c r="NIF51" s="4"/>
      <c r="NIG51" s="4"/>
      <c r="NIH51" s="4"/>
      <c r="NII51" s="4"/>
      <c r="NIJ51" s="4"/>
      <c r="NIK51" s="4"/>
      <c r="NIL51" s="4"/>
      <c r="NIM51" s="4"/>
      <c r="NIN51" s="4"/>
      <c r="NIO51" s="4"/>
      <c r="NIP51" s="4"/>
      <c r="NIQ51" s="4"/>
      <c r="NIR51" s="4"/>
      <c r="NIS51" s="4"/>
      <c r="NIT51" s="4"/>
      <c r="NIU51" s="4"/>
      <c r="NIV51" s="4"/>
      <c r="NIW51" s="4"/>
      <c r="NIX51" s="4"/>
      <c r="NIY51" s="4"/>
      <c r="NIZ51" s="4"/>
      <c r="NJA51" s="4"/>
      <c r="NJB51" s="4"/>
      <c r="NJC51" s="4"/>
      <c r="NJD51" s="4"/>
      <c r="NJE51" s="4"/>
      <c r="NJF51" s="4"/>
      <c r="NJG51" s="4"/>
      <c r="NJH51" s="4"/>
      <c r="NJI51" s="4"/>
      <c r="NJJ51" s="4"/>
      <c r="NJK51" s="4"/>
      <c r="NJL51" s="4"/>
      <c r="NJM51" s="4"/>
      <c r="NJN51" s="4"/>
      <c r="NJO51" s="4"/>
      <c r="NJP51" s="4"/>
      <c r="NJQ51" s="4"/>
      <c r="NJR51" s="4"/>
      <c r="NJS51" s="4"/>
      <c r="NJT51" s="4"/>
      <c r="NJU51" s="4"/>
      <c r="NJV51" s="4"/>
      <c r="NJW51" s="4"/>
      <c r="NJX51" s="4"/>
      <c r="NJY51" s="4"/>
      <c r="NJZ51" s="4"/>
      <c r="NKA51" s="4"/>
      <c r="NKB51" s="4"/>
      <c r="NKC51" s="4"/>
      <c r="NKD51" s="4"/>
      <c r="NKE51" s="4"/>
      <c r="NKF51" s="4"/>
      <c r="NKG51" s="4"/>
      <c r="NKH51" s="4"/>
      <c r="NKI51" s="4"/>
      <c r="NKJ51" s="4"/>
      <c r="NKK51" s="4"/>
      <c r="NKL51" s="4"/>
      <c r="NKM51" s="4"/>
      <c r="NKN51" s="4"/>
      <c r="NKO51" s="4"/>
      <c r="NKP51" s="4"/>
      <c r="NKQ51" s="4"/>
      <c r="NKR51" s="4"/>
      <c r="NKS51" s="4"/>
      <c r="NKT51" s="4"/>
      <c r="NKU51" s="4"/>
      <c r="NKV51" s="4"/>
      <c r="NKW51" s="4"/>
      <c r="NKX51" s="4"/>
      <c r="NKY51" s="4"/>
      <c r="NKZ51" s="4"/>
      <c r="NLA51" s="4"/>
      <c r="NLB51" s="4"/>
      <c r="NLC51" s="4"/>
      <c r="NLD51" s="4"/>
      <c r="NLE51" s="4"/>
      <c r="NLF51" s="4"/>
      <c r="NLG51" s="4"/>
      <c r="NLH51" s="4"/>
      <c r="NLI51" s="4"/>
      <c r="NLJ51" s="4"/>
      <c r="NLK51" s="4"/>
      <c r="NLL51" s="4"/>
      <c r="NLM51" s="4"/>
      <c r="NLN51" s="4"/>
      <c r="NLO51" s="4"/>
      <c r="NLP51" s="4"/>
      <c r="NLQ51" s="4"/>
      <c r="NLR51" s="4"/>
      <c r="NLS51" s="4"/>
      <c r="NLT51" s="4"/>
      <c r="NLU51" s="4"/>
      <c r="NLV51" s="4"/>
      <c r="NLW51" s="4"/>
      <c r="NLX51" s="4"/>
      <c r="NLY51" s="4"/>
      <c r="NLZ51" s="4"/>
      <c r="NMA51" s="4"/>
      <c r="NMB51" s="4"/>
      <c r="NMC51" s="4"/>
      <c r="NMD51" s="4"/>
      <c r="NME51" s="4"/>
      <c r="NMF51" s="4"/>
      <c r="NMG51" s="4"/>
      <c r="NMH51" s="4"/>
      <c r="NMI51" s="4"/>
      <c r="NMJ51" s="4"/>
      <c r="NMK51" s="4"/>
      <c r="NML51" s="4"/>
      <c r="NMM51" s="4"/>
      <c r="NMN51" s="4"/>
      <c r="NMO51" s="4"/>
      <c r="NMP51" s="4"/>
      <c r="NMQ51" s="4"/>
      <c r="NMR51" s="4"/>
      <c r="NMS51" s="4"/>
      <c r="NMT51" s="4"/>
      <c r="NMU51" s="4"/>
      <c r="NMV51" s="4"/>
      <c r="NMW51" s="4"/>
      <c r="NMX51" s="4"/>
      <c r="NMY51" s="4"/>
      <c r="NMZ51" s="4"/>
      <c r="NNA51" s="4"/>
      <c r="NNB51" s="4"/>
      <c r="NNC51" s="4"/>
      <c r="NND51" s="4"/>
      <c r="NNE51" s="4"/>
      <c r="NNF51" s="4"/>
      <c r="NNG51" s="4"/>
      <c r="NNH51" s="4"/>
      <c r="NNI51" s="4"/>
      <c r="NNJ51" s="4"/>
      <c r="NNK51" s="4"/>
      <c r="NNL51" s="4"/>
      <c r="NNM51" s="4"/>
      <c r="NNN51" s="4"/>
      <c r="NNO51" s="4"/>
      <c r="NNP51" s="4"/>
      <c r="NNQ51" s="4"/>
      <c r="NNR51" s="4"/>
      <c r="NNS51" s="4"/>
      <c r="NNT51" s="4"/>
      <c r="NNU51" s="4"/>
      <c r="NNV51" s="4"/>
      <c r="NNW51" s="4"/>
      <c r="NNX51" s="4"/>
      <c r="NNY51" s="4"/>
      <c r="NNZ51" s="4"/>
      <c r="NOA51" s="4"/>
      <c r="NOB51" s="4"/>
      <c r="NOC51" s="4"/>
      <c r="NOD51" s="4"/>
      <c r="NOE51" s="4"/>
      <c r="NOF51" s="4"/>
      <c r="NOG51" s="4"/>
      <c r="NOH51" s="4"/>
      <c r="NOI51" s="4"/>
      <c r="NOJ51" s="4"/>
      <c r="NOK51" s="4"/>
      <c r="NOL51" s="4"/>
      <c r="NOM51" s="4"/>
      <c r="NON51" s="4"/>
      <c r="NOO51" s="4"/>
      <c r="NOP51" s="4"/>
      <c r="NOQ51" s="4"/>
      <c r="NOR51" s="4"/>
      <c r="NOS51" s="4"/>
      <c r="NOT51" s="4"/>
      <c r="NOU51" s="4"/>
      <c r="NOV51" s="4"/>
      <c r="NOW51" s="4"/>
      <c r="NOX51" s="4"/>
      <c r="NOY51" s="4"/>
      <c r="NOZ51" s="4"/>
      <c r="NPA51" s="4"/>
      <c r="NPB51" s="4"/>
      <c r="NPC51" s="4"/>
      <c r="NPD51" s="4"/>
      <c r="NPE51" s="4"/>
      <c r="NPF51" s="4"/>
      <c r="NPG51" s="4"/>
      <c r="NPH51" s="4"/>
      <c r="NPI51" s="4"/>
      <c r="NPJ51" s="4"/>
      <c r="NPK51" s="4"/>
      <c r="NPL51" s="4"/>
      <c r="NPM51" s="4"/>
      <c r="NPN51" s="4"/>
      <c r="NPO51" s="4"/>
      <c r="NPP51" s="4"/>
      <c r="NPQ51" s="4"/>
      <c r="NPR51" s="4"/>
      <c r="NPS51" s="4"/>
      <c r="NPT51" s="4"/>
      <c r="NPU51" s="4"/>
      <c r="NPV51" s="4"/>
      <c r="NPW51" s="4"/>
      <c r="NPX51" s="4"/>
      <c r="NPY51" s="4"/>
      <c r="NPZ51" s="4"/>
      <c r="NQA51" s="4"/>
      <c r="NQB51" s="4"/>
      <c r="NQC51" s="4"/>
      <c r="NQD51" s="4"/>
      <c r="NQE51" s="4"/>
      <c r="NQF51" s="4"/>
      <c r="NQG51" s="4"/>
      <c r="NQH51" s="4"/>
      <c r="NQI51" s="4"/>
      <c r="NQJ51" s="4"/>
      <c r="NQK51" s="4"/>
      <c r="NQL51" s="4"/>
      <c r="NQM51" s="4"/>
      <c r="NQN51" s="4"/>
      <c r="NQO51" s="4"/>
      <c r="NQP51" s="4"/>
      <c r="NQQ51" s="4"/>
      <c r="NQR51" s="4"/>
      <c r="NQS51" s="4"/>
      <c r="NQT51" s="4"/>
      <c r="NQU51" s="4"/>
      <c r="NQV51" s="4"/>
      <c r="NQW51" s="4"/>
      <c r="NQX51" s="4"/>
      <c r="NQY51" s="4"/>
      <c r="NQZ51" s="4"/>
      <c r="NRA51" s="4"/>
      <c r="NRB51" s="4"/>
      <c r="NRC51" s="4"/>
      <c r="NRD51" s="4"/>
      <c r="NRE51" s="4"/>
      <c r="NRF51" s="4"/>
      <c r="NRG51" s="4"/>
      <c r="NRH51" s="4"/>
      <c r="NRI51" s="4"/>
      <c r="NRJ51" s="4"/>
      <c r="NRK51" s="4"/>
      <c r="NRL51" s="4"/>
      <c r="NRM51" s="4"/>
      <c r="NRN51" s="4"/>
      <c r="NRO51" s="4"/>
      <c r="NRP51" s="4"/>
      <c r="NRQ51" s="4"/>
      <c r="NRR51" s="4"/>
      <c r="NRS51" s="4"/>
      <c r="NRT51" s="4"/>
      <c r="NRU51" s="4"/>
      <c r="NRV51" s="4"/>
      <c r="NRW51" s="4"/>
      <c r="NRX51" s="4"/>
      <c r="NRY51" s="4"/>
      <c r="NRZ51" s="4"/>
      <c r="NSA51" s="4"/>
      <c r="NSB51" s="4"/>
      <c r="NSC51" s="4"/>
      <c r="NSD51" s="4"/>
      <c r="NSE51" s="4"/>
      <c r="NSF51" s="4"/>
      <c r="NSG51" s="4"/>
      <c r="NSH51" s="4"/>
      <c r="NSI51" s="4"/>
      <c r="NSJ51" s="4"/>
      <c r="NSK51" s="4"/>
      <c r="NSL51" s="4"/>
      <c r="NSM51" s="4"/>
      <c r="NSN51" s="4"/>
      <c r="NSO51" s="4"/>
      <c r="NSP51" s="4"/>
      <c r="NSQ51" s="4"/>
      <c r="NSR51" s="4"/>
      <c r="NSS51" s="4"/>
      <c r="NST51" s="4"/>
      <c r="NSU51" s="4"/>
      <c r="NSV51" s="4"/>
      <c r="NSW51" s="4"/>
      <c r="NSX51" s="4"/>
      <c r="NSY51" s="4"/>
      <c r="NSZ51" s="4"/>
      <c r="NTA51" s="4"/>
      <c r="NTB51" s="4"/>
      <c r="NTC51" s="4"/>
      <c r="NTD51" s="4"/>
      <c r="NTE51" s="4"/>
      <c r="NTF51" s="4"/>
      <c r="NTG51" s="4"/>
      <c r="NTH51" s="4"/>
      <c r="NTI51" s="4"/>
      <c r="NTJ51" s="4"/>
      <c r="NTK51" s="4"/>
      <c r="NTL51" s="4"/>
      <c r="NTM51" s="4"/>
      <c r="NTN51" s="4"/>
      <c r="NTO51" s="4"/>
      <c r="NTP51" s="4"/>
      <c r="NTQ51" s="4"/>
      <c r="NTR51" s="4"/>
      <c r="NTS51" s="4"/>
      <c r="NTT51" s="4"/>
      <c r="NTU51" s="4"/>
      <c r="NTV51" s="4"/>
      <c r="NTW51" s="4"/>
      <c r="NTX51" s="4"/>
      <c r="NTY51" s="4"/>
      <c r="NTZ51" s="4"/>
      <c r="NUA51" s="4"/>
      <c r="NUB51" s="4"/>
      <c r="NUC51" s="4"/>
      <c r="NUD51" s="4"/>
      <c r="NUE51" s="4"/>
      <c r="NUF51" s="4"/>
      <c r="NUG51" s="4"/>
      <c r="NUH51" s="4"/>
      <c r="NUI51" s="4"/>
      <c r="NUJ51" s="4"/>
      <c r="NUK51" s="4"/>
      <c r="NUL51" s="4"/>
      <c r="NUM51" s="4"/>
      <c r="NUN51" s="4"/>
      <c r="NUO51" s="4"/>
      <c r="NUP51" s="4"/>
      <c r="NUQ51" s="4"/>
      <c r="NUR51" s="4"/>
      <c r="NUS51" s="4"/>
      <c r="NUT51" s="4"/>
      <c r="NUU51" s="4"/>
      <c r="NUV51" s="4"/>
      <c r="NUW51" s="4"/>
      <c r="NUX51" s="4"/>
      <c r="NUY51" s="4"/>
      <c r="NUZ51" s="4"/>
      <c r="NVA51" s="4"/>
      <c r="NVB51" s="4"/>
      <c r="NVC51" s="4"/>
      <c r="NVD51" s="4"/>
      <c r="NVE51" s="4"/>
      <c r="NVF51" s="4"/>
      <c r="NVG51" s="4"/>
      <c r="NVH51" s="4"/>
      <c r="NVI51" s="4"/>
      <c r="NVJ51" s="4"/>
      <c r="NVK51" s="4"/>
      <c r="NVL51" s="4"/>
      <c r="NVM51" s="4"/>
      <c r="NVN51" s="4"/>
      <c r="NVO51" s="4"/>
      <c r="NVP51" s="4"/>
      <c r="NVQ51" s="4"/>
      <c r="NVR51" s="4"/>
      <c r="NVS51" s="4"/>
      <c r="NVT51" s="4"/>
      <c r="NVU51" s="4"/>
      <c r="NVV51" s="4"/>
      <c r="NVW51" s="4"/>
      <c r="NVX51" s="4"/>
      <c r="NVY51" s="4"/>
      <c r="NVZ51" s="4"/>
      <c r="NWA51" s="4"/>
      <c r="NWB51" s="4"/>
      <c r="NWC51" s="4"/>
      <c r="NWD51" s="4"/>
      <c r="NWE51" s="4"/>
      <c r="NWF51" s="4"/>
      <c r="NWG51" s="4"/>
      <c r="NWH51" s="4"/>
      <c r="NWI51" s="4"/>
      <c r="NWJ51" s="4"/>
      <c r="NWK51" s="4"/>
      <c r="NWL51" s="4"/>
      <c r="NWM51" s="4"/>
      <c r="NWN51" s="4"/>
      <c r="NWO51" s="4"/>
      <c r="NWP51" s="4"/>
      <c r="NWQ51" s="4"/>
      <c r="NWR51" s="4"/>
      <c r="NWS51" s="4"/>
      <c r="NWT51" s="4"/>
      <c r="NWU51" s="4"/>
      <c r="NWV51" s="4"/>
      <c r="NWW51" s="4"/>
      <c r="NWX51" s="4"/>
      <c r="NWY51" s="4"/>
      <c r="NWZ51" s="4"/>
      <c r="NXA51" s="4"/>
      <c r="NXB51" s="4"/>
      <c r="NXC51" s="4"/>
      <c r="NXD51" s="4"/>
      <c r="NXE51" s="4"/>
      <c r="NXF51" s="4"/>
      <c r="NXG51" s="4"/>
      <c r="NXH51" s="4"/>
      <c r="NXI51" s="4"/>
      <c r="NXJ51" s="4"/>
      <c r="NXK51" s="4"/>
      <c r="NXL51" s="4"/>
      <c r="NXM51" s="4"/>
      <c r="NXN51" s="4"/>
      <c r="NXO51" s="4"/>
      <c r="NXP51" s="4"/>
      <c r="NXQ51" s="4"/>
      <c r="NXR51" s="4"/>
      <c r="NXS51" s="4"/>
      <c r="NXT51" s="4"/>
      <c r="NXU51" s="4"/>
      <c r="NXV51" s="4"/>
      <c r="NXW51" s="4"/>
      <c r="NXX51" s="4"/>
      <c r="NXY51" s="4"/>
      <c r="NXZ51" s="4"/>
      <c r="NYA51" s="4"/>
      <c r="NYB51" s="4"/>
      <c r="NYC51" s="4"/>
      <c r="NYD51" s="4"/>
      <c r="NYE51" s="4"/>
      <c r="NYF51" s="4"/>
      <c r="NYG51" s="4"/>
      <c r="NYH51" s="4"/>
      <c r="NYI51" s="4"/>
      <c r="NYJ51" s="4"/>
      <c r="NYK51" s="4"/>
      <c r="NYL51" s="4"/>
      <c r="NYM51" s="4"/>
      <c r="NYN51" s="4"/>
      <c r="NYO51" s="4"/>
      <c r="NYP51" s="4"/>
      <c r="NYQ51" s="4"/>
      <c r="NYR51" s="4"/>
      <c r="NYS51" s="4"/>
      <c r="NYT51" s="4"/>
      <c r="NYU51" s="4"/>
      <c r="NYV51" s="4"/>
      <c r="NYW51" s="4"/>
      <c r="NYX51" s="4"/>
      <c r="NYY51" s="4"/>
      <c r="NYZ51" s="4"/>
      <c r="NZA51" s="4"/>
      <c r="NZB51" s="4"/>
      <c r="NZC51" s="4"/>
      <c r="NZD51" s="4"/>
      <c r="NZE51" s="4"/>
      <c r="NZF51" s="4"/>
      <c r="NZG51" s="4"/>
      <c r="NZH51" s="4"/>
      <c r="NZI51" s="4"/>
      <c r="NZJ51" s="4"/>
      <c r="NZK51" s="4"/>
      <c r="NZL51" s="4"/>
      <c r="NZM51" s="4"/>
      <c r="NZN51" s="4"/>
      <c r="NZO51" s="4"/>
      <c r="NZP51" s="4"/>
      <c r="NZQ51" s="4"/>
      <c r="NZR51" s="4"/>
      <c r="NZS51" s="4"/>
      <c r="NZT51" s="4"/>
      <c r="NZU51" s="4"/>
      <c r="NZV51" s="4"/>
      <c r="NZW51" s="4"/>
      <c r="NZX51" s="4"/>
      <c r="NZY51" s="4"/>
      <c r="NZZ51" s="4"/>
      <c r="OAA51" s="4"/>
      <c r="OAB51" s="4"/>
      <c r="OAC51" s="4"/>
      <c r="OAD51" s="4"/>
      <c r="OAE51" s="4"/>
      <c r="OAF51" s="4"/>
      <c r="OAG51" s="4"/>
      <c r="OAH51" s="4"/>
      <c r="OAI51" s="4"/>
      <c r="OAJ51" s="4"/>
      <c r="OAK51" s="4"/>
      <c r="OAL51" s="4"/>
      <c r="OAM51" s="4"/>
      <c r="OAN51" s="4"/>
      <c r="OAO51" s="4"/>
      <c r="OAP51" s="4"/>
      <c r="OAQ51" s="4"/>
      <c r="OAR51" s="4"/>
      <c r="OAS51" s="4"/>
      <c r="OAT51" s="4"/>
      <c r="OAU51" s="4"/>
      <c r="OAV51" s="4"/>
      <c r="OAW51" s="4"/>
      <c r="OAX51" s="4"/>
      <c r="OAY51" s="4"/>
      <c r="OAZ51" s="4"/>
      <c r="OBA51" s="4"/>
      <c r="OBB51" s="4"/>
      <c r="OBC51" s="4"/>
      <c r="OBD51" s="4"/>
      <c r="OBE51" s="4"/>
      <c r="OBF51" s="4"/>
      <c r="OBG51" s="4"/>
      <c r="OBH51" s="4"/>
      <c r="OBI51" s="4"/>
      <c r="OBJ51" s="4"/>
      <c r="OBK51" s="4"/>
      <c r="OBL51" s="4"/>
      <c r="OBM51" s="4"/>
      <c r="OBN51" s="4"/>
      <c r="OBO51" s="4"/>
      <c r="OBP51" s="4"/>
      <c r="OBQ51" s="4"/>
      <c r="OBR51" s="4"/>
      <c r="OBS51" s="4"/>
      <c r="OBT51" s="4"/>
      <c r="OBU51" s="4"/>
      <c r="OBV51" s="4"/>
      <c r="OBW51" s="4"/>
      <c r="OBX51" s="4"/>
      <c r="OBY51" s="4"/>
      <c r="OBZ51" s="4"/>
      <c r="OCA51" s="4"/>
      <c r="OCB51" s="4"/>
      <c r="OCC51" s="4"/>
      <c r="OCD51" s="4"/>
      <c r="OCE51" s="4"/>
      <c r="OCF51" s="4"/>
      <c r="OCG51" s="4"/>
      <c r="OCH51" s="4"/>
      <c r="OCI51" s="4"/>
      <c r="OCJ51" s="4"/>
      <c r="OCK51" s="4"/>
      <c r="OCL51" s="4"/>
      <c r="OCM51" s="4"/>
      <c r="OCN51" s="4"/>
      <c r="OCO51" s="4"/>
      <c r="OCP51" s="4"/>
      <c r="OCQ51" s="4"/>
      <c r="OCR51" s="4"/>
      <c r="OCS51" s="4"/>
      <c r="OCT51" s="4"/>
      <c r="OCU51" s="4"/>
      <c r="OCV51" s="4"/>
      <c r="OCW51" s="4"/>
      <c r="OCX51" s="4"/>
      <c r="OCY51" s="4"/>
      <c r="OCZ51" s="4"/>
      <c r="ODA51" s="4"/>
      <c r="ODB51" s="4"/>
      <c r="ODC51" s="4"/>
      <c r="ODD51" s="4"/>
      <c r="ODE51" s="4"/>
      <c r="ODF51" s="4"/>
      <c r="ODG51" s="4"/>
      <c r="ODH51" s="4"/>
      <c r="ODI51" s="4"/>
      <c r="ODJ51" s="4"/>
      <c r="ODK51" s="4"/>
      <c r="ODL51" s="4"/>
      <c r="ODM51" s="4"/>
      <c r="ODN51" s="4"/>
      <c r="ODO51" s="4"/>
      <c r="ODP51" s="4"/>
      <c r="ODQ51" s="4"/>
      <c r="ODR51" s="4"/>
      <c r="ODS51" s="4"/>
      <c r="ODT51" s="4"/>
      <c r="ODU51" s="4"/>
      <c r="ODV51" s="4"/>
      <c r="ODW51" s="4"/>
      <c r="ODX51" s="4"/>
      <c r="ODY51" s="4"/>
      <c r="ODZ51" s="4"/>
      <c r="OEA51" s="4"/>
      <c r="OEB51" s="4"/>
      <c r="OEC51" s="4"/>
      <c r="OED51" s="4"/>
      <c r="OEE51" s="4"/>
      <c r="OEF51" s="4"/>
      <c r="OEG51" s="4"/>
      <c r="OEH51" s="4"/>
      <c r="OEI51" s="4"/>
      <c r="OEJ51" s="4"/>
      <c r="OEK51" s="4"/>
      <c r="OEL51" s="4"/>
      <c r="OEM51" s="4"/>
      <c r="OEN51" s="4"/>
      <c r="OEO51" s="4"/>
      <c r="OEP51" s="4"/>
      <c r="OEQ51" s="4"/>
      <c r="OER51" s="4"/>
      <c r="OES51" s="4"/>
      <c r="OET51" s="4"/>
      <c r="OEU51" s="4"/>
      <c r="OEV51" s="4"/>
      <c r="OEW51" s="4"/>
      <c r="OEX51" s="4"/>
      <c r="OEY51" s="4"/>
      <c r="OEZ51" s="4"/>
      <c r="OFA51" s="4"/>
      <c r="OFB51" s="4"/>
      <c r="OFC51" s="4"/>
      <c r="OFD51" s="4"/>
      <c r="OFE51" s="4"/>
      <c r="OFF51" s="4"/>
      <c r="OFG51" s="4"/>
      <c r="OFH51" s="4"/>
      <c r="OFI51" s="4"/>
      <c r="OFJ51" s="4"/>
      <c r="OFK51" s="4"/>
      <c r="OFL51" s="4"/>
      <c r="OFM51" s="4"/>
      <c r="OFN51" s="4"/>
      <c r="OFO51" s="4"/>
      <c r="OFP51" s="4"/>
      <c r="OFQ51" s="4"/>
      <c r="OFR51" s="4"/>
      <c r="OFS51" s="4"/>
      <c r="OFT51" s="4"/>
      <c r="OFU51" s="4"/>
      <c r="OFV51" s="4"/>
      <c r="OFW51" s="4"/>
      <c r="OFX51" s="4"/>
      <c r="OFY51" s="4"/>
      <c r="OFZ51" s="4"/>
      <c r="OGA51" s="4"/>
      <c r="OGB51" s="4"/>
      <c r="OGC51" s="4"/>
      <c r="OGD51" s="4"/>
      <c r="OGE51" s="4"/>
      <c r="OGF51" s="4"/>
      <c r="OGG51" s="4"/>
      <c r="OGH51" s="4"/>
      <c r="OGI51" s="4"/>
      <c r="OGJ51" s="4"/>
      <c r="OGK51" s="4"/>
      <c r="OGL51" s="4"/>
      <c r="OGM51" s="4"/>
      <c r="OGN51" s="4"/>
      <c r="OGO51" s="4"/>
      <c r="OGP51" s="4"/>
      <c r="OGQ51" s="4"/>
      <c r="OGR51" s="4"/>
      <c r="OGS51" s="4"/>
      <c r="OGT51" s="4"/>
      <c r="OGU51" s="4"/>
      <c r="OGV51" s="4"/>
      <c r="OGW51" s="4"/>
      <c r="OGX51" s="4"/>
      <c r="OGY51" s="4"/>
      <c r="OGZ51" s="4"/>
      <c r="OHA51" s="4"/>
      <c r="OHB51" s="4"/>
      <c r="OHC51" s="4"/>
      <c r="OHD51" s="4"/>
      <c r="OHE51" s="4"/>
      <c r="OHF51" s="4"/>
      <c r="OHG51" s="4"/>
      <c r="OHH51" s="4"/>
      <c r="OHI51" s="4"/>
      <c r="OHJ51" s="4"/>
      <c r="OHK51" s="4"/>
      <c r="OHL51" s="4"/>
      <c r="OHM51" s="4"/>
      <c r="OHN51" s="4"/>
      <c r="OHO51" s="4"/>
      <c r="OHP51" s="4"/>
      <c r="OHQ51" s="4"/>
      <c r="OHR51" s="4"/>
      <c r="OHS51" s="4"/>
      <c r="OHT51" s="4"/>
      <c r="OHU51" s="4"/>
      <c r="OHV51" s="4"/>
      <c r="OHW51" s="4"/>
      <c r="OHX51" s="4"/>
      <c r="OHY51" s="4"/>
      <c r="OHZ51" s="4"/>
      <c r="OIA51" s="4"/>
      <c r="OIB51" s="4"/>
      <c r="OIC51" s="4"/>
      <c r="OID51" s="4"/>
      <c r="OIE51" s="4"/>
      <c r="OIF51" s="4"/>
      <c r="OIG51" s="4"/>
      <c r="OIH51" s="4"/>
      <c r="OII51" s="4"/>
      <c r="OIJ51" s="4"/>
      <c r="OIK51" s="4"/>
      <c r="OIL51" s="4"/>
      <c r="OIM51" s="4"/>
      <c r="OIN51" s="4"/>
      <c r="OIO51" s="4"/>
      <c r="OIP51" s="4"/>
      <c r="OIQ51" s="4"/>
      <c r="OIR51" s="4"/>
      <c r="OIS51" s="4"/>
      <c r="OIT51" s="4"/>
      <c r="OIU51" s="4"/>
      <c r="OIV51" s="4"/>
      <c r="OIW51" s="4"/>
      <c r="OIX51" s="4"/>
      <c r="OIY51" s="4"/>
      <c r="OIZ51" s="4"/>
      <c r="OJA51" s="4"/>
      <c r="OJB51" s="4"/>
      <c r="OJC51" s="4"/>
      <c r="OJD51" s="4"/>
      <c r="OJE51" s="4"/>
      <c r="OJF51" s="4"/>
      <c r="OJG51" s="4"/>
      <c r="OJH51" s="4"/>
      <c r="OJI51" s="4"/>
      <c r="OJJ51" s="4"/>
      <c r="OJK51" s="4"/>
      <c r="OJL51" s="4"/>
      <c r="OJM51" s="4"/>
      <c r="OJN51" s="4"/>
      <c r="OJO51" s="4"/>
      <c r="OJP51" s="4"/>
      <c r="OJQ51" s="4"/>
      <c r="OJR51" s="4"/>
      <c r="OJS51" s="4"/>
      <c r="OJT51" s="4"/>
      <c r="OJU51" s="4"/>
      <c r="OJV51" s="4"/>
      <c r="OJW51" s="4"/>
      <c r="OJX51" s="4"/>
      <c r="OJY51" s="4"/>
      <c r="OJZ51" s="4"/>
      <c r="OKA51" s="4"/>
      <c r="OKB51" s="4"/>
      <c r="OKC51" s="4"/>
      <c r="OKD51" s="4"/>
      <c r="OKE51" s="4"/>
      <c r="OKF51" s="4"/>
      <c r="OKG51" s="4"/>
      <c r="OKH51" s="4"/>
      <c r="OKI51" s="4"/>
      <c r="OKJ51" s="4"/>
      <c r="OKK51" s="4"/>
      <c r="OKL51" s="4"/>
      <c r="OKM51" s="4"/>
      <c r="OKN51" s="4"/>
      <c r="OKO51" s="4"/>
      <c r="OKP51" s="4"/>
      <c r="OKQ51" s="4"/>
      <c r="OKR51" s="4"/>
      <c r="OKS51" s="4"/>
      <c r="OKT51" s="4"/>
      <c r="OKU51" s="4"/>
      <c r="OKV51" s="4"/>
      <c r="OKW51" s="4"/>
      <c r="OKX51" s="4"/>
      <c r="OKY51" s="4"/>
      <c r="OKZ51" s="4"/>
      <c r="OLA51" s="4"/>
      <c r="OLB51" s="4"/>
      <c r="OLC51" s="4"/>
      <c r="OLD51" s="4"/>
      <c r="OLE51" s="4"/>
      <c r="OLF51" s="4"/>
      <c r="OLG51" s="4"/>
      <c r="OLH51" s="4"/>
      <c r="OLI51" s="4"/>
      <c r="OLJ51" s="4"/>
      <c r="OLK51" s="4"/>
      <c r="OLL51" s="4"/>
      <c r="OLM51" s="4"/>
      <c r="OLN51" s="4"/>
      <c r="OLO51" s="4"/>
      <c r="OLP51" s="4"/>
      <c r="OLQ51" s="4"/>
      <c r="OLR51" s="4"/>
      <c r="OLS51" s="4"/>
      <c r="OLT51" s="4"/>
      <c r="OLU51" s="4"/>
      <c r="OLV51" s="4"/>
      <c r="OLW51" s="4"/>
      <c r="OLX51" s="4"/>
      <c r="OLY51" s="4"/>
      <c r="OLZ51" s="4"/>
      <c r="OMA51" s="4"/>
      <c r="OMB51" s="4"/>
      <c r="OMC51" s="4"/>
      <c r="OMD51" s="4"/>
      <c r="OME51" s="4"/>
      <c r="OMF51" s="4"/>
      <c r="OMG51" s="4"/>
      <c r="OMH51" s="4"/>
      <c r="OMI51" s="4"/>
      <c r="OMJ51" s="4"/>
      <c r="OMK51" s="4"/>
      <c r="OML51" s="4"/>
      <c r="OMM51" s="4"/>
      <c r="OMN51" s="4"/>
      <c r="OMO51" s="4"/>
      <c r="OMP51" s="4"/>
      <c r="OMQ51" s="4"/>
      <c r="OMR51" s="4"/>
      <c r="OMS51" s="4"/>
      <c r="OMT51" s="4"/>
      <c r="OMU51" s="4"/>
      <c r="OMV51" s="4"/>
      <c r="OMW51" s="4"/>
      <c r="OMX51" s="4"/>
      <c r="OMY51" s="4"/>
      <c r="OMZ51" s="4"/>
      <c r="ONA51" s="4"/>
      <c r="ONB51" s="4"/>
      <c r="ONC51" s="4"/>
      <c r="OND51" s="4"/>
      <c r="ONE51" s="4"/>
      <c r="ONF51" s="4"/>
      <c r="ONG51" s="4"/>
      <c r="ONH51" s="4"/>
      <c r="ONI51" s="4"/>
      <c r="ONJ51" s="4"/>
      <c r="ONK51" s="4"/>
      <c r="ONL51" s="4"/>
      <c r="ONM51" s="4"/>
      <c r="ONN51" s="4"/>
      <c r="ONO51" s="4"/>
      <c r="ONP51" s="4"/>
      <c r="ONQ51" s="4"/>
      <c r="ONR51" s="4"/>
      <c r="ONS51" s="4"/>
      <c r="ONT51" s="4"/>
      <c r="ONU51" s="4"/>
      <c r="ONV51" s="4"/>
      <c r="ONW51" s="4"/>
      <c r="ONX51" s="4"/>
      <c r="ONY51" s="4"/>
      <c r="ONZ51" s="4"/>
      <c r="OOA51" s="4"/>
      <c r="OOB51" s="4"/>
      <c r="OOC51" s="4"/>
      <c r="OOD51" s="4"/>
      <c r="OOE51" s="4"/>
      <c r="OOF51" s="4"/>
      <c r="OOG51" s="4"/>
      <c r="OOH51" s="4"/>
      <c r="OOI51" s="4"/>
      <c r="OOJ51" s="4"/>
      <c r="OOK51" s="4"/>
      <c r="OOL51" s="4"/>
      <c r="OOM51" s="4"/>
      <c r="OON51" s="4"/>
      <c r="OOO51" s="4"/>
      <c r="OOP51" s="4"/>
      <c r="OOQ51" s="4"/>
      <c r="OOR51" s="4"/>
      <c r="OOS51" s="4"/>
      <c r="OOT51" s="4"/>
      <c r="OOU51" s="4"/>
      <c r="OOV51" s="4"/>
      <c r="OOW51" s="4"/>
      <c r="OOX51" s="4"/>
      <c r="OOY51" s="4"/>
      <c r="OOZ51" s="4"/>
      <c r="OPA51" s="4"/>
      <c r="OPB51" s="4"/>
      <c r="OPC51" s="4"/>
      <c r="OPD51" s="4"/>
      <c r="OPE51" s="4"/>
      <c r="OPF51" s="4"/>
      <c r="OPG51" s="4"/>
      <c r="OPH51" s="4"/>
      <c r="OPI51" s="4"/>
      <c r="OPJ51" s="4"/>
      <c r="OPK51" s="4"/>
      <c r="OPL51" s="4"/>
      <c r="OPM51" s="4"/>
      <c r="OPN51" s="4"/>
      <c r="OPO51" s="4"/>
      <c r="OPP51" s="4"/>
      <c r="OPQ51" s="4"/>
      <c r="OPR51" s="4"/>
      <c r="OPS51" s="4"/>
      <c r="OPT51" s="4"/>
      <c r="OPU51" s="4"/>
      <c r="OPV51" s="4"/>
      <c r="OPW51" s="4"/>
      <c r="OPX51" s="4"/>
      <c r="OPY51" s="4"/>
      <c r="OPZ51" s="4"/>
      <c r="OQA51" s="4"/>
      <c r="OQB51" s="4"/>
      <c r="OQC51" s="4"/>
      <c r="OQD51" s="4"/>
      <c r="OQE51" s="4"/>
      <c r="OQF51" s="4"/>
      <c r="OQG51" s="4"/>
      <c r="OQH51" s="4"/>
      <c r="OQI51" s="4"/>
      <c r="OQJ51" s="4"/>
      <c r="OQK51" s="4"/>
      <c r="OQL51" s="4"/>
      <c r="OQM51" s="4"/>
      <c r="OQN51" s="4"/>
      <c r="OQO51" s="4"/>
      <c r="OQP51" s="4"/>
      <c r="OQQ51" s="4"/>
      <c r="OQR51" s="4"/>
      <c r="OQS51" s="4"/>
      <c r="OQT51" s="4"/>
      <c r="OQU51" s="4"/>
      <c r="OQV51" s="4"/>
      <c r="OQW51" s="4"/>
      <c r="OQX51" s="4"/>
      <c r="OQY51" s="4"/>
      <c r="OQZ51" s="4"/>
      <c r="ORA51" s="4"/>
      <c r="ORB51" s="4"/>
      <c r="ORC51" s="4"/>
      <c r="ORD51" s="4"/>
      <c r="ORE51" s="4"/>
      <c r="ORF51" s="4"/>
      <c r="ORG51" s="4"/>
      <c r="ORH51" s="4"/>
      <c r="ORI51" s="4"/>
      <c r="ORJ51" s="4"/>
      <c r="ORK51" s="4"/>
      <c r="ORL51" s="4"/>
      <c r="ORM51" s="4"/>
      <c r="ORN51" s="4"/>
      <c r="ORO51" s="4"/>
      <c r="ORP51" s="4"/>
      <c r="ORQ51" s="4"/>
      <c r="ORR51" s="4"/>
      <c r="ORS51" s="4"/>
      <c r="ORT51" s="4"/>
      <c r="ORU51" s="4"/>
      <c r="ORV51" s="4"/>
      <c r="ORW51" s="4"/>
      <c r="ORX51" s="4"/>
      <c r="ORY51" s="4"/>
      <c r="ORZ51" s="4"/>
      <c r="OSA51" s="4"/>
      <c r="OSB51" s="4"/>
      <c r="OSC51" s="4"/>
      <c r="OSD51" s="4"/>
      <c r="OSE51" s="4"/>
      <c r="OSF51" s="4"/>
      <c r="OSG51" s="4"/>
      <c r="OSH51" s="4"/>
      <c r="OSI51" s="4"/>
      <c r="OSJ51" s="4"/>
      <c r="OSK51" s="4"/>
      <c r="OSL51" s="4"/>
      <c r="OSM51" s="4"/>
      <c r="OSN51" s="4"/>
      <c r="OSO51" s="4"/>
      <c r="OSP51" s="4"/>
      <c r="OSQ51" s="4"/>
      <c r="OSR51" s="4"/>
      <c r="OSS51" s="4"/>
      <c r="OST51" s="4"/>
      <c r="OSU51" s="4"/>
      <c r="OSV51" s="4"/>
      <c r="OSW51" s="4"/>
      <c r="OSX51" s="4"/>
      <c r="OSY51" s="4"/>
      <c r="OSZ51" s="4"/>
      <c r="OTA51" s="4"/>
      <c r="OTB51" s="4"/>
      <c r="OTC51" s="4"/>
      <c r="OTD51" s="4"/>
      <c r="OTE51" s="4"/>
      <c r="OTF51" s="4"/>
      <c r="OTG51" s="4"/>
      <c r="OTH51" s="4"/>
      <c r="OTI51" s="4"/>
      <c r="OTJ51" s="4"/>
      <c r="OTK51" s="4"/>
      <c r="OTL51" s="4"/>
      <c r="OTM51" s="4"/>
      <c r="OTN51" s="4"/>
      <c r="OTO51" s="4"/>
      <c r="OTP51" s="4"/>
      <c r="OTQ51" s="4"/>
      <c r="OTR51" s="4"/>
      <c r="OTS51" s="4"/>
      <c r="OTT51" s="4"/>
      <c r="OTU51" s="4"/>
      <c r="OTV51" s="4"/>
      <c r="OTW51" s="4"/>
      <c r="OTX51" s="4"/>
      <c r="OTY51" s="4"/>
      <c r="OTZ51" s="4"/>
      <c r="OUA51" s="4"/>
      <c r="OUB51" s="4"/>
      <c r="OUC51" s="4"/>
      <c r="OUD51" s="4"/>
      <c r="OUE51" s="4"/>
      <c r="OUF51" s="4"/>
      <c r="OUG51" s="4"/>
      <c r="OUH51" s="4"/>
      <c r="OUI51" s="4"/>
      <c r="OUJ51" s="4"/>
      <c r="OUK51" s="4"/>
      <c r="OUL51" s="4"/>
      <c r="OUM51" s="4"/>
      <c r="OUN51" s="4"/>
      <c r="OUO51" s="4"/>
      <c r="OUP51" s="4"/>
      <c r="OUQ51" s="4"/>
      <c r="OUR51" s="4"/>
      <c r="OUS51" s="4"/>
      <c r="OUT51" s="4"/>
      <c r="OUU51" s="4"/>
      <c r="OUV51" s="4"/>
      <c r="OUW51" s="4"/>
      <c r="OUX51" s="4"/>
      <c r="OUY51" s="4"/>
      <c r="OUZ51" s="4"/>
      <c r="OVA51" s="4"/>
      <c r="OVB51" s="4"/>
      <c r="OVC51" s="4"/>
      <c r="OVD51" s="4"/>
      <c r="OVE51" s="4"/>
      <c r="OVF51" s="4"/>
      <c r="OVG51" s="4"/>
      <c r="OVH51" s="4"/>
      <c r="OVI51" s="4"/>
      <c r="OVJ51" s="4"/>
      <c r="OVK51" s="4"/>
      <c r="OVL51" s="4"/>
      <c r="OVM51" s="4"/>
      <c r="OVN51" s="4"/>
      <c r="OVO51" s="4"/>
      <c r="OVP51" s="4"/>
      <c r="OVQ51" s="4"/>
      <c r="OVR51" s="4"/>
      <c r="OVS51" s="4"/>
      <c r="OVT51" s="4"/>
      <c r="OVU51" s="4"/>
      <c r="OVV51" s="4"/>
      <c r="OVW51" s="4"/>
      <c r="OVX51" s="4"/>
      <c r="OVY51" s="4"/>
      <c r="OVZ51" s="4"/>
      <c r="OWA51" s="4"/>
      <c r="OWB51" s="4"/>
      <c r="OWC51" s="4"/>
      <c r="OWD51" s="4"/>
      <c r="OWE51" s="4"/>
      <c r="OWF51" s="4"/>
      <c r="OWG51" s="4"/>
      <c r="OWH51" s="4"/>
      <c r="OWI51" s="4"/>
      <c r="OWJ51" s="4"/>
      <c r="OWK51" s="4"/>
      <c r="OWL51" s="4"/>
      <c r="OWM51" s="4"/>
      <c r="OWN51" s="4"/>
      <c r="OWO51" s="4"/>
      <c r="OWP51" s="4"/>
      <c r="OWQ51" s="4"/>
      <c r="OWR51" s="4"/>
      <c r="OWS51" s="4"/>
      <c r="OWT51" s="4"/>
      <c r="OWU51" s="4"/>
      <c r="OWV51" s="4"/>
      <c r="OWW51" s="4"/>
      <c r="OWX51" s="4"/>
      <c r="OWY51" s="4"/>
      <c r="OWZ51" s="4"/>
      <c r="OXA51" s="4"/>
      <c r="OXB51" s="4"/>
      <c r="OXC51" s="4"/>
      <c r="OXD51" s="4"/>
      <c r="OXE51" s="4"/>
      <c r="OXF51" s="4"/>
      <c r="OXG51" s="4"/>
      <c r="OXH51" s="4"/>
      <c r="OXI51" s="4"/>
      <c r="OXJ51" s="4"/>
      <c r="OXK51" s="4"/>
      <c r="OXL51" s="4"/>
      <c r="OXM51" s="4"/>
      <c r="OXN51" s="4"/>
      <c r="OXO51" s="4"/>
      <c r="OXP51" s="4"/>
      <c r="OXQ51" s="4"/>
      <c r="OXR51" s="4"/>
      <c r="OXS51" s="4"/>
      <c r="OXT51" s="4"/>
      <c r="OXU51" s="4"/>
      <c r="OXV51" s="4"/>
      <c r="OXW51" s="4"/>
      <c r="OXX51" s="4"/>
      <c r="OXY51" s="4"/>
      <c r="OXZ51" s="4"/>
      <c r="OYA51" s="4"/>
      <c r="OYB51" s="4"/>
      <c r="OYC51" s="4"/>
      <c r="OYD51" s="4"/>
      <c r="OYE51" s="4"/>
      <c r="OYF51" s="4"/>
      <c r="OYG51" s="4"/>
      <c r="OYH51" s="4"/>
      <c r="OYI51" s="4"/>
      <c r="OYJ51" s="4"/>
      <c r="OYK51" s="4"/>
      <c r="OYL51" s="4"/>
      <c r="OYM51" s="4"/>
      <c r="OYN51" s="4"/>
      <c r="OYO51" s="4"/>
      <c r="OYP51" s="4"/>
      <c r="OYQ51" s="4"/>
      <c r="OYR51" s="4"/>
      <c r="OYS51" s="4"/>
      <c r="OYT51" s="4"/>
      <c r="OYU51" s="4"/>
      <c r="OYV51" s="4"/>
      <c r="OYW51" s="4"/>
      <c r="OYX51" s="4"/>
      <c r="OYY51" s="4"/>
      <c r="OYZ51" s="4"/>
      <c r="OZA51" s="4"/>
      <c r="OZB51" s="4"/>
      <c r="OZC51" s="4"/>
      <c r="OZD51" s="4"/>
      <c r="OZE51" s="4"/>
      <c r="OZF51" s="4"/>
      <c r="OZG51" s="4"/>
      <c r="OZH51" s="4"/>
      <c r="OZI51" s="4"/>
      <c r="OZJ51" s="4"/>
      <c r="OZK51" s="4"/>
      <c r="OZL51" s="4"/>
      <c r="OZM51" s="4"/>
      <c r="OZN51" s="4"/>
      <c r="OZO51" s="4"/>
      <c r="OZP51" s="4"/>
      <c r="OZQ51" s="4"/>
      <c r="OZR51" s="4"/>
      <c r="OZS51" s="4"/>
      <c r="OZT51" s="4"/>
      <c r="OZU51" s="4"/>
      <c r="OZV51" s="4"/>
      <c r="OZW51" s="4"/>
      <c r="OZX51" s="4"/>
      <c r="OZY51" s="4"/>
      <c r="OZZ51" s="4"/>
      <c r="PAA51" s="4"/>
      <c r="PAB51" s="4"/>
      <c r="PAC51" s="4"/>
      <c r="PAD51" s="4"/>
      <c r="PAE51" s="4"/>
      <c r="PAF51" s="4"/>
      <c r="PAG51" s="4"/>
      <c r="PAH51" s="4"/>
      <c r="PAI51" s="4"/>
      <c r="PAJ51" s="4"/>
      <c r="PAK51" s="4"/>
      <c r="PAL51" s="4"/>
      <c r="PAM51" s="4"/>
      <c r="PAN51" s="4"/>
      <c r="PAO51" s="4"/>
      <c r="PAP51" s="4"/>
      <c r="PAQ51" s="4"/>
      <c r="PAR51" s="4"/>
      <c r="PAS51" s="4"/>
      <c r="PAT51" s="4"/>
      <c r="PAU51" s="4"/>
      <c r="PAV51" s="4"/>
      <c r="PAW51" s="4"/>
      <c r="PAX51" s="4"/>
      <c r="PAY51" s="4"/>
      <c r="PAZ51" s="4"/>
      <c r="PBA51" s="4"/>
      <c r="PBB51" s="4"/>
      <c r="PBC51" s="4"/>
      <c r="PBD51" s="4"/>
      <c r="PBE51" s="4"/>
      <c r="PBF51" s="4"/>
      <c r="PBG51" s="4"/>
      <c r="PBH51" s="4"/>
      <c r="PBI51" s="4"/>
      <c r="PBJ51" s="4"/>
      <c r="PBK51" s="4"/>
      <c r="PBL51" s="4"/>
      <c r="PBM51" s="4"/>
      <c r="PBN51" s="4"/>
      <c r="PBO51" s="4"/>
      <c r="PBP51" s="4"/>
      <c r="PBQ51" s="4"/>
      <c r="PBR51" s="4"/>
      <c r="PBS51" s="4"/>
      <c r="PBT51" s="4"/>
      <c r="PBU51" s="4"/>
      <c r="PBV51" s="4"/>
      <c r="PBW51" s="4"/>
      <c r="PBX51" s="4"/>
      <c r="PBY51" s="4"/>
      <c r="PBZ51" s="4"/>
      <c r="PCA51" s="4"/>
      <c r="PCB51" s="4"/>
      <c r="PCC51" s="4"/>
      <c r="PCD51" s="4"/>
      <c r="PCE51" s="4"/>
      <c r="PCF51" s="4"/>
      <c r="PCG51" s="4"/>
      <c r="PCH51" s="4"/>
      <c r="PCI51" s="4"/>
      <c r="PCJ51" s="4"/>
      <c r="PCK51" s="4"/>
      <c r="PCL51" s="4"/>
      <c r="PCM51" s="4"/>
      <c r="PCN51" s="4"/>
      <c r="PCO51" s="4"/>
      <c r="PCP51" s="4"/>
      <c r="PCQ51" s="4"/>
      <c r="PCR51" s="4"/>
      <c r="PCS51" s="4"/>
      <c r="PCT51" s="4"/>
      <c r="PCU51" s="4"/>
      <c r="PCV51" s="4"/>
      <c r="PCW51" s="4"/>
      <c r="PCX51" s="4"/>
      <c r="PCY51" s="4"/>
      <c r="PCZ51" s="4"/>
      <c r="PDA51" s="4"/>
      <c r="PDB51" s="4"/>
      <c r="PDC51" s="4"/>
      <c r="PDD51" s="4"/>
      <c r="PDE51" s="4"/>
      <c r="PDF51" s="4"/>
      <c r="PDG51" s="4"/>
      <c r="PDH51" s="4"/>
      <c r="PDI51" s="4"/>
      <c r="PDJ51" s="4"/>
      <c r="PDK51" s="4"/>
      <c r="PDL51" s="4"/>
      <c r="PDM51" s="4"/>
      <c r="PDN51" s="4"/>
      <c r="PDO51" s="4"/>
      <c r="PDP51" s="4"/>
      <c r="PDQ51" s="4"/>
      <c r="PDR51" s="4"/>
      <c r="PDS51" s="4"/>
      <c r="PDT51" s="4"/>
      <c r="PDU51" s="4"/>
      <c r="PDV51" s="4"/>
      <c r="PDW51" s="4"/>
      <c r="PDX51" s="4"/>
      <c r="PDY51" s="4"/>
      <c r="PDZ51" s="4"/>
      <c r="PEA51" s="4"/>
      <c r="PEB51" s="4"/>
      <c r="PEC51" s="4"/>
      <c r="PED51" s="4"/>
      <c r="PEE51" s="4"/>
      <c r="PEF51" s="4"/>
      <c r="PEG51" s="4"/>
      <c r="PEH51" s="4"/>
      <c r="PEI51" s="4"/>
      <c r="PEJ51" s="4"/>
      <c r="PEK51" s="4"/>
      <c r="PEL51" s="4"/>
      <c r="PEM51" s="4"/>
      <c r="PEN51" s="4"/>
      <c r="PEO51" s="4"/>
      <c r="PEP51" s="4"/>
      <c r="PEQ51" s="4"/>
      <c r="PER51" s="4"/>
      <c r="PES51" s="4"/>
      <c r="PET51" s="4"/>
      <c r="PEU51" s="4"/>
      <c r="PEV51" s="4"/>
      <c r="PEW51" s="4"/>
      <c r="PEX51" s="4"/>
      <c r="PEY51" s="4"/>
      <c r="PEZ51" s="4"/>
      <c r="PFA51" s="4"/>
      <c r="PFB51" s="4"/>
      <c r="PFC51" s="4"/>
      <c r="PFD51" s="4"/>
      <c r="PFE51" s="4"/>
      <c r="PFF51" s="4"/>
      <c r="PFG51" s="4"/>
      <c r="PFH51" s="4"/>
      <c r="PFI51" s="4"/>
      <c r="PFJ51" s="4"/>
      <c r="PFK51" s="4"/>
      <c r="PFL51" s="4"/>
      <c r="PFM51" s="4"/>
      <c r="PFN51" s="4"/>
      <c r="PFO51" s="4"/>
      <c r="PFP51" s="4"/>
      <c r="PFQ51" s="4"/>
      <c r="PFR51" s="4"/>
      <c r="PFS51" s="4"/>
      <c r="PFT51" s="4"/>
      <c r="PFU51" s="4"/>
      <c r="PFV51" s="4"/>
      <c r="PFW51" s="4"/>
      <c r="PFX51" s="4"/>
      <c r="PFY51" s="4"/>
      <c r="PFZ51" s="4"/>
      <c r="PGA51" s="4"/>
      <c r="PGB51" s="4"/>
      <c r="PGC51" s="4"/>
      <c r="PGD51" s="4"/>
      <c r="PGE51" s="4"/>
      <c r="PGF51" s="4"/>
      <c r="PGG51" s="4"/>
      <c r="PGH51" s="4"/>
      <c r="PGI51" s="4"/>
      <c r="PGJ51" s="4"/>
      <c r="PGK51" s="4"/>
      <c r="PGL51" s="4"/>
      <c r="PGM51" s="4"/>
      <c r="PGN51" s="4"/>
      <c r="PGO51" s="4"/>
      <c r="PGP51" s="4"/>
      <c r="PGQ51" s="4"/>
      <c r="PGR51" s="4"/>
      <c r="PGS51" s="4"/>
      <c r="PGT51" s="4"/>
      <c r="PGU51" s="4"/>
      <c r="PGV51" s="4"/>
      <c r="PGW51" s="4"/>
      <c r="PGX51" s="4"/>
      <c r="PGY51" s="4"/>
      <c r="PGZ51" s="4"/>
      <c r="PHA51" s="4"/>
      <c r="PHB51" s="4"/>
      <c r="PHC51" s="4"/>
      <c r="PHD51" s="4"/>
      <c r="PHE51" s="4"/>
      <c r="PHF51" s="4"/>
      <c r="PHG51" s="4"/>
      <c r="PHH51" s="4"/>
      <c r="PHI51" s="4"/>
      <c r="PHJ51" s="4"/>
      <c r="PHK51" s="4"/>
      <c r="PHL51" s="4"/>
      <c r="PHM51" s="4"/>
      <c r="PHN51" s="4"/>
      <c r="PHO51" s="4"/>
      <c r="PHP51" s="4"/>
      <c r="PHQ51" s="4"/>
      <c r="PHR51" s="4"/>
      <c r="PHS51" s="4"/>
      <c r="PHT51" s="4"/>
      <c r="PHU51" s="4"/>
      <c r="PHV51" s="4"/>
      <c r="PHW51" s="4"/>
      <c r="PHX51" s="4"/>
      <c r="PHY51" s="4"/>
      <c r="PHZ51" s="4"/>
      <c r="PIA51" s="4"/>
      <c r="PIB51" s="4"/>
      <c r="PIC51" s="4"/>
      <c r="PID51" s="4"/>
      <c r="PIE51" s="4"/>
      <c r="PIF51" s="4"/>
      <c r="PIG51" s="4"/>
      <c r="PIH51" s="4"/>
      <c r="PII51" s="4"/>
      <c r="PIJ51" s="4"/>
      <c r="PIK51" s="4"/>
      <c r="PIL51" s="4"/>
      <c r="PIM51" s="4"/>
      <c r="PIN51" s="4"/>
      <c r="PIO51" s="4"/>
      <c r="PIP51" s="4"/>
      <c r="PIQ51" s="4"/>
      <c r="PIR51" s="4"/>
      <c r="PIS51" s="4"/>
      <c r="PIT51" s="4"/>
      <c r="PIU51" s="4"/>
      <c r="PIV51" s="4"/>
      <c r="PIW51" s="4"/>
      <c r="PIX51" s="4"/>
      <c r="PIY51" s="4"/>
      <c r="PIZ51" s="4"/>
      <c r="PJA51" s="4"/>
      <c r="PJB51" s="4"/>
      <c r="PJC51" s="4"/>
      <c r="PJD51" s="4"/>
      <c r="PJE51" s="4"/>
      <c r="PJF51" s="4"/>
      <c r="PJG51" s="4"/>
      <c r="PJH51" s="4"/>
      <c r="PJI51" s="4"/>
      <c r="PJJ51" s="4"/>
      <c r="PJK51" s="4"/>
      <c r="PJL51" s="4"/>
      <c r="PJM51" s="4"/>
      <c r="PJN51" s="4"/>
      <c r="PJO51" s="4"/>
      <c r="PJP51" s="4"/>
      <c r="PJQ51" s="4"/>
      <c r="PJR51" s="4"/>
      <c r="PJS51" s="4"/>
      <c r="PJT51" s="4"/>
      <c r="PJU51" s="4"/>
      <c r="PJV51" s="4"/>
      <c r="PJW51" s="4"/>
      <c r="PJX51" s="4"/>
      <c r="PJY51" s="4"/>
      <c r="PJZ51" s="4"/>
      <c r="PKA51" s="4"/>
      <c r="PKB51" s="4"/>
      <c r="PKC51" s="4"/>
      <c r="PKD51" s="4"/>
      <c r="PKE51" s="4"/>
      <c r="PKF51" s="4"/>
      <c r="PKG51" s="4"/>
      <c r="PKH51" s="4"/>
      <c r="PKI51" s="4"/>
      <c r="PKJ51" s="4"/>
      <c r="PKK51" s="4"/>
      <c r="PKL51" s="4"/>
      <c r="PKM51" s="4"/>
      <c r="PKN51" s="4"/>
      <c r="PKO51" s="4"/>
      <c r="PKP51" s="4"/>
      <c r="PKQ51" s="4"/>
      <c r="PKR51" s="4"/>
      <c r="PKS51" s="4"/>
      <c r="PKT51" s="4"/>
      <c r="PKU51" s="4"/>
      <c r="PKV51" s="4"/>
      <c r="PKW51" s="4"/>
      <c r="PKX51" s="4"/>
      <c r="PKY51" s="4"/>
      <c r="PKZ51" s="4"/>
      <c r="PLA51" s="4"/>
      <c r="PLB51" s="4"/>
      <c r="PLC51" s="4"/>
      <c r="PLD51" s="4"/>
      <c r="PLE51" s="4"/>
      <c r="PLF51" s="4"/>
      <c r="PLG51" s="4"/>
      <c r="PLH51" s="4"/>
      <c r="PLI51" s="4"/>
      <c r="PLJ51" s="4"/>
      <c r="PLK51" s="4"/>
      <c r="PLL51" s="4"/>
      <c r="PLM51" s="4"/>
      <c r="PLN51" s="4"/>
      <c r="PLO51" s="4"/>
      <c r="PLP51" s="4"/>
      <c r="PLQ51" s="4"/>
      <c r="PLR51" s="4"/>
      <c r="PLS51" s="4"/>
      <c r="PLT51" s="4"/>
      <c r="PLU51" s="4"/>
      <c r="PLV51" s="4"/>
      <c r="PLW51" s="4"/>
      <c r="PLX51" s="4"/>
      <c r="PLY51" s="4"/>
      <c r="PLZ51" s="4"/>
      <c r="PMA51" s="4"/>
      <c r="PMB51" s="4"/>
      <c r="PMC51" s="4"/>
      <c r="PMD51" s="4"/>
      <c r="PME51" s="4"/>
      <c r="PMF51" s="4"/>
      <c r="PMG51" s="4"/>
      <c r="PMH51" s="4"/>
      <c r="PMI51" s="4"/>
      <c r="PMJ51" s="4"/>
      <c r="PMK51" s="4"/>
      <c r="PML51" s="4"/>
      <c r="PMM51" s="4"/>
      <c r="PMN51" s="4"/>
      <c r="PMO51" s="4"/>
      <c r="PMP51" s="4"/>
      <c r="PMQ51" s="4"/>
      <c r="PMR51" s="4"/>
      <c r="PMS51" s="4"/>
      <c r="PMT51" s="4"/>
      <c r="PMU51" s="4"/>
      <c r="PMV51" s="4"/>
      <c r="PMW51" s="4"/>
      <c r="PMX51" s="4"/>
      <c r="PMY51" s="4"/>
      <c r="PMZ51" s="4"/>
      <c r="PNA51" s="4"/>
      <c r="PNB51" s="4"/>
      <c r="PNC51" s="4"/>
      <c r="PND51" s="4"/>
      <c r="PNE51" s="4"/>
      <c r="PNF51" s="4"/>
      <c r="PNG51" s="4"/>
      <c r="PNH51" s="4"/>
      <c r="PNI51" s="4"/>
      <c r="PNJ51" s="4"/>
      <c r="PNK51" s="4"/>
      <c r="PNL51" s="4"/>
      <c r="PNM51" s="4"/>
      <c r="PNN51" s="4"/>
      <c r="PNO51" s="4"/>
      <c r="PNP51" s="4"/>
      <c r="PNQ51" s="4"/>
      <c r="PNR51" s="4"/>
      <c r="PNS51" s="4"/>
      <c r="PNT51" s="4"/>
      <c r="PNU51" s="4"/>
      <c r="PNV51" s="4"/>
      <c r="PNW51" s="4"/>
      <c r="PNX51" s="4"/>
      <c r="PNY51" s="4"/>
      <c r="PNZ51" s="4"/>
      <c r="POA51" s="4"/>
      <c r="POB51" s="4"/>
      <c r="POC51" s="4"/>
      <c r="POD51" s="4"/>
      <c r="POE51" s="4"/>
      <c r="POF51" s="4"/>
      <c r="POG51" s="4"/>
      <c r="POH51" s="4"/>
      <c r="POI51" s="4"/>
      <c r="POJ51" s="4"/>
      <c r="POK51" s="4"/>
      <c r="POL51" s="4"/>
      <c r="POM51" s="4"/>
      <c r="PON51" s="4"/>
      <c r="POO51" s="4"/>
      <c r="POP51" s="4"/>
      <c r="POQ51" s="4"/>
      <c r="POR51" s="4"/>
      <c r="POS51" s="4"/>
      <c r="POT51" s="4"/>
      <c r="POU51" s="4"/>
      <c r="POV51" s="4"/>
      <c r="POW51" s="4"/>
      <c r="POX51" s="4"/>
      <c r="POY51" s="4"/>
      <c r="POZ51" s="4"/>
      <c r="PPA51" s="4"/>
      <c r="PPB51" s="4"/>
      <c r="PPC51" s="4"/>
      <c r="PPD51" s="4"/>
      <c r="PPE51" s="4"/>
      <c r="PPF51" s="4"/>
      <c r="PPG51" s="4"/>
      <c r="PPH51" s="4"/>
      <c r="PPI51" s="4"/>
      <c r="PPJ51" s="4"/>
      <c r="PPK51" s="4"/>
      <c r="PPL51" s="4"/>
      <c r="PPM51" s="4"/>
      <c r="PPN51" s="4"/>
      <c r="PPO51" s="4"/>
      <c r="PPP51" s="4"/>
      <c r="PPQ51" s="4"/>
      <c r="PPR51" s="4"/>
      <c r="PPS51" s="4"/>
      <c r="PPT51" s="4"/>
      <c r="PPU51" s="4"/>
      <c r="PPV51" s="4"/>
      <c r="PPW51" s="4"/>
      <c r="PPX51" s="4"/>
      <c r="PPY51" s="4"/>
      <c r="PPZ51" s="4"/>
      <c r="PQA51" s="4"/>
      <c r="PQB51" s="4"/>
      <c r="PQC51" s="4"/>
      <c r="PQD51" s="4"/>
      <c r="PQE51" s="4"/>
      <c r="PQF51" s="4"/>
      <c r="PQG51" s="4"/>
      <c r="PQH51" s="4"/>
      <c r="PQI51" s="4"/>
      <c r="PQJ51" s="4"/>
      <c r="PQK51" s="4"/>
      <c r="PQL51" s="4"/>
      <c r="PQM51" s="4"/>
      <c r="PQN51" s="4"/>
      <c r="PQO51" s="4"/>
      <c r="PQP51" s="4"/>
      <c r="PQQ51" s="4"/>
      <c r="PQR51" s="4"/>
      <c r="PQS51" s="4"/>
      <c r="PQT51" s="4"/>
      <c r="PQU51" s="4"/>
      <c r="PQV51" s="4"/>
      <c r="PQW51" s="4"/>
      <c r="PQX51" s="4"/>
      <c r="PQY51" s="4"/>
      <c r="PQZ51" s="4"/>
      <c r="PRA51" s="4"/>
      <c r="PRB51" s="4"/>
      <c r="PRC51" s="4"/>
      <c r="PRD51" s="4"/>
      <c r="PRE51" s="4"/>
      <c r="PRF51" s="4"/>
      <c r="PRG51" s="4"/>
      <c r="PRH51" s="4"/>
      <c r="PRI51" s="4"/>
      <c r="PRJ51" s="4"/>
      <c r="PRK51" s="4"/>
      <c r="PRL51" s="4"/>
      <c r="PRM51" s="4"/>
      <c r="PRN51" s="4"/>
      <c r="PRO51" s="4"/>
      <c r="PRP51" s="4"/>
      <c r="PRQ51" s="4"/>
      <c r="PRR51" s="4"/>
      <c r="PRS51" s="4"/>
      <c r="PRT51" s="4"/>
      <c r="PRU51" s="4"/>
      <c r="PRV51" s="4"/>
      <c r="PRW51" s="4"/>
      <c r="PRX51" s="4"/>
      <c r="PRY51" s="4"/>
      <c r="PRZ51" s="4"/>
      <c r="PSA51" s="4"/>
      <c r="PSB51" s="4"/>
      <c r="PSC51" s="4"/>
      <c r="PSD51" s="4"/>
      <c r="PSE51" s="4"/>
      <c r="PSF51" s="4"/>
      <c r="PSG51" s="4"/>
      <c r="PSH51" s="4"/>
      <c r="PSI51" s="4"/>
      <c r="PSJ51" s="4"/>
      <c r="PSK51" s="4"/>
      <c r="PSL51" s="4"/>
      <c r="PSM51" s="4"/>
      <c r="PSN51" s="4"/>
      <c r="PSO51" s="4"/>
      <c r="PSP51" s="4"/>
      <c r="PSQ51" s="4"/>
      <c r="PSR51" s="4"/>
      <c r="PSS51" s="4"/>
      <c r="PST51" s="4"/>
      <c r="PSU51" s="4"/>
      <c r="PSV51" s="4"/>
      <c r="PSW51" s="4"/>
      <c r="PSX51" s="4"/>
      <c r="PSY51" s="4"/>
      <c r="PSZ51" s="4"/>
      <c r="PTA51" s="4"/>
      <c r="PTB51" s="4"/>
      <c r="PTC51" s="4"/>
      <c r="PTD51" s="4"/>
      <c r="PTE51" s="4"/>
      <c r="PTF51" s="4"/>
      <c r="PTG51" s="4"/>
      <c r="PTH51" s="4"/>
      <c r="PTI51" s="4"/>
      <c r="PTJ51" s="4"/>
      <c r="PTK51" s="4"/>
      <c r="PTL51" s="4"/>
      <c r="PTM51" s="4"/>
      <c r="PTN51" s="4"/>
      <c r="PTO51" s="4"/>
      <c r="PTP51" s="4"/>
      <c r="PTQ51" s="4"/>
      <c r="PTR51" s="4"/>
      <c r="PTS51" s="4"/>
      <c r="PTT51" s="4"/>
      <c r="PTU51" s="4"/>
      <c r="PTV51" s="4"/>
      <c r="PTW51" s="4"/>
      <c r="PTX51" s="4"/>
      <c r="PTY51" s="4"/>
      <c r="PTZ51" s="4"/>
      <c r="PUA51" s="4"/>
      <c r="PUB51" s="4"/>
      <c r="PUC51" s="4"/>
      <c r="PUD51" s="4"/>
      <c r="PUE51" s="4"/>
      <c r="PUF51" s="4"/>
      <c r="PUG51" s="4"/>
      <c r="PUH51" s="4"/>
      <c r="PUI51" s="4"/>
      <c r="PUJ51" s="4"/>
      <c r="PUK51" s="4"/>
      <c r="PUL51" s="4"/>
      <c r="PUM51" s="4"/>
      <c r="PUN51" s="4"/>
      <c r="PUO51" s="4"/>
      <c r="PUP51" s="4"/>
      <c r="PUQ51" s="4"/>
      <c r="PUR51" s="4"/>
      <c r="PUS51" s="4"/>
      <c r="PUT51" s="4"/>
      <c r="PUU51" s="4"/>
      <c r="PUV51" s="4"/>
      <c r="PUW51" s="4"/>
      <c r="PUX51" s="4"/>
      <c r="PUY51" s="4"/>
      <c r="PUZ51" s="4"/>
      <c r="PVA51" s="4"/>
      <c r="PVB51" s="4"/>
      <c r="PVC51" s="4"/>
      <c r="PVD51" s="4"/>
      <c r="PVE51" s="4"/>
      <c r="PVF51" s="4"/>
      <c r="PVG51" s="4"/>
      <c r="PVH51" s="4"/>
      <c r="PVI51" s="4"/>
      <c r="PVJ51" s="4"/>
      <c r="PVK51" s="4"/>
      <c r="PVL51" s="4"/>
      <c r="PVM51" s="4"/>
      <c r="PVN51" s="4"/>
      <c r="PVO51" s="4"/>
      <c r="PVP51" s="4"/>
      <c r="PVQ51" s="4"/>
      <c r="PVR51" s="4"/>
      <c r="PVS51" s="4"/>
      <c r="PVT51" s="4"/>
      <c r="PVU51" s="4"/>
      <c r="PVV51" s="4"/>
      <c r="PVW51" s="4"/>
      <c r="PVX51" s="4"/>
      <c r="PVY51" s="4"/>
      <c r="PVZ51" s="4"/>
      <c r="PWA51" s="4"/>
      <c r="PWB51" s="4"/>
      <c r="PWC51" s="4"/>
      <c r="PWD51" s="4"/>
      <c r="PWE51" s="4"/>
      <c r="PWF51" s="4"/>
      <c r="PWG51" s="4"/>
      <c r="PWH51" s="4"/>
      <c r="PWI51" s="4"/>
      <c r="PWJ51" s="4"/>
      <c r="PWK51" s="4"/>
      <c r="PWL51" s="4"/>
      <c r="PWM51" s="4"/>
      <c r="PWN51" s="4"/>
      <c r="PWO51" s="4"/>
      <c r="PWP51" s="4"/>
      <c r="PWQ51" s="4"/>
      <c r="PWR51" s="4"/>
      <c r="PWS51" s="4"/>
      <c r="PWT51" s="4"/>
      <c r="PWU51" s="4"/>
      <c r="PWV51" s="4"/>
      <c r="PWW51" s="4"/>
      <c r="PWX51" s="4"/>
      <c r="PWY51" s="4"/>
      <c r="PWZ51" s="4"/>
      <c r="PXA51" s="4"/>
      <c r="PXB51" s="4"/>
      <c r="PXC51" s="4"/>
      <c r="PXD51" s="4"/>
      <c r="PXE51" s="4"/>
      <c r="PXF51" s="4"/>
      <c r="PXG51" s="4"/>
      <c r="PXH51" s="4"/>
      <c r="PXI51" s="4"/>
      <c r="PXJ51" s="4"/>
      <c r="PXK51" s="4"/>
      <c r="PXL51" s="4"/>
      <c r="PXM51" s="4"/>
      <c r="PXN51" s="4"/>
      <c r="PXO51" s="4"/>
      <c r="PXP51" s="4"/>
      <c r="PXQ51" s="4"/>
      <c r="PXR51" s="4"/>
      <c r="PXS51" s="4"/>
      <c r="PXT51" s="4"/>
      <c r="PXU51" s="4"/>
      <c r="PXV51" s="4"/>
      <c r="PXW51" s="4"/>
      <c r="PXX51" s="4"/>
      <c r="PXY51" s="4"/>
      <c r="PXZ51" s="4"/>
      <c r="PYA51" s="4"/>
      <c r="PYB51" s="4"/>
      <c r="PYC51" s="4"/>
      <c r="PYD51" s="4"/>
      <c r="PYE51" s="4"/>
      <c r="PYF51" s="4"/>
      <c r="PYG51" s="4"/>
      <c r="PYH51" s="4"/>
      <c r="PYI51" s="4"/>
      <c r="PYJ51" s="4"/>
      <c r="PYK51" s="4"/>
      <c r="PYL51" s="4"/>
      <c r="PYM51" s="4"/>
      <c r="PYN51" s="4"/>
      <c r="PYO51" s="4"/>
      <c r="PYP51" s="4"/>
      <c r="PYQ51" s="4"/>
      <c r="PYR51" s="4"/>
      <c r="PYS51" s="4"/>
      <c r="PYT51" s="4"/>
      <c r="PYU51" s="4"/>
      <c r="PYV51" s="4"/>
      <c r="PYW51" s="4"/>
      <c r="PYX51" s="4"/>
      <c r="PYY51" s="4"/>
      <c r="PYZ51" s="4"/>
      <c r="PZA51" s="4"/>
      <c r="PZB51" s="4"/>
      <c r="PZC51" s="4"/>
      <c r="PZD51" s="4"/>
      <c r="PZE51" s="4"/>
      <c r="PZF51" s="4"/>
      <c r="PZG51" s="4"/>
      <c r="PZH51" s="4"/>
      <c r="PZI51" s="4"/>
      <c r="PZJ51" s="4"/>
      <c r="PZK51" s="4"/>
      <c r="PZL51" s="4"/>
      <c r="PZM51" s="4"/>
      <c r="PZN51" s="4"/>
      <c r="PZO51" s="4"/>
      <c r="PZP51" s="4"/>
      <c r="PZQ51" s="4"/>
      <c r="PZR51" s="4"/>
      <c r="PZS51" s="4"/>
      <c r="PZT51" s="4"/>
      <c r="PZU51" s="4"/>
      <c r="PZV51" s="4"/>
      <c r="PZW51" s="4"/>
      <c r="PZX51" s="4"/>
      <c r="PZY51" s="4"/>
      <c r="PZZ51" s="4"/>
      <c r="QAA51" s="4"/>
      <c r="QAB51" s="4"/>
      <c r="QAC51" s="4"/>
      <c r="QAD51" s="4"/>
      <c r="QAE51" s="4"/>
      <c r="QAF51" s="4"/>
      <c r="QAG51" s="4"/>
      <c r="QAH51" s="4"/>
      <c r="QAI51" s="4"/>
      <c r="QAJ51" s="4"/>
      <c r="QAK51" s="4"/>
      <c r="QAL51" s="4"/>
      <c r="QAM51" s="4"/>
      <c r="QAN51" s="4"/>
      <c r="QAO51" s="4"/>
      <c r="QAP51" s="4"/>
      <c r="QAQ51" s="4"/>
      <c r="QAR51" s="4"/>
      <c r="QAS51" s="4"/>
      <c r="QAT51" s="4"/>
      <c r="QAU51" s="4"/>
      <c r="QAV51" s="4"/>
      <c r="QAW51" s="4"/>
      <c r="QAX51" s="4"/>
      <c r="QAY51" s="4"/>
      <c r="QAZ51" s="4"/>
      <c r="QBA51" s="4"/>
      <c r="QBB51" s="4"/>
      <c r="QBC51" s="4"/>
      <c r="QBD51" s="4"/>
      <c r="QBE51" s="4"/>
      <c r="QBF51" s="4"/>
      <c r="QBG51" s="4"/>
      <c r="QBH51" s="4"/>
      <c r="QBI51" s="4"/>
      <c r="QBJ51" s="4"/>
      <c r="QBK51" s="4"/>
      <c r="QBL51" s="4"/>
      <c r="QBM51" s="4"/>
      <c r="QBN51" s="4"/>
      <c r="QBO51" s="4"/>
      <c r="QBP51" s="4"/>
      <c r="QBQ51" s="4"/>
      <c r="QBR51" s="4"/>
      <c r="QBS51" s="4"/>
      <c r="QBT51" s="4"/>
      <c r="QBU51" s="4"/>
      <c r="QBV51" s="4"/>
      <c r="QBW51" s="4"/>
      <c r="QBX51" s="4"/>
      <c r="QBY51" s="4"/>
      <c r="QBZ51" s="4"/>
      <c r="QCA51" s="4"/>
      <c r="QCB51" s="4"/>
      <c r="QCC51" s="4"/>
      <c r="QCD51" s="4"/>
      <c r="QCE51" s="4"/>
      <c r="QCF51" s="4"/>
      <c r="QCG51" s="4"/>
      <c r="QCH51" s="4"/>
      <c r="QCI51" s="4"/>
      <c r="QCJ51" s="4"/>
      <c r="QCK51" s="4"/>
      <c r="QCL51" s="4"/>
      <c r="QCM51" s="4"/>
      <c r="QCN51" s="4"/>
      <c r="QCO51" s="4"/>
      <c r="QCP51" s="4"/>
      <c r="QCQ51" s="4"/>
      <c r="QCR51" s="4"/>
      <c r="QCS51" s="4"/>
      <c r="QCT51" s="4"/>
      <c r="QCU51" s="4"/>
      <c r="QCV51" s="4"/>
      <c r="QCW51" s="4"/>
      <c r="QCX51" s="4"/>
      <c r="QCY51" s="4"/>
      <c r="QCZ51" s="4"/>
      <c r="QDA51" s="4"/>
      <c r="QDB51" s="4"/>
      <c r="QDC51" s="4"/>
      <c r="QDD51" s="4"/>
      <c r="QDE51" s="4"/>
      <c r="QDF51" s="4"/>
      <c r="QDG51" s="4"/>
      <c r="QDH51" s="4"/>
      <c r="QDI51" s="4"/>
      <c r="QDJ51" s="4"/>
      <c r="QDK51" s="4"/>
      <c r="QDL51" s="4"/>
      <c r="QDM51" s="4"/>
      <c r="QDN51" s="4"/>
      <c r="QDO51" s="4"/>
      <c r="QDP51" s="4"/>
      <c r="QDQ51" s="4"/>
      <c r="QDR51" s="4"/>
      <c r="QDS51" s="4"/>
      <c r="QDT51" s="4"/>
      <c r="QDU51" s="4"/>
      <c r="QDV51" s="4"/>
      <c r="QDW51" s="4"/>
      <c r="QDX51" s="4"/>
      <c r="QDY51" s="4"/>
      <c r="QDZ51" s="4"/>
      <c r="QEA51" s="4"/>
      <c r="QEB51" s="4"/>
      <c r="QEC51" s="4"/>
      <c r="QED51" s="4"/>
      <c r="QEE51" s="4"/>
      <c r="QEF51" s="4"/>
      <c r="QEG51" s="4"/>
      <c r="QEH51" s="4"/>
      <c r="QEI51" s="4"/>
      <c r="QEJ51" s="4"/>
      <c r="QEK51" s="4"/>
      <c r="QEL51" s="4"/>
      <c r="QEM51" s="4"/>
      <c r="QEN51" s="4"/>
      <c r="QEO51" s="4"/>
      <c r="QEP51" s="4"/>
      <c r="QEQ51" s="4"/>
      <c r="QER51" s="4"/>
      <c r="QES51" s="4"/>
      <c r="QET51" s="4"/>
      <c r="QEU51" s="4"/>
      <c r="QEV51" s="4"/>
      <c r="QEW51" s="4"/>
      <c r="QEX51" s="4"/>
      <c r="QEY51" s="4"/>
      <c r="QEZ51" s="4"/>
      <c r="QFA51" s="4"/>
      <c r="QFB51" s="4"/>
      <c r="QFC51" s="4"/>
      <c r="QFD51" s="4"/>
      <c r="QFE51" s="4"/>
      <c r="QFF51" s="4"/>
      <c r="QFG51" s="4"/>
      <c r="QFH51" s="4"/>
      <c r="QFI51" s="4"/>
      <c r="QFJ51" s="4"/>
      <c r="QFK51" s="4"/>
      <c r="QFL51" s="4"/>
      <c r="QFM51" s="4"/>
      <c r="QFN51" s="4"/>
      <c r="QFO51" s="4"/>
      <c r="QFP51" s="4"/>
      <c r="QFQ51" s="4"/>
      <c r="QFR51" s="4"/>
      <c r="QFS51" s="4"/>
      <c r="QFT51" s="4"/>
      <c r="QFU51" s="4"/>
      <c r="QFV51" s="4"/>
      <c r="QFW51" s="4"/>
      <c r="QFX51" s="4"/>
      <c r="QFY51" s="4"/>
      <c r="QFZ51" s="4"/>
      <c r="QGA51" s="4"/>
      <c r="QGB51" s="4"/>
      <c r="QGC51" s="4"/>
      <c r="QGD51" s="4"/>
      <c r="QGE51" s="4"/>
      <c r="QGF51" s="4"/>
      <c r="QGG51" s="4"/>
      <c r="QGH51" s="4"/>
      <c r="QGI51" s="4"/>
      <c r="QGJ51" s="4"/>
      <c r="QGK51" s="4"/>
      <c r="QGL51" s="4"/>
      <c r="QGM51" s="4"/>
      <c r="QGN51" s="4"/>
      <c r="QGO51" s="4"/>
      <c r="QGP51" s="4"/>
      <c r="QGQ51" s="4"/>
      <c r="QGR51" s="4"/>
      <c r="QGS51" s="4"/>
      <c r="QGT51" s="4"/>
      <c r="QGU51" s="4"/>
      <c r="QGV51" s="4"/>
      <c r="QGW51" s="4"/>
      <c r="QGX51" s="4"/>
      <c r="QGY51" s="4"/>
      <c r="QGZ51" s="4"/>
      <c r="QHA51" s="4"/>
      <c r="QHB51" s="4"/>
      <c r="QHC51" s="4"/>
      <c r="QHD51" s="4"/>
      <c r="QHE51" s="4"/>
      <c r="QHF51" s="4"/>
      <c r="QHG51" s="4"/>
      <c r="QHH51" s="4"/>
      <c r="QHI51" s="4"/>
      <c r="QHJ51" s="4"/>
      <c r="QHK51" s="4"/>
      <c r="QHL51" s="4"/>
      <c r="QHM51" s="4"/>
      <c r="QHN51" s="4"/>
      <c r="QHO51" s="4"/>
      <c r="QHP51" s="4"/>
      <c r="QHQ51" s="4"/>
      <c r="QHR51" s="4"/>
      <c r="QHS51" s="4"/>
      <c r="QHT51" s="4"/>
      <c r="QHU51" s="4"/>
      <c r="QHV51" s="4"/>
      <c r="QHW51" s="4"/>
      <c r="QHX51" s="4"/>
      <c r="QHY51" s="4"/>
      <c r="QHZ51" s="4"/>
      <c r="QIA51" s="4"/>
      <c r="QIB51" s="4"/>
      <c r="QIC51" s="4"/>
      <c r="QID51" s="4"/>
      <c r="QIE51" s="4"/>
      <c r="QIF51" s="4"/>
      <c r="QIG51" s="4"/>
      <c r="QIH51" s="4"/>
      <c r="QII51" s="4"/>
      <c r="QIJ51" s="4"/>
      <c r="QIK51" s="4"/>
      <c r="QIL51" s="4"/>
      <c r="QIM51" s="4"/>
      <c r="QIN51" s="4"/>
      <c r="QIO51" s="4"/>
      <c r="QIP51" s="4"/>
      <c r="QIQ51" s="4"/>
      <c r="QIR51" s="4"/>
      <c r="QIS51" s="4"/>
      <c r="QIT51" s="4"/>
      <c r="QIU51" s="4"/>
      <c r="QIV51" s="4"/>
      <c r="QIW51" s="4"/>
      <c r="QIX51" s="4"/>
      <c r="QIY51" s="4"/>
      <c r="QIZ51" s="4"/>
      <c r="QJA51" s="4"/>
      <c r="QJB51" s="4"/>
      <c r="QJC51" s="4"/>
      <c r="QJD51" s="4"/>
      <c r="QJE51" s="4"/>
      <c r="QJF51" s="4"/>
      <c r="QJG51" s="4"/>
      <c r="QJH51" s="4"/>
      <c r="QJI51" s="4"/>
      <c r="QJJ51" s="4"/>
      <c r="QJK51" s="4"/>
      <c r="QJL51" s="4"/>
      <c r="QJM51" s="4"/>
      <c r="QJN51" s="4"/>
      <c r="QJO51" s="4"/>
      <c r="QJP51" s="4"/>
      <c r="QJQ51" s="4"/>
      <c r="QJR51" s="4"/>
      <c r="QJS51" s="4"/>
      <c r="QJT51" s="4"/>
      <c r="QJU51" s="4"/>
      <c r="QJV51" s="4"/>
      <c r="QJW51" s="4"/>
      <c r="QJX51" s="4"/>
      <c r="QJY51" s="4"/>
      <c r="QJZ51" s="4"/>
      <c r="QKA51" s="4"/>
      <c r="QKB51" s="4"/>
      <c r="QKC51" s="4"/>
      <c r="QKD51" s="4"/>
      <c r="QKE51" s="4"/>
      <c r="QKF51" s="4"/>
      <c r="QKG51" s="4"/>
      <c r="QKH51" s="4"/>
      <c r="QKI51" s="4"/>
      <c r="QKJ51" s="4"/>
      <c r="QKK51" s="4"/>
      <c r="QKL51" s="4"/>
      <c r="QKM51" s="4"/>
      <c r="QKN51" s="4"/>
      <c r="QKO51" s="4"/>
      <c r="QKP51" s="4"/>
      <c r="QKQ51" s="4"/>
      <c r="QKR51" s="4"/>
      <c r="QKS51" s="4"/>
      <c r="QKT51" s="4"/>
      <c r="QKU51" s="4"/>
      <c r="QKV51" s="4"/>
      <c r="QKW51" s="4"/>
      <c r="QKX51" s="4"/>
      <c r="QKY51" s="4"/>
      <c r="QKZ51" s="4"/>
      <c r="QLA51" s="4"/>
      <c r="QLB51" s="4"/>
      <c r="QLC51" s="4"/>
      <c r="QLD51" s="4"/>
      <c r="QLE51" s="4"/>
      <c r="QLF51" s="4"/>
      <c r="QLG51" s="4"/>
      <c r="QLH51" s="4"/>
      <c r="QLI51" s="4"/>
      <c r="QLJ51" s="4"/>
      <c r="QLK51" s="4"/>
      <c r="QLL51" s="4"/>
      <c r="QLM51" s="4"/>
      <c r="QLN51" s="4"/>
      <c r="QLO51" s="4"/>
      <c r="QLP51" s="4"/>
      <c r="QLQ51" s="4"/>
      <c r="QLR51" s="4"/>
      <c r="QLS51" s="4"/>
      <c r="QLT51" s="4"/>
      <c r="QLU51" s="4"/>
      <c r="QLV51" s="4"/>
      <c r="QLW51" s="4"/>
      <c r="QLX51" s="4"/>
      <c r="QLY51" s="4"/>
      <c r="QLZ51" s="4"/>
      <c r="QMA51" s="4"/>
      <c r="QMB51" s="4"/>
      <c r="QMC51" s="4"/>
      <c r="QMD51" s="4"/>
      <c r="QME51" s="4"/>
      <c r="QMF51" s="4"/>
      <c r="QMG51" s="4"/>
      <c r="QMH51" s="4"/>
      <c r="QMI51" s="4"/>
      <c r="QMJ51" s="4"/>
      <c r="QMK51" s="4"/>
      <c r="QML51" s="4"/>
      <c r="QMM51" s="4"/>
      <c r="QMN51" s="4"/>
      <c r="QMO51" s="4"/>
      <c r="QMP51" s="4"/>
      <c r="QMQ51" s="4"/>
      <c r="QMR51" s="4"/>
      <c r="QMS51" s="4"/>
      <c r="QMT51" s="4"/>
      <c r="QMU51" s="4"/>
      <c r="QMV51" s="4"/>
      <c r="QMW51" s="4"/>
      <c r="QMX51" s="4"/>
      <c r="QMY51" s="4"/>
      <c r="QMZ51" s="4"/>
      <c r="QNA51" s="4"/>
      <c r="QNB51" s="4"/>
      <c r="QNC51" s="4"/>
      <c r="QND51" s="4"/>
      <c r="QNE51" s="4"/>
      <c r="QNF51" s="4"/>
      <c r="QNG51" s="4"/>
      <c r="QNH51" s="4"/>
      <c r="QNI51" s="4"/>
      <c r="QNJ51" s="4"/>
      <c r="QNK51" s="4"/>
      <c r="QNL51" s="4"/>
      <c r="QNM51" s="4"/>
      <c r="QNN51" s="4"/>
      <c r="QNO51" s="4"/>
      <c r="QNP51" s="4"/>
      <c r="QNQ51" s="4"/>
      <c r="QNR51" s="4"/>
      <c r="QNS51" s="4"/>
      <c r="QNT51" s="4"/>
      <c r="QNU51" s="4"/>
      <c r="QNV51" s="4"/>
      <c r="QNW51" s="4"/>
      <c r="QNX51" s="4"/>
      <c r="QNY51" s="4"/>
      <c r="QNZ51" s="4"/>
      <c r="QOA51" s="4"/>
      <c r="QOB51" s="4"/>
      <c r="QOC51" s="4"/>
      <c r="QOD51" s="4"/>
      <c r="QOE51" s="4"/>
      <c r="QOF51" s="4"/>
      <c r="QOG51" s="4"/>
      <c r="QOH51" s="4"/>
      <c r="QOI51" s="4"/>
      <c r="QOJ51" s="4"/>
      <c r="QOK51" s="4"/>
      <c r="QOL51" s="4"/>
      <c r="QOM51" s="4"/>
      <c r="QON51" s="4"/>
      <c r="QOO51" s="4"/>
      <c r="QOP51" s="4"/>
      <c r="QOQ51" s="4"/>
      <c r="QOR51" s="4"/>
      <c r="QOS51" s="4"/>
      <c r="QOT51" s="4"/>
      <c r="QOU51" s="4"/>
      <c r="QOV51" s="4"/>
      <c r="QOW51" s="4"/>
      <c r="QOX51" s="4"/>
      <c r="QOY51" s="4"/>
      <c r="QOZ51" s="4"/>
      <c r="QPA51" s="4"/>
      <c r="QPB51" s="4"/>
      <c r="QPC51" s="4"/>
      <c r="QPD51" s="4"/>
      <c r="QPE51" s="4"/>
      <c r="QPF51" s="4"/>
      <c r="QPG51" s="4"/>
      <c r="QPH51" s="4"/>
      <c r="QPI51" s="4"/>
      <c r="QPJ51" s="4"/>
      <c r="QPK51" s="4"/>
      <c r="QPL51" s="4"/>
      <c r="QPM51" s="4"/>
      <c r="QPN51" s="4"/>
      <c r="QPO51" s="4"/>
      <c r="QPP51" s="4"/>
      <c r="QPQ51" s="4"/>
      <c r="QPR51" s="4"/>
      <c r="QPS51" s="4"/>
      <c r="QPT51" s="4"/>
      <c r="QPU51" s="4"/>
      <c r="QPV51" s="4"/>
      <c r="QPW51" s="4"/>
      <c r="QPX51" s="4"/>
      <c r="QPY51" s="4"/>
      <c r="QPZ51" s="4"/>
      <c r="QQA51" s="4"/>
      <c r="QQB51" s="4"/>
      <c r="QQC51" s="4"/>
      <c r="QQD51" s="4"/>
      <c r="QQE51" s="4"/>
      <c r="QQF51" s="4"/>
      <c r="QQG51" s="4"/>
      <c r="QQH51" s="4"/>
      <c r="QQI51" s="4"/>
      <c r="QQJ51" s="4"/>
      <c r="QQK51" s="4"/>
      <c r="QQL51" s="4"/>
      <c r="QQM51" s="4"/>
      <c r="QQN51" s="4"/>
      <c r="QQO51" s="4"/>
      <c r="QQP51" s="4"/>
      <c r="QQQ51" s="4"/>
      <c r="QQR51" s="4"/>
      <c r="QQS51" s="4"/>
      <c r="QQT51" s="4"/>
      <c r="QQU51" s="4"/>
      <c r="QQV51" s="4"/>
      <c r="QQW51" s="4"/>
      <c r="QQX51" s="4"/>
      <c r="QQY51" s="4"/>
      <c r="QQZ51" s="4"/>
      <c r="QRA51" s="4"/>
      <c r="QRB51" s="4"/>
      <c r="QRC51" s="4"/>
      <c r="QRD51" s="4"/>
      <c r="QRE51" s="4"/>
      <c r="QRF51" s="4"/>
      <c r="QRG51" s="4"/>
      <c r="QRH51" s="4"/>
      <c r="QRI51" s="4"/>
      <c r="QRJ51" s="4"/>
      <c r="QRK51" s="4"/>
      <c r="QRL51" s="4"/>
      <c r="QRM51" s="4"/>
      <c r="QRN51" s="4"/>
      <c r="QRO51" s="4"/>
      <c r="QRP51" s="4"/>
      <c r="QRQ51" s="4"/>
      <c r="QRR51" s="4"/>
      <c r="QRS51" s="4"/>
      <c r="QRT51" s="4"/>
      <c r="QRU51" s="4"/>
      <c r="QRV51" s="4"/>
      <c r="QRW51" s="4"/>
      <c r="QRX51" s="4"/>
      <c r="QRY51" s="4"/>
      <c r="QRZ51" s="4"/>
      <c r="QSA51" s="4"/>
      <c r="QSB51" s="4"/>
      <c r="QSC51" s="4"/>
      <c r="QSD51" s="4"/>
      <c r="QSE51" s="4"/>
      <c r="QSF51" s="4"/>
      <c r="QSG51" s="4"/>
      <c r="QSH51" s="4"/>
      <c r="QSI51" s="4"/>
      <c r="QSJ51" s="4"/>
      <c r="QSK51" s="4"/>
      <c r="QSL51" s="4"/>
      <c r="QSM51" s="4"/>
      <c r="QSN51" s="4"/>
      <c r="QSO51" s="4"/>
      <c r="QSP51" s="4"/>
      <c r="QSQ51" s="4"/>
      <c r="QSR51" s="4"/>
      <c r="QSS51" s="4"/>
      <c r="QST51" s="4"/>
      <c r="QSU51" s="4"/>
      <c r="QSV51" s="4"/>
      <c r="QSW51" s="4"/>
      <c r="QSX51" s="4"/>
      <c r="QSY51" s="4"/>
      <c r="QSZ51" s="4"/>
      <c r="QTA51" s="4"/>
      <c r="QTB51" s="4"/>
      <c r="QTC51" s="4"/>
      <c r="QTD51" s="4"/>
      <c r="QTE51" s="4"/>
      <c r="QTF51" s="4"/>
      <c r="QTG51" s="4"/>
      <c r="QTH51" s="4"/>
      <c r="QTI51" s="4"/>
      <c r="QTJ51" s="4"/>
      <c r="QTK51" s="4"/>
      <c r="QTL51" s="4"/>
      <c r="QTM51" s="4"/>
      <c r="QTN51" s="4"/>
      <c r="QTO51" s="4"/>
      <c r="QTP51" s="4"/>
      <c r="QTQ51" s="4"/>
      <c r="QTR51" s="4"/>
      <c r="QTS51" s="4"/>
      <c r="QTT51" s="4"/>
      <c r="QTU51" s="4"/>
      <c r="QTV51" s="4"/>
      <c r="QTW51" s="4"/>
      <c r="QTX51" s="4"/>
      <c r="QTY51" s="4"/>
      <c r="QTZ51" s="4"/>
      <c r="QUA51" s="4"/>
      <c r="QUB51" s="4"/>
      <c r="QUC51" s="4"/>
      <c r="QUD51" s="4"/>
      <c r="QUE51" s="4"/>
      <c r="QUF51" s="4"/>
      <c r="QUG51" s="4"/>
      <c r="QUH51" s="4"/>
      <c r="QUI51" s="4"/>
      <c r="QUJ51" s="4"/>
      <c r="QUK51" s="4"/>
      <c r="QUL51" s="4"/>
      <c r="QUM51" s="4"/>
      <c r="QUN51" s="4"/>
      <c r="QUO51" s="4"/>
      <c r="QUP51" s="4"/>
      <c r="QUQ51" s="4"/>
      <c r="QUR51" s="4"/>
      <c r="QUS51" s="4"/>
      <c r="QUT51" s="4"/>
      <c r="QUU51" s="4"/>
      <c r="QUV51" s="4"/>
      <c r="QUW51" s="4"/>
      <c r="QUX51" s="4"/>
      <c r="QUY51" s="4"/>
      <c r="QUZ51" s="4"/>
      <c r="QVA51" s="4"/>
      <c r="QVB51" s="4"/>
      <c r="QVC51" s="4"/>
      <c r="QVD51" s="4"/>
      <c r="QVE51" s="4"/>
      <c r="QVF51" s="4"/>
      <c r="QVG51" s="4"/>
      <c r="QVH51" s="4"/>
      <c r="QVI51" s="4"/>
      <c r="QVJ51" s="4"/>
      <c r="QVK51" s="4"/>
      <c r="QVL51" s="4"/>
      <c r="QVM51" s="4"/>
      <c r="QVN51" s="4"/>
      <c r="QVO51" s="4"/>
      <c r="QVP51" s="4"/>
      <c r="QVQ51" s="4"/>
      <c r="QVR51" s="4"/>
      <c r="QVS51" s="4"/>
      <c r="QVT51" s="4"/>
      <c r="QVU51" s="4"/>
      <c r="QVV51" s="4"/>
      <c r="QVW51" s="4"/>
      <c r="QVX51" s="4"/>
      <c r="QVY51" s="4"/>
      <c r="QVZ51" s="4"/>
      <c r="QWA51" s="4"/>
      <c r="QWB51" s="4"/>
      <c r="QWC51" s="4"/>
      <c r="QWD51" s="4"/>
      <c r="QWE51" s="4"/>
      <c r="QWF51" s="4"/>
      <c r="QWG51" s="4"/>
      <c r="QWH51" s="4"/>
      <c r="QWI51" s="4"/>
      <c r="QWJ51" s="4"/>
      <c r="QWK51" s="4"/>
      <c r="QWL51" s="4"/>
      <c r="QWM51" s="4"/>
      <c r="QWN51" s="4"/>
      <c r="QWO51" s="4"/>
      <c r="QWP51" s="4"/>
      <c r="QWQ51" s="4"/>
      <c r="QWR51" s="4"/>
      <c r="QWS51" s="4"/>
      <c r="QWT51" s="4"/>
      <c r="QWU51" s="4"/>
      <c r="QWV51" s="4"/>
      <c r="QWW51" s="4"/>
      <c r="QWX51" s="4"/>
      <c r="QWY51" s="4"/>
      <c r="QWZ51" s="4"/>
      <c r="QXA51" s="4"/>
      <c r="QXB51" s="4"/>
      <c r="QXC51" s="4"/>
      <c r="QXD51" s="4"/>
      <c r="QXE51" s="4"/>
      <c r="QXF51" s="4"/>
      <c r="QXG51" s="4"/>
      <c r="QXH51" s="4"/>
      <c r="QXI51" s="4"/>
      <c r="QXJ51" s="4"/>
      <c r="QXK51" s="4"/>
      <c r="QXL51" s="4"/>
      <c r="QXM51" s="4"/>
      <c r="QXN51" s="4"/>
      <c r="QXO51" s="4"/>
      <c r="QXP51" s="4"/>
      <c r="QXQ51" s="4"/>
      <c r="QXR51" s="4"/>
      <c r="QXS51" s="4"/>
      <c r="QXT51" s="4"/>
      <c r="QXU51" s="4"/>
      <c r="QXV51" s="4"/>
      <c r="QXW51" s="4"/>
      <c r="QXX51" s="4"/>
      <c r="QXY51" s="4"/>
      <c r="QXZ51" s="4"/>
      <c r="QYA51" s="4"/>
      <c r="QYB51" s="4"/>
      <c r="QYC51" s="4"/>
      <c r="QYD51" s="4"/>
      <c r="QYE51" s="4"/>
      <c r="QYF51" s="4"/>
      <c r="QYG51" s="4"/>
      <c r="QYH51" s="4"/>
      <c r="QYI51" s="4"/>
      <c r="QYJ51" s="4"/>
      <c r="QYK51" s="4"/>
      <c r="QYL51" s="4"/>
      <c r="QYM51" s="4"/>
      <c r="QYN51" s="4"/>
      <c r="QYO51" s="4"/>
      <c r="QYP51" s="4"/>
      <c r="QYQ51" s="4"/>
      <c r="QYR51" s="4"/>
      <c r="QYS51" s="4"/>
      <c r="QYT51" s="4"/>
      <c r="QYU51" s="4"/>
      <c r="QYV51" s="4"/>
      <c r="QYW51" s="4"/>
      <c r="QYX51" s="4"/>
      <c r="QYY51" s="4"/>
      <c r="QYZ51" s="4"/>
      <c r="QZA51" s="4"/>
      <c r="QZB51" s="4"/>
      <c r="QZC51" s="4"/>
      <c r="QZD51" s="4"/>
      <c r="QZE51" s="4"/>
      <c r="QZF51" s="4"/>
      <c r="QZG51" s="4"/>
      <c r="QZH51" s="4"/>
      <c r="QZI51" s="4"/>
      <c r="QZJ51" s="4"/>
      <c r="QZK51" s="4"/>
      <c r="QZL51" s="4"/>
      <c r="QZM51" s="4"/>
      <c r="QZN51" s="4"/>
      <c r="QZO51" s="4"/>
      <c r="QZP51" s="4"/>
      <c r="QZQ51" s="4"/>
      <c r="QZR51" s="4"/>
      <c r="QZS51" s="4"/>
      <c r="QZT51" s="4"/>
      <c r="QZU51" s="4"/>
      <c r="QZV51" s="4"/>
      <c r="QZW51" s="4"/>
      <c r="QZX51" s="4"/>
      <c r="QZY51" s="4"/>
      <c r="QZZ51" s="4"/>
      <c r="RAA51" s="4"/>
      <c r="RAB51" s="4"/>
      <c r="RAC51" s="4"/>
      <c r="RAD51" s="4"/>
      <c r="RAE51" s="4"/>
      <c r="RAF51" s="4"/>
      <c r="RAG51" s="4"/>
      <c r="RAH51" s="4"/>
      <c r="RAI51" s="4"/>
      <c r="RAJ51" s="4"/>
      <c r="RAK51" s="4"/>
      <c r="RAL51" s="4"/>
      <c r="RAM51" s="4"/>
      <c r="RAN51" s="4"/>
      <c r="RAO51" s="4"/>
      <c r="RAP51" s="4"/>
      <c r="RAQ51" s="4"/>
      <c r="RAR51" s="4"/>
      <c r="RAS51" s="4"/>
      <c r="RAT51" s="4"/>
      <c r="RAU51" s="4"/>
      <c r="RAV51" s="4"/>
      <c r="RAW51" s="4"/>
      <c r="RAX51" s="4"/>
      <c r="RAY51" s="4"/>
      <c r="RAZ51" s="4"/>
      <c r="RBA51" s="4"/>
      <c r="RBB51" s="4"/>
      <c r="RBC51" s="4"/>
      <c r="RBD51" s="4"/>
      <c r="RBE51" s="4"/>
      <c r="RBF51" s="4"/>
      <c r="RBG51" s="4"/>
      <c r="RBH51" s="4"/>
      <c r="RBI51" s="4"/>
      <c r="RBJ51" s="4"/>
      <c r="RBK51" s="4"/>
      <c r="RBL51" s="4"/>
      <c r="RBM51" s="4"/>
      <c r="RBN51" s="4"/>
      <c r="RBO51" s="4"/>
      <c r="RBP51" s="4"/>
      <c r="RBQ51" s="4"/>
      <c r="RBR51" s="4"/>
      <c r="RBS51" s="4"/>
      <c r="RBT51" s="4"/>
      <c r="RBU51" s="4"/>
      <c r="RBV51" s="4"/>
      <c r="RBW51" s="4"/>
      <c r="RBX51" s="4"/>
      <c r="RBY51" s="4"/>
      <c r="RBZ51" s="4"/>
      <c r="RCA51" s="4"/>
      <c r="RCB51" s="4"/>
      <c r="RCC51" s="4"/>
      <c r="RCD51" s="4"/>
      <c r="RCE51" s="4"/>
      <c r="RCF51" s="4"/>
      <c r="RCG51" s="4"/>
      <c r="RCH51" s="4"/>
      <c r="RCI51" s="4"/>
      <c r="RCJ51" s="4"/>
      <c r="RCK51" s="4"/>
      <c r="RCL51" s="4"/>
      <c r="RCM51" s="4"/>
      <c r="RCN51" s="4"/>
      <c r="RCO51" s="4"/>
      <c r="RCP51" s="4"/>
      <c r="RCQ51" s="4"/>
      <c r="RCR51" s="4"/>
      <c r="RCS51" s="4"/>
      <c r="RCT51" s="4"/>
      <c r="RCU51" s="4"/>
      <c r="RCV51" s="4"/>
      <c r="RCW51" s="4"/>
      <c r="RCX51" s="4"/>
      <c r="RCY51" s="4"/>
      <c r="RCZ51" s="4"/>
      <c r="RDA51" s="4"/>
      <c r="RDB51" s="4"/>
      <c r="RDC51" s="4"/>
      <c r="RDD51" s="4"/>
      <c r="RDE51" s="4"/>
      <c r="RDF51" s="4"/>
      <c r="RDG51" s="4"/>
      <c r="RDH51" s="4"/>
      <c r="RDI51" s="4"/>
      <c r="RDJ51" s="4"/>
      <c r="RDK51" s="4"/>
      <c r="RDL51" s="4"/>
      <c r="RDM51" s="4"/>
      <c r="RDN51" s="4"/>
      <c r="RDO51" s="4"/>
      <c r="RDP51" s="4"/>
      <c r="RDQ51" s="4"/>
      <c r="RDR51" s="4"/>
      <c r="RDS51" s="4"/>
      <c r="RDT51" s="4"/>
      <c r="RDU51" s="4"/>
      <c r="RDV51" s="4"/>
      <c r="RDW51" s="4"/>
      <c r="RDX51" s="4"/>
      <c r="RDY51" s="4"/>
      <c r="RDZ51" s="4"/>
      <c r="REA51" s="4"/>
      <c r="REB51" s="4"/>
      <c r="REC51" s="4"/>
      <c r="RED51" s="4"/>
      <c r="REE51" s="4"/>
      <c r="REF51" s="4"/>
      <c r="REG51" s="4"/>
      <c r="REH51" s="4"/>
      <c r="REI51" s="4"/>
      <c r="REJ51" s="4"/>
      <c r="REK51" s="4"/>
      <c r="REL51" s="4"/>
      <c r="REM51" s="4"/>
      <c r="REN51" s="4"/>
      <c r="REO51" s="4"/>
      <c r="REP51" s="4"/>
      <c r="REQ51" s="4"/>
      <c r="RER51" s="4"/>
      <c r="RES51" s="4"/>
      <c r="RET51" s="4"/>
      <c r="REU51" s="4"/>
      <c r="REV51" s="4"/>
      <c r="REW51" s="4"/>
      <c r="REX51" s="4"/>
      <c r="REY51" s="4"/>
      <c r="REZ51" s="4"/>
      <c r="RFA51" s="4"/>
      <c r="RFB51" s="4"/>
      <c r="RFC51" s="4"/>
      <c r="RFD51" s="4"/>
      <c r="RFE51" s="4"/>
      <c r="RFF51" s="4"/>
      <c r="RFG51" s="4"/>
      <c r="RFH51" s="4"/>
      <c r="RFI51" s="4"/>
      <c r="RFJ51" s="4"/>
      <c r="RFK51" s="4"/>
      <c r="RFL51" s="4"/>
      <c r="RFM51" s="4"/>
      <c r="RFN51" s="4"/>
      <c r="RFO51" s="4"/>
      <c r="RFP51" s="4"/>
      <c r="RFQ51" s="4"/>
      <c r="RFR51" s="4"/>
      <c r="RFS51" s="4"/>
      <c r="RFT51" s="4"/>
      <c r="RFU51" s="4"/>
      <c r="RFV51" s="4"/>
      <c r="RFW51" s="4"/>
      <c r="RFX51" s="4"/>
      <c r="RFY51" s="4"/>
      <c r="RFZ51" s="4"/>
      <c r="RGA51" s="4"/>
      <c r="RGB51" s="4"/>
      <c r="RGC51" s="4"/>
      <c r="RGD51" s="4"/>
      <c r="RGE51" s="4"/>
      <c r="RGF51" s="4"/>
      <c r="RGG51" s="4"/>
      <c r="RGH51" s="4"/>
      <c r="RGI51" s="4"/>
      <c r="RGJ51" s="4"/>
      <c r="RGK51" s="4"/>
      <c r="RGL51" s="4"/>
      <c r="RGM51" s="4"/>
      <c r="RGN51" s="4"/>
      <c r="RGO51" s="4"/>
      <c r="RGP51" s="4"/>
      <c r="RGQ51" s="4"/>
      <c r="RGR51" s="4"/>
      <c r="RGS51" s="4"/>
      <c r="RGT51" s="4"/>
      <c r="RGU51" s="4"/>
      <c r="RGV51" s="4"/>
      <c r="RGW51" s="4"/>
      <c r="RGX51" s="4"/>
      <c r="RGY51" s="4"/>
      <c r="RGZ51" s="4"/>
      <c r="RHA51" s="4"/>
      <c r="RHB51" s="4"/>
      <c r="RHC51" s="4"/>
      <c r="RHD51" s="4"/>
      <c r="RHE51" s="4"/>
      <c r="RHF51" s="4"/>
      <c r="RHG51" s="4"/>
      <c r="RHH51" s="4"/>
      <c r="RHI51" s="4"/>
      <c r="RHJ51" s="4"/>
      <c r="RHK51" s="4"/>
      <c r="RHL51" s="4"/>
      <c r="RHM51" s="4"/>
      <c r="RHN51" s="4"/>
      <c r="RHO51" s="4"/>
      <c r="RHP51" s="4"/>
      <c r="RHQ51" s="4"/>
      <c r="RHR51" s="4"/>
      <c r="RHS51" s="4"/>
      <c r="RHT51" s="4"/>
      <c r="RHU51" s="4"/>
      <c r="RHV51" s="4"/>
      <c r="RHW51" s="4"/>
      <c r="RHX51" s="4"/>
      <c r="RHY51" s="4"/>
      <c r="RHZ51" s="4"/>
      <c r="RIA51" s="4"/>
      <c r="RIB51" s="4"/>
      <c r="RIC51" s="4"/>
      <c r="RID51" s="4"/>
      <c r="RIE51" s="4"/>
      <c r="RIF51" s="4"/>
      <c r="RIG51" s="4"/>
      <c r="RIH51" s="4"/>
      <c r="RII51" s="4"/>
      <c r="RIJ51" s="4"/>
      <c r="RIK51" s="4"/>
      <c r="RIL51" s="4"/>
      <c r="RIM51" s="4"/>
      <c r="RIN51" s="4"/>
      <c r="RIO51" s="4"/>
      <c r="RIP51" s="4"/>
      <c r="RIQ51" s="4"/>
      <c r="RIR51" s="4"/>
      <c r="RIS51" s="4"/>
      <c r="RIT51" s="4"/>
      <c r="RIU51" s="4"/>
      <c r="RIV51" s="4"/>
      <c r="RIW51" s="4"/>
      <c r="RIX51" s="4"/>
      <c r="RIY51" s="4"/>
      <c r="RIZ51" s="4"/>
      <c r="RJA51" s="4"/>
      <c r="RJB51" s="4"/>
      <c r="RJC51" s="4"/>
      <c r="RJD51" s="4"/>
      <c r="RJE51" s="4"/>
      <c r="RJF51" s="4"/>
      <c r="RJG51" s="4"/>
      <c r="RJH51" s="4"/>
      <c r="RJI51" s="4"/>
      <c r="RJJ51" s="4"/>
      <c r="RJK51" s="4"/>
      <c r="RJL51" s="4"/>
      <c r="RJM51" s="4"/>
      <c r="RJN51" s="4"/>
      <c r="RJO51" s="4"/>
      <c r="RJP51" s="4"/>
      <c r="RJQ51" s="4"/>
      <c r="RJR51" s="4"/>
      <c r="RJS51" s="4"/>
      <c r="RJT51" s="4"/>
      <c r="RJU51" s="4"/>
      <c r="RJV51" s="4"/>
      <c r="RJW51" s="4"/>
      <c r="RJX51" s="4"/>
      <c r="RJY51" s="4"/>
      <c r="RJZ51" s="4"/>
      <c r="RKA51" s="4"/>
      <c r="RKB51" s="4"/>
      <c r="RKC51" s="4"/>
      <c r="RKD51" s="4"/>
      <c r="RKE51" s="4"/>
      <c r="RKF51" s="4"/>
      <c r="RKG51" s="4"/>
      <c r="RKH51" s="4"/>
      <c r="RKI51" s="4"/>
      <c r="RKJ51" s="4"/>
      <c r="RKK51" s="4"/>
      <c r="RKL51" s="4"/>
      <c r="RKM51" s="4"/>
      <c r="RKN51" s="4"/>
      <c r="RKO51" s="4"/>
      <c r="RKP51" s="4"/>
      <c r="RKQ51" s="4"/>
      <c r="RKR51" s="4"/>
      <c r="RKS51" s="4"/>
      <c r="RKT51" s="4"/>
      <c r="RKU51" s="4"/>
      <c r="RKV51" s="4"/>
      <c r="RKW51" s="4"/>
      <c r="RKX51" s="4"/>
      <c r="RKY51" s="4"/>
      <c r="RKZ51" s="4"/>
      <c r="RLA51" s="4"/>
      <c r="RLB51" s="4"/>
      <c r="RLC51" s="4"/>
      <c r="RLD51" s="4"/>
      <c r="RLE51" s="4"/>
      <c r="RLF51" s="4"/>
      <c r="RLG51" s="4"/>
      <c r="RLH51" s="4"/>
      <c r="RLI51" s="4"/>
      <c r="RLJ51" s="4"/>
      <c r="RLK51" s="4"/>
      <c r="RLL51" s="4"/>
      <c r="RLM51" s="4"/>
      <c r="RLN51" s="4"/>
      <c r="RLO51" s="4"/>
      <c r="RLP51" s="4"/>
      <c r="RLQ51" s="4"/>
      <c r="RLR51" s="4"/>
      <c r="RLS51" s="4"/>
      <c r="RLT51" s="4"/>
      <c r="RLU51" s="4"/>
      <c r="RLV51" s="4"/>
      <c r="RLW51" s="4"/>
      <c r="RLX51" s="4"/>
      <c r="RLY51" s="4"/>
      <c r="RLZ51" s="4"/>
      <c r="RMA51" s="4"/>
      <c r="RMB51" s="4"/>
      <c r="RMC51" s="4"/>
      <c r="RMD51" s="4"/>
      <c r="RME51" s="4"/>
      <c r="RMF51" s="4"/>
      <c r="RMG51" s="4"/>
      <c r="RMH51" s="4"/>
      <c r="RMI51" s="4"/>
      <c r="RMJ51" s="4"/>
      <c r="RMK51" s="4"/>
      <c r="RML51" s="4"/>
      <c r="RMM51" s="4"/>
      <c r="RMN51" s="4"/>
      <c r="RMO51" s="4"/>
      <c r="RMP51" s="4"/>
      <c r="RMQ51" s="4"/>
      <c r="RMR51" s="4"/>
      <c r="RMS51" s="4"/>
      <c r="RMT51" s="4"/>
      <c r="RMU51" s="4"/>
      <c r="RMV51" s="4"/>
      <c r="RMW51" s="4"/>
      <c r="RMX51" s="4"/>
      <c r="RMY51" s="4"/>
      <c r="RMZ51" s="4"/>
      <c r="RNA51" s="4"/>
      <c r="RNB51" s="4"/>
      <c r="RNC51" s="4"/>
      <c r="RND51" s="4"/>
      <c r="RNE51" s="4"/>
      <c r="RNF51" s="4"/>
      <c r="RNG51" s="4"/>
      <c r="RNH51" s="4"/>
      <c r="RNI51" s="4"/>
      <c r="RNJ51" s="4"/>
      <c r="RNK51" s="4"/>
      <c r="RNL51" s="4"/>
      <c r="RNM51" s="4"/>
      <c r="RNN51" s="4"/>
      <c r="RNO51" s="4"/>
      <c r="RNP51" s="4"/>
      <c r="RNQ51" s="4"/>
      <c r="RNR51" s="4"/>
      <c r="RNS51" s="4"/>
      <c r="RNT51" s="4"/>
      <c r="RNU51" s="4"/>
      <c r="RNV51" s="4"/>
      <c r="RNW51" s="4"/>
      <c r="RNX51" s="4"/>
      <c r="RNY51" s="4"/>
      <c r="RNZ51" s="4"/>
      <c r="ROA51" s="4"/>
      <c r="ROB51" s="4"/>
      <c r="ROC51" s="4"/>
      <c r="ROD51" s="4"/>
      <c r="ROE51" s="4"/>
      <c r="ROF51" s="4"/>
      <c r="ROG51" s="4"/>
      <c r="ROH51" s="4"/>
      <c r="ROI51" s="4"/>
      <c r="ROJ51" s="4"/>
      <c r="ROK51" s="4"/>
      <c r="ROL51" s="4"/>
      <c r="ROM51" s="4"/>
      <c r="RON51" s="4"/>
      <c r="ROO51" s="4"/>
      <c r="ROP51" s="4"/>
      <c r="ROQ51" s="4"/>
      <c r="ROR51" s="4"/>
      <c r="ROS51" s="4"/>
      <c r="ROT51" s="4"/>
      <c r="ROU51" s="4"/>
      <c r="ROV51" s="4"/>
      <c r="ROW51" s="4"/>
      <c r="ROX51" s="4"/>
      <c r="ROY51" s="4"/>
      <c r="ROZ51" s="4"/>
      <c r="RPA51" s="4"/>
      <c r="RPB51" s="4"/>
      <c r="RPC51" s="4"/>
      <c r="RPD51" s="4"/>
      <c r="RPE51" s="4"/>
      <c r="RPF51" s="4"/>
      <c r="RPG51" s="4"/>
      <c r="RPH51" s="4"/>
      <c r="RPI51" s="4"/>
      <c r="RPJ51" s="4"/>
      <c r="RPK51" s="4"/>
      <c r="RPL51" s="4"/>
      <c r="RPM51" s="4"/>
      <c r="RPN51" s="4"/>
      <c r="RPO51" s="4"/>
      <c r="RPP51" s="4"/>
      <c r="RPQ51" s="4"/>
      <c r="RPR51" s="4"/>
      <c r="RPS51" s="4"/>
      <c r="RPT51" s="4"/>
      <c r="RPU51" s="4"/>
      <c r="RPV51" s="4"/>
      <c r="RPW51" s="4"/>
      <c r="RPX51" s="4"/>
      <c r="RPY51" s="4"/>
      <c r="RPZ51" s="4"/>
      <c r="RQA51" s="4"/>
      <c r="RQB51" s="4"/>
      <c r="RQC51" s="4"/>
      <c r="RQD51" s="4"/>
      <c r="RQE51" s="4"/>
      <c r="RQF51" s="4"/>
      <c r="RQG51" s="4"/>
      <c r="RQH51" s="4"/>
      <c r="RQI51" s="4"/>
      <c r="RQJ51" s="4"/>
      <c r="RQK51" s="4"/>
      <c r="RQL51" s="4"/>
      <c r="RQM51" s="4"/>
      <c r="RQN51" s="4"/>
      <c r="RQO51" s="4"/>
      <c r="RQP51" s="4"/>
      <c r="RQQ51" s="4"/>
      <c r="RQR51" s="4"/>
      <c r="RQS51" s="4"/>
      <c r="RQT51" s="4"/>
      <c r="RQU51" s="4"/>
      <c r="RQV51" s="4"/>
      <c r="RQW51" s="4"/>
      <c r="RQX51" s="4"/>
      <c r="RQY51" s="4"/>
      <c r="RQZ51" s="4"/>
      <c r="RRA51" s="4"/>
      <c r="RRB51" s="4"/>
      <c r="RRC51" s="4"/>
      <c r="RRD51" s="4"/>
      <c r="RRE51" s="4"/>
      <c r="RRF51" s="4"/>
      <c r="RRG51" s="4"/>
      <c r="RRH51" s="4"/>
      <c r="RRI51" s="4"/>
      <c r="RRJ51" s="4"/>
      <c r="RRK51" s="4"/>
      <c r="RRL51" s="4"/>
      <c r="RRM51" s="4"/>
      <c r="RRN51" s="4"/>
      <c r="RRO51" s="4"/>
      <c r="RRP51" s="4"/>
      <c r="RRQ51" s="4"/>
      <c r="RRR51" s="4"/>
      <c r="RRS51" s="4"/>
      <c r="RRT51" s="4"/>
      <c r="RRU51" s="4"/>
      <c r="RRV51" s="4"/>
      <c r="RRW51" s="4"/>
      <c r="RRX51" s="4"/>
      <c r="RRY51" s="4"/>
      <c r="RRZ51" s="4"/>
      <c r="RSA51" s="4"/>
      <c r="RSB51" s="4"/>
      <c r="RSC51" s="4"/>
      <c r="RSD51" s="4"/>
      <c r="RSE51" s="4"/>
      <c r="RSF51" s="4"/>
      <c r="RSG51" s="4"/>
      <c r="RSH51" s="4"/>
      <c r="RSI51" s="4"/>
      <c r="RSJ51" s="4"/>
      <c r="RSK51" s="4"/>
      <c r="RSL51" s="4"/>
      <c r="RSM51" s="4"/>
      <c r="RSN51" s="4"/>
      <c r="RSO51" s="4"/>
      <c r="RSP51" s="4"/>
      <c r="RSQ51" s="4"/>
      <c r="RSR51" s="4"/>
      <c r="RSS51" s="4"/>
      <c r="RST51" s="4"/>
      <c r="RSU51" s="4"/>
      <c r="RSV51" s="4"/>
      <c r="RSW51" s="4"/>
      <c r="RSX51" s="4"/>
      <c r="RSY51" s="4"/>
      <c r="RSZ51" s="4"/>
      <c r="RTA51" s="4"/>
      <c r="RTB51" s="4"/>
      <c r="RTC51" s="4"/>
      <c r="RTD51" s="4"/>
      <c r="RTE51" s="4"/>
      <c r="RTF51" s="4"/>
      <c r="RTG51" s="4"/>
      <c r="RTH51" s="4"/>
      <c r="RTI51" s="4"/>
      <c r="RTJ51" s="4"/>
      <c r="RTK51" s="4"/>
      <c r="RTL51" s="4"/>
      <c r="RTM51" s="4"/>
      <c r="RTN51" s="4"/>
      <c r="RTO51" s="4"/>
      <c r="RTP51" s="4"/>
      <c r="RTQ51" s="4"/>
      <c r="RTR51" s="4"/>
      <c r="RTS51" s="4"/>
      <c r="RTT51" s="4"/>
      <c r="RTU51" s="4"/>
      <c r="RTV51" s="4"/>
      <c r="RTW51" s="4"/>
      <c r="RTX51" s="4"/>
      <c r="RTY51" s="4"/>
      <c r="RTZ51" s="4"/>
      <c r="RUA51" s="4"/>
      <c r="RUB51" s="4"/>
      <c r="RUC51" s="4"/>
      <c r="RUD51" s="4"/>
      <c r="RUE51" s="4"/>
      <c r="RUF51" s="4"/>
      <c r="RUG51" s="4"/>
      <c r="RUH51" s="4"/>
      <c r="RUI51" s="4"/>
      <c r="RUJ51" s="4"/>
      <c r="RUK51" s="4"/>
      <c r="RUL51" s="4"/>
      <c r="RUM51" s="4"/>
      <c r="RUN51" s="4"/>
      <c r="RUO51" s="4"/>
      <c r="RUP51" s="4"/>
      <c r="RUQ51" s="4"/>
      <c r="RUR51" s="4"/>
      <c r="RUS51" s="4"/>
      <c r="RUT51" s="4"/>
      <c r="RUU51" s="4"/>
      <c r="RUV51" s="4"/>
      <c r="RUW51" s="4"/>
      <c r="RUX51" s="4"/>
      <c r="RUY51" s="4"/>
      <c r="RUZ51" s="4"/>
      <c r="RVA51" s="4"/>
      <c r="RVB51" s="4"/>
      <c r="RVC51" s="4"/>
      <c r="RVD51" s="4"/>
      <c r="RVE51" s="4"/>
      <c r="RVF51" s="4"/>
      <c r="RVG51" s="4"/>
      <c r="RVH51" s="4"/>
      <c r="RVI51" s="4"/>
      <c r="RVJ51" s="4"/>
      <c r="RVK51" s="4"/>
      <c r="RVL51" s="4"/>
      <c r="RVM51" s="4"/>
      <c r="RVN51" s="4"/>
      <c r="RVO51" s="4"/>
      <c r="RVP51" s="4"/>
      <c r="RVQ51" s="4"/>
      <c r="RVR51" s="4"/>
      <c r="RVS51" s="4"/>
      <c r="RVT51" s="4"/>
      <c r="RVU51" s="4"/>
      <c r="RVV51" s="4"/>
      <c r="RVW51" s="4"/>
      <c r="RVX51" s="4"/>
      <c r="RVY51" s="4"/>
      <c r="RVZ51" s="4"/>
      <c r="RWA51" s="4"/>
      <c r="RWB51" s="4"/>
      <c r="RWC51" s="4"/>
      <c r="RWD51" s="4"/>
      <c r="RWE51" s="4"/>
      <c r="RWF51" s="4"/>
      <c r="RWG51" s="4"/>
      <c r="RWH51" s="4"/>
      <c r="RWI51" s="4"/>
      <c r="RWJ51" s="4"/>
      <c r="RWK51" s="4"/>
      <c r="RWL51" s="4"/>
      <c r="RWM51" s="4"/>
      <c r="RWN51" s="4"/>
      <c r="RWO51" s="4"/>
      <c r="RWP51" s="4"/>
      <c r="RWQ51" s="4"/>
      <c r="RWR51" s="4"/>
      <c r="RWS51" s="4"/>
      <c r="RWT51" s="4"/>
      <c r="RWU51" s="4"/>
      <c r="RWV51" s="4"/>
      <c r="RWW51" s="4"/>
      <c r="RWX51" s="4"/>
      <c r="RWY51" s="4"/>
      <c r="RWZ51" s="4"/>
      <c r="RXA51" s="4"/>
      <c r="RXB51" s="4"/>
      <c r="RXC51" s="4"/>
      <c r="RXD51" s="4"/>
      <c r="RXE51" s="4"/>
      <c r="RXF51" s="4"/>
      <c r="RXG51" s="4"/>
      <c r="RXH51" s="4"/>
      <c r="RXI51" s="4"/>
      <c r="RXJ51" s="4"/>
      <c r="RXK51" s="4"/>
      <c r="RXL51" s="4"/>
      <c r="RXM51" s="4"/>
      <c r="RXN51" s="4"/>
      <c r="RXO51" s="4"/>
      <c r="RXP51" s="4"/>
      <c r="RXQ51" s="4"/>
      <c r="RXR51" s="4"/>
      <c r="RXS51" s="4"/>
      <c r="RXT51" s="4"/>
      <c r="RXU51" s="4"/>
      <c r="RXV51" s="4"/>
      <c r="RXW51" s="4"/>
      <c r="RXX51" s="4"/>
      <c r="RXY51" s="4"/>
      <c r="RXZ51" s="4"/>
      <c r="RYA51" s="4"/>
      <c r="RYB51" s="4"/>
      <c r="RYC51" s="4"/>
      <c r="RYD51" s="4"/>
      <c r="RYE51" s="4"/>
      <c r="RYF51" s="4"/>
      <c r="RYG51" s="4"/>
      <c r="RYH51" s="4"/>
      <c r="RYI51" s="4"/>
      <c r="RYJ51" s="4"/>
      <c r="RYK51" s="4"/>
      <c r="RYL51" s="4"/>
      <c r="RYM51" s="4"/>
      <c r="RYN51" s="4"/>
      <c r="RYO51" s="4"/>
      <c r="RYP51" s="4"/>
      <c r="RYQ51" s="4"/>
      <c r="RYR51" s="4"/>
      <c r="RYS51" s="4"/>
      <c r="RYT51" s="4"/>
      <c r="RYU51" s="4"/>
      <c r="RYV51" s="4"/>
      <c r="RYW51" s="4"/>
      <c r="RYX51" s="4"/>
      <c r="RYY51" s="4"/>
      <c r="RYZ51" s="4"/>
      <c r="RZA51" s="4"/>
      <c r="RZB51" s="4"/>
      <c r="RZC51" s="4"/>
      <c r="RZD51" s="4"/>
      <c r="RZE51" s="4"/>
      <c r="RZF51" s="4"/>
      <c r="RZG51" s="4"/>
      <c r="RZH51" s="4"/>
      <c r="RZI51" s="4"/>
      <c r="RZJ51" s="4"/>
      <c r="RZK51" s="4"/>
      <c r="RZL51" s="4"/>
      <c r="RZM51" s="4"/>
      <c r="RZN51" s="4"/>
      <c r="RZO51" s="4"/>
      <c r="RZP51" s="4"/>
      <c r="RZQ51" s="4"/>
      <c r="RZR51" s="4"/>
      <c r="RZS51" s="4"/>
      <c r="RZT51" s="4"/>
      <c r="RZU51" s="4"/>
      <c r="RZV51" s="4"/>
      <c r="RZW51" s="4"/>
      <c r="RZX51" s="4"/>
      <c r="RZY51" s="4"/>
      <c r="RZZ51" s="4"/>
      <c r="SAA51" s="4"/>
      <c r="SAB51" s="4"/>
      <c r="SAC51" s="4"/>
      <c r="SAD51" s="4"/>
      <c r="SAE51" s="4"/>
      <c r="SAF51" s="4"/>
      <c r="SAG51" s="4"/>
      <c r="SAH51" s="4"/>
      <c r="SAI51" s="4"/>
      <c r="SAJ51" s="4"/>
      <c r="SAK51" s="4"/>
      <c r="SAL51" s="4"/>
      <c r="SAM51" s="4"/>
      <c r="SAN51" s="4"/>
      <c r="SAO51" s="4"/>
      <c r="SAP51" s="4"/>
      <c r="SAQ51" s="4"/>
      <c r="SAR51" s="4"/>
      <c r="SAS51" s="4"/>
      <c r="SAT51" s="4"/>
      <c r="SAU51" s="4"/>
      <c r="SAV51" s="4"/>
      <c r="SAW51" s="4"/>
      <c r="SAX51" s="4"/>
      <c r="SAY51" s="4"/>
      <c r="SAZ51" s="4"/>
      <c r="SBA51" s="4"/>
      <c r="SBB51" s="4"/>
      <c r="SBC51" s="4"/>
      <c r="SBD51" s="4"/>
      <c r="SBE51" s="4"/>
      <c r="SBF51" s="4"/>
      <c r="SBG51" s="4"/>
      <c r="SBH51" s="4"/>
      <c r="SBI51" s="4"/>
      <c r="SBJ51" s="4"/>
      <c r="SBK51" s="4"/>
      <c r="SBL51" s="4"/>
      <c r="SBM51" s="4"/>
      <c r="SBN51" s="4"/>
      <c r="SBO51" s="4"/>
      <c r="SBP51" s="4"/>
      <c r="SBQ51" s="4"/>
      <c r="SBR51" s="4"/>
      <c r="SBS51" s="4"/>
      <c r="SBT51" s="4"/>
      <c r="SBU51" s="4"/>
      <c r="SBV51" s="4"/>
      <c r="SBW51" s="4"/>
      <c r="SBX51" s="4"/>
      <c r="SBY51" s="4"/>
      <c r="SBZ51" s="4"/>
      <c r="SCA51" s="4"/>
      <c r="SCB51" s="4"/>
      <c r="SCC51" s="4"/>
      <c r="SCD51" s="4"/>
      <c r="SCE51" s="4"/>
      <c r="SCF51" s="4"/>
      <c r="SCG51" s="4"/>
      <c r="SCH51" s="4"/>
      <c r="SCI51" s="4"/>
      <c r="SCJ51" s="4"/>
      <c r="SCK51" s="4"/>
      <c r="SCL51" s="4"/>
      <c r="SCM51" s="4"/>
      <c r="SCN51" s="4"/>
      <c r="SCO51" s="4"/>
      <c r="SCP51" s="4"/>
      <c r="SCQ51" s="4"/>
      <c r="SCR51" s="4"/>
      <c r="SCS51" s="4"/>
      <c r="SCT51" s="4"/>
      <c r="SCU51" s="4"/>
      <c r="SCV51" s="4"/>
      <c r="SCW51" s="4"/>
      <c r="SCX51" s="4"/>
      <c r="SCY51" s="4"/>
      <c r="SCZ51" s="4"/>
      <c r="SDA51" s="4"/>
      <c r="SDB51" s="4"/>
      <c r="SDC51" s="4"/>
      <c r="SDD51" s="4"/>
      <c r="SDE51" s="4"/>
      <c r="SDF51" s="4"/>
      <c r="SDG51" s="4"/>
      <c r="SDH51" s="4"/>
      <c r="SDI51" s="4"/>
      <c r="SDJ51" s="4"/>
      <c r="SDK51" s="4"/>
      <c r="SDL51" s="4"/>
      <c r="SDM51" s="4"/>
      <c r="SDN51" s="4"/>
      <c r="SDO51" s="4"/>
      <c r="SDP51" s="4"/>
      <c r="SDQ51" s="4"/>
      <c r="SDR51" s="4"/>
      <c r="SDS51" s="4"/>
      <c r="SDT51" s="4"/>
      <c r="SDU51" s="4"/>
      <c r="SDV51" s="4"/>
      <c r="SDW51" s="4"/>
      <c r="SDX51" s="4"/>
      <c r="SDY51" s="4"/>
      <c r="SDZ51" s="4"/>
      <c r="SEA51" s="4"/>
      <c r="SEB51" s="4"/>
      <c r="SEC51" s="4"/>
      <c r="SED51" s="4"/>
      <c r="SEE51" s="4"/>
      <c r="SEF51" s="4"/>
      <c r="SEG51" s="4"/>
      <c r="SEH51" s="4"/>
      <c r="SEI51" s="4"/>
      <c r="SEJ51" s="4"/>
      <c r="SEK51" s="4"/>
      <c r="SEL51" s="4"/>
      <c r="SEM51" s="4"/>
      <c r="SEN51" s="4"/>
      <c r="SEO51" s="4"/>
      <c r="SEP51" s="4"/>
      <c r="SEQ51" s="4"/>
      <c r="SER51" s="4"/>
      <c r="SES51" s="4"/>
      <c r="SET51" s="4"/>
      <c r="SEU51" s="4"/>
      <c r="SEV51" s="4"/>
      <c r="SEW51" s="4"/>
      <c r="SEX51" s="4"/>
      <c r="SEY51" s="4"/>
      <c r="SEZ51" s="4"/>
      <c r="SFA51" s="4"/>
      <c r="SFB51" s="4"/>
      <c r="SFC51" s="4"/>
      <c r="SFD51" s="4"/>
      <c r="SFE51" s="4"/>
      <c r="SFF51" s="4"/>
      <c r="SFG51" s="4"/>
      <c r="SFH51" s="4"/>
      <c r="SFI51" s="4"/>
      <c r="SFJ51" s="4"/>
      <c r="SFK51" s="4"/>
      <c r="SFL51" s="4"/>
      <c r="SFM51" s="4"/>
      <c r="SFN51" s="4"/>
      <c r="SFO51" s="4"/>
      <c r="SFP51" s="4"/>
      <c r="SFQ51" s="4"/>
      <c r="SFR51" s="4"/>
      <c r="SFS51" s="4"/>
      <c r="SFT51" s="4"/>
      <c r="SFU51" s="4"/>
      <c r="SFV51" s="4"/>
      <c r="SFW51" s="4"/>
      <c r="SFX51" s="4"/>
      <c r="SFY51" s="4"/>
      <c r="SFZ51" s="4"/>
      <c r="SGA51" s="4"/>
      <c r="SGB51" s="4"/>
      <c r="SGC51" s="4"/>
      <c r="SGD51" s="4"/>
      <c r="SGE51" s="4"/>
      <c r="SGF51" s="4"/>
      <c r="SGG51" s="4"/>
      <c r="SGH51" s="4"/>
      <c r="SGI51" s="4"/>
      <c r="SGJ51" s="4"/>
      <c r="SGK51" s="4"/>
      <c r="SGL51" s="4"/>
      <c r="SGM51" s="4"/>
      <c r="SGN51" s="4"/>
      <c r="SGO51" s="4"/>
      <c r="SGP51" s="4"/>
      <c r="SGQ51" s="4"/>
      <c r="SGR51" s="4"/>
      <c r="SGS51" s="4"/>
      <c r="SGT51" s="4"/>
      <c r="SGU51" s="4"/>
      <c r="SGV51" s="4"/>
      <c r="SGW51" s="4"/>
      <c r="SGX51" s="4"/>
      <c r="SGY51" s="4"/>
      <c r="SGZ51" s="4"/>
      <c r="SHA51" s="4"/>
      <c r="SHB51" s="4"/>
      <c r="SHC51" s="4"/>
      <c r="SHD51" s="4"/>
      <c r="SHE51" s="4"/>
      <c r="SHF51" s="4"/>
      <c r="SHG51" s="4"/>
      <c r="SHH51" s="4"/>
      <c r="SHI51" s="4"/>
      <c r="SHJ51" s="4"/>
      <c r="SHK51" s="4"/>
      <c r="SHL51" s="4"/>
      <c r="SHM51" s="4"/>
      <c r="SHN51" s="4"/>
      <c r="SHO51" s="4"/>
      <c r="SHP51" s="4"/>
      <c r="SHQ51" s="4"/>
      <c r="SHR51" s="4"/>
      <c r="SHS51" s="4"/>
      <c r="SHT51" s="4"/>
      <c r="SHU51" s="4"/>
      <c r="SHV51" s="4"/>
      <c r="SHW51" s="4"/>
      <c r="SHX51" s="4"/>
      <c r="SHY51" s="4"/>
      <c r="SHZ51" s="4"/>
      <c r="SIA51" s="4"/>
      <c r="SIB51" s="4"/>
      <c r="SIC51" s="4"/>
      <c r="SID51" s="4"/>
      <c r="SIE51" s="4"/>
      <c r="SIF51" s="4"/>
      <c r="SIG51" s="4"/>
      <c r="SIH51" s="4"/>
      <c r="SII51" s="4"/>
      <c r="SIJ51" s="4"/>
      <c r="SIK51" s="4"/>
      <c r="SIL51" s="4"/>
      <c r="SIM51" s="4"/>
      <c r="SIN51" s="4"/>
      <c r="SIO51" s="4"/>
      <c r="SIP51" s="4"/>
      <c r="SIQ51" s="4"/>
      <c r="SIR51" s="4"/>
      <c r="SIS51" s="4"/>
      <c r="SIT51" s="4"/>
      <c r="SIU51" s="4"/>
      <c r="SIV51" s="4"/>
      <c r="SIW51" s="4"/>
      <c r="SIX51" s="4"/>
      <c r="SIY51" s="4"/>
      <c r="SIZ51" s="4"/>
      <c r="SJA51" s="4"/>
      <c r="SJB51" s="4"/>
      <c r="SJC51" s="4"/>
      <c r="SJD51" s="4"/>
      <c r="SJE51" s="4"/>
      <c r="SJF51" s="4"/>
      <c r="SJG51" s="4"/>
      <c r="SJH51" s="4"/>
      <c r="SJI51" s="4"/>
      <c r="SJJ51" s="4"/>
      <c r="SJK51" s="4"/>
      <c r="SJL51" s="4"/>
      <c r="SJM51" s="4"/>
      <c r="SJN51" s="4"/>
      <c r="SJO51" s="4"/>
      <c r="SJP51" s="4"/>
      <c r="SJQ51" s="4"/>
      <c r="SJR51" s="4"/>
      <c r="SJS51" s="4"/>
      <c r="SJT51" s="4"/>
      <c r="SJU51" s="4"/>
      <c r="SJV51" s="4"/>
      <c r="SJW51" s="4"/>
      <c r="SJX51" s="4"/>
      <c r="SJY51" s="4"/>
      <c r="SJZ51" s="4"/>
      <c r="SKA51" s="4"/>
      <c r="SKB51" s="4"/>
      <c r="SKC51" s="4"/>
      <c r="SKD51" s="4"/>
      <c r="SKE51" s="4"/>
      <c r="SKF51" s="4"/>
      <c r="SKG51" s="4"/>
      <c r="SKH51" s="4"/>
      <c r="SKI51" s="4"/>
      <c r="SKJ51" s="4"/>
      <c r="SKK51" s="4"/>
      <c r="SKL51" s="4"/>
      <c r="SKM51" s="4"/>
      <c r="SKN51" s="4"/>
      <c r="SKO51" s="4"/>
      <c r="SKP51" s="4"/>
      <c r="SKQ51" s="4"/>
      <c r="SKR51" s="4"/>
      <c r="SKS51" s="4"/>
      <c r="SKT51" s="4"/>
      <c r="SKU51" s="4"/>
      <c r="SKV51" s="4"/>
      <c r="SKW51" s="4"/>
      <c r="SKX51" s="4"/>
      <c r="SKY51" s="4"/>
      <c r="SKZ51" s="4"/>
      <c r="SLA51" s="4"/>
      <c r="SLB51" s="4"/>
      <c r="SLC51" s="4"/>
      <c r="SLD51" s="4"/>
      <c r="SLE51" s="4"/>
      <c r="SLF51" s="4"/>
      <c r="SLG51" s="4"/>
      <c r="SLH51" s="4"/>
      <c r="SLI51" s="4"/>
      <c r="SLJ51" s="4"/>
      <c r="SLK51" s="4"/>
      <c r="SLL51" s="4"/>
      <c r="SLM51" s="4"/>
      <c r="SLN51" s="4"/>
      <c r="SLO51" s="4"/>
      <c r="SLP51" s="4"/>
      <c r="SLQ51" s="4"/>
      <c r="SLR51" s="4"/>
      <c r="SLS51" s="4"/>
      <c r="SLT51" s="4"/>
      <c r="SLU51" s="4"/>
      <c r="SLV51" s="4"/>
      <c r="SLW51" s="4"/>
      <c r="SLX51" s="4"/>
      <c r="SLY51" s="4"/>
      <c r="SLZ51" s="4"/>
      <c r="SMA51" s="4"/>
      <c r="SMB51" s="4"/>
      <c r="SMC51" s="4"/>
      <c r="SMD51" s="4"/>
      <c r="SME51" s="4"/>
      <c r="SMF51" s="4"/>
      <c r="SMG51" s="4"/>
      <c r="SMH51" s="4"/>
      <c r="SMI51" s="4"/>
      <c r="SMJ51" s="4"/>
      <c r="SMK51" s="4"/>
      <c r="SML51" s="4"/>
      <c r="SMM51" s="4"/>
      <c r="SMN51" s="4"/>
      <c r="SMO51" s="4"/>
      <c r="SMP51" s="4"/>
      <c r="SMQ51" s="4"/>
      <c r="SMR51" s="4"/>
      <c r="SMS51" s="4"/>
      <c r="SMT51" s="4"/>
      <c r="SMU51" s="4"/>
      <c r="SMV51" s="4"/>
      <c r="SMW51" s="4"/>
      <c r="SMX51" s="4"/>
      <c r="SMY51" s="4"/>
      <c r="SMZ51" s="4"/>
      <c r="SNA51" s="4"/>
      <c r="SNB51" s="4"/>
      <c r="SNC51" s="4"/>
      <c r="SND51" s="4"/>
      <c r="SNE51" s="4"/>
      <c r="SNF51" s="4"/>
      <c r="SNG51" s="4"/>
      <c r="SNH51" s="4"/>
      <c r="SNI51" s="4"/>
      <c r="SNJ51" s="4"/>
      <c r="SNK51" s="4"/>
      <c r="SNL51" s="4"/>
      <c r="SNM51" s="4"/>
      <c r="SNN51" s="4"/>
      <c r="SNO51" s="4"/>
      <c r="SNP51" s="4"/>
      <c r="SNQ51" s="4"/>
      <c r="SNR51" s="4"/>
      <c r="SNS51" s="4"/>
      <c r="SNT51" s="4"/>
      <c r="SNU51" s="4"/>
      <c r="SNV51" s="4"/>
      <c r="SNW51" s="4"/>
      <c r="SNX51" s="4"/>
      <c r="SNY51" s="4"/>
      <c r="SNZ51" s="4"/>
      <c r="SOA51" s="4"/>
      <c r="SOB51" s="4"/>
      <c r="SOC51" s="4"/>
      <c r="SOD51" s="4"/>
      <c r="SOE51" s="4"/>
      <c r="SOF51" s="4"/>
      <c r="SOG51" s="4"/>
      <c r="SOH51" s="4"/>
      <c r="SOI51" s="4"/>
      <c r="SOJ51" s="4"/>
      <c r="SOK51" s="4"/>
      <c r="SOL51" s="4"/>
      <c r="SOM51" s="4"/>
      <c r="SON51" s="4"/>
      <c r="SOO51" s="4"/>
      <c r="SOP51" s="4"/>
      <c r="SOQ51" s="4"/>
      <c r="SOR51" s="4"/>
      <c r="SOS51" s="4"/>
      <c r="SOT51" s="4"/>
      <c r="SOU51" s="4"/>
      <c r="SOV51" s="4"/>
      <c r="SOW51" s="4"/>
      <c r="SOX51" s="4"/>
      <c r="SOY51" s="4"/>
      <c r="SOZ51" s="4"/>
      <c r="SPA51" s="4"/>
      <c r="SPB51" s="4"/>
      <c r="SPC51" s="4"/>
      <c r="SPD51" s="4"/>
      <c r="SPE51" s="4"/>
      <c r="SPF51" s="4"/>
      <c r="SPG51" s="4"/>
      <c r="SPH51" s="4"/>
      <c r="SPI51" s="4"/>
      <c r="SPJ51" s="4"/>
      <c r="SPK51" s="4"/>
      <c r="SPL51" s="4"/>
      <c r="SPM51" s="4"/>
      <c r="SPN51" s="4"/>
      <c r="SPO51" s="4"/>
      <c r="SPP51" s="4"/>
      <c r="SPQ51" s="4"/>
      <c r="SPR51" s="4"/>
      <c r="SPS51" s="4"/>
      <c r="SPT51" s="4"/>
      <c r="SPU51" s="4"/>
      <c r="SPV51" s="4"/>
      <c r="SPW51" s="4"/>
      <c r="SPX51" s="4"/>
      <c r="SPY51" s="4"/>
      <c r="SPZ51" s="4"/>
      <c r="SQA51" s="4"/>
      <c r="SQB51" s="4"/>
      <c r="SQC51" s="4"/>
      <c r="SQD51" s="4"/>
      <c r="SQE51" s="4"/>
      <c r="SQF51" s="4"/>
      <c r="SQG51" s="4"/>
      <c r="SQH51" s="4"/>
      <c r="SQI51" s="4"/>
      <c r="SQJ51" s="4"/>
      <c r="SQK51" s="4"/>
      <c r="SQL51" s="4"/>
      <c r="SQM51" s="4"/>
      <c r="SQN51" s="4"/>
      <c r="SQO51" s="4"/>
      <c r="SQP51" s="4"/>
      <c r="SQQ51" s="4"/>
      <c r="SQR51" s="4"/>
      <c r="SQS51" s="4"/>
      <c r="SQT51" s="4"/>
      <c r="SQU51" s="4"/>
      <c r="SQV51" s="4"/>
      <c r="SQW51" s="4"/>
      <c r="SQX51" s="4"/>
      <c r="SQY51" s="4"/>
      <c r="SQZ51" s="4"/>
      <c r="SRA51" s="4"/>
      <c r="SRB51" s="4"/>
      <c r="SRC51" s="4"/>
      <c r="SRD51" s="4"/>
      <c r="SRE51" s="4"/>
      <c r="SRF51" s="4"/>
      <c r="SRG51" s="4"/>
      <c r="SRH51" s="4"/>
      <c r="SRI51" s="4"/>
      <c r="SRJ51" s="4"/>
      <c r="SRK51" s="4"/>
      <c r="SRL51" s="4"/>
      <c r="SRM51" s="4"/>
      <c r="SRN51" s="4"/>
      <c r="SRO51" s="4"/>
      <c r="SRP51" s="4"/>
      <c r="SRQ51" s="4"/>
      <c r="SRR51" s="4"/>
      <c r="SRS51" s="4"/>
      <c r="SRT51" s="4"/>
      <c r="SRU51" s="4"/>
      <c r="SRV51" s="4"/>
      <c r="SRW51" s="4"/>
      <c r="SRX51" s="4"/>
      <c r="SRY51" s="4"/>
      <c r="SRZ51" s="4"/>
      <c r="SSA51" s="4"/>
      <c r="SSB51" s="4"/>
      <c r="SSC51" s="4"/>
      <c r="SSD51" s="4"/>
      <c r="SSE51" s="4"/>
      <c r="SSF51" s="4"/>
      <c r="SSG51" s="4"/>
      <c r="SSH51" s="4"/>
      <c r="SSI51" s="4"/>
      <c r="SSJ51" s="4"/>
      <c r="SSK51" s="4"/>
      <c r="SSL51" s="4"/>
      <c r="SSM51" s="4"/>
      <c r="SSN51" s="4"/>
      <c r="SSO51" s="4"/>
      <c r="SSP51" s="4"/>
      <c r="SSQ51" s="4"/>
      <c r="SSR51" s="4"/>
      <c r="SSS51" s="4"/>
      <c r="SST51" s="4"/>
      <c r="SSU51" s="4"/>
      <c r="SSV51" s="4"/>
      <c r="SSW51" s="4"/>
      <c r="SSX51" s="4"/>
      <c r="SSY51" s="4"/>
      <c r="SSZ51" s="4"/>
      <c r="STA51" s="4"/>
      <c r="STB51" s="4"/>
      <c r="STC51" s="4"/>
      <c r="STD51" s="4"/>
      <c r="STE51" s="4"/>
      <c r="STF51" s="4"/>
      <c r="STG51" s="4"/>
      <c r="STH51" s="4"/>
      <c r="STI51" s="4"/>
      <c r="STJ51" s="4"/>
      <c r="STK51" s="4"/>
      <c r="STL51" s="4"/>
      <c r="STM51" s="4"/>
      <c r="STN51" s="4"/>
      <c r="STO51" s="4"/>
      <c r="STP51" s="4"/>
      <c r="STQ51" s="4"/>
      <c r="STR51" s="4"/>
      <c r="STS51" s="4"/>
      <c r="STT51" s="4"/>
      <c r="STU51" s="4"/>
      <c r="STV51" s="4"/>
      <c r="STW51" s="4"/>
      <c r="STX51" s="4"/>
      <c r="STY51" s="4"/>
      <c r="STZ51" s="4"/>
      <c r="SUA51" s="4"/>
      <c r="SUB51" s="4"/>
      <c r="SUC51" s="4"/>
      <c r="SUD51" s="4"/>
      <c r="SUE51" s="4"/>
      <c r="SUF51" s="4"/>
      <c r="SUG51" s="4"/>
      <c r="SUH51" s="4"/>
      <c r="SUI51" s="4"/>
      <c r="SUJ51" s="4"/>
      <c r="SUK51" s="4"/>
      <c r="SUL51" s="4"/>
      <c r="SUM51" s="4"/>
      <c r="SUN51" s="4"/>
      <c r="SUO51" s="4"/>
      <c r="SUP51" s="4"/>
      <c r="SUQ51" s="4"/>
      <c r="SUR51" s="4"/>
      <c r="SUS51" s="4"/>
      <c r="SUT51" s="4"/>
      <c r="SUU51" s="4"/>
      <c r="SUV51" s="4"/>
      <c r="SUW51" s="4"/>
      <c r="SUX51" s="4"/>
      <c r="SUY51" s="4"/>
      <c r="SUZ51" s="4"/>
      <c r="SVA51" s="4"/>
      <c r="SVB51" s="4"/>
      <c r="SVC51" s="4"/>
      <c r="SVD51" s="4"/>
      <c r="SVE51" s="4"/>
      <c r="SVF51" s="4"/>
      <c r="SVG51" s="4"/>
      <c r="SVH51" s="4"/>
      <c r="SVI51" s="4"/>
      <c r="SVJ51" s="4"/>
      <c r="SVK51" s="4"/>
      <c r="SVL51" s="4"/>
      <c r="SVM51" s="4"/>
      <c r="SVN51" s="4"/>
      <c r="SVO51" s="4"/>
      <c r="SVP51" s="4"/>
      <c r="SVQ51" s="4"/>
      <c r="SVR51" s="4"/>
      <c r="SVS51" s="4"/>
      <c r="SVT51" s="4"/>
      <c r="SVU51" s="4"/>
      <c r="SVV51" s="4"/>
      <c r="SVW51" s="4"/>
      <c r="SVX51" s="4"/>
      <c r="SVY51" s="4"/>
      <c r="SVZ51" s="4"/>
      <c r="SWA51" s="4"/>
      <c r="SWB51" s="4"/>
      <c r="SWC51" s="4"/>
      <c r="SWD51" s="4"/>
      <c r="SWE51" s="4"/>
      <c r="SWF51" s="4"/>
      <c r="SWG51" s="4"/>
      <c r="SWH51" s="4"/>
      <c r="SWI51" s="4"/>
      <c r="SWJ51" s="4"/>
      <c r="SWK51" s="4"/>
      <c r="SWL51" s="4"/>
      <c r="SWM51" s="4"/>
      <c r="SWN51" s="4"/>
      <c r="SWO51" s="4"/>
      <c r="SWP51" s="4"/>
      <c r="SWQ51" s="4"/>
      <c r="SWR51" s="4"/>
      <c r="SWS51" s="4"/>
      <c r="SWT51" s="4"/>
      <c r="SWU51" s="4"/>
      <c r="SWV51" s="4"/>
      <c r="SWW51" s="4"/>
      <c r="SWX51" s="4"/>
      <c r="SWY51" s="4"/>
      <c r="SWZ51" s="4"/>
      <c r="SXA51" s="4"/>
      <c r="SXB51" s="4"/>
      <c r="SXC51" s="4"/>
      <c r="SXD51" s="4"/>
      <c r="SXE51" s="4"/>
      <c r="SXF51" s="4"/>
      <c r="SXG51" s="4"/>
      <c r="SXH51" s="4"/>
      <c r="SXI51" s="4"/>
      <c r="SXJ51" s="4"/>
      <c r="SXK51" s="4"/>
      <c r="SXL51" s="4"/>
      <c r="SXM51" s="4"/>
      <c r="SXN51" s="4"/>
      <c r="SXO51" s="4"/>
      <c r="SXP51" s="4"/>
      <c r="SXQ51" s="4"/>
      <c r="SXR51" s="4"/>
      <c r="SXS51" s="4"/>
      <c r="SXT51" s="4"/>
      <c r="SXU51" s="4"/>
      <c r="SXV51" s="4"/>
      <c r="SXW51" s="4"/>
      <c r="SXX51" s="4"/>
      <c r="SXY51" s="4"/>
      <c r="SXZ51" s="4"/>
      <c r="SYA51" s="4"/>
      <c r="SYB51" s="4"/>
      <c r="SYC51" s="4"/>
      <c r="SYD51" s="4"/>
      <c r="SYE51" s="4"/>
      <c r="SYF51" s="4"/>
      <c r="SYG51" s="4"/>
      <c r="SYH51" s="4"/>
      <c r="SYI51" s="4"/>
      <c r="SYJ51" s="4"/>
      <c r="SYK51" s="4"/>
      <c r="SYL51" s="4"/>
      <c r="SYM51" s="4"/>
      <c r="SYN51" s="4"/>
      <c r="SYO51" s="4"/>
      <c r="SYP51" s="4"/>
      <c r="SYQ51" s="4"/>
      <c r="SYR51" s="4"/>
      <c r="SYS51" s="4"/>
      <c r="SYT51" s="4"/>
      <c r="SYU51" s="4"/>
      <c r="SYV51" s="4"/>
      <c r="SYW51" s="4"/>
      <c r="SYX51" s="4"/>
      <c r="SYY51" s="4"/>
      <c r="SYZ51" s="4"/>
      <c r="SZA51" s="4"/>
      <c r="SZB51" s="4"/>
      <c r="SZC51" s="4"/>
      <c r="SZD51" s="4"/>
      <c r="SZE51" s="4"/>
      <c r="SZF51" s="4"/>
      <c r="SZG51" s="4"/>
      <c r="SZH51" s="4"/>
      <c r="SZI51" s="4"/>
      <c r="SZJ51" s="4"/>
      <c r="SZK51" s="4"/>
      <c r="SZL51" s="4"/>
      <c r="SZM51" s="4"/>
      <c r="SZN51" s="4"/>
      <c r="SZO51" s="4"/>
      <c r="SZP51" s="4"/>
      <c r="SZQ51" s="4"/>
      <c r="SZR51" s="4"/>
      <c r="SZS51" s="4"/>
      <c r="SZT51" s="4"/>
      <c r="SZU51" s="4"/>
      <c r="SZV51" s="4"/>
      <c r="SZW51" s="4"/>
      <c r="SZX51" s="4"/>
      <c r="SZY51" s="4"/>
      <c r="SZZ51" s="4"/>
      <c r="TAA51" s="4"/>
      <c r="TAB51" s="4"/>
      <c r="TAC51" s="4"/>
      <c r="TAD51" s="4"/>
      <c r="TAE51" s="4"/>
      <c r="TAF51" s="4"/>
      <c r="TAG51" s="4"/>
      <c r="TAH51" s="4"/>
      <c r="TAI51" s="4"/>
      <c r="TAJ51" s="4"/>
      <c r="TAK51" s="4"/>
      <c r="TAL51" s="4"/>
      <c r="TAM51" s="4"/>
      <c r="TAN51" s="4"/>
      <c r="TAO51" s="4"/>
      <c r="TAP51" s="4"/>
      <c r="TAQ51" s="4"/>
      <c r="TAR51" s="4"/>
      <c r="TAS51" s="4"/>
      <c r="TAT51" s="4"/>
      <c r="TAU51" s="4"/>
      <c r="TAV51" s="4"/>
      <c r="TAW51" s="4"/>
      <c r="TAX51" s="4"/>
      <c r="TAY51" s="4"/>
      <c r="TAZ51" s="4"/>
      <c r="TBA51" s="4"/>
      <c r="TBB51" s="4"/>
      <c r="TBC51" s="4"/>
      <c r="TBD51" s="4"/>
      <c r="TBE51" s="4"/>
      <c r="TBF51" s="4"/>
      <c r="TBG51" s="4"/>
      <c r="TBH51" s="4"/>
      <c r="TBI51" s="4"/>
      <c r="TBJ51" s="4"/>
      <c r="TBK51" s="4"/>
      <c r="TBL51" s="4"/>
      <c r="TBM51" s="4"/>
      <c r="TBN51" s="4"/>
      <c r="TBO51" s="4"/>
      <c r="TBP51" s="4"/>
      <c r="TBQ51" s="4"/>
      <c r="TBR51" s="4"/>
      <c r="TBS51" s="4"/>
      <c r="TBT51" s="4"/>
      <c r="TBU51" s="4"/>
      <c r="TBV51" s="4"/>
      <c r="TBW51" s="4"/>
      <c r="TBX51" s="4"/>
      <c r="TBY51" s="4"/>
      <c r="TBZ51" s="4"/>
      <c r="TCA51" s="4"/>
      <c r="TCB51" s="4"/>
      <c r="TCC51" s="4"/>
      <c r="TCD51" s="4"/>
      <c r="TCE51" s="4"/>
      <c r="TCF51" s="4"/>
      <c r="TCG51" s="4"/>
      <c r="TCH51" s="4"/>
      <c r="TCI51" s="4"/>
      <c r="TCJ51" s="4"/>
      <c r="TCK51" s="4"/>
      <c r="TCL51" s="4"/>
      <c r="TCM51" s="4"/>
      <c r="TCN51" s="4"/>
      <c r="TCO51" s="4"/>
      <c r="TCP51" s="4"/>
      <c r="TCQ51" s="4"/>
      <c r="TCR51" s="4"/>
      <c r="TCS51" s="4"/>
      <c r="TCT51" s="4"/>
      <c r="TCU51" s="4"/>
      <c r="TCV51" s="4"/>
      <c r="TCW51" s="4"/>
      <c r="TCX51" s="4"/>
      <c r="TCY51" s="4"/>
      <c r="TCZ51" s="4"/>
      <c r="TDA51" s="4"/>
      <c r="TDB51" s="4"/>
      <c r="TDC51" s="4"/>
      <c r="TDD51" s="4"/>
      <c r="TDE51" s="4"/>
      <c r="TDF51" s="4"/>
      <c r="TDG51" s="4"/>
      <c r="TDH51" s="4"/>
      <c r="TDI51" s="4"/>
      <c r="TDJ51" s="4"/>
      <c r="TDK51" s="4"/>
      <c r="TDL51" s="4"/>
      <c r="TDM51" s="4"/>
      <c r="TDN51" s="4"/>
      <c r="TDO51" s="4"/>
      <c r="TDP51" s="4"/>
      <c r="TDQ51" s="4"/>
      <c r="TDR51" s="4"/>
      <c r="TDS51" s="4"/>
      <c r="TDT51" s="4"/>
      <c r="TDU51" s="4"/>
      <c r="TDV51" s="4"/>
      <c r="TDW51" s="4"/>
      <c r="TDX51" s="4"/>
      <c r="TDY51" s="4"/>
      <c r="TDZ51" s="4"/>
      <c r="TEA51" s="4"/>
      <c r="TEB51" s="4"/>
      <c r="TEC51" s="4"/>
      <c r="TED51" s="4"/>
      <c r="TEE51" s="4"/>
      <c r="TEF51" s="4"/>
      <c r="TEG51" s="4"/>
      <c r="TEH51" s="4"/>
      <c r="TEI51" s="4"/>
      <c r="TEJ51" s="4"/>
      <c r="TEK51" s="4"/>
      <c r="TEL51" s="4"/>
      <c r="TEM51" s="4"/>
      <c r="TEN51" s="4"/>
      <c r="TEO51" s="4"/>
      <c r="TEP51" s="4"/>
      <c r="TEQ51" s="4"/>
      <c r="TER51" s="4"/>
      <c r="TES51" s="4"/>
      <c r="TET51" s="4"/>
      <c r="TEU51" s="4"/>
      <c r="TEV51" s="4"/>
      <c r="TEW51" s="4"/>
      <c r="TEX51" s="4"/>
      <c r="TEY51" s="4"/>
      <c r="TEZ51" s="4"/>
      <c r="TFA51" s="4"/>
      <c r="TFB51" s="4"/>
      <c r="TFC51" s="4"/>
      <c r="TFD51" s="4"/>
      <c r="TFE51" s="4"/>
      <c r="TFF51" s="4"/>
      <c r="TFG51" s="4"/>
      <c r="TFH51" s="4"/>
      <c r="TFI51" s="4"/>
      <c r="TFJ51" s="4"/>
      <c r="TFK51" s="4"/>
      <c r="TFL51" s="4"/>
      <c r="TFM51" s="4"/>
      <c r="TFN51" s="4"/>
      <c r="TFO51" s="4"/>
      <c r="TFP51" s="4"/>
      <c r="TFQ51" s="4"/>
      <c r="TFR51" s="4"/>
      <c r="TFS51" s="4"/>
      <c r="TFT51" s="4"/>
      <c r="TFU51" s="4"/>
      <c r="TFV51" s="4"/>
      <c r="TFW51" s="4"/>
      <c r="TFX51" s="4"/>
      <c r="TFY51" s="4"/>
      <c r="TFZ51" s="4"/>
      <c r="TGA51" s="4"/>
      <c r="TGB51" s="4"/>
      <c r="TGC51" s="4"/>
      <c r="TGD51" s="4"/>
      <c r="TGE51" s="4"/>
      <c r="TGF51" s="4"/>
      <c r="TGG51" s="4"/>
      <c r="TGH51" s="4"/>
      <c r="TGI51" s="4"/>
      <c r="TGJ51" s="4"/>
      <c r="TGK51" s="4"/>
      <c r="TGL51" s="4"/>
      <c r="TGM51" s="4"/>
      <c r="TGN51" s="4"/>
      <c r="TGO51" s="4"/>
      <c r="TGP51" s="4"/>
      <c r="TGQ51" s="4"/>
      <c r="TGR51" s="4"/>
      <c r="TGS51" s="4"/>
      <c r="TGT51" s="4"/>
      <c r="TGU51" s="4"/>
      <c r="TGV51" s="4"/>
      <c r="TGW51" s="4"/>
      <c r="TGX51" s="4"/>
      <c r="TGY51" s="4"/>
      <c r="TGZ51" s="4"/>
      <c r="THA51" s="4"/>
      <c r="THB51" s="4"/>
      <c r="THC51" s="4"/>
      <c r="THD51" s="4"/>
      <c r="THE51" s="4"/>
      <c r="THF51" s="4"/>
      <c r="THG51" s="4"/>
      <c r="THH51" s="4"/>
      <c r="THI51" s="4"/>
      <c r="THJ51" s="4"/>
      <c r="THK51" s="4"/>
      <c r="THL51" s="4"/>
      <c r="THM51" s="4"/>
      <c r="THN51" s="4"/>
      <c r="THO51" s="4"/>
      <c r="THP51" s="4"/>
      <c r="THQ51" s="4"/>
      <c r="THR51" s="4"/>
      <c r="THS51" s="4"/>
      <c r="THT51" s="4"/>
      <c r="THU51" s="4"/>
      <c r="THV51" s="4"/>
      <c r="THW51" s="4"/>
      <c r="THX51" s="4"/>
      <c r="THY51" s="4"/>
      <c r="THZ51" s="4"/>
      <c r="TIA51" s="4"/>
      <c r="TIB51" s="4"/>
      <c r="TIC51" s="4"/>
      <c r="TID51" s="4"/>
      <c r="TIE51" s="4"/>
      <c r="TIF51" s="4"/>
      <c r="TIG51" s="4"/>
      <c r="TIH51" s="4"/>
      <c r="TII51" s="4"/>
      <c r="TIJ51" s="4"/>
      <c r="TIK51" s="4"/>
      <c r="TIL51" s="4"/>
      <c r="TIM51" s="4"/>
      <c r="TIN51" s="4"/>
      <c r="TIO51" s="4"/>
      <c r="TIP51" s="4"/>
      <c r="TIQ51" s="4"/>
      <c r="TIR51" s="4"/>
      <c r="TIS51" s="4"/>
      <c r="TIT51" s="4"/>
      <c r="TIU51" s="4"/>
      <c r="TIV51" s="4"/>
      <c r="TIW51" s="4"/>
      <c r="TIX51" s="4"/>
      <c r="TIY51" s="4"/>
      <c r="TIZ51" s="4"/>
      <c r="TJA51" s="4"/>
      <c r="TJB51" s="4"/>
      <c r="TJC51" s="4"/>
      <c r="TJD51" s="4"/>
      <c r="TJE51" s="4"/>
      <c r="TJF51" s="4"/>
      <c r="TJG51" s="4"/>
      <c r="TJH51" s="4"/>
      <c r="TJI51" s="4"/>
      <c r="TJJ51" s="4"/>
      <c r="TJK51" s="4"/>
      <c r="TJL51" s="4"/>
      <c r="TJM51" s="4"/>
      <c r="TJN51" s="4"/>
      <c r="TJO51" s="4"/>
      <c r="TJP51" s="4"/>
      <c r="TJQ51" s="4"/>
      <c r="TJR51" s="4"/>
      <c r="TJS51" s="4"/>
      <c r="TJT51" s="4"/>
      <c r="TJU51" s="4"/>
      <c r="TJV51" s="4"/>
      <c r="TJW51" s="4"/>
      <c r="TJX51" s="4"/>
      <c r="TJY51" s="4"/>
      <c r="TJZ51" s="4"/>
      <c r="TKA51" s="4"/>
      <c r="TKB51" s="4"/>
      <c r="TKC51" s="4"/>
      <c r="TKD51" s="4"/>
      <c r="TKE51" s="4"/>
      <c r="TKF51" s="4"/>
      <c r="TKG51" s="4"/>
      <c r="TKH51" s="4"/>
      <c r="TKI51" s="4"/>
      <c r="TKJ51" s="4"/>
      <c r="TKK51" s="4"/>
      <c r="TKL51" s="4"/>
      <c r="TKM51" s="4"/>
      <c r="TKN51" s="4"/>
      <c r="TKO51" s="4"/>
      <c r="TKP51" s="4"/>
      <c r="TKQ51" s="4"/>
      <c r="TKR51" s="4"/>
      <c r="TKS51" s="4"/>
      <c r="TKT51" s="4"/>
      <c r="TKU51" s="4"/>
      <c r="TKV51" s="4"/>
      <c r="TKW51" s="4"/>
      <c r="TKX51" s="4"/>
      <c r="TKY51" s="4"/>
      <c r="TKZ51" s="4"/>
      <c r="TLA51" s="4"/>
      <c r="TLB51" s="4"/>
      <c r="TLC51" s="4"/>
      <c r="TLD51" s="4"/>
      <c r="TLE51" s="4"/>
      <c r="TLF51" s="4"/>
      <c r="TLG51" s="4"/>
      <c r="TLH51" s="4"/>
      <c r="TLI51" s="4"/>
      <c r="TLJ51" s="4"/>
      <c r="TLK51" s="4"/>
      <c r="TLL51" s="4"/>
      <c r="TLM51" s="4"/>
      <c r="TLN51" s="4"/>
      <c r="TLO51" s="4"/>
      <c r="TLP51" s="4"/>
      <c r="TLQ51" s="4"/>
      <c r="TLR51" s="4"/>
      <c r="TLS51" s="4"/>
      <c r="TLT51" s="4"/>
      <c r="TLU51" s="4"/>
      <c r="TLV51" s="4"/>
      <c r="TLW51" s="4"/>
      <c r="TLX51" s="4"/>
      <c r="TLY51" s="4"/>
      <c r="TLZ51" s="4"/>
      <c r="TMA51" s="4"/>
      <c r="TMB51" s="4"/>
      <c r="TMC51" s="4"/>
      <c r="TMD51" s="4"/>
      <c r="TME51" s="4"/>
      <c r="TMF51" s="4"/>
      <c r="TMG51" s="4"/>
      <c r="TMH51" s="4"/>
      <c r="TMI51" s="4"/>
      <c r="TMJ51" s="4"/>
      <c r="TMK51" s="4"/>
      <c r="TML51" s="4"/>
      <c r="TMM51" s="4"/>
      <c r="TMN51" s="4"/>
      <c r="TMO51" s="4"/>
      <c r="TMP51" s="4"/>
      <c r="TMQ51" s="4"/>
      <c r="TMR51" s="4"/>
      <c r="TMS51" s="4"/>
      <c r="TMT51" s="4"/>
      <c r="TMU51" s="4"/>
      <c r="TMV51" s="4"/>
      <c r="TMW51" s="4"/>
      <c r="TMX51" s="4"/>
      <c r="TMY51" s="4"/>
      <c r="TMZ51" s="4"/>
      <c r="TNA51" s="4"/>
      <c r="TNB51" s="4"/>
      <c r="TNC51" s="4"/>
      <c r="TND51" s="4"/>
      <c r="TNE51" s="4"/>
      <c r="TNF51" s="4"/>
      <c r="TNG51" s="4"/>
      <c r="TNH51" s="4"/>
      <c r="TNI51" s="4"/>
      <c r="TNJ51" s="4"/>
      <c r="TNK51" s="4"/>
      <c r="TNL51" s="4"/>
      <c r="TNM51" s="4"/>
      <c r="TNN51" s="4"/>
      <c r="TNO51" s="4"/>
      <c r="TNP51" s="4"/>
      <c r="TNQ51" s="4"/>
      <c r="TNR51" s="4"/>
      <c r="TNS51" s="4"/>
      <c r="TNT51" s="4"/>
      <c r="TNU51" s="4"/>
      <c r="TNV51" s="4"/>
      <c r="TNW51" s="4"/>
      <c r="TNX51" s="4"/>
      <c r="TNY51" s="4"/>
      <c r="TNZ51" s="4"/>
      <c r="TOA51" s="4"/>
      <c r="TOB51" s="4"/>
      <c r="TOC51" s="4"/>
      <c r="TOD51" s="4"/>
      <c r="TOE51" s="4"/>
      <c r="TOF51" s="4"/>
      <c r="TOG51" s="4"/>
      <c r="TOH51" s="4"/>
      <c r="TOI51" s="4"/>
      <c r="TOJ51" s="4"/>
      <c r="TOK51" s="4"/>
      <c r="TOL51" s="4"/>
      <c r="TOM51" s="4"/>
      <c r="TON51" s="4"/>
      <c r="TOO51" s="4"/>
      <c r="TOP51" s="4"/>
      <c r="TOQ51" s="4"/>
      <c r="TOR51" s="4"/>
      <c r="TOS51" s="4"/>
      <c r="TOT51" s="4"/>
      <c r="TOU51" s="4"/>
      <c r="TOV51" s="4"/>
      <c r="TOW51" s="4"/>
      <c r="TOX51" s="4"/>
      <c r="TOY51" s="4"/>
      <c r="TOZ51" s="4"/>
      <c r="TPA51" s="4"/>
      <c r="TPB51" s="4"/>
      <c r="TPC51" s="4"/>
      <c r="TPD51" s="4"/>
      <c r="TPE51" s="4"/>
      <c r="TPF51" s="4"/>
      <c r="TPG51" s="4"/>
      <c r="TPH51" s="4"/>
      <c r="TPI51" s="4"/>
      <c r="TPJ51" s="4"/>
      <c r="TPK51" s="4"/>
      <c r="TPL51" s="4"/>
      <c r="TPM51" s="4"/>
      <c r="TPN51" s="4"/>
      <c r="TPO51" s="4"/>
      <c r="TPP51" s="4"/>
      <c r="TPQ51" s="4"/>
      <c r="TPR51" s="4"/>
      <c r="TPS51" s="4"/>
      <c r="TPT51" s="4"/>
      <c r="TPU51" s="4"/>
      <c r="TPV51" s="4"/>
      <c r="TPW51" s="4"/>
      <c r="TPX51" s="4"/>
      <c r="TPY51" s="4"/>
      <c r="TPZ51" s="4"/>
      <c r="TQA51" s="4"/>
      <c r="TQB51" s="4"/>
      <c r="TQC51" s="4"/>
      <c r="TQD51" s="4"/>
      <c r="TQE51" s="4"/>
      <c r="TQF51" s="4"/>
      <c r="TQG51" s="4"/>
      <c r="TQH51" s="4"/>
      <c r="TQI51" s="4"/>
      <c r="TQJ51" s="4"/>
      <c r="TQK51" s="4"/>
      <c r="TQL51" s="4"/>
      <c r="TQM51" s="4"/>
      <c r="TQN51" s="4"/>
      <c r="TQO51" s="4"/>
      <c r="TQP51" s="4"/>
      <c r="TQQ51" s="4"/>
      <c r="TQR51" s="4"/>
      <c r="TQS51" s="4"/>
      <c r="TQT51" s="4"/>
      <c r="TQU51" s="4"/>
      <c r="TQV51" s="4"/>
      <c r="TQW51" s="4"/>
      <c r="TQX51" s="4"/>
      <c r="TQY51" s="4"/>
      <c r="TQZ51" s="4"/>
      <c r="TRA51" s="4"/>
      <c r="TRB51" s="4"/>
      <c r="TRC51" s="4"/>
      <c r="TRD51" s="4"/>
      <c r="TRE51" s="4"/>
      <c r="TRF51" s="4"/>
      <c r="TRG51" s="4"/>
      <c r="TRH51" s="4"/>
      <c r="TRI51" s="4"/>
      <c r="TRJ51" s="4"/>
      <c r="TRK51" s="4"/>
      <c r="TRL51" s="4"/>
      <c r="TRM51" s="4"/>
      <c r="TRN51" s="4"/>
      <c r="TRO51" s="4"/>
      <c r="TRP51" s="4"/>
      <c r="TRQ51" s="4"/>
      <c r="TRR51" s="4"/>
      <c r="TRS51" s="4"/>
      <c r="TRT51" s="4"/>
      <c r="TRU51" s="4"/>
      <c r="TRV51" s="4"/>
      <c r="TRW51" s="4"/>
      <c r="TRX51" s="4"/>
      <c r="TRY51" s="4"/>
      <c r="TRZ51" s="4"/>
      <c r="TSA51" s="4"/>
      <c r="TSB51" s="4"/>
      <c r="TSC51" s="4"/>
      <c r="TSD51" s="4"/>
      <c r="TSE51" s="4"/>
      <c r="TSF51" s="4"/>
      <c r="TSG51" s="4"/>
      <c r="TSH51" s="4"/>
      <c r="TSI51" s="4"/>
      <c r="TSJ51" s="4"/>
      <c r="TSK51" s="4"/>
      <c r="TSL51" s="4"/>
      <c r="TSM51" s="4"/>
      <c r="TSN51" s="4"/>
      <c r="TSO51" s="4"/>
      <c r="TSP51" s="4"/>
      <c r="TSQ51" s="4"/>
      <c r="TSR51" s="4"/>
      <c r="TSS51" s="4"/>
      <c r="TST51" s="4"/>
      <c r="TSU51" s="4"/>
      <c r="TSV51" s="4"/>
      <c r="TSW51" s="4"/>
      <c r="TSX51" s="4"/>
      <c r="TSY51" s="4"/>
      <c r="TSZ51" s="4"/>
      <c r="TTA51" s="4"/>
      <c r="TTB51" s="4"/>
      <c r="TTC51" s="4"/>
      <c r="TTD51" s="4"/>
      <c r="TTE51" s="4"/>
      <c r="TTF51" s="4"/>
      <c r="TTG51" s="4"/>
      <c r="TTH51" s="4"/>
      <c r="TTI51" s="4"/>
      <c r="TTJ51" s="4"/>
      <c r="TTK51" s="4"/>
      <c r="TTL51" s="4"/>
      <c r="TTM51" s="4"/>
      <c r="TTN51" s="4"/>
      <c r="TTO51" s="4"/>
      <c r="TTP51" s="4"/>
      <c r="TTQ51" s="4"/>
      <c r="TTR51" s="4"/>
      <c r="TTS51" s="4"/>
      <c r="TTT51" s="4"/>
      <c r="TTU51" s="4"/>
      <c r="TTV51" s="4"/>
      <c r="TTW51" s="4"/>
      <c r="TTX51" s="4"/>
      <c r="TTY51" s="4"/>
      <c r="TTZ51" s="4"/>
      <c r="TUA51" s="4"/>
      <c r="TUB51" s="4"/>
      <c r="TUC51" s="4"/>
      <c r="TUD51" s="4"/>
      <c r="TUE51" s="4"/>
      <c r="TUF51" s="4"/>
      <c r="TUG51" s="4"/>
      <c r="TUH51" s="4"/>
      <c r="TUI51" s="4"/>
      <c r="TUJ51" s="4"/>
      <c r="TUK51" s="4"/>
      <c r="TUL51" s="4"/>
      <c r="TUM51" s="4"/>
      <c r="TUN51" s="4"/>
      <c r="TUO51" s="4"/>
      <c r="TUP51" s="4"/>
      <c r="TUQ51" s="4"/>
      <c r="TUR51" s="4"/>
      <c r="TUS51" s="4"/>
      <c r="TUT51" s="4"/>
      <c r="TUU51" s="4"/>
      <c r="TUV51" s="4"/>
      <c r="TUW51" s="4"/>
      <c r="TUX51" s="4"/>
      <c r="TUY51" s="4"/>
      <c r="TUZ51" s="4"/>
      <c r="TVA51" s="4"/>
      <c r="TVB51" s="4"/>
      <c r="TVC51" s="4"/>
      <c r="TVD51" s="4"/>
      <c r="TVE51" s="4"/>
      <c r="TVF51" s="4"/>
      <c r="TVG51" s="4"/>
      <c r="TVH51" s="4"/>
      <c r="TVI51" s="4"/>
      <c r="TVJ51" s="4"/>
      <c r="TVK51" s="4"/>
      <c r="TVL51" s="4"/>
      <c r="TVM51" s="4"/>
      <c r="TVN51" s="4"/>
      <c r="TVO51" s="4"/>
      <c r="TVP51" s="4"/>
      <c r="TVQ51" s="4"/>
      <c r="TVR51" s="4"/>
      <c r="TVS51" s="4"/>
      <c r="TVT51" s="4"/>
      <c r="TVU51" s="4"/>
      <c r="TVV51" s="4"/>
      <c r="TVW51" s="4"/>
      <c r="TVX51" s="4"/>
      <c r="TVY51" s="4"/>
      <c r="TVZ51" s="4"/>
      <c r="TWA51" s="4"/>
      <c r="TWB51" s="4"/>
      <c r="TWC51" s="4"/>
      <c r="TWD51" s="4"/>
      <c r="TWE51" s="4"/>
      <c r="TWF51" s="4"/>
      <c r="TWG51" s="4"/>
      <c r="TWH51" s="4"/>
      <c r="TWI51" s="4"/>
      <c r="TWJ51" s="4"/>
      <c r="TWK51" s="4"/>
      <c r="TWL51" s="4"/>
      <c r="TWM51" s="4"/>
      <c r="TWN51" s="4"/>
      <c r="TWO51" s="4"/>
      <c r="TWP51" s="4"/>
      <c r="TWQ51" s="4"/>
      <c r="TWR51" s="4"/>
      <c r="TWS51" s="4"/>
      <c r="TWT51" s="4"/>
      <c r="TWU51" s="4"/>
      <c r="TWV51" s="4"/>
      <c r="TWW51" s="4"/>
      <c r="TWX51" s="4"/>
      <c r="TWY51" s="4"/>
      <c r="TWZ51" s="4"/>
      <c r="TXA51" s="4"/>
      <c r="TXB51" s="4"/>
      <c r="TXC51" s="4"/>
      <c r="TXD51" s="4"/>
      <c r="TXE51" s="4"/>
      <c r="TXF51" s="4"/>
      <c r="TXG51" s="4"/>
      <c r="TXH51" s="4"/>
      <c r="TXI51" s="4"/>
      <c r="TXJ51" s="4"/>
      <c r="TXK51" s="4"/>
      <c r="TXL51" s="4"/>
      <c r="TXM51" s="4"/>
      <c r="TXN51" s="4"/>
      <c r="TXO51" s="4"/>
      <c r="TXP51" s="4"/>
      <c r="TXQ51" s="4"/>
      <c r="TXR51" s="4"/>
      <c r="TXS51" s="4"/>
      <c r="TXT51" s="4"/>
      <c r="TXU51" s="4"/>
      <c r="TXV51" s="4"/>
      <c r="TXW51" s="4"/>
      <c r="TXX51" s="4"/>
      <c r="TXY51" s="4"/>
      <c r="TXZ51" s="4"/>
      <c r="TYA51" s="4"/>
      <c r="TYB51" s="4"/>
      <c r="TYC51" s="4"/>
      <c r="TYD51" s="4"/>
      <c r="TYE51" s="4"/>
      <c r="TYF51" s="4"/>
      <c r="TYG51" s="4"/>
      <c r="TYH51" s="4"/>
      <c r="TYI51" s="4"/>
      <c r="TYJ51" s="4"/>
      <c r="TYK51" s="4"/>
      <c r="TYL51" s="4"/>
      <c r="TYM51" s="4"/>
      <c r="TYN51" s="4"/>
      <c r="TYO51" s="4"/>
      <c r="TYP51" s="4"/>
      <c r="TYQ51" s="4"/>
      <c r="TYR51" s="4"/>
      <c r="TYS51" s="4"/>
      <c r="TYT51" s="4"/>
      <c r="TYU51" s="4"/>
      <c r="TYV51" s="4"/>
      <c r="TYW51" s="4"/>
      <c r="TYX51" s="4"/>
      <c r="TYY51" s="4"/>
      <c r="TYZ51" s="4"/>
      <c r="TZA51" s="4"/>
      <c r="TZB51" s="4"/>
      <c r="TZC51" s="4"/>
      <c r="TZD51" s="4"/>
      <c r="TZE51" s="4"/>
      <c r="TZF51" s="4"/>
      <c r="TZG51" s="4"/>
      <c r="TZH51" s="4"/>
      <c r="TZI51" s="4"/>
      <c r="TZJ51" s="4"/>
      <c r="TZK51" s="4"/>
      <c r="TZL51" s="4"/>
      <c r="TZM51" s="4"/>
      <c r="TZN51" s="4"/>
      <c r="TZO51" s="4"/>
      <c r="TZP51" s="4"/>
      <c r="TZQ51" s="4"/>
      <c r="TZR51" s="4"/>
      <c r="TZS51" s="4"/>
      <c r="TZT51" s="4"/>
      <c r="TZU51" s="4"/>
      <c r="TZV51" s="4"/>
      <c r="TZW51" s="4"/>
      <c r="TZX51" s="4"/>
      <c r="TZY51" s="4"/>
      <c r="TZZ51" s="4"/>
      <c r="UAA51" s="4"/>
      <c r="UAB51" s="4"/>
      <c r="UAC51" s="4"/>
      <c r="UAD51" s="4"/>
      <c r="UAE51" s="4"/>
      <c r="UAF51" s="4"/>
      <c r="UAG51" s="4"/>
      <c r="UAH51" s="4"/>
      <c r="UAI51" s="4"/>
      <c r="UAJ51" s="4"/>
      <c r="UAK51" s="4"/>
      <c r="UAL51" s="4"/>
      <c r="UAM51" s="4"/>
      <c r="UAN51" s="4"/>
      <c r="UAO51" s="4"/>
      <c r="UAP51" s="4"/>
      <c r="UAQ51" s="4"/>
      <c r="UAR51" s="4"/>
      <c r="UAS51" s="4"/>
      <c r="UAT51" s="4"/>
      <c r="UAU51" s="4"/>
      <c r="UAV51" s="4"/>
      <c r="UAW51" s="4"/>
      <c r="UAX51" s="4"/>
      <c r="UAY51" s="4"/>
      <c r="UAZ51" s="4"/>
      <c r="UBA51" s="4"/>
      <c r="UBB51" s="4"/>
      <c r="UBC51" s="4"/>
      <c r="UBD51" s="4"/>
      <c r="UBE51" s="4"/>
      <c r="UBF51" s="4"/>
      <c r="UBG51" s="4"/>
      <c r="UBH51" s="4"/>
      <c r="UBI51" s="4"/>
      <c r="UBJ51" s="4"/>
      <c r="UBK51" s="4"/>
      <c r="UBL51" s="4"/>
      <c r="UBM51" s="4"/>
      <c r="UBN51" s="4"/>
      <c r="UBO51" s="4"/>
      <c r="UBP51" s="4"/>
      <c r="UBQ51" s="4"/>
      <c r="UBR51" s="4"/>
      <c r="UBS51" s="4"/>
      <c r="UBT51" s="4"/>
      <c r="UBU51" s="4"/>
      <c r="UBV51" s="4"/>
      <c r="UBW51" s="4"/>
      <c r="UBX51" s="4"/>
      <c r="UBY51" s="4"/>
      <c r="UBZ51" s="4"/>
      <c r="UCA51" s="4"/>
      <c r="UCB51" s="4"/>
      <c r="UCC51" s="4"/>
      <c r="UCD51" s="4"/>
      <c r="UCE51" s="4"/>
      <c r="UCF51" s="4"/>
      <c r="UCG51" s="4"/>
      <c r="UCH51" s="4"/>
      <c r="UCI51" s="4"/>
      <c r="UCJ51" s="4"/>
      <c r="UCK51" s="4"/>
      <c r="UCL51" s="4"/>
      <c r="UCM51" s="4"/>
      <c r="UCN51" s="4"/>
      <c r="UCO51" s="4"/>
      <c r="UCP51" s="4"/>
      <c r="UCQ51" s="4"/>
      <c r="UCR51" s="4"/>
      <c r="UCS51" s="4"/>
      <c r="UCT51" s="4"/>
      <c r="UCU51" s="4"/>
      <c r="UCV51" s="4"/>
      <c r="UCW51" s="4"/>
      <c r="UCX51" s="4"/>
      <c r="UCY51" s="4"/>
      <c r="UCZ51" s="4"/>
      <c r="UDA51" s="4"/>
      <c r="UDB51" s="4"/>
      <c r="UDC51" s="4"/>
      <c r="UDD51" s="4"/>
      <c r="UDE51" s="4"/>
      <c r="UDF51" s="4"/>
      <c r="UDG51" s="4"/>
      <c r="UDH51" s="4"/>
      <c r="UDI51" s="4"/>
      <c r="UDJ51" s="4"/>
      <c r="UDK51" s="4"/>
      <c r="UDL51" s="4"/>
      <c r="UDM51" s="4"/>
      <c r="UDN51" s="4"/>
      <c r="UDO51" s="4"/>
      <c r="UDP51" s="4"/>
      <c r="UDQ51" s="4"/>
      <c r="UDR51" s="4"/>
      <c r="UDS51" s="4"/>
      <c r="UDT51" s="4"/>
      <c r="UDU51" s="4"/>
      <c r="UDV51" s="4"/>
      <c r="UDW51" s="4"/>
      <c r="UDX51" s="4"/>
      <c r="UDY51" s="4"/>
      <c r="UDZ51" s="4"/>
      <c r="UEA51" s="4"/>
      <c r="UEB51" s="4"/>
      <c r="UEC51" s="4"/>
      <c r="UED51" s="4"/>
      <c r="UEE51" s="4"/>
      <c r="UEF51" s="4"/>
      <c r="UEG51" s="4"/>
      <c r="UEH51" s="4"/>
      <c r="UEI51" s="4"/>
      <c r="UEJ51" s="4"/>
      <c r="UEK51" s="4"/>
      <c r="UEL51" s="4"/>
      <c r="UEM51" s="4"/>
      <c r="UEN51" s="4"/>
      <c r="UEO51" s="4"/>
      <c r="UEP51" s="4"/>
      <c r="UEQ51" s="4"/>
      <c r="UER51" s="4"/>
      <c r="UES51" s="4"/>
      <c r="UET51" s="4"/>
      <c r="UEU51" s="4"/>
      <c r="UEV51" s="4"/>
      <c r="UEW51" s="4"/>
      <c r="UEX51" s="4"/>
      <c r="UEY51" s="4"/>
      <c r="UEZ51" s="4"/>
      <c r="UFA51" s="4"/>
      <c r="UFB51" s="4"/>
      <c r="UFC51" s="4"/>
      <c r="UFD51" s="4"/>
      <c r="UFE51" s="4"/>
      <c r="UFF51" s="4"/>
      <c r="UFG51" s="4"/>
      <c r="UFH51" s="4"/>
      <c r="UFI51" s="4"/>
      <c r="UFJ51" s="4"/>
      <c r="UFK51" s="4"/>
      <c r="UFL51" s="4"/>
      <c r="UFM51" s="4"/>
      <c r="UFN51" s="4"/>
      <c r="UFO51" s="4"/>
      <c r="UFP51" s="4"/>
      <c r="UFQ51" s="4"/>
      <c r="UFR51" s="4"/>
      <c r="UFS51" s="4"/>
      <c r="UFT51" s="4"/>
      <c r="UFU51" s="4"/>
      <c r="UFV51" s="4"/>
      <c r="UFW51" s="4"/>
      <c r="UFX51" s="4"/>
      <c r="UFY51" s="4"/>
      <c r="UFZ51" s="4"/>
      <c r="UGA51" s="4"/>
      <c r="UGB51" s="4"/>
      <c r="UGC51" s="4"/>
      <c r="UGD51" s="4"/>
      <c r="UGE51" s="4"/>
      <c r="UGF51" s="4"/>
      <c r="UGG51" s="4"/>
      <c r="UGH51" s="4"/>
      <c r="UGI51" s="4"/>
      <c r="UGJ51" s="4"/>
      <c r="UGK51" s="4"/>
      <c r="UGL51" s="4"/>
      <c r="UGM51" s="4"/>
      <c r="UGN51" s="4"/>
      <c r="UGO51" s="4"/>
      <c r="UGP51" s="4"/>
      <c r="UGQ51" s="4"/>
      <c r="UGR51" s="4"/>
      <c r="UGS51" s="4"/>
      <c r="UGT51" s="4"/>
      <c r="UGU51" s="4"/>
      <c r="UGV51" s="4"/>
      <c r="UGW51" s="4"/>
      <c r="UGX51" s="4"/>
      <c r="UGY51" s="4"/>
      <c r="UGZ51" s="4"/>
      <c r="UHA51" s="4"/>
      <c r="UHB51" s="4"/>
      <c r="UHC51" s="4"/>
      <c r="UHD51" s="4"/>
      <c r="UHE51" s="4"/>
      <c r="UHF51" s="4"/>
      <c r="UHG51" s="4"/>
      <c r="UHH51" s="4"/>
      <c r="UHI51" s="4"/>
      <c r="UHJ51" s="4"/>
      <c r="UHK51" s="4"/>
      <c r="UHL51" s="4"/>
      <c r="UHM51" s="4"/>
      <c r="UHN51" s="4"/>
      <c r="UHO51" s="4"/>
      <c r="UHP51" s="4"/>
      <c r="UHQ51" s="4"/>
      <c r="UHR51" s="4"/>
      <c r="UHS51" s="4"/>
      <c r="UHT51" s="4"/>
      <c r="UHU51" s="4"/>
      <c r="UHV51" s="4"/>
      <c r="UHW51" s="4"/>
      <c r="UHX51" s="4"/>
      <c r="UHY51" s="4"/>
      <c r="UHZ51" s="4"/>
      <c r="UIA51" s="4"/>
      <c r="UIB51" s="4"/>
      <c r="UIC51" s="4"/>
      <c r="UID51" s="4"/>
      <c r="UIE51" s="4"/>
      <c r="UIF51" s="4"/>
      <c r="UIG51" s="4"/>
      <c r="UIH51" s="4"/>
      <c r="UII51" s="4"/>
      <c r="UIJ51" s="4"/>
      <c r="UIK51" s="4"/>
      <c r="UIL51" s="4"/>
      <c r="UIM51" s="4"/>
      <c r="UIN51" s="4"/>
      <c r="UIO51" s="4"/>
      <c r="UIP51" s="4"/>
      <c r="UIQ51" s="4"/>
      <c r="UIR51" s="4"/>
      <c r="UIS51" s="4"/>
      <c r="UIT51" s="4"/>
      <c r="UIU51" s="4"/>
      <c r="UIV51" s="4"/>
      <c r="UIW51" s="4"/>
      <c r="UIX51" s="4"/>
      <c r="UIY51" s="4"/>
      <c r="UIZ51" s="4"/>
      <c r="UJA51" s="4"/>
      <c r="UJB51" s="4"/>
      <c r="UJC51" s="4"/>
      <c r="UJD51" s="4"/>
      <c r="UJE51" s="4"/>
      <c r="UJF51" s="4"/>
      <c r="UJG51" s="4"/>
      <c r="UJH51" s="4"/>
      <c r="UJI51" s="4"/>
      <c r="UJJ51" s="4"/>
      <c r="UJK51" s="4"/>
      <c r="UJL51" s="4"/>
      <c r="UJM51" s="4"/>
      <c r="UJN51" s="4"/>
      <c r="UJO51" s="4"/>
      <c r="UJP51" s="4"/>
      <c r="UJQ51" s="4"/>
      <c r="UJR51" s="4"/>
      <c r="UJS51" s="4"/>
      <c r="UJT51" s="4"/>
      <c r="UJU51" s="4"/>
      <c r="UJV51" s="4"/>
      <c r="UJW51" s="4"/>
      <c r="UJX51" s="4"/>
      <c r="UJY51" s="4"/>
      <c r="UJZ51" s="4"/>
      <c r="UKA51" s="4"/>
      <c r="UKB51" s="4"/>
      <c r="UKC51" s="4"/>
      <c r="UKD51" s="4"/>
      <c r="UKE51" s="4"/>
      <c r="UKF51" s="4"/>
      <c r="UKG51" s="4"/>
      <c r="UKH51" s="4"/>
      <c r="UKI51" s="4"/>
      <c r="UKJ51" s="4"/>
      <c r="UKK51" s="4"/>
      <c r="UKL51" s="4"/>
      <c r="UKM51" s="4"/>
      <c r="UKN51" s="4"/>
      <c r="UKO51" s="4"/>
      <c r="UKP51" s="4"/>
      <c r="UKQ51" s="4"/>
      <c r="UKR51" s="4"/>
      <c r="UKS51" s="4"/>
      <c r="UKT51" s="4"/>
      <c r="UKU51" s="4"/>
      <c r="UKV51" s="4"/>
      <c r="UKW51" s="4"/>
      <c r="UKX51" s="4"/>
      <c r="UKY51" s="4"/>
      <c r="UKZ51" s="4"/>
      <c r="ULA51" s="4"/>
      <c r="ULB51" s="4"/>
      <c r="ULC51" s="4"/>
      <c r="ULD51" s="4"/>
      <c r="ULE51" s="4"/>
      <c r="ULF51" s="4"/>
      <c r="ULG51" s="4"/>
      <c r="ULH51" s="4"/>
      <c r="ULI51" s="4"/>
      <c r="ULJ51" s="4"/>
      <c r="ULK51" s="4"/>
      <c r="ULL51" s="4"/>
      <c r="ULM51" s="4"/>
      <c r="ULN51" s="4"/>
      <c r="ULO51" s="4"/>
      <c r="ULP51" s="4"/>
      <c r="ULQ51" s="4"/>
      <c r="ULR51" s="4"/>
      <c r="ULS51" s="4"/>
      <c r="ULT51" s="4"/>
      <c r="ULU51" s="4"/>
      <c r="ULV51" s="4"/>
      <c r="ULW51" s="4"/>
      <c r="ULX51" s="4"/>
      <c r="ULY51" s="4"/>
      <c r="ULZ51" s="4"/>
      <c r="UMA51" s="4"/>
      <c r="UMB51" s="4"/>
      <c r="UMC51" s="4"/>
      <c r="UMD51" s="4"/>
      <c r="UME51" s="4"/>
      <c r="UMF51" s="4"/>
      <c r="UMG51" s="4"/>
      <c r="UMH51" s="4"/>
      <c r="UMI51" s="4"/>
      <c r="UMJ51" s="4"/>
      <c r="UMK51" s="4"/>
      <c r="UML51" s="4"/>
      <c r="UMM51" s="4"/>
      <c r="UMN51" s="4"/>
      <c r="UMO51" s="4"/>
      <c r="UMP51" s="4"/>
      <c r="UMQ51" s="4"/>
      <c r="UMR51" s="4"/>
      <c r="UMS51" s="4"/>
      <c r="UMT51" s="4"/>
      <c r="UMU51" s="4"/>
      <c r="UMV51" s="4"/>
      <c r="UMW51" s="4"/>
      <c r="UMX51" s="4"/>
      <c r="UMY51" s="4"/>
      <c r="UMZ51" s="4"/>
      <c r="UNA51" s="4"/>
      <c r="UNB51" s="4"/>
      <c r="UNC51" s="4"/>
      <c r="UND51" s="4"/>
      <c r="UNE51" s="4"/>
      <c r="UNF51" s="4"/>
      <c r="UNG51" s="4"/>
      <c r="UNH51" s="4"/>
      <c r="UNI51" s="4"/>
      <c r="UNJ51" s="4"/>
      <c r="UNK51" s="4"/>
      <c r="UNL51" s="4"/>
      <c r="UNM51" s="4"/>
      <c r="UNN51" s="4"/>
      <c r="UNO51" s="4"/>
      <c r="UNP51" s="4"/>
      <c r="UNQ51" s="4"/>
      <c r="UNR51" s="4"/>
      <c r="UNS51" s="4"/>
      <c r="UNT51" s="4"/>
      <c r="UNU51" s="4"/>
      <c r="UNV51" s="4"/>
      <c r="UNW51" s="4"/>
      <c r="UNX51" s="4"/>
      <c r="UNY51" s="4"/>
      <c r="UNZ51" s="4"/>
      <c r="UOA51" s="4"/>
      <c r="UOB51" s="4"/>
      <c r="UOC51" s="4"/>
      <c r="UOD51" s="4"/>
      <c r="UOE51" s="4"/>
      <c r="UOF51" s="4"/>
      <c r="UOG51" s="4"/>
      <c r="UOH51" s="4"/>
      <c r="UOI51" s="4"/>
      <c r="UOJ51" s="4"/>
      <c r="UOK51" s="4"/>
      <c r="UOL51" s="4"/>
      <c r="UOM51" s="4"/>
      <c r="UON51" s="4"/>
      <c r="UOO51" s="4"/>
      <c r="UOP51" s="4"/>
      <c r="UOQ51" s="4"/>
      <c r="UOR51" s="4"/>
      <c r="UOS51" s="4"/>
      <c r="UOT51" s="4"/>
      <c r="UOU51" s="4"/>
      <c r="UOV51" s="4"/>
      <c r="UOW51" s="4"/>
      <c r="UOX51" s="4"/>
      <c r="UOY51" s="4"/>
      <c r="UOZ51" s="4"/>
      <c r="UPA51" s="4"/>
      <c r="UPB51" s="4"/>
      <c r="UPC51" s="4"/>
      <c r="UPD51" s="4"/>
      <c r="UPE51" s="4"/>
      <c r="UPF51" s="4"/>
      <c r="UPG51" s="4"/>
      <c r="UPH51" s="4"/>
      <c r="UPI51" s="4"/>
      <c r="UPJ51" s="4"/>
      <c r="UPK51" s="4"/>
      <c r="UPL51" s="4"/>
      <c r="UPM51" s="4"/>
      <c r="UPN51" s="4"/>
      <c r="UPO51" s="4"/>
      <c r="UPP51" s="4"/>
      <c r="UPQ51" s="4"/>
      <c r="UPR51" s="4"/>
      <c r="UPS51" s="4"/>
      <c r="UPT51" s="4"/>
      <c r="UPU51" s="4"/>
      <c r="UPV51" s="4"/>
      <c r="UPW51" s="4"/>
      <c r="UPX51" s="4"/>
      <c r="UPY51" s="4"/>
      <c r="UPZ51" s="4"/>
      <c r="UQA51" s="4"/>
      <c r="UQB51" s="4"/>
      <c r="UQC51" s="4"/>
      <c r="UQD51" s="4"/>
      <c r="UQE51" s="4"/>
      <c r="UQF51" s="4"/>
      <c r="UQG51" s="4"/>
      <c r="UQH51" s="4"/>
      <c r="UQI51" s="4"/>
      <c r="UQJ51" s="4"/>
      <c r="UQK51" s="4"/>
      <c r="UQL51" s="4"/>
      <c r="UQM51" s="4"/>
      <c r="UQN51" s="4"/>
      <c r="UQO51" s="4"/>
      <c r="UQP51" s="4"/>
      <c r="UQQ51" s="4"/>
      <c r="UQR51" s="4"/>
      <c r="UQS51" s="4"/>
      <c r="UQT51" s="4"/>
      <c r="UQU51" s="4"/>
      <c r="UQV51" s="4"/>
      <c r="UQW51" s="4"/>
      <c r="UQX51" s="4"/>
      <c r="UQY51" s="4"/>
      <c r="UQZ51" s="4"/>
      <c r="URA51" s="4"/>
      <c r="URB51" s="4"/>
      <c r="URC51" s="4"/>
      <c r="URD51" s="4"/>
      <c r="URE51" s="4"/>
      <c r="URF51" s="4"/>
      <c r="URG51" s="4"/>
      <c r="URH51" s="4"/>
      <c r="URI51" s="4"/>
      <c r="URJ51" s="4"/>
      <c r="URK51" s="4"/>
      <c r="URL51" s="4"/>
      <c r="URM51" s="4"/>
      <c r="URN51" s="4"/>
      <c r="URO51" s="4"/>
      <c r="URP51" s="4"/>
      <c r="URQ51" s="4"/>
      <c r="URR51" s="4"/>
      <c r="URS51" s="4"/>
      <c r="URT51" s="4"/>
      <c r="URU51" s="4"/>
      <c r="URV51" s="4"/>
      <c r="URW51" s="4"/>
      <c r="URX51" s="4"/>
      <c r="URY51" s="4"/>
      <c r="URZ51" s="4"/>
      <c r="USA51" s="4"/>
      <c r="USB51" s="4"/>
      <c r="USC51" s="4"/>
      <c r="USD51" s="4"/>
      <c r="USE51" s="4"/>
      <c r="USF51" s="4"/>
      <c r="USG51" s="4"/>
      <c r="USH51" s="4"/>
      <c r="USI51" s="4"/>
      <c r="USJ51" s="4"/>
      <c r="USK51" s="4"/>
      <c r="USL51" s="4"/>
      <c r="USM51" s="4"/>
      <c r="USN51" s="4"/>
      <c r="USO51" s="4"/>
      <c r="USP51" s="4"/>
      <c r="USQ51" s="4"/>
      <c r="USR51" s="4"/>
      <c r="USS51" s="4"/>
      <c r="UST51" s="4"/>
      <c r="USU51" s="4"/>
      <c r="USV51" s="4"/>
      <c r="USW51" s="4"/>
      <c r="USX51" s="4"/>
      <c r="USY51" s="4"/>
      <c r="USZ51" s="4"/>
      <c r="UTA51" s="4"/>
      <c r="UTB51" s="4"/>
      <c r="UTC51" s="4"/>
      <c r="UTD51" s="4"/>
      <c r="UTE51" s="4"/>
      <c r="UTF51" s="4"/>
      <c r="UTG51" s="4"/>
      <c r="UTH51" s="4"/>
      <c r="UTI51" s="4"/>
      <c r="UTJ51" s="4"/>
      <c r="UTK51" s="4"/>
      <c r="UTL51" s="4"/>
      <c r="UTM51" s="4"/>
      <c r="UTN51" s="4"/>
      <c r="UTO51" s="4"/>
      <c r="UTP51" s="4"/>
      <c r="UTQ51" s="4"/>
      <c r="UTR51" s="4"/>
      <c r="UTS51" s="4"/>
      <c r="UTT51" s="4"/>
      <c r="UTU51" s="4"/>
      <c r="UTV51" s="4"/>
      <c r="UTW51" s="4"/>
      <c r="UTX51" s="4"/>
      <c r="UTY51" s="4"/>
      <c r="UTZ51" s="4"/>
      <c r="UUA51" s="4"/>
      <c r="UUB51" s="4"/>
      <c r="UUC51" s="4"/>
      <c r="UUD51" s="4"/>
      <c r="UUE51" s="4"/>
      <c r="UUF51" s="4"/>
      <c r="UUG51" s="4"/>
      <c r="UUH51" s="4"/>
      <c r="UUI51" s="4"/>
      <c r="UUJ51" s="4"/>
      <c r="UUK51" s="4"/>
      <c r="UUL51" s="4"/>
      <c r="UUM51" s="4"/>
      <c r="UUN51" s="4"/>
      <c r="UUO51" s="4"/>
      <c r="UUP51" s="4"/>
      <c r="UUQ51" s="4"/>
      <c r="UUR51" s="4"/>
      <c r="UUS51" s="4"/>
      <c r="UUT51" s="4"/>
      <c r="UUU51" s="4"/>
      <c r="UUV51" s="4"/>
      <c r="UUW51" s="4"/>
      <c r="UUX51" s="4"/>
      <c r="UUY51" s="4"/>
      <c r="UUZ51" s="4"/>
      <c r="UVA51" s="4"/>
      <c r="UVB51" s="4"/>
      <c r="UVC51" s="4"/>
      <c r="UVD51" s="4"/>
      <c r="UVE51" s="4"/>
      <c r="UVF51" s="4"/>
      <c r="UVG51" s="4"/>
      <c r="UVH51" s="4"/>
      <c r="UVI51" s="4"/>
      <c r="UVJ51" s="4"/>
      <c r="UVK51" s="4"/>
      <c r="UVL51" s="4"/>
      <c r="UVM51" s="4"/>
      <c r="UVN51" s="4"/>
      <c r="UVO51" s="4"/>
      <c r="UVP51" s="4"/>
      <c r="UVQ51" s="4"/>
      <c r="UVR51" s="4"/>
      <c r="UVS51" s="4"/>
      <c r="UVT51" s="4"/>
      <c r="UVU51" s="4"/>
      <c r="UVV51" s="4"/>
      <c r="UVW51" s="4"/>
      <c r="UVX51" s="4"/>
      <c r="UVY51" s="4"/>
      <c r="UVZ51" s="4"/>
      <c r="UWA51" s="4"/>
      <c r="UWB51" s="4"/>
      <c r="UWC51" s="4"/>
      <c r="UWD51" s="4"/>
      <c r="UWE51" s="4"/>
      <c r="UWF51" s="4"/>
      <c r="UWG51" s="4"/>
      <c r="UWH51" s="4"/>
      <c r="UWI51" s="4"/>
      <c r="UWJ51" s="4"/>
      <c r="UWK51" s="4"/>
      <c r="UWL51" s="4"/>
      <c r="UWM51" s="4"/>
      <c r="UWN51" s="4"/>
      <c r="UWO51" s="4"/>
      <c r="UWP51" s="4"/>
      <c r="UWQ51" s="4"/>
      <c r="UWR51" s="4"/>
      <c r="UWS51" s="4"/>
      <c r="UWT51" s="4"/>
      <c r="UWU51" s="4"/>
      <c r="UWV51" s="4"/>
      <c r="UWW51" s="4"/>
      <c r="UWX51" s="4"/>
      <c r="UWY51" s="4"/>
      <c r="UWZ51" s="4"/>
      <c r="UXA51" s="4"/>
      <c r="UXB51" s="4"/>
      <c r="UXC51" s="4"/>
      <c r="UXD51" s="4"/>
      <c r="UXE51" s="4"/>
      <c r="UXF51" s="4"/>
      <c r="UXG51" s="4"/>
      <c r="UXH51" s="4"/>
      <c r="UXI51" s="4"/>
      <c r="UXJ51" s="4"/>
      <c r="UXK51" s="4"/>
      <c r="UXL51" s="4"/>
      <c r="UXM51" s="4"/>
      <c r="UXN51" s="4"/>
      <c r="UXO51" s="4"/>
      <c r="UXP51" s="4"/>
      <c r="UXQ51" s="4"/>
      <c r="UXR51" s="4"/>
      <c r="UXS51" s="4"/>
      <c r="UXT51" s="4"/>
      <c r="UXU51" s="4"/>
      <c r="UXV51" s="4"/>
      <c r="UXW51" s="4"/>
      <c r="UXX51" s="4"/>
      <c r="UXY51" s="4"/>
      <c r="UXZ51" s="4"/>
      <c r="UYA51" s="4"/>
      <c r="UYB51" s="4"/>
      <c r="UYC51" s="4"/>
      <c r="UYD51" s="4"/>
      <c r="UYE51" s="4"/>
      <c r="UYF51" s="4"/>
      <c r="UYG51" s="4"/>
      <c r="UYH51" s="4"/>
      <c r="UYI51" s="4"/>
      <c r="UYJ51" s="4"/>
      <c r="UYK51" s="4"/>
      <c r="UYL51" s="4"/>
      <c r="UYM51" s="4"/>
      <c r="UYN51" s="4"/>
      <c r="UYO51" s="4"/>
      <c r="UYP51" s="4"/>
      <c r="UYQ51" s="4"/>
      <c r="UYR51" s="4"/>
      <c r="UYS51" s="4"/>
      <c r="UYT51" s="4"/>
      <c r="UYU51" s="4"/>
      <c r="UYV51" s="4"/>
      <c r="UYW51" s="4"/>
      <c r="UYX51" s="4"/>
      <c r="UYY51" s="4"/>
      <c r="UYZ51" s="4"/>
      <c r="UZA51" s="4"/>
      <c r="UZB51" s="4"/>
      <c r="UZC51" s="4"/>
      <c r="UZD51" s="4"/>
      <c r="UZE51" s="4"/>
      <c r="UZF51" s="4"/>
      <c r="UZG51" s="4"/>
      <c r="UZH51" s="4"/>
      <c r="UZI51" s="4"/>
      <c r="UZJ51" s="4"/>
      <c r="UZK51" s="4"/>
      <c r="UZL51" s="4"/>
      <c r="UZM51" s="4"/>
      <c r="UZN51" s="4"/>
      <c r="UZO51" s="4"/>
      <c r="UZP51" s="4"/>
      <c r="UZQ51" s="4"/>
      <c r="UZR51" s="4"/>
      <c r="UZS51" s="4"/>
      <c r="UZT51" s="4"/>
      <c r="UZU51" s="4"/>
      <c r="UZV51" s="4"/>
      <c r="UZW51" s="4"/>
      <c r="UZX51" s="4"/>
      <c r="UZY51" s="4"/>
      <c r="UZZ51" s="4"/>
      <c r="VAA51" s="4"/>
      <c r="VAB51" s="4"/>
      <c r="VAC51" s="4"/>
      <c r="VAD51" s="4"/>
      <c r="VAE51" s="4"/>
      <c r="VAF51" s="4"/>
      <c r="VAG51" s="4"/>
      <c r="VAH51" s="4"/>
      <c r="VAI51" s="4"/>
      <c r="VAJ51" s="4"/>
      <c r="VAK51" s="4"/>
      <c r="VAL51" s="4"/>
      <c r="VAM51" s="4"/>
      <c r="VAN51" s="4"/>
      <c r="VAO51" s="4"/>
      <c r="VAP51" s="4"/>
      <c r="VAQ51" s="4"/>
      <c r="VAR51" s="4"/>
      <c r="VAS51" s="4"/>
      <c r="VAT51" s="4"/>
      <c r="VAU51" s="4"/>
      <c r="VAV51" s="4"/>
      <c r="VAW51" s="4"/>
      <c r="VAX51" s="4"/>
      <c r="VAY51" s="4"/>
      <c r="VAZ51" s="4"/>
      <c r="VBA51" s="4"/>
      <c r="VBB51" s="4"/>
      <c r="VBC51" s="4"/>
      <c r="VBD51" s="4"/>
      <c r="VBE51" s="4"/>
      <c r="VBF51" s="4"/>
      <c r="VBG51" s="4"/>
      <c r="VBH51" s="4"/>
      <c r="VBI51" s="4"/>
      <c r="VBJ51" s="4"/>
      <c r="VBK51" s="4"/>
      <c r="VBL51" s="4"/>
      <c r="VBM51" s="4"/>
      <c r="VBN51" s="4"/>
      <c r="VBO51" s="4"/>
      <c r="VBP51" s="4"/>
      <c r="VBQ51" s="4"/>
      <c r="VBR51" s="4"/>
      <c r="VBS51" s="4"/>
      <c r="VBT51" s="4"/>
      <c r="VBU51" s="4"/>
      <c r="VBV51" s="4"/>
      <c r="VBW51" s="4"/>
      <c r="VBX51" s="4"/>
      <c r="VBY51" s="4"/>
      <c r="VBZ51" s="4"/>
      <c r="VCA51" s="4"/>
      <c r="VCB51" s="4"/>
      <c r="VCC51" s="4"/>
      <c r="VCD51" s="4"/>
      <c r="VCE51" s="4"/>
      <c r="VCF51" s="4"/>
      <c r="VCG51" s="4"/>
      <c r="VCH51" s="4"/>
      <c r="VCI51" s="4"/>
      <c r="VCJ51" s="4"/>
      <c r="VCK51" s="4"/>
      <c r="VCL51" s="4"/>
      <c r="VCM51" s="4"/>
      <c r="VCN51" s="4"/>
      <c r="VCO51" s="4"/>
      <c r="VCP51" s="4"/>
      <c r="VCQ51" s="4"/>
      <c r="VCR51" s="4"/>
      <c r="VCS51" s="4"/>
      <c r="VCT51" s="4"/>
      <c r="VCU51" s="4"/>
      <c r="VCV51" s="4"/>
      <c r="VCW51" s="4"/>
      <c r="VCX51" s="4"/>
      <c r="VCY51" s="4"/>
      <c r="VCZ51" s="4"/>
      <c r="VDA51" s="4"/>
      <c r="VDB51" s="4"/>
      <c r="VDC51" s="4"/>
      <c r="VDD51" s="4"/>
      <c r="VDE51" s="4"/>
      <c r="VDF51" s="4"/>
      <c r="VDG51" s="4"/>
      <c r="VDH51" s="4"/>
      <c r="VDI51" s="4"/>
      <c r="VDJ51" s="4"/>
      <c r="VDK51" s="4"/>
      <c r="VDL51" s="4"/>
      <c r="VDM51" s="4"/>
      <c r="VDN51" s="4"/>
      <c r="VDO51" s="4"/>
      <c r="VDP51" s="4"/>
      <c r="VDQ51" s="4"/>
      <c r="VDR51" s="4"/>
      <c r="VDS51" s="4"/>
      <c r="VDT51" s="4"/>
      <c r="VDU51" s="4"/>
      <c r="VDV51" s="4"/>
      <c r="VDW51" s="4"/>
      <c r="VDX51" s="4"/>
      <c r="VDY51" s="4"/>
      <c r="VDZ51" s="4"/>
      <c r="VEA51" s="4"/>
      <c r="VEB51" s="4"/>
      <c r="VEC51" s="4"/>
      <c r="VED51" s="4"/>
      <c r="VEE51" s="4"/>
      <c r="VEF51" s="4"/>
      <c r="VEG51" s="4"/>
      <c r="VEH51" s="4"/>
      <c r="VEI51" s="4"/>
      <c r="VEJ51" s="4"/>
      <c r="VEK51" s="4"/>
      <c r="VEL51" s="4"/>
      <c r="VEM51" s="4"/>
      <c r="VEN51" s="4"/>
      <c r="VEO51" s="4"/>
      <c r="VEP51" s="4"/>
      <c r="VEQ51" s="4"/>
      <c r="VER51" s="4"/>
      <c r="VES51" s="4"/>
      <c r="VET51" s="4"/>
      <c r="VEU51" s="4"/>
      <c r="VEV51" s="4"/>
      <c r="VEW51" s="4"/>
      <c r="VEX51" s="4"/>
      <c r="VEY51" s="4"/>
      <c r="VEZ51" s="4"/>
      <c r="VFA51" s="4"/>
      <c r="VFB51" s="4"/>
      <c r="VFC51" s="4"/>
      <c r="VFD51" s="4"/>
      <c r="VFE51" s="4"/>
      <c r="VFF51" s="4"/>
      <c r="VFG51" s="4"/>
      <c r="VFH51" s="4"/>
      <c r="VFI51" s="4"/>
      <c r="VFJ51" s="4"/>
      <c r="VFK51" s="4"/>
      <c r="VFL51" s="4"/>
      <c r="VFM51" s="4"/>
      <c r="VFN51" s="4"/>
      <c r="VFO51" s="4"/>
      <c r="VFP51" s="4"/>
      <c r="VFQ51" s="4"/>
      <c r="VFR51" s="4"/>
      <c r="VFS51" s="4"/>
      <c r="VFT51" s="4"/>
      <c r="VFU51" s="4"/>
      <c r="VFV51" s="4"/>
      <c r="VFW51" s="4"/>
      <c r="VFX51" s="4"/>
      <c r="VFY51" s="4"/>
      <c r="VFZ51" s="4"/>
      <c r="VGA51" s="4"/>
      <c r="VGB51" s="4"/>
      <c r="VGC51" s="4"/>
      <c r="VGD51" s="4"/>
      <c r="VGE51" s="4"/>
      <c r="VGF51" s="4"/>
      <c r="VGG51" s="4"/>
      <c r="VGH51" s="4"/>
      <c r="VGI51" s="4"/>
      <c r="VGJ51" s="4"/>
      <c r="VGK51" s="4"/>
      <c r="VGL51" s="4"/>
      <c r="VGM51" s="4"/>
      <c r="VGN51" s="4"/>
      <c r="VGO51" s="4"/>
      <c r="VGP51" s="4"/>
      <c r="VGQ51" s="4"/>
      <c r="VGR51" s="4"/>
      <c r="VGS51" s="4"/>
      <c r="VGT51" s="4"/>
      <c r="VGU51" s="4"/>
      <c r="VGV51" s="4"/>
      <c r="VGW51" s="4"/>
      <c r="VGX51" s="4"/>
      <c r="VGY51" s="4"/>
      <c r="VGZ51" s="4"/>
      <c r="VHA51" s="4"/>
      <c r="VHB51" s="4"/>
      <c r="VHC51" s="4"/>
      <c r="VHD51" s="4"/>
      <c r="VHE51" s="4"/>
      <c r="VHF51" s="4"/>
      <c r="VHG51" s="4"/>
      <c r="VHH51" s="4"/>
      <c r="VHI51" s="4"/>
      <c r="VHJ51" s="4"/>
      <c r="VHK51" s="4"/>
      <c r="VHL51" s="4"/>
      <c r="VHM51" s="4"/>
      <c r="VHN51" s="4"/>
      <c r="VHO51" s="4"/>
      <c r="VHP51" s="4"/>
      <c r="VHQ51" s="4"/>
      <c r="VHR51" s="4"/>
      <c r="VHS51" s="4"/>
      <c r="VHT51" s="4"/>
      <c r="VHU51" s="4"/>
      <c r="VHV51" s="4"/>
      <c r="VHW51" s="4"/>
      <c r="VHX51" s="4"/>
      <c r="VHY51" s="4"/>
      <c r="VHZ51" s="4"/>
      <c r="VIA51" s="4"/>
      <c r="VIB51" s="4"/>
      <c r="VIC51" s="4"/>
      <c r="VID51" s="4"/>
      <c r="VIE51" s="4"/>
      <c r="VIF51" s="4"/>
      <c r="VIG51" s="4"/>
      <c r="VIH51" s="4"/>
      <c r="VII51" s="4"/>
      <c r="VIJ51" s="4"/>
      <c r="VIK51" s="4"/>
      <c r="VIL51" s="4"/>
      <c r="VIM51" s="4"/>
      <c r="VIN51" s="4"/>
      <c r="VIO51" s="4"/>
      <c r="VIP51" s="4"/>
      <c r="VIQ51" s="4"/>
      <c r="VIR51" s="4"/>
      <c r="VIS51" s="4"/>
      <c r="VIT51" s="4"/>
      <c r="VIU51" s="4"/>
      <c r="VIV51" s="4"/>
      <c r="VIW51" s="4"/>
      <c r="VIX51" s="4"/>
      <c r="VIY51" s="4"/>
      <c r="VIZ51" s="4"/>
      <c r="VJA51" s="4"/>
      <c r="VJB51" s="4"/>
      <c r="VJC51" s="4"/>
      <c r="VJD51" s="4"/>
      <c r="VJE51" s="4"/>
      <c r="VJF51" s="4"/>
      <c r="VJG51" s="4"/>
      <c r="VJH51" s="4"/>
      <c r="VJI51" s="4"/>
      <c r="VJJ51" s="4"/>
      <c r="VJK51" s="4"/>
      <c r="VJL51" s="4"/>
      <c r="VJM51" s="4"/>
      <c r="VJN51" s="4"/>
      <c r="VJO51" s="4"/>
      <c r="VJP51" s="4"/>
      <c r="VJQ51" s="4"/>
      <c r="VJR51" s="4"/>
      <c r="VJS51" s="4"/>
      <c r="VJT51" s="4"/>
      <c r="VJU51" s="4"/>
      <c r="VJV51" s="4"/>
      <c r="VJW51" s="4"/>
      <c r="VJX51" s="4"/>
      <c r="VJY51" s="4"/>
      <c r="VJZ51" s="4"/>
      <c r="VKA51" s="4"/>
      <c r="VKB51" s="4"/>
      <c r="VKC51" s="4"/>
      <c r="VKD51" s="4"/>
      <c r="VKE51" s="4"/>
      <c r="VKF51" s="4"/>
      <c r="VKG51" s="4"/>
      <c r="VKH51" s="4"/>
      <c r="VKI51" s="4"/>
      <c r="VKJ51" s="4"/>
      <c r="VKK51" s="4"/>
      <c r="VKL51" s="4"/>
      <c r="VKM51" s="4"/>
      <c r="VKN51" s="4"/>
      <c r="VKO51" s="4"/>
      <c r="VKP51" s="4"/>
      <c r="VKQ51" s="4"/>
      <c r="VKR51" s="4"/>
      <c r="VKS51" s="4"/>
      <c r="VKT51" s="4"/>
      <c r="VKU51" s="4"/>
      <c r="VKV51" s="4"/>
      <c r="VKW51" s="4"/>
      <c r="VKX51" s="4"/>
      <c r="VKY51" s="4"/>
      <c r="VKZ51" s="4"/>
      <c r="VLA51" s="4"/>
      <c r="VLB51" s="4"/>
      <c r="VLC51" s="4"/>
      <c r="VLD51" s="4"/>
      <c r="VLE51" s="4"/>
      <c r="VLF51" s="4"/>
      <c r="VLG51" s="4"/>
      <c r="VLH51" s="4"/>
      <c r="VLI51" s="4"/>
      <c r="VLJ51" s="4"/>
      <c r="VLK51" s="4"/>
      <c r="VLL51" s="4"/>
      <c r="VLM51" s="4"/>
      <c r="VLN51" s="4"/>
      <c r="VLO51" s="4"/>
      <c r="VLP51" s="4"/>
      <c r="VLQ51" s="4"/>
      <c r="VLR51" s="4"/>
      <c r="VLS51" s="4"/>
      <c r="VLT51" s="4"/>
      <c r="VLU51" s="4"/>
      <c r="VLV51" s="4"/>
      <c r="VLW51" s="4"/>
      <c r="VLX51" s="4"/>
      <c r="VLY51" s="4"/>
      <c r="VLZ51" s="4"/>
      <c r="VMA51" s="4"/>
      <c r="VMB51" s="4"/>
      <c r="VMC51" s="4"/>
      <c r="VMD51" s="4"/>
      <c r="VME51" s="4"/>
      <c r="VMF51" s="4"/>
      <c r="VMG51" s="4"/>
      <c r="VMH51" s="4"/>
      <c r="VMI51" s="4"/>
      <c r="VMJ51" s="4"/>
      <c r="VMK51" s="4"/>
      <c r="VML51" s="4"/>
      <c r="VMM51" s="4"/>
      <c r="VMN51" s="4"/>
      <c r="VMO51" s="4"/>
      <c r="VMP51" s="4"/>
      <c r="VMQ51" s="4"/>
      <c r="VMR51" s="4"/>
      <c r="VMS51" s="4"/>
      <c r="VMT51" s="4"/>
      <c r="VMU51" s="4"/>
      <c r="VMV51" s="4"/>
      <c r="VMW51" s="4"/>
      <c r="VMX51" s="4"/>
      <c r="VMY51" s="4"/>
      <c r="VMZ51" s="4"/>
      <c r="VNA51" s="4"/>
      <c r="VNB51" s="4"/>
      <c r="VNC51" s="4"/>
      <c r="VND51" s="4"/>
      <c r="VNE51" s="4"/>
      <c r="VNF51" s="4"/>
      <c r="VNG51" s="4"/>
      <c r="VNH51" s="4"/>
      <c r="VNI51" s="4"/>
      <c r="VNJ51" s="4"/>
      <c r="VNK51" s="4"/>
      <c r="VNL51" s="4"/>
      <c r="VNM51" s="4"/>
      <c r="VNN51" s="4"/>
      <c r="VNO51" s="4"/>
      <c r="VNP51" s="4"/>
      <c r="VNQ51" s="4"/>
      <c r="VNR51" s="4"/>
      <c r="VNS51" s="4"/>
      <c r="VNT51" s="4"/>
      <c r="VNU51" s="4"/>
      <c r="VNV51" s="4"/>
      <c r="VNW51" s="4"/>
      <c r="VNX51" s="4"/>
      <c r="VNY51" s="4"/>
      <c r="VNZ51" s="4"/>
      <c r="VOA51" s="4"/>
      <c r="VOB51" s="4"/>
      <c r="VOC51" s="4"/>
      <c r="VOD51" s="4"/>
      <c r="VOE51" s="4"/>
      <c r="VOF51" s="4"/>
      <c r="VOG51" s="4"/>
      <c r="VOH51" s="4"/>
      <c r="VOI51" s="4"/>
      <c r="VOJ51" s="4"/>
      <c r="VOK51" s="4"/>
      <c r="VOL51" s="4"/>
      <c r="VOM51" s="4"/>
      <c r="VON51" s="4"/>
      <c r="VOO51" s="4"/>
      <c r="VOP51" s="4"/>
      <c r="VOQ51" s="4"/>
      <c r="VOR51" s="4"/>
      <c r="VOS51" s="4"/>
      <c r="VOT51" s="4"/>
      <c r="VOU51" s="4"/>
      <c r="VOV51" s="4"/>
      <c r="VOW51" s="4"/>
      <c r="VOX51" s="4"/>
      <c r="VOY51" s="4"/>
      <c r="VOZ51" s="4"/>
      <c r="VPA51" s="4"/>
      <c r="VPB51" s="4"/>
      <c r="VPC51" s="4"/>
      <c r="VPD51" s="4"/>
      <c r="VPE51" s="4"/>
      <c r="VPF51" s="4"/>
      <c r="VPG51" s="4"/>
      <c r="VPH51" s="4"/>
      <c r="VPI51" s="4"/>
      <c r="VPJ51" s="4"/>
      <c r="VPK51" s="4"/>
      <c r="VPL51" s="4"/>
      <c r="VPM51" s="4"/>
      <c r="VPN51" s="4"/>
      <c r="VPO51" s="4"/>
      <c r="VPP51" s="4"/>
      <c r="VPQ51" s="4"/>
      <c r="VPR51" s="4"/>
      <c r="VPS51" s="4"/>
      <c r="VPT51" s="4"/>
      <c r="VPU51" s="4"/>
      <c r="VPV51" s="4"/>
      <c r="VPW51" s="4"/>
      <c r="VPX51" s="4"/>
      <c r="VPY51" s="4"/>
      <c r="VPZ51" s="4"/>
      <c r="VQA51" s="4"/>
      <c r="VQB51" s="4"/>
      <c r="VQC51" s="4"/>
      <c r="VQD51" s="4"/>
      <c r="VQE51" s="4"/>
      <c r="VQF51" s="4"/>
      <c r="VQG51" s="4"/>
      <c r="VQH51" s="4"/>
      <c r="VQI51" s="4"/>
      <c r="VQJ51" s="4"/>
      <c r="VQK51" s="4"/>
      <c r="VQL51" s="4"/>
      <c r="VQM51" s="4"/>
      <c r="VQN51" s="4"/>
      <c r="VQO51" s="4"/>
      <c r="VQP51" s="4"/>
      <c r="VQQ51" s="4"/>
      <c r="VQR51" s="4"/>
      <c r="VQS51" s="4"/>
      <c r="VQT51" s="4"/>
      <c r="VQU51" s="4"/>
      <c r="VQV51" s="4"/>
      <c r="VQW51" s="4"/>
      <c r="VQX51" s="4"/>
      <c r="VQY51" s="4"/>
      <c r="VQZ51" s="4"/>
      <c r="VRA51" s="4"/>
      <c r="VRB51" s="4"/>
      <c r="VRC51" s="4"/>
      <c r="VRD51" s="4"/>
      <c r="VRE51" s="4"/>
      <c r="VRF51" s="4"/>
      <c r="VRG51" s="4"/>
      <c r="VRH51" s="4"/>
      <c r="VRI51" s="4"/>
      <c r="VRJ51" s="4"/>
      <c r="VRK51" s="4"/>
      <c r="VRL51" s="4"/>
      <c r="VRM51" s="4"/>
      <c r="VRN51" s="4"/>
      <c r="VRO51" s="4"/>
      <c r="VRP51" s="4"/>
      <c r="VRQ51" s="4"/>
      <c r="VRR51" s="4"/>
      <c r="VRS51" s="4"/>
      <c r="VRT51" s="4"/>
      <c r="VRU51" s="4"/>
      <c r="VRV51" s="4"/>
      <c r="VRW51" s="4"/>
      <c r="VRX51" s="4"/>
      <c r="VRY51" s="4"/>
      <c r="VRZ51" s="4"/>
      <c r="VSA51" s="4"/>
      <c r="VSB51" s="4"/>
      <c r="VSC51" s="4"/>
      <c r="VSD51" s="4"/>
      <c r="VSE51" s="4"/>
      <c r="VSF51" s="4"/>
      <c r="VSG51" s="4"/>
      <c r="VSH51" s="4"/>
      <c r="VSI51" s="4"/>
      <c r="VSJ51" s="4"/>
      <c r="VSK51" s="4"/>
      <c r="VSL51" s="4"/>
      <c r="VSM51" s="4"/>
      <c r="VSN51" s="4"/>
      <c r="VSO51" s="4"/>
      <c r="VSP51" s="4"/>
      <c r="VSQ51" s="4"/>
      <c r="VSR51" s="4"/>
      <c r="VSS51" s="4"/>
      <c r="VST51" s="4"/>
      <c r="VSU51" s="4"/>
      <c r="VSV51" s="4"/>
      <c r="VSW51" s="4"/>
      <c r="VSX51" s="4"/>
      <c r="VSY51" s="4"/>
      <c r="VSZ51" s="4"/>
      <c r="VTA51" s="4"/>
      <c r="VTB51" s="4"/>
      <c r="VTC51" s="4"/>
      <c r="VTD51" s="4"/>
      <c r="VTE51" s="4"/>
      <c r="VTF51" s="4"/>
      <c r="VTG51" s="4"/>
      <c r="VTH51" s="4"/>
      <c r="VTI51" s="4"/>
      <c r="VTJ51" s="4"/>
      <c r="VTK51" s="4"/>
      <c r="VTL51" s="4"/>
      <c r="VTM51" s="4"/>
      <c r="VTN51" s="4"/>
      <c r="VTO51" s="4"/>
      <c r="VTP51" s="4"/>
      <c r="VTQ51" s="4"/>
      <c r="VTR51" s="4"/>
      <c r="VTS51" s="4"/>
      <c r="VTT51" s="4"/>
      <c r="VTU51" s="4"/>
      <c r="VTV51" s="4"/>
      <c r="VTW51" s="4"/>
      <c r="VTX51" s="4"/>
      <c r="VTY51" s="4"/>
      <c r="VTZ51" s="4"/>
      <c r="VUA51" s="4"/>
      <c r="VUB51" s="4"/>
      <c r="VUC51" s="4"/>
      <c r="VUD51" s="4"/>
      <c r="VUE51" s="4"/>
      <c r="VUF51" s="4"/>
      <c r="VUG51" s="4"/>
      <c r="VUH51" s="4"/>
      <c r="VUI51" s="4"/>
      <c r="VUJ51" s="4"/>
      <c r="VUK51" s="4"/>
      <c r="VUL51" s="4"/>
      <c r="VUM51" s="4"/>
      <c r="VUN51" s="4"/>
      <c r="VUO51" s="4"/>
      <c r="VUP51" s="4"/>
      <c r="VUQ51" s="4"/>
      <c r="VUR51" s="4"/>
      <c r="VUS51" s="4"/>
      <c r="VUT51" s="4"/>
      <c r="VUU51" s="4"/>
      <c r="VUV51" s="4"/>
      <c r="VUW51" s="4"/>
      <c r="VUX51" s="4"/>
      <c r="VUY51" s="4"/>
      <c r="VUZ51" s="4"/>
      <c r="VVA51" s="4"/>
      <c r="VVB51" s="4"/>
      <c r="VVC51" s="4"/>
      <c r="VVD51" s="4"/>
      <c r="VVE51" s="4"/>
      <c r="VVF51" s="4"/>
      <c r="VVG51" s="4"/>
      <c r="VVH51" s="4"/>
      <c r="VVI51" s="4"/>
      <c r="VVJ51" s="4"/>
      <c r="VVK51" s="4"/>
      <c r="VVL51" s="4"/>
      <c r="VVM51" s="4"/>
      <c r="VVN51" s="4"/>
      <c r="VVO51" s="4"/>
      <c r="VVP51" s="4"/>
      <c r="VVQ51" s="4"/>
      <c r="VVR51" s="4"/>
      <c r="VVS51" s="4"/>
      <c r="VVT51" s="4"/>
      <c r="VVU51" s="4"/>
      <c r="VVV51" s="4"/>
      <c r="VVW51" s="4"/>
      <c r="VVX51" s="4"/>
      <c r="VVY51" s="4"/>
      <c r="VVZ51" s="4"/>
      <c r="VWA51" s="4"/>
      <c r="VWB51" s="4"/>
      <c r="VWC51" s="4"/>
      <c r="VWD51" s="4"/>
      <c r="VWE51" s="4"/>
      <c r="VWF51" s="4"/>
      <c r="VWG51" s="4"/>
      <c r="VWH51" s="4"/>
      <c r="VWI51" s="4"/>
      <c r="VWJ51" s="4"/>
      <c r="VWK51" s="4"/>
      <c r="VWL51" s="4"/>
      <c r="VWM51" s="4"/>
      <c r="VWN51" s="4"/>
      <c r="VWO51" s="4"/>
      <c r="VWP51" s="4"/>
      <c r="VWQ51" s="4"/>
      <c r="VWR51" s="4"/>
      <c r="VWS51" s="4"/>
      <c r="VWT51" s="4"/>
      <c r="VWU51" s="4"/>
      <c r="VWV51" s="4"/>
      <c r="VWW51" s="4"/>
      <c r="VWX51" s="4"/>
      <c r="VWY51" s="4"/>
      <c r="VWZ51" s="4"/>
      <c r="VXA51" s="4"/>
      <c r="VXB51" s="4"/>
      <c r="VXC51" s="4"/>
      <c r="VXD51" s="4"/>
      <c r="VXE51" s="4"/>
      <c r="VXF51" s="4"/>
      <c r="VXG51" s="4"/>
      <c r="VXH51" s="4"/>
      <c r="VXI51" s="4"/>
      <c r="VXJ51" s="4"/>
      <c r="VXK51" s="4"/>
      <c r="VXL51" s="4"/>
      <c r="VXM51" s="4"/>
      <c r="VXN51" s="4"/>
      <c r="VXO51" s="4"/>
      <c r="VXP51" s="4"/>
      <c r="VXQ51" s="4"/>
      <c r="VXR51" s="4"/>
      <c r="VXS51" s="4"/>
      <c r="VXT51" s="4"/>
      <c r="VXU51" s="4"/>
      <c r="VXV51" s="4"/>
      <c r="VXW51" s="4"/>
      <c r="VXX51" s="4"/>
      <c r="VXY51" s="4"/>
      <c r="VXZ51" s="4"/>
      <c r="VYA51" s="4"/>
      <c r="VYB51" s="4"/>
      <c r="VYC51" s="4"/>
      <c r="VYD51" s="4"/>
      <c r="VYE51" s="4"/>
      <c r="VYF51" s="4"/>
      <c r="VYG51" s="4"/>
      <c r="VYH51" s="4"/>
      <c r="VYI51" s="4"/>
      <c r="VYJ51" s="4"/>
      <c r="VYK51" s="4"/>
      <c r="VYL51" s="4"/>
      <c r="VYM51" s="4"/>
      <c r="VYN51" s="4"/>
      <c r="VYO51" s="4"/>
      <c r="VYP51" s="4"/>
      <c r="VYQ51" s="4"/>
      <c r="VYR51" s="4"/>
      <c r="VYS51" s="4"/>
      <c r="VYT51" s="4"/>
      <c r="VYU51" s="4"/>
      <c r="VYV51" s="4"/>
      <c r="VYW51" s="4"/>
      <c r="VYX51" s="4"/>
      <c r="VYY51" s="4"/>
      <c r="VYZ51" s="4"/>
      <c r="VZA51" s="4"/>
      <c r="VZB51" s="4"/>
      <c r="VZC51" s="4"/>
      <c r="VZD51" s="4"/>
      <c r="VZE51" s="4"/>
      <c r="VZF51" s="4"/>
      <c r="VZG51" s="4"/>
      <c r="VZH51" s="4"/>
      <c r="VZI51" s="4"/>
      <c r="VZJ51" s="4"/>
      <c r="VZK51" s="4"/>
      <c r="VZL51" s="4"/>
      <c r="VZM51" s="4"/>
      <c r="VZN51" s="4"/>
      <c r="VZO51" s="4"/>
      <c r="VZP51" s="4"/>
      <c r="VZQ51" s="4"/>
      <c r="VZR51" s="4"/>
      <c r="VZS51" s="4"/>
      <c r="VZT51" s="4"/>
      <c r="VZU51" s="4"/>
      <c r="VZV51" s="4"/>
      <c r="VZW51" s="4"/>
      <c r="VZX51" s="4"/>
      <c r="VZY51" s="4"/>
      <c r="VZZ51" s="4"/>
      <c r="WAA51" s="4"/>
      <c r="WAB51" s="4"/>
      <c r="WAC51" s="4"/>
      <c r="WAD51" s="4"/>
      <c r="WAE51" s="4"/>
      <c r="WAF51" s="4"/>
      <c r="WAG51" s="4"/>
      <c r="WAH51" s="4"/>
      <c r="WAI51" s="4"/>
      <c r="WAJ51" s="4"/>
      <c r="WAK51" s="4"/>
      <c r="WAL51" s="4"/>
      <c r="WAM51" s="4"/>
      <c r="WAN51" s="4"/>
      <c r="WAO51" s="4"/>
      <c r="WAP51" s="4"/>
      <c r="WAQ51" s="4"/>
      <c r="WAR51" s="4"/>
      <c r="WAS51" s="4"/>
      <c r="WAT51" s="4"/>
      <c r="WAU51" s="4"/>
      <c r="WAV51" s="4"/>
      <c r="WAW51" s="4"/>
      <c r="WAX51" s="4"/>
      <c r="WAY51" s="4"/>
      <c r="WAZ51" s="4"/>
      <c r="WBA51" s="4"/>
      <c r="WBB51" s="4"/>
      <c r="WBC51" s="4"/>
      <c r="WBD51" s="4"/>
      <c r="WBE51" s="4"/>
      <c r="WBF51" s="4"/>
      <c r="WBG51" s="4"/>
      <c r="WBH51" s="4"/>
      <c r="WBI51" s="4"/>
      <c r="WBJ51" s="4"/>
      <c r="WBK51" s="4"/>
      <c r="WBL51" s="4"/>
      <c r="WBM51" s="4"/>
      <c r="WBN51" s="4"/>
      <c r="WBO51" s="4"/>
      <c r="WBP51" s="4"/>
      <c r="WBQ51" s="4"/>
      <c r="WBR51" s="4"/>
      <c r="WBS51" s="4"/>
      <c r="WBT51" s="4"/>
      <c r="WBU51" s="4"/>
      <c r="WBV51" s="4"/>
      <c r="WBW51" s="4"/>
      <c r="WBX51" s="4"/>
      <c r="WBY51" s="4"/>
      <c r="WBZ51" s="4"/>
      <c r="WCA51" s="4"/>
      <c r="WCB51" s="4"/>
      <c r="WCC51" s="4"/>
      <c r="WCD51" s="4"/>
      <c r="WCE51" s="4"/>
      <c r="WCF51" s="4"/>
      <c r="WCG51" s="4"/>
      <c r="WCH51" s="4"/>
      <c r="WCI51" s="4"/>
      <c r="WCJ51" s="4"/>
      <c r="WCK51" s="4"/>
      <c r="WCL51" s="4"/>
      <c r="WCM51" s="4"/>
      <c r="WCN51" s="4"/>
      <c r="WCO51" s="4"/>
      <c r="WCP51" s="4"/>
      <c r="WCQ51" s="4"/>
      <c r="WCR51" s="4"/>
      <c r="WCS51" s="4"/>
      <c r="WCT51" s="4"/>
      <c r="WCU51" s="4"/>
      <c r="WCV51" s="4"/>
      <c r="WCW51" s="4"/>
      <c r="WCX51" s="4"/>
      <c r="WCY51" s="4"/>
      <c r="WCZ51" s="4"/>
      <c r="WDA51" s="4"/>
      <c r="WDB51" s="4"/>
      <c r="WDC51" s="4"/>
      <c r="WDD51" s="4"/>
      <c r="WDE51" s="4"/>
      <c r="WDF51" s="4"/>
      <c r="WDG51" s="4"/>
      <c r="WDH51" s="4"/>
      <c r="WDI51" s="4"/>
      <c r="WDJ51" s="4"/>
      <c r="WDK51" s="4"/>
      <c r="WDL51" s="4"/>
      <c r="WDM51" s="4"/>
      <c r="WDN51" s="4"/>
      <c r="WDO51" s="4"/>
      <c r="WDP51" s="4"/>
      <c r="WDQ51" s="4"/>
      <c r="WDR51" s="4"/>
      <c r="WDS51" s="4"/>
      <c r="WDT51" s="4"/>
      <c r="WDU51" s="4"/>
      <c r="WDV51" s="4"/>
      <c r="WDW51" s="4"/>
      <c r="WDX51" s="4"/>
      <c r="WDY51" s="4"/>
      <c r="WDZ51" s="4"/>
      <c r="WEA51" s="4"/>
      <c r="WEB51" s="4"/>
      <c r="WEC51" s="4"/>
      <c r="WED51" s="4"/>
      <c r="WEE51" s="4"/>
      <c r="WEF51" s="4"/>
      <c r="WEG51" s="4"/>
      <c r="WEH51" s="4"/>
      <c r="WEI51" s="4"/>
      <c r="WEJ51" s="4"/>
      <c r="WEK51" s="4"/>
      <c r="WEL51" s="4"/>
      <c r="WEM51" s="4"/>
      <c r="WEN51" s="4"/>
      <c r="WEO51" s="4"/>
      <c r="WEP51" s="4"/>
      <c r="WEQ51" s="4"/>
      <c r="WER51" s="4"/>
      <c r="WES51" s="4"/>
      <c r="WET51" s="4"/>
      <c r="WEU51" s="4"/>
      <c r="WEV51" s="4"/>
      <c r="WEW51" s="4"/>
      <c r="WEX51" s="4"/>
      <c r="WEY51" s="4"/>
      <c r="WEZ51" s="4"/>
      <c r="WFA51" s="4"/>
      <c r="WFB51" s="4"/>
      <c r="WFC51" s="4"/>
      <c r="WFD51" s="4"/>
      <c r="WFE51" s="4"/>
      <c r="WFF51" s="4"/>
      <c r="WFG51" s="4"/>
      <c r="WFH51" s="4"/>
      <c r="WFI51" s="4"/>
      <c r="WFJ51" s="4"/>
      <c r="WFK51" s="4"/>
      <c r="WFL51" s="4"/>
      <c r="WFM51" s="4"/>
      <c r="WFN51" s="4"/>
      <c r="WFO51" s="4"/>
      <c r="WFP51" s="4"/>
      <c r="WFQ51" s="4"/>
      <c r="WFR51" s="4"/>
      <c r="WFS51" s="4"/>
      <c r="WFT51" s="4"/>
      <c r="WFU51" s="4"/>
      <c r="WFV51" s="4"/>
      <c r="WFW51" s="4"/>
      <c r="WFX51" s="4"/>
      <c r="WFY51" s="4"/>
      <c r="WFZ51" s="4"/>
      <c r="WGA51" s="4"/>
      <c r="WGB51" s="4"/>
      <c r="WGC51" s="4"/>
      <c r="WGD51" s="4"/>
      <c r="WGE51" s="4"/>
      <c r="WGF51" s="4"/>
      <c r="WGG51" s="4"/>
      <c r="WGH51" s="4"/>
      <c r="WGI51" s="4"/>
      <c r="WGJ51" s="4"/>
      <c r="WGK51" s="4"/>
      <c r="WGL51" s="4"/>
      <c r="WGM51" s="4"/>
      <c r="WGN51" s="4"/>
      <c r="WGO51" s="4"/>
      <c r="WGP51" s="4"/>
      <c r="WGQ51" s="4"/>
      <c r="WGR51" s="4"/>
      <c r="WGS51" s="4"/>
      <c r="WGT51" s="4"/>
      <c r="WGU51" s="4"/>
      <c r="WGV51" s="4"/>
      <c r="WGW51" s="4"/>
      <c r="WGX51" s="4"/>
      <c r="WGY51" s="4"/>
      <c r="WGZ51" s="4"/>
      <c r="WHA51" s="4"/>
      <c r="WHB51" s="4"/>
      <c r="WHC51" s="4"/>
      <c r="WHD51" s="4"/>
      <c r="WHE51" s="4"/>
      <c r="WHF51" s="4"/>
      <c r="WHG51" s="4"/>
      <c r="WHH51" s="4"/>
      <c r="WHI51" s="4"/>
      <c r="WHJ51" s="4"/>
      <c r="WHK51" s="4"/>
      <c r="WHL51" s="4"/>
      <c r="WHM51" s="4"/>
      <c r="WHN51" s="4"/>
      <c r="WHO51" s="4"/>
      <c r="WHP51" s="4"/>
      <c r="WHQ51" s="4"/>
      <c r="WHR51" s="4"/>
      <c r="WHS51" s="4"/>
      <c r="WHT51" s="4"/>
      <c r="WHU51" s="4"/>
      <c r="WHV51" s="4"/>
      <c r="WHW51" s="4"/>
      <c r="WHX51" s="4"/>
      <c r="WHY51" s="4"/>
      <c r="WHZ51" s="4"/>
      <c r="WIA51" s="4"/>
      <c r="WIB51" s="4"/>
      <c r="WIC51" s="4"/>
      <c r="WID51" s="4"/>
      <c r="WIE51" s="4"/>
      <c r="WIF51" s="4"/>
      <c r="WIG51" s="4"/>
      <c r="WIH51" s="4"/>
      <c r="WII51" s="4"/>
      <c r="WIJ51" s="4"/>
      <c r="WIK51" s="4"/>
      <c r="WIL51" s="4"/>
      <c r="WIM51" s="4"/>
      <c r="WIN51" s="4"/>
      <c r="WIO51" s="4"/>
      <c r="WIP51" s="4"/>
      <c r="WIQ51" s="4"/>
      <c r="WIR51" s="4"/>
      <c r="WIS51" s="4"/>
      <c r="WIT51" s="4"/>
      <c r="WIU51" s="4"/>
      <c r="WIV51" s="4"/>
      <c r="WIW51" s="4"/>
      <c r="WIX51" s="4"/>
      <c r="WIY51" s="4"/>
      <c r="WIZ51" s="4"/>
      <c r="WJA51" s="4"/>
      <c r="WJB51" s="4"/>
      <c r="WJC51" s="4"/>
      <c r="WJD51" s="4"/>
      <c r="WJE51" s="4"/>
      <c r="WJF51" s="4"/>
      <c r="WJG51" s="4"/>
      <c r="WJH51" s="4"/>
      <c r="WJI51" s="4"/>
      <c r="WJJ51" s="4"/>
      <c r="WJK51" s="4"/>
      <c r="WJL51" s="4"/>
      <c r="WJM51" s="4"/>
      <c r="WJN51" s="4"/>
      <c r="WJO51" s="4"/>
      <c r="WJP51" s="4"/>
      <c r="WJQ51" s="4"/>
      <c r="WJR51" s="4"/>
      <c r="WJS51" s="4"/>
      <c r="WJT51" s="4"/>
      <c r="WJU51" s="4"/>
      <c r="WJV51" s="4"/>
      <c r="WJW51" s="4"/>
      <c r="WJX51" s="4"/>
      <c r="WJY51" s="4"/>
      <c r="WJZ51" s="4"/>
      <c r="WKA51" s="4"/>
      <c r="WKB51" s="4"/>
      <c r="WKC51" s="4"/>
      <c r="WKD51" s="4"/>
      <c r="WKE51" s="4"/>
      <c r="WKF51" s="4"/>
      <c r="WKG51" s="4"/>
      <c r="WKH51" s="4"/>
      <c r="WKI51" s="4"/>
      <c r="WKJ51" s="4"/>
      <c r="WKK51" s="4"/>
      <c r="WKL51" s="4"/>
      <c r="WKM51" s="4"/>
      <c r="WKN51" s="4"/>
      <c r="WKO51" s="4"/>
      <c r="WKP51" s="4"/>
      <c r="WKQ51" s="4"/>
      <c r="WKR51" s="4"/>
      <c r="WKS51" s="4"/>
      <c r="WKT51" s="4"/>
      <c r="WKU51" s="4"/>
      <c r="WKV51" s="4"/>
      <c r="WKW51" s="4"/>
      <c r="WKX51" s="4"/>
      <c r="WKY51" s="4"/>
      <c r="WKZ51" s="4"/>
      <c r="WLA51" s="4"/>
      <c r="WLB51" s="4"/>
      <c r="WLC51" s="4"/>
      <c r="WLD51" s="4"/>
      <c r="WLE51" s="4"/>
      <c r="WLF51" s="4"/>
      <c r="WLG51" s="4"/>
      <c r="WLH51" s="4"/>
      <c r="WLI51" s="4"/>
      <c r="WLJ51" s="4"/>
      <c r="WLK51" s="4"/>
      <c r="WLL51" s="4"/>
      <c r="WLM51" s="4"/>
      <c r="WLN51" s="4"/>
      <c r="WLO51" s="4"/>
      <c r="WLP51" s="4"/>
      <c r="WLQ51" s="4"/>
      <c r="WLR51" s="4"/>
      <c r="WLS51" s="4"/>
      <c r="WLT51" s="4"/>
      <c r="WLU51" s="4"/>
      <c r="WLV51" s="4"/>
      <c r="WLW51" s="4"/>
      <c r="WLX51" s="4"/>
      <c r="WLY51" s="4"/>
      <c r="WLZ51" s="4"/>
      <c r="WMA51" s="4"/>
      <c r="WMB51" s="4"/>
      <c r="WMC51" s="4"/>
      <c r="WMD51" s="4"/>
      <c r="WME51" s="4"/>
      <c r="WMF51" s="4"/>
      <c r="WMG51" s="4"/>
      <c r="WMH51" s="4"/>
      <c r="WMI51" s="4"/>
      <c r="WMJ51" s="4"/>
      <c r="WMK51" s="4"/>
      <c r="WML51" s="4"/>
      <c r="WMM51" s="4"/>
      <c r="WMN51" s="4"/>
      <c r="WMO51" s="4"/>
      <c r="WMP51" s="4"/>
      <c r="WMQ51" s="4"/>
      <c r="WMR51" s="4"/>
      <c r="WMS51" s="4"/>
      <c r="WMT51" s="4"/>
      <c r="WMU51" s="4"/>
      <c r="WMV51" s="4"/>
      <c r="WMW51" s="4"/>
      <c r="WMX51" s="4"/>
      <c r="WMY51" s="4"/>
      <c r="WMZ51" s="4"/>
      <c r="WNA51" s="4"/>
      <c r="WNB51" s="4"/>
      <c r="WNC51" s="4"/>
      <c r="WND51" s="4"/>
      <c r="WNE51" s="4"/>
      <c r="WNF51" s="4"/>
      <c r="WNG51" s="4"/>
      <c r="WNH51" s="4"/>
      <c r="WNI51" s="4"/>
      <c r="WNJ51" s="4"/>
      <c r="WNK51" s="4"/>
      <c r="WNL51" s="4"/>
      <c r="WNM51" s="4"/>
      <c r="WNN51" s="4"/>
      <c r="WNO51" s="4"/>
      <c r="WNP51" s="4"/>
      <c r="WNQ51" s="4"/>
      <c r="WNR51" s="4"/>
      <c r="WNS51" s="4"/>
      <c r="WNT51" s="4"/>
      <c r="WNU51" s="4"/>
      <c r="WNV51" s="4"/>
      <c r="WNW51" s="4"/>
      <c r="WNX51" s="4"/>
      <c r="WNY51" s="4"/>
      <c r="WNZ51" s="4"/>
      <c r="WOA51" s="4"/>
      <c r="WOB51" s="4"/>
      <c r="WOC51" s="4"/>
      <c r="WOD51" s="4"/>
      <c r="WOE51" s="4"/>
      <c r="WOF51" s="4"/>
      <c r="WOG51" s="4"/>
      <c r="WOH51" s="4"/>
      <c r="WOI51" s="4"/>
      <c r="WOJ51" s="4"/>
      <c r="WOK51" s="4"/>
      <c r="WOL51" s="4"/>
      <c r="WOM51" s="4"/>
      <c r="WON51" s="4"/>
      <c r="WOO51" s="4"/>
      <c r="WOP51" s="4"/>
      <c r="WOQ51" s="4"/>
      <c r="WOR51" s="4"/>
      <c r="WOS51" s="4"/>
      <c r="WOT51" s="4"/>
      <c r="WOU51" s="4"/>
      <c r="WOV51" s="4"/>
      <c r="WOW51" s="4"/>
      <c r="WOX51" s="4"/>
      <c r="WOY51" s="4"/>
      <c r="WOZ51" s="4"/>
      <c r="WPA51" s="4"/>
      <c r="WPB51" s="4"/>
      <c r="WPC51" s="4"/>
      <c r="WPD51" s="4"/>
      <c r="WPE51" s="4"/>
      <c r="WPF51" s="4"/>
      <c r="WPG51" s="4"/>
      <c r="WPH51" s="4"/>
      <c r="WPI51" s="4"/>
      <c r="WPJ51" s="4"/>
      <c r="WPK51" s="4"/>
      <c r="WPL51" s="4"/>
      <c r="WPM51" s="4"/>
      <c r="WPN51" s="4"/>
      <c r="WPO51" s="4"/>
      <c r="WPP51" s="4"/>
      <c r="WPQ51" s="4"/>
      <c r="WPR51" s="4"/>
      <c r="WPS51" s="4"/>
      <c r="WPT51" s="4"/>
      <c r="WPU51" s="4"/>
      <c r="WPV51" s="4"/>
      <c r="WPW51" s="4"/>
      <c r="WPX51" s="4"/>
      <c r="WPY51" s="4"/>
      <c r="WPZ51" s="4"/>
      <c r="WQA51" s="4"/>
      <c r="WQB51" s="4"/>
      <c r="WQC51" s="4"/>
      <c r="WQD51" s="4"/>
      <c r="WQE51" s="4"/>
      <c r="WQF51" s="4"/>
      <c r="WQG51" s="4"/>
      <c r="WQH51" s="4"/>
      <c r="WQI51" s="4"/>
      <c r="WQJ51" s="4"/>
      <c r="WQK51" s="4"/>
      <c r="WQL51" s="4"/>
      <c r="WQM51" s="4"/>
      <c r="WQN51" s="4"/>
      <c r="WQO51" s="4"/>
      <c r="WQP51" s="4"/>
      <c r="WQQ51" s="4"/>
      <c r="WQR51" s="4"/>
      <c r="WQS51" s="4"/>
      <c r="WQT51" s="4"/>
      <c r="WQU51" s="4"/>
      <c r="WQV51" s="4"/>
      <c r="WQW51" s="4"/>
      <c r="WQX51" s="4"/>
      <c r="WQY51" s="4"/>
      <c r="WQZ51" s="4"/>
      <c r="WRA51" s="4"/>
      <c r="WRB51" s="4"/>
      <c r="WRC51" s="4"/>
      <c r="WRD51" s="4"/>
      <c r="WRE51" s="4"/>
      <c r="WRF51" s="4"/>
      <c r="WRG51" s="4"/>
      <c r="WRH51" s="4"/>
      <c r="WRI51" s="4"/>
      <c r="WRJ51" s="4"/>
      <c r="WRK51" s="4"/>
      <c r="WRL51" s="4"/>
      <c r="WRM51" s="4"/>
      <c r="WRN51" s="4"/>
      <c r="WRO51" s="4"/>
      <c r="WRP51" s="4"/>
      <c r="WRQ51" s="4"/>
      <c r="WRR51" s="4"/>
      <c r="WRS51" s="4"/>
      <c r="WRT51" s="4"/>
      <c r="WRU51" s="4"/>
      <c r="WRV51" s="4"/>
      <c r="WRW51" s="4"/>
      <c r="WRX51" s="4"/>
      <c r="WRY51" s="4"/>
      <c r="WRZ51" s="4"/>
      <c r="WSA51" s="4"/>
      <c r="WSB51" s="4"/>
      <c r="WSC51" s="4"/>
      <c r="WSD51" s="4"/>
      <c r="WSE51" s="4"/>
      <c r="WSF51" s="4"/>
      <c r="WSG51" s="4"/>
      <c r="WSH51" s="4"/>
      <c r="WSI51" s="4"/>
      <c r="WSJ51" s="4"/>
      <c r="WSK51" s="4"/>
      <c r="WSL51" s="4"/>
      <c r="WSM51" s="4"/>
      <c r="WSN51" s="4"/>
      <c r="WSO51" s="4"/>
      <c r="WSP51" s="4"/>
      <c r="WSQ51" s="4"/>
      <c r="WSR51" s="4"/>
      <c r="WSS51" s="4"/>
      <c r="WST51" s="4"/>
      <c r="WSU51" s="4"/>
      <c r="WSV51" s="4"/>
      <c r="WSW51" s="4"/>
      <c r="WSX51" s="4"/>
      <c r="WSY51" s="4"/>
      <c r="WSZ51" s="4"/>
      <c r="WTA51" s="4"/>
      <c r="WTB51" s="4"/>
      <c r="WTC51" s="4"/>
      <c r="WTD51" s="4"/>
      <c r="WTE51" s="4"/>
      <c r="WTF51" s="4"/>
      <c r="WTG51" s="4"/>
      <c r="WTH51" s="4"/>
      <c r="WTI51" s="4"/>
      <c r="WTJ51" s="4"/>
      <c r="WTK51" s="4"/>
      <c r="WTL51" s="4"/>
      <c r="WTM51" s="4"/>
      <c r="WTN51" s="4"/>
      <c r="WTO51" s="4"/>
      <c r="WTP51" s="4"/>
      <c r="WTQ51" s="4"/>
      <c r="WTR51" s="4"/>
      <c r="WTS51" s="4"/>
      <c r="WTT51" s="4"/>
      <c r="WTU51" s="4"/>
      <c r="WTV51" s="4"/>
      <c r="WTW51" s="4"/>
      <c r="WTX51" s="4"/>
      <c r="WTY51" s="4"/>
      <c r="WTZ51" s="4"/>
      <c r="WUA51" s="4"/>
      <c r="WUB51" s="4"/>
      <c r="WUC51" s="4"/>
      <c r="WUD51" s="4"/>
      <c r="WUE51" s="4"/>
      <c r="WUF51" s="4"/>
      <c r="WUG51" s="4"/>
      <c r="WUH51" s="4"/>
      <c r="WUI51" s="4"/>
      <c r="WUJ51" s="4"/>
      <c r="WUK51" s="4"/>
      <c r="WUL51" s="4"/>
      <c r="WUM51" s="4"/>
      <c r="WUN51" s="4"/>
      <c r="WUO51" s="4"/>
      <c r="WUP51" s="4"/>
      <c r="WUQ51" s="4"/>
      <c r="WUR51" s="4"/>
      <c r="WUS51" s="4"/>
      <c r="WUT51" s="4"/>
      <c r="WUU51" s="4"/>
      <c r="WUV51" s="4"/>
      <c r="WUW51" s="4"/>
      <c r="WUX51" s="4"/>
      <c r="WUY51" s="4"/>
      <c r="WUZ51" s="4"/>
      <c r="WVA51" s="4"/>
      <c r="WVB51" s="4"/>
      <c r="WVC51" s="4"/>
      <c r="WVD51" s="4"/>
      <c r="WVE51" s="4"/>
      <c r="WVF51" s="4"/>
      <c r="WVG51" s="4"/>
      <c r="WVH51" s="4"/>
      <c r="WVI51" s="4"/>
      <c r="WVJ51" s="4"/>
      <c r="WVK51" s="4"/>
      <c r="WVL51" s="4"/>
      <c r="WVM51" s="4"/>
      <c r="WVN51" s="4"/>
      <c r="WVO51" s="4"/>
      <c r="WVP51" s="4"/>
      <c r="WVQ51" s="4"/>
      <c r="WVR51" s="4"/>
      <c r="WVS51" s="4"/>
      <c r="WVT51" s="4"/>
      <c r="WVU51" s="4"/>
      <c r="WVV51" s="4"/>
      <c r="WVW51" s="4"/>
      <c r="WVX51" s="4"/>
      <c r="WVY51" s="4"/>
      <c r="WVZ51" s="4"/>
      <c r="WWA51" s="4"/>
      <c r="WWB51" s="4"/>
      <c r="WWC51" s="4"/>
      <c r="WWD51" s="4"/>
      <c r="WWE51" s="4"/>
      <c r="WWF51" s="4"/>
      <c r="WWG51" s="4"/>
      <c r="WWH51" s="4"/>
      <c r="WWI51" s="4"/>
      <c r="WWJ51" s="4"/>
      <c r="WWK51" s="4"/>
      <c r="WWL51" s="4"/>
      <c r="WWM51" s="4"/>
      <c r="WWN51" s="4"/>
      <c r="WWO51" s="4"/>
      <c r="WWP51" s="4"/>
      <c r="WWQ51" s="4"/>
      <c r="WWR51" s="4"/>
      <c r="WWS51" s="4"/>
      <c r="WWT51" s="4"/>
      <c r="WWU51" s="4"/>
      <c r="WWV51" s="4"/>
      <c r="WWW51" s="4"/>
      <c r="WWX51" s="4"/>
      <c r="WWY51" s="4"/>
      <c r="WWZ51" s="4"/>
      <c r="WXA51" s="4"/>
      <c r="WXB51" s="4"/>
      <c r="WXC51" s="4"/>
      <c r="WXD51" s="4"/>
      <c r="WXE51" s="4"/>
      <c r="WXF51" s="4"/>
      <c r="WXG51" s="4"/>
      <c r="WXH51" s="4"/>
      <c r="WXI51" s="4"/>
      <c r="WXJ51" s="4"/>
      <c r="WXK51" s="4"/>
      <c r="WXL51" s="4"/>
      <c r="WXM51" s="4"/>
      <c r="WXN51" s="4"/>
      <c r="WXO51" s="4"/>
      <c r="WXP51" s="4"/>
      <c r="WXQ51" s="4"/>
      <c r="WXR51" s="4"/>
      <c r="WXS51" s="4"/>
      <c r="WXT51" s="4"/>
      <c r="WXU51" s="4"/>
      <c r="WXV51" s="4"/>
      <c r="WXW51" s="4"/>
      <c r="WXX51" s="4"/>
      <c r="WXY51" s="4"/>
      <c r="WXZ51" s="4"/>
      <c r="WYA51" s="4"/>
      <c r="WYB51" s="4"/>
      <c r="WYC51" s="4"/>
      <c r="WYD51" s="4"/>
      <c r="WYE51" s="4"/>
      <c r="WYF51" s="4"/>
      <c r="WYG51" s="4"/>
      <c r="WYH51" s="4"/>
      <c r="WYI51" s="4"/>
      <c r="WYJ51" s="4"/>
      <c r="WYK51" s="4"/>
      <c r="WYL51" s="4"/>
      <c r="WYM51" s="4"/>
      <c r="WYN51" s="4"/>
      <c r="WYO51" s="4"/>
      <c r="WYP51" s="4"/>
      <c r="WYQ51" s="4"/>
      <c r="WYR51" s="4"/>
      <c r="WYS51" s="4"/>
      <c r="WYT51" s="4"/>
      <c r="WYU51" s="4"/>
      <c r="WYV51" s="4"/>
      <c r="WYW51" s="4"/>
      <c r="WYX51" s="4"/>
      <c r="WYY51" s="4"/>
      <c r="WYZ51" s="4"/>
      <c r="WZA51" s="4"/>
      <c r="WZB51" s="4"/>
      <c r="WZC51" s="4"/>
      <c r="WZD51" s="4"/>
      <c r="WZE51" s="4"/>
      <c r="WZF51" s="4"/>
      <c r="WZG51" s="4"/>
      <c r="WZH51" s="4"/>
      <c r="WZI51" s="4"/>
      <c r="WZJ51" s="4"/>
      <c r="WZK51" s="4"/>
      <c r="WZL51" s="4"/>
      <c r="WZM51" s="4"/>
      <c r="WZN51" s="4"/>
      <c r="WZO51" s="4"/>
      <c r="WZP51" s="4"/>
      <c r="WZQ51" s="4"/>
      <c r="WZR51" s="4"/>
      <c r="WZS51" s="4"/>
      <c r="WZT51" s="4"/>
      <c r="WZU51" s="4"/>
      <c r="WZV51" s="4"/>
      <c r="WZW51" s="4"/>
      <c r="WZX51" s="4"/>
      <c r="WZY51" s="4"/>
      <c r="WZZ51" s="4"/>
      <c r="XAA51" s="4"/>
      <c r="XAB51" s="4"/>
      <c r="XAC51" s="4"/>
      <c r="XAD51" s="4"/>
      <c r="XAE51" s="4"/>
      <c r="XAF51" s="4"/>
      <c r="XAG51" s="4"/>
      <c r="XAH51" s="4"/>
      <c r="XAI51" s="4"/>
      <c r="XAJ51" s="4"/>
      <c r="XAK51" s="4"/>
      <c r="XAL51" s="4"/>
      <c r="XAM51" s="4"/>
      <c r="XAN51" s="4"/>
      <c r="XAO51" s="4"/>
      <c r="XAP51" s="4"/>
      <c r="XAQ51" s="4"/>
      <c r="XAR51" s="4"/>
      <c r="XAS51" s="4"/>
      <c r="XAT51" s="4"/>
      <c r="XAU51" s="4"/>
      <c r="XAV51" s="4"/>
      <c r="XAW51" s="4"/>
      <c r="XAX51" s="4"/>
      <c r="XAY51" s="4"/>
      <c r="XAZ51" s="4"/>
      <c r="XBA51" s="4"/>
      <c r="XBB51" s="4"/>
      <c r="XBC51" s="4"/>
      <c r="XBD51" s="4"/>
      <c r="XBE51" s="4"/>
      <c r="XBF51" s="4"/>
      <c r="XBG51" s="4"/>
      <c r="XBH51" s="4"/>
      <c r="XBI51" s="4"/>
      <c r="XBJ51" s="4"/>
      <c r="XBK51" s="4"/>
      <c r="XBL51" s="4"/>
      <c r="XBM51" s="4"/>
      <c r="XBN51" s="4"/>
      <c r="XBO51" s="4"/>
      <c r="XBP51" s="4"/>
      <c r="XBQ51" s="4"/>
      <c r="XBR51" s="4"/>
      <c r="XBS51" s="4"/>
      <c r="XBT51" s="4"/>
      <c r="XBU51" s="4"/>
      <c r="XBV51" s="4"/>
      <c r="XBW51" s="4"/>
      <c r="XBX51" s="4"/>
      <c r="XBY51" s="4"/>
      <c r="XBZ51" s="4"/>
      <c r="XCA51" s="4"/>
      <c r="XCB51" s="4"/>
      <c r="XCC51" s="4"/>
      <c r="XCD51" s="4"/>
      <c r="XCE51" s="4"/>
      <c r="XCF51" s="4"/>
      <c r="XCG51" s="4"/>
      <c r="XCH51" s="4"/>
      <c r="XCI51" s="4"/>
      <c r="XCJ51" s="4"/>
      <c r="XCK51" s="4"/>
      <c r="XCL51" s="4"/>
      <c r="XCM51" s="4"/>
      <c r="XCN51" s="4"/>
      <c r="XCO51" s="4"/>
      <c r="XCP51" s="4"/>
      <c r="XCQ51" s="4"/>
      <c r="XCR51" s="4"/>
      <c r="XCS51" s="4"/>
      <c r="XCT51" s="4"/>
      <c r="XCU51" s="4"/>
      <c r="XCV51" s="4"/>
      <c r="XCW51" s="4"/>
      <c r="XCX51" s="4"/>
      <c r="XCY51" s="4"/>
      <c r="XCZ51" s="4"/>
      <c r="XDA51" s="4"/>
      <c r="XDB51" s="4"/>
      <c r="XDC51" s="4"/>
      <c r="XDD51" s="4"/>
      <c r="XDE51" s="4"/>
      <c r="XDF51" s="4"/>
      <c r="XDG51" s="4"/>
      <c r="XDH51" s="4"/>
      <c r="XDI51" s="4"/>
      <c r="XDJ51" s="4"/>
      <c r="XDK51" s="4"/>
      <c r="XDL51" s="4"/>
      <c r="XDM51" s="4"/>
      <c r="XDN51" s="4"/>
      <c r="XDO51" s="4"/>
      <c r="XDP51" s="4"/>
      <c r="XDQ51" s="4"/>
      <c r="XDR51" s="4"/>
      <c r="XDS51" s="4"/>
      <c r="XDT51" s="4"/>
      <c r="XDU51" s="4"/>
      <c r="XDV51" s="4"/>
      <c r="XDW51" s="4"/>
      <c r="XDX51" s="4"/>
      <c r="XDY51" s="4"/>
      <c r="XDZ51" s="4"/>
      <c r="XEA51" s="4"/>
      <c r="XEB51" s="4"/>
      <c r="XEC51" s="4"/>
      <c r="XED51" s="4"/>
      <c r="XEE51" s="4"/>
      <c r="XEF51" s="4"/>
      <c r="XEG51" s="4"/>
      <c r="XEH51" s="4"/>
      <c r="XEI51" s="4"/>
      <c r="XEJ51" s="4"/>
      <c r="XEK51" s="4"/>
      <c r="XEL51" s="4"/>
      <c r="XEM51" s="4"/>
      <c r="XEN51" s="4"/>
      <c r="XEO51" s="4"/>
      <c r="XEP51" s="4"/>
      <c r="XEQ51" s="4"/>
      <c r="XER51" s="4"/>
      <c r="XES51" s="4"/>
      <c r="XET51" s="4"/>
      <c r="XEU51" s="4"/>
      <c r="XEV51" s="4"/>
      <c r="XEW51" s="4"/>
      <c r="XEX51" s="4"/>
      <c r="XEY51" s="4"/>
      <c r="XEZ51" s="4"/>
      <c r="XFA51" s="4"/>
      <c r="XFB51" s="4"/>
      <c r="XFC51" s="4"/>
      <c r="XFD51" s="4"/>
    </row>
    <row r="52" spans="1:13 1026:16384" x14ac:dyDescent="0.3">
      <c r="A52" s="27" t="s">
        <v>52</v>
      </c>
      <c r="B52" s="35"/>
      <c r="C52" s="35"/>
      <c r="D52" s="28"/>
      <c r="F52" s="4"/>
      <c r="AML52" s="4"/>
      <c r="AMM52" s="4"/>
      <c r="AMN52" s="4"/>
      <c r="AMO52" s="4"/>
      <c r="AMP52" s="4"/>
      <c r="AMQ52" s="4"/>
      <c r="AMR52" s="4"/>
      <c r="AMS52" s="4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  <c r="ASV52" s="4"/>
      <c r="ASW52" s="4"/>
      <c r="ASX52" s="4"/>
      <c r="ASY52" s="4"/>
      <c r="ASZ52" s="4"/>
      <c r="ATA52" s="4"/>
      <c r="ATB52" s="4"/>
      <c r="ATC52" s="4"/>
      <c r="ATD52" s="4"/>
      <c r="ATE52" s="4"/>
      <c r="ATF52" s="4"/>
      <c r="ATG52" s="4"/>
      <c r="ATH52" s="4"/>
      <c r="ATI52" s="4"/>
      <c r="ATJ52" s="4"/>
      <c r="ATK52" s="4"/>
      <c r="ATL52" s="4"/>
      <c r="ATM52" s="4"/>
      <c r="ATN52" s="4"/>
      <c r="ATO52" s="4"/>
      <c r="ATP52" s="4"/>
      <c r="ATQ52" s="4"/>
      <c r="ATR52" s="4"/>
      <c r="ATS52" s="4"/>
      <c r="ATT52" s="4"/>
      <c r="ATU52" s="4"/>
      <c r="ATV52" s="4"/>
      <c r="ATW52" s="4"/>
      <c r="ATX52" s="4"/>
      <c r="ATY52" s="4"/>
      <c r="ATZ52" s="4"/>
      <c r="AUA52" s="4"/>
      <c r="AUB52" s="4"/>
      <c r="AUC52" s="4"/>
      <c r="AUD52" s="4"/>
      <c r="AUE52" s="4"/>
      <c r="AUF52" s="4"/>
      <c r="AUG52" s="4"/>
      <c r="AUH52" s="4"/>
      <c r="AUI52" s="4"/>
      <c r="AUJ52" s="4"/>
      <c r="AUK52" s="4"/>
      <c r="AUL52" s="4"/>
      <c r="AUM52" s="4"/>
      <c r="AUN52" s="4"/>
      <c r="AUO52" s="4"/>
      <c r="AUP52" s="4"/>
      <c r="AUQ52" s="4"/>
      <c r="AUR52" s="4"/>
      <c r="AUS52" s="4"/>
      <c r="AUT52" s="4"/>
      <c r="AUU52" s="4"/>
      <c r="AUV52" s="4"/>
      <c r="AUW52" s="4"/>
      <c r="AUX52" s="4"/>
      <c r="AUY52" s="4"/>
      <c r="AUZ52" s="4"/>
      <c r="AVA52" s="4"/>
      <c r="AVB52" s="4"/>
      <c r="AVC52" s="4"/>
      <c r="AVD52" s="4"/>
      <c r="AVE52" s="4"/>
      <c r="AVF52" s="4"/>
      <c r="AVG52" s="4"/>
      <c r="AVH52" s="4"/>
      <c r="AVI52" s="4"/>
      <c r="AVJ52" s="4"/>
      <c r="AVK52" s="4"/>
      <c r="AVL52" s="4"/>
      <c r="AVM52" s="4"/>
      <c r="AVN52" s="4"/>
      <c r="AVO52" s="4"/>
      <c r="AVP52" s="4"/>
      <c r="AVQ52" s="4"/>
      <c r="AVR52" s="4"/>
      <c r="AVS52" s="4"/>
      <c r="AVT52" s="4"/>
      <c r="AVU52" s="4"/>
      <c r="AVV52" s="4"/>
      <c r="AVW52" s="4"/>
      <c r="AVX52" s="4"/>
      <c r="AVY52" s="4"/>
      <c r="AVZ52" s="4"/>
      <c r="AWA52" s="4"/>
      <c r="AWB52" s="4"/>
      <c r="AWC52" s="4"/>
      <c r="AWD52" s="4"/>
      <c r="AWE52" s="4"/>
      <c r="AWF52" s="4"/>
      <c r="AWG52" s="4"/>
      <c r="AWH52" s="4"/>
      <c r="AWI52" s="4"/>
      <c r="AWJ52" s="4"/>
      <c r="AWK52" s="4"/>
      <c r="AWL52" s="4"/>
      <c r="AWM52" s="4"/>
      <c r="AWN52" s="4"/>
      <c r="AWO52" s="4"/>
      <c r="AWP52" s="4"/>
      <c r="AWQ52" s="4"/>
      <c r="AWR52" s="4"/>
      <c r="AWS52" s="4"/>
      <c r="AWT52" s="4"/>
      <c r="AWU52" s="4"/>
      <c r="AWV52" s="4"/>
      <c r="AWW52" s="4"/>
      <c r="AWX52" s="4"/>
      <c r="AWY52" s="4"/>
      <c r="AWZ52" s="4"/>
      <c r="AXA52" s="4"/>
      <c r="AXB52" s="4"/>
      <c r="AXC52" s="4"/>
      <c r="AXD52" s="4"/>
      <c r="AXE52" s="4"/>
      <c r="AXF52" s="4"/>
      <c r="AXG52" s="4"/>
      <c r="AXH52" s="4"/>
      <c r="AXI52" s="4"/>
      <c r="AXJ52" s="4"/>
      <c r="AXK52" s="4"/>
      <c r="AXL52" s="4"/>
      <c r="AXM52" s="4"/>
      <c r="AXN52" s="4"/>
      <c r="AXO52" s="4"/>
      <c r="AXP52" s="4"/>
      <c r="AXQ52" s="4"/>
      <c r="AXR52" s="4"/>
      <c r="AXS52" s="4"/>
      <c r="AXT52" s="4"/>
      <c r="AXU52" s="4"/>
      <c r="AXV52" s="4"/>
      <c r="AXW52" s="4"/>
      <c r="AXX52" s="4"/>
      <c r="AXY52" s="4"/>
      <c r="AXZ52" s="4"/>
      <c r="AYA52" s="4"/>
      <c r="AYB52" s="4"/>
      <c r="AYC52" s="4"/>
      <c r="AYD52" s="4"/>
      <c r="AYE52" s="4"/>
      <c r="AYF52" s="4"/>
      <c r="AYG52" s="4"/>
      <c r="AYH52" s="4"/>
      <c r="AYI52" s="4"/>
      <c r="AYJ52" s="4"/>
      <c r="AYK52" s="4"/>
      <c r="AYL52" s="4"/>
      <c r="AYM52" s="4"/>
      <c r="AYN52" s="4"/>
      <c r="AYO52" s="4"/>
      <c r="AYP52" s="4"/>
      <c r="AYQ52" s="4"/>
      <c r="AYR52" s="4"/>
      <c r="AYS52" s="4"/>
      <c r="AYT52" s="4"/>
      <c r="AYU52" s="4"/>
      <c r="AYV52" s="4"/>
      <c r="AYW52" s="4"/>
      <c r="AYX52" s="4"/>
      <c r="AYY52" s="4"/>
      <c r="AYZ52" s="4"/>
      <c r="AZA52" s="4"/>
      <c r="AZB52" s="4"/>
      <c r="AZC52" s="4"/>
      <c r="AZD52" s="4"/>
      <c r="AZE52" s="4"/>
      <c r="AZF52" s="4"/>
      <c r="AZG52" s="4"/>
      <c r="AZH52" s="4"/>
      <c r="AZI52" s="4"/>
      <c r="AZJ52" s="4"/>
      <c r="AZK52" s="4"/>
      <c r="AZL52" s="4"/>
      <c r="AZM52" s="4"/>
      <c r="AZN52" s="4"/>
      <c r="AZO52" s="4"/>
      <c r="AZP52" s="4"/>
      <c r="AZQ52" s="4"/>
      <c r="AZR52" s="4"/>
      <c r="AZS52" s="4"/>
      <c r="AZT52" s="4"/>
      <c r="AZU52" s="4"/>
      <c r="AZV52" s="4"/>
      <c r="AZW52" s="4"/>
      <c r="AZX52" s="4"/>
      <c r="AZY52" s="4"/>
      <c r="AZZ52" s="4"/>
      <c r="BAA52" s="4"/>
      <c r="BAB52" s="4"/>
      <c r="BAC52" s="4"/>
      <c r="BAD52" s="4"/>
      <c r="BAE52" s="4"/>
      <c r="BAF52" s="4"/>
      <c r="BAG52" s="4"/>
      <c r="BAH52" s="4"/>
      <c r="BAI52" s="4"/>
      <c r="BAJ52" s="4"/>
      <c r="BAK52" s="4"/>
      <c r="BAL52" s="4"/>
      <c r="BAM52" s="4"/>
      <c r="BAN52" s="4"/>
      <c r="BAO52" s="4"/>
      <c r="BAP52" s="4"/>
      <c r="BAQ52" s="4"/>
      <c r="BAR52" s="4"/>
      <c r="BAS52" s="4"/>
      <c r="BAT52" s="4"/>
      <c r="BAU52" s="4"/>
      <c r="BAV52" s="4"/>
      <c r="BAW52" s="4"/>
      <c r="BAX52" s="4"/>
      <c r="BAY52" s="4"/>
      <c r="BAZ52" s="4"/>
      <c r="BBA52" s="4"/>
      <c r="BBB52" s="4"/>
      <c r="BBC52" s="4"/>
      <c r="BBD52" s="4"/>
      <c r="BBE52" s="4"/>
      <c r="BBF52" s="4"/>
      <c r="BBG52" s="4"/>
      <c r="BBH52" s="4"/>
      <c r="BBI52" s="4"/>
      <c r="BBJ52" s="4"/>
      <c r="BBK52" s="4"/>
      <c r="BBL52" s="4"/>
      <c r="BBM52" s="4"/>
      <c r="BBN52" s="4"/>
      <c r="BBO52" s="4"/>
      <c r="BBP52" s="4"/>
      <c r="BBQ52" s="4"/>
      <c r="BBR52" s="4"/>
      <c r="BBS52" s="4"/>
      <c r="BBT52" s="4"/>
      <c r="BBU52" s="4"/>
      <c r="BBV52" s="4"/>
      <c r="BBW52" s="4"/>
      <c r="BBX52" s="4"/>
      <c r="BBY52" s="4"/>
      <c r="BBZ52" s="4"/>
      <c r="BCA52" s="4"/>
      <c r="BCB52" s="4"/>
      <c r="BCC52" s="4"/>
      <c r="BCD52" s="4"/>
      <c r="BCE52" s="4"/>
      <c r="BCF52" s="4"/>
      <c r="BCG52" s="4"/>
      <c r="BCH52" s="4"/>
      <c r="BCI52" s="4"/>
      <c r="BCJ52" s="4"/>
      <c r="BCK52" s="4"/>
      <c r="BCL52" s="4"/>
      <c r="BCM52" s="4"/>
      <c r="BCN52" s="4"/>
      <c r="BCO52" s="4"/>
      <c r="BCP52" s="4"/>
      <c r="BCQ52" s="4"/>
      <c r="BCR52" s="4"/>
      <c r="BCS52" s="4"/>
      <c r="BCT52" s="4"/>
      <c r="BCU52" s="4"/>
      <c r="BCV52" s="4"/>
      <c r="BCW52" s="4"/>
      <c r="BCX52" s="4"/>
      <c r="BCY52" s="4"/>
      <c r="BCZ52" s="4"/>
      <c r="BDA52" s="4"/>
      <c r="BDB52" s="4"/>
      <c r="BDC52" s="4"/>
      <c r="BDD52" s="4"/>
      <c r="BDE52" s="4"/>
      <c r="BDF52" s="4"/>
      <c r="BDG52" s="4"/>
      <c r="BDH52" s="4"/>
      <c r="BDI52" s="4"/>
      <c r="BDJ52" s="4"/>
      <c r="BDK52" s="4"/>
      <c r="BDL52" s="4"/>
      <c r="BDM52" s="4"/>
      <c r="BDN52" s="4"/>
      <c r="BDO52" s="4"/>
      <c r="BDP52" s="4"/>
      <c r="BDQ52" s="4"/>
      <c r="BDR52" s="4"/>
      <c r="BDS52" s="4"/>
      <c r="BDT52" s="4"/>
      <c r="BDU52" s="4"/>
      <c r="BDV52" s="4"/>
      <c r="BDW52" s="4"/>
      <c r="BDX52" s="4"/>
      <c r="BDY52" s="4"/>
      <c r="BDZ52" s="4"/>
      <c r="BEA52" s="4"/>
      <c r="BEB52" s="4"/>
      <c r="BEC52" s="4"/>
      <c r="BED52" s="4"/>
      <c r="BEE52" s="4"/>
      <c r="BEF52" s="4"/>
      <c r="BEG52" s="4"/>
      <c r="BEH52" s="4"/>
      <c r="BEI52" s="4"/>
      <c r="BEJ52" s="4"/>
      <c r="BEK52" s="4"/>
      <c r="BEL52" s="4"/>
      <c r="BEM52" s="4"/>
      <c r="BEN52" s="4"/>
      <c r="BEO52" s="4"/>
      <c r="BEP52" s="4"/>
      <c r="BEQ52" s="4"/>
      <c r="BER52" s="4"/>
      <c r="BES52" s="4"/>
      <c r="BET52" s="4"/>
      <c r="BEU52" s="4"/>
      <c r="BEV52" s="4"/>
      <c r="BEW52" s="4"/>
      <c r="BEX52" s="4"/>
      <c r="BEY52" s="4"/>
      <c r="BEZ52" s="4"/>
      <c r="BFA52" s="4"/>
      <c r="BFB52" s="4"/>
      <c r="BFC52" s="4"/>
      <c r="BFD52" s="4"/>
      <c r="BFE52" s="4"/>
      <c r="BFF52" s="4"/>
      <c r="BFG52" s="4"/>
      <c r="BFH52" s="4"/>
      <c r="BFI52" s="4"/>
      <c r="BFJ52" s="4"/>
      <c r="BFK52" s="4"/>
      <c r="BFL52" s="4"/>
      <c r="BFM52" s="4"/>
      <c r="BFN52" s="4"/>
      <c r="BFO52" s="4"/>
      <c r="BFP52" s="4"/>
      <c r="BFQ52" s="4"/>
      <c r="BFR52" s="4"/>
      <c r="BFS52" s="4"/>
      <c r="BFT52" s="4"/>
      <c r="BFU52" s="4"/>
      <c r="BFV52" s="4"/>
      <c r="BFW52" s="4"/>
      <c r="BFX52" s="4"/>
      <c r="BFY52" s="4"/>
      <c r="BFZ52" s="4"/>
      <c r="BGA52" s="4"/>
      <c r="BGB52" s="4"/>
      <c r="BGC52" s="4"/>
      <c r="BGD52" s="4"/>
      <c r="BGE52" s="4"/>
      <c r="BGF52" s="4"/>
      <c r="BGG52" s="4"/>
      <c r="BGH52" s="4"/>
      <c r="BGI52" s="4"/>
      <c r="BGJ52" s="4"/>
      <c r="BGK52" s="4"/>
      <c r="BGL52" s="4"/>
      <c r="BGM52" s="4"/>
      <c r="BGN52" s="4"/>
      <c r="BGO52" s="4"/>
      <c r="BGP52" s="4"/>
      <c r="BGQ52" s="4"/>
      <c r="BGR52" s="4"/>
      <c r="BGS52" s="4"/>
      <c r="BGT52" s="4"/>
      <c r="BGU52" s="4"/>
      <c r="BGV52" s="4"/>
      <c r="BGW52" s="4"/>
      <c r="BGX52" s="4"/>
      <c r="BGY52" s="4"/>
      <c r="BGZ52" s="4"/>
      <c r="BHA52" s="4"/>
      <c r="BHB52" s="4"/>
      <c r="BHC52" s="4"/>
      <c r="BHD52" s="4"/>
      <c r="BHE52" s="4"/>
      <c r="BHF52" s="4"/>
      <c r="BHG52" s="4"/>
      <c r="BHH52" s="4"/>
      <c r="BHI52" s="4"/>
      <c r="BHJ52" s="4"/>
      <c r="BHK52" s="4"/>
      <c r="BHL52" s="4"/>
      <c r="BHM52" s="4"/>
      <c r="BHN52" s="4"/>
      <c r="BHO52" s="4"/>
      <c r="BHP52" s="4"/>
      <c r="BHQ52" s="4"/>
      <c r="BHR52" s="4"/>
      <c r="BHS52" s="4"/>
      <c r="BHT52" s="4"/>
      <c r="BHU52" s="4"/>
      <c r="BHV52" s="4"/>
      <c r="BHW52" s="4"/>
      <c r="BHX52" s="4"/>
      <c r="BHY52" s="4"/>
      <c r="BHZ52" s="4"/>
      <c r="BIA52" s="4"/>
      <c r="BIB52" s="4"/>
      <c r="BIC52" s="4"/>
      <c r="BID52" s="4"/>
      <c r="BIE52" s="4"/>
      <c r="BIF52" s="4"/>
      <c r="BIG52" s="4"/>
      <c r="BIH52" s="4"/>
      <c r="BII52" s="4"/>
      <c r="BIJ52" s="4"/>
      <c r="BIK52" s="4"/>
      <c r="BIL52" s="4"/>
      <c r="BIM52" s="4"/>
      <c r="BIN52" s="4"/>
      <c r="BIO52" s="4"/>
      <c r="BIP52" s="4"/>
      <c r="BIQ52" s="4"/>
      <c r="BIR52" s="4"/>
      <c r="BIS52" s="4"/>
      <c r="BIT52" s="4"/>
      <c r="BIU52" s="4"/>
      <c r="BIV52" s="4"/>
      <c r="BIW52" s="4"/>
      <c r="BIX52" s="4"/>
      <c r="BIY52" s="4"/>
      <c r="BIZ52" s="4"/>
      <c r="BJA52" s="4"/>
      <c r="BJB52" s="4"/>
      <c r="BJC52" s="4"/>
      <c r="BJD52" s="4"/>
      <c r="BJE52" s="4"/>
      <c r="BJF52" s="4"/>
      <c r="BJG52" s="4"/>
      <c r="BJH52" s="4"/>
      <c r="BJI52" s="4"/>
      <c r="BJJ52" s="4"/>
      <c r="BJK52" s="4"/>
      <c r="BJL52" s="4"/>
      <c r="BJM52" s="4"/>
      <c r="BJN52" s="4"/>
      <c r="BJO52" s="4"/>
      <c r="BJP52" s="4"/>
      <c r="BJQ52" s="4"/>
      <c r="BJR52" s="4"/>
      <c r="BJS52" s="4"/>
      <c r="BJT52" s="4"/>
      <c r="BJU52" s="4"/>
      <c r="BJV52" s="4"/>
      <c r="BJW52" s="4"/>
      <c r="BJX52" s="4"/>
      <c r="BJY52" s="4"/>
      <c r="BJZ52" s="4"/>
      <c r="BKA52" s="4"/>
      <c r="BKB52" s="4"/>
      <c r="BKC52" s="4"/>
      <c r="BKD52" s="4"/>
      <c r="BKE52" s="4"/>
      <c r="BKF52" s="4"/>
      <c r="BKG52" s="4"/>
      <c r="BKH52" s="4"/>
      <c r="BKI52" s="4"/>
      <c r="BKJ52" s="4"/>
      <c r="BKK52" s="4"/>
      <c r="BKL52" s="4"/>
      <c r="BKM52" s="4"/>
      <c r="BKN52" s="4"/>
      <c r="BKO52" s="4"/>
      <c r="BKP52" s="4"/>
      <c r="BKQ52" s="4"/>
      <c r="BKR52" s="4"/>
      <c r="BKS52" s="4"/>
      <c r="BKT52" s="4"/>
      <c r="BKU52" s="4"/>
      <c r="BKV52" s="4"/>
      <c r="BKW52" s="4"/>
      <c r="BKX52" s="4"/>
      <c r="BKY52" s="4"/>
      <c r="BKZ52" s="4"/>
      <c r="BLA52" s="4"/>
      <c r="BLB52" s="4"/>
      <c r="BLC52" s="4"/>
      <c r="BLD52" s="4"/>
      <c r="BLE52" s="4"/>
      <c r="BLF52" s="4"/>
      <c r="BLG52" s="4"/>
      <c r="BLH52" s="4"/>
      <c r="BLI52" s="4"/>
      <c r="BLJ52" s="4"/>
      <c r="BLK52" s="4"/>
      <c r="BLL52" s="4"/>
      <c r="BLM52" s="4"/>
      <c r="BLN52" s="4"/>
      <c r="BLO52" s="4"/>
      <c r="BLP52" s="4"/>
      <c r="BLQ52" s="4"/>
      <c r="BLR52" s="4"/>
      <c r="BLS52" s="4"/>
      <c r="BLT52" s="4"/>
      <c r="BLU52" s="4"/>
      <c r="BLV52" s="4"/>
      <c r="BLW52" s="4"/>
      <c r="BLX52" s="4"/>
      <c r="BLY52" s="4"/>
      <c r="BLZ52" s="4"/>
      <c r="BMA52" s="4"/>
      <c r="BMB52" s="4"/>
      <c r="BMC52" s="4"/>
      <c r="BMD52" s="4"/>
      <c r="BME52" s="4"/>
      <c r="BMF52" s="4"/>
      <c r="BMG52" s="4"/>
      <c r="BMH52" s="4"/>
      <c r="BMI52" s="4"/>
      <c r="BMJ52" s="4"/>
      <c r="BMK52" s="4"/>
      <c r="BML52" s="4"/>
      <c r="BMM52" s="4"/>
      <c r="BMN52" s="4"/>
      <c r="BMO52" s="4"/>
      <c r="BMP52" s="4"/>
      <c r="BMQ52" s="4"/>
      <c r="BMR52" s="4"/>
      <c r="BMS52" s="4"/>
      <c r="BMT52" s="4"/>
      <c r="BMU52" s="4"/>
      <c r="BMV52" s="4"/>
      <c r="BMW52" s="4"/>
      <c r="BMX52" s="4"/>
      <c r="BMY52" s="4"/>
      <c r="BMZ52" s="4"/>
      <c r="BNA52" s="4"/>
      <c r="BNB52" s="4"/>
      <c r="BNC52" s="4"/>
      <c r="BND52" s="4"/>
      <c r="BNE52" s="4"/>
      <c r="BNF52" s="4"/>
      <c r="BNG52" s="4"/>
      <c r="BNH52" s="4"/>
      <c r="BNI52" s="4"/>
      <c r="BNJ52" s="4"/>
      <c r="BNK52" s="4"/>
      <c r="BNL52" s="4"/>
      <c r="BNM52" s="4"/>
      <c r="BNN52" s="4"/>
      <c r="BNO52" s="4"/>
      <c r="BNP52" s="4"/>
      <c r="BNQ52" s="4"/>
      <c r="BNR52" s="4"/>
      <c r="BNS52" s="4"/>
      <c r="BNT52" s="4"/>
      <c r="BNU52" s="4"/>
      <c r="BNV52" s="4"/>
      <c r="BNW52" s="4"/>
      <c r="BNX52" s="4"/>
      <c r="BNY52" s="4"/>
      <c r="BNZ52" s="4"/>
      <c r="BOA52" s="4"/>
      <c r="BOB52" s="4"/>
      <c r="BOC52" s="4"/>
      <c r="BOD52" s="4"/>
      <c r="BOE52" s="4"/>
      <c r="BOF52" s="4"/>
      <c r="BOG52" s="4"/>
      <c r="BOH52" s="4"/>
      <c r="BOI52" s="4"/>
      <c r="BOJ52" s="4"/>
      <c r="BOK52" s="4"/>
      <c r="BOL52" s="4"/>
      <c r="BOM52" s="4"/>
      <c r="BON52" s="4"/>
      <c r="BOO52" s="4"/>
      <c r="BOP52" s="4"/>
      <c r="BOQ52" s="4"/>
      <c r="BOR52" s="4"/>
      <c r="BOS52" s="4"/>
      <c r="BOT52" s="4"/>
      <c r="BOU52" s="4"/>
      <c r="BOV52" s="4"/>
      <c r="BOW52" s="4"/>
      <c r="BOX52" s="4"/>
      <c r="BOY52" s="4"/>
      <c r="BOZ52" s="4"/>
      <c r="BPA52" s="4"/>
      <c r="BPB52" s="4"/>
      <c r="BPC52" s="4"/>
      <c r="BPD52" s="4"/>
      <c r="BPE52" s="4"/>
      <c r="BPF52" s="4"/>
      <c r="BPG52" s="4"/>
      <c r="BPH52" s="4"/>
      <c r="BPI52" s="4"/>
      <c r="BPJ52" s="4"/>
      <c r="BPK52" s="4"/>
      <c r="BPL52" s="4"/>
      <c r="BPM52" s="4"/>
      <c r="BPN52" s="4"/>
      <c r="BPO52" s="4"/>
      <c r="BPP52" s="4"/>
      <c r="BPQ52" s="4"/>
      <c r="BPR52" s="4"/>
      <c r="BPS52" s="4"/>
      <c r="BPT52" s="4"/>
      <c r="BPU52" s="4"/>
      <c r="BPV52" s="4"/>
      <c r="BPW52" s="4"/>
      <c r="BPX52" s="4"/>
      <c r="BPY52" s="4"/>
      <c r="BPZ52" s="4"/>
      <c r="BQA52" s="4"/>
      <c r="BQB52" s="4"/>
      <c r="BQC52" s="4"/>
      <c r="BQD52" s="4"/>
      <c r="BQE52" s="4"/>
      <c r="BQF52" s="4"/>
      <c r="BQG52" s="4"/>
      <c r="BQH52" s="4"/>
      <c r="BQI52" s="4"/>
      <c r="BQJ52" s="4"/>
      <c r="BQK52" s="4"/>
      <c r="BQL52" s="4"/>
      <c r="BQM52" s="4"/>
      <c r="BQN52" s="4"/>
      <c r="BQO52" s="4"/>
      <c r="BQP52" s="4"/>
      <c r="BQQ52" s="4"/>
      <c r="BQR52" s="4"/>
      <c r="BQS52" s="4"/>
      <c r="BQT52" s="4"/>
      <c r="BQU52" s="4"/>
      <c r="BQV52" s="4"/>
      <c r="BQW52" s="4"/>
      <c r="BQX52" s="4"/>
      <c r="BQY52" s="4"/>
      <c r="BQZ52" s="4"/>
      <c r="BRA52" s="4"/>
      <c r="BRB52" s="4"/>
      <c r="BRC52" s="4"/>
      <c r="BRD52" s="4"/>
      <c r="BRE52" s="4"/>
      <c r="BRF52" s="4"/>
      <c r="BRG52" s="4"/>
      <c r="BRH52" s="4"/>
      <c r="BRI52" s="4"/>
      <c r="BRJ52" s="4"/>
      <c r="BRK52" s="4"/>
      <c r="BRL52" s="4"/>
      <c r="BRM52" s="4"/>
      <c r="BRN52" s="4"/>
      <c r="BRO52" s="4"/>
      <c r="BRP52" s="4"/>
      <c r="BRQ52" s="4"/>
      <c r="BRR52" s="4"/>
      <c r="BRS52" s="4"/>
      <c r="BRT52" s="4"/>
      <c r="BRU52" s="4"/>
      <c r="BRV52" s="4"/>
      <c r="BRW52" s="4"/>
      <c r="BRX52" s="4"/>
      <c r="BRY52" s="4"/>
      <c r="BRZ52" s="4"/>
      <c r="BSA52" s="4"/>
      <c r="BSB52" s="4"/>
      <c r="BSC52" s="4"/>
      <c r="BSD52" s="4"/>
      <c r="BSE52" s="4"/>
      <c r="BSF52" s="4"/>
      <c r="BSG52" s="4"/>
      <c r="BSH52" s="4"/>
      <c r="BSI52" s="4"/>
      <c r="BSJ52" s="4"/>
      <c r="BSK52" s="4"/>
      <c r="BSL52" s="4"/>
      <c r="BSM52" s="4"/>
      <c r="BSN52" s="4"/>
      <c r="BSO52" s="4"/>
      <c r="BSP52" s="4"/>
      <c r="BSQ52" s="4"/>
      <c r="BSR52" s="4"/>
      <c r="BSS52" s="4"/>
      <c r="BST52" s="4"/>
      <c r="BSU52" s="4"/>
      <c r="BSV52" s="4"/>
      <c r="BSW52" s="4"/>
      <c r="BSX52" s="4"/>
      <c r="BSY52" s="4"/>
      <c r="BSZ52" s="4"/>
      <c r="BTA52" s="4"/>
      <c r="BTB52" s="4"/>
      <c r="BTC52" s="4"/>
      <c r="BTD52" s="4"/>
      <c r="BTE52" s="4"/>
      <c r="BTF52" s="4"/>
      <c r="BTG52" s="4"/>
      <c r="BTH52" s="4"/>
      <c r="BTI52" s="4"/>
      <c r="BTJ52" s="4"/>
      <c r="BTK52" s="4"/>
      <c r="BTL52" s="4"/>
      <c r="BTM52" s="4"/>
      <c r="BTN52" s="4"/>
      <c r="BTO52" s="4"/>
      <c r="BTP52" s="4"/>
      <c r="BTQ52" s="4"/>
      <c r="BTR52" s="4"/>
      <c r="BTS52" s="4"/>
      <c r="BTT52" s="4"/>
      <c r="BTU52" s="4"/>
      <c r="BTV52" s="4"/>
      <c r="BTW52" s="4"/>
      <c r="BTX52" s="4"/>
      <c r="BTY52" s="4"/>
      <c r="BTZ52" s="4"/>
      <c r="BUA52" s="4"/>
      <c r="BUB52" s="4"/>
      <c r="BUC52" s="4"/>
      <c r="BUD52" s="4"/>
      <c r="BUE52" s="4"/>
      <c r="BUF52" s="4"/>
      <c r="BUG52" s="4"/>
      <c r="BUH52" s="4"/>
      <c r="BUI52" s="4"/>
      <c r="BUJ52" s="4"/>
      <c r="BUK52" s="4"/>
      <c r="BUL52" s="4"/>
      <c r="BUM52" s="4"/>
      <c r="BUN52" s="4"/>
      <c r="BUO52" s="4"/>
      <c r="BUP52" s="4"/>
      <c r="BUQ52" s="4"/>
      <c r="BUR52" s="4"/>
      <c r="BUS52" s="4"/>
      <c r="BUT52" s="4"/>
      <c r="BUU52" s="4"/>
      <c r="BUV52" s="4"/>
      <c r="BUW52" s="4"/>
      <c r="BUX52" s="4"/>
      <c r="BUY52" s="4"/>
      <c r="BUZ52" s="4"/>
      <c r="BVA52" s="4"/>
      <c r="BVB52" s="4"/>
      <c r="BVC52" s="4"/>
      <c r="BVD52" s="4"/>
      <c r="BVE52" s="4"/>
      <c r="BVF52" s="4"/>
      <c r="BVG52" s="4"/>
      <c r="BVH52" s="4"/>
      <c r="BVI52" s="4"/>
      <c r="BVJ52" s="4"/>
      <c r="BVK52" s="4"/>
      <c r="BVL52" s="4"/>
      <c r="BVM52" s="4"/>
      <c r="BVN52" s="4"/>
      <c r="BVO52" s="4"/>
      <c r="BVP52" s="4"/>
      <c r="BVQ52" s="4"/>
      <c r="BVR52" s="4"/>
      <c r="BVS52" s="4"/>
      <c r="BVT52" s="4"/>
      <c r="BVU52" s="4"/>
      <c r="BVV52" s="4"/>
      <c r="BVW52" s="4"/>
      <c r="BVX52" s="4"/>
      <c r="BVY52" s="4"/>
      <c r="BVZ52" s="4"/>
      <c r="BWA52" s="4"/>
      <c r="BWB52" s="4"/>
      <c r="BWC52" s="4"/>
      <c r="BWD52" s="4"/>
      <c r="BWE52" s="4"/>
      <c r="BWF52" s="4"/>
      <c r="BWG52" s="4"/>
      <c r="BWH52" s="4"/>
      <c r="BWI52" s="4"/>
      <c r="BWJ52" s="4"/>
      <c r="BWK52" s="4"/>
      <c r="BWL52" s="4"/>
      <c r="BWM52" s="4"/>
      <c r="BWN52" s="4"/>
      <c r="BWO52" s="4"/>
      <c r="BWP52" s="4"/>
      <c r="BWQ52" s="4"/>
      <c r="BWR52" s="4"/>
      <c r="BWS52" s="4"/>
      <c r="BWT52" s="4"/>
      <c r="BWU52" s="4"/>
      <c r="BWV52" s="4"/>
      <c r="BWW52" s="4"/>
      <c r="BWX52" s="4"/>
      <c r="BWY52" s="4"/>
      <c r="BWZ52" s="4"/>
      <c r="BXA52" s="4"/>
      <c r="BXB52" s="4"/>
      <c r="BXC52" s="4"/>
      <c r="BXD52" s="4"/>
      <c r="BXE52" s="4"/>
      <c r="BXF52" s="4"/>
      <c r="BXG52" s="4"/>
      <c r="BXH52" s="4"/>
      <c r="BXI52" s="4"/>
      <c r="BXJ52" s="4"/>
      <c r="BXK52" s="4"/>
      <c r="BXL52" s="4"/>
      <c r="BXM52" s="4"/>
      <c r="BXN52" s="4"/>
      <c r="BXO52" s="4"/>
      <c r="BXP52" s="4"/>
      <c r="BXQ52" s="4"/>
      <c r="BXR52" s="4"/>
      <c r="BXS52" s="4"/>
      <c r="BXT52" s="4"/>
      <c r="BXU52" s="4"/>
      <c r="BXV52" s="4"/>
      <c r="BXW52" s="4"/>
      <c r="BXX52" s="4"/>
      <c r="BXY52" s="4"/>
      <c r="BXZ52" s="4"/>
      <c r="BYA52" s="4"/>
      <c r="BYB52" s="4"/>
      <c r="BYC52" s="4"/>
      <c r="BYD52" s="4"/>
      <c r="BYE52" s="4"/>
      <c r="BYF52" s="4"/>
      <c r="BYG52" s="4"/>
      <c r="BYH52" s="4"/>
      <c r="BYI52" s="4"/>
      <c r="BYJ52" s="4"/>
      <c r="BYK52" s="4"/>
      <c r="BYL52" s="4"/>
      <c r="BYM52" s="4"/>
      <c r="BYN52" s="4"/>
      <c r="BYO52" s="4"/>
      <c r="BYP52" s="4"/>
      <c r="BYQ52" s="4"/>
      <c r="BYR52" s="4"/>
      <c r="BYS52" s="4"/>
      <c r="BYT52" s="4"/>
      <c r="BYU52" s="4"/>
      <c r="BYV52" s="4"/>
      <c r="BYW52" s="4"/>
      <c r="BYX52" s="4"/>
      <c r="BYY52" s="4"/>
      <c r="BYZ52" s="4"/>
      <c r="BZA52" s="4"/>
      <c r="BZB52" s="4"/>
      <c r="BZC52" s="4"/>
      <c r="BZD52" s="4"/>
      <c r="BZE52" s="4"/>
      <c r="BZF52" s="4"/>
      <c r="BZG52" s="4"/>
      <c r="BZH52" s="4"/>
      <c r="BZI52" s="4"/>
      <c r="BZJ52" s="4"/>
      <c r="BZK52" s="4"/>
      <c r="BZL52" s="4"/>
      <c r="BZM52" s="4"/>
      <c r="BZN52" s="4"/>
      <c r="BZO52" s="4"/>
      <c r="BZP52" s="4"/>
      <c r="BZQ52" s="4"/>
      <c r="BZR52" s="4"/>
      <c r="BZS52" s="4"/>
      <c r="BZT52" s="4"/>
      <c r="BZU52" s="4"/>
      <c r="BZV52" s="4"/>
      <c r="BZW52" s="4"/>
      <c r="BZX52" s="4"/>
      <c r="BZY52" s="4"/>
      <c r="BZZ52" s="4"/>
      <c r="CAA52" s="4"/>
      <c r="CAB52" s="4"/>
      <c r="CAC52" s="4"/>
      <c r="CAD52" s="4"/>
      <c r="CAE52" s="4"/>
      <c r="CAF52" s="4"/>
      <c r="CAG52" s="4"/>
      <c r="CAH52" s="4"/>
      <c r="CAI52" s="4"/>
      <c r="CAJ52" s="4"/>
      <c r="CAK52" s="4"/>
      <c r="CAL52" s="4"/>
      <c r="CAM52" s="4"/>
      <c r="CAN52" s="4"/>
      <c r="CAO52" s="4"/>
      <c r="CAP52" s="4"/>
      <c r="CAQ52" s="4"/>
      <c r="CAR52" s="4"/>
      <c r="CAS52" s="4"/>
      <c r="CAT52" s="4"/>
      <c r="CAU52" s="4"/>
      <c r="CAV52" s="4"/>
      <c r="CAW52" s="4"/>
      <c r="CAX52" s="4"/>
      <c r="CAY52" s="4"/>
      <c r="CAZ52" s="4"/>
      <c r="CBA52" s="4"/>
      <c r="CBB52" s="4"/>
      <c r="CBC52" s="4"/>
      <c r="CBD52" s="4"/>
      <c r="CBE52" s="4"/>
      <c r="CBF52" s="4"/>
      <c r="CBG52" s="4"/>
      <c r="CBH52" s="4"/>
      <c r="CBI52" s="4"/>
      <c r="CBJ52" s="4"/>
      <c r="CBK52" s="4"/>
      <c r="CBL52" s="4"/>
      <c r="CBM52" s="4"/>
      <c r="CBN52" s="4"/>
      <c r="CBO52" s="4"/>
      <c r="CBP52" s="4"/>
      <c r="CBQ52" s="4"/>
      <c r="CBR52" s="4"/>
      <c r="CBS52" s="4"/>
      <c r="CBT52" s="4"/>
      <c r="CBU52" s="4"/>
      <c r="CBV52" s="4"/>
      <c r="CBW52" s="4"/>
      <c r="CBX52" s="4"/>
      <c r="CBY52" s="4"/>
      <c r="CBZ52" s="4"/>
      <c r="CCA52" s="4"/>
      <c r="CCB52" s="4"/>
      <c r="CCC52" s="4"/>
      <c r="CCD52" s="4"/>
      <c r="CCE52" s="4"/>
      <c r="CCF52" s="4"/>
      <c r="CCG52" s="4"/>
      <c r="CCH52" s="4"/>
      <c r="CCI52" s="4"/>
      <c r="CCJ52" s="4"/>
      <c r="CCK52" s="4"/>
      <c r="CCL52" s="4"/>
      <c r="CCM52" s="4"/>
      <c r="CCN52" s="4"/>
      <c r="CCO52" s="4"/>
      <c r="CCP52" s="4"/>
      <c r="CCQ52" s="4"/>
      <c r="CCR52" s="4"/>
      <c r="CCS52" s="4"/>
      <c r="CCT52" s="4"/>
      <c r="CCU52" s="4"/>
      <c r="CCV52" s="4"/>
      <c r="CCW52" s="4"/>
      <c r="CCX52" s="4"/>
      <c r="CCY52" s="4"/>
      <c r="CCZ52" s="4"/>
      <c r="CDA52" s="4"/>
      <c r="CDB52" s="4"/>
      <c r="CDC52" s="4"/>
      <c r="CDD52" s="4"/>
      <c r="CDE52" s="4"/>
      <c r="CDF52" s="4"/>
      <c r="CDG52" s="4"/>
      <c r="CDH52" s="4"/>
      <c r="CDI52" s="4"/>
      <c r="CDJ52" s="4"/>
      <c r="CDK52" s="4"/>
      <c r="CDL52" s="4"/>
      <c r="CDM52" s="4"/>
      <c r="CDN52" s="4"/>
      <c r="CDO52" s="4"/>
      <c r="CDP52" s="4"/>
      <c r="CDQ52" s="4"/>
      <c r="CDR52" s="4"/>
      <c r="CDS52" s="4"/>
      <c r="CDT52" s="4"/>
      <c r="CDU52" s="4"/>
      <c r="CDV52" s="4"/>
      <c r="CDW52" s="4"/>
      <c r="CDX52" s="4"/>
      <c r="CDY52" s="4"/>
      <c r="CDZ52" s="4"/>
      <c r="CEA52" s="4"/>
      <c r="CEB52" s="4"/>
      <c r="CEC52" s="4"/>
      <c r="CED52" s="4"/>
      <c r="CEE52" s="4"/>
      <c r="CEF52" s="4"/>
      <c r="CEG52" s="4"/>
      <c r="CEH52" s="4"/>
      <c r="CEI52" s="4"/>
      <c r="CEJ52" s="4"/>
      <c r="CEK52" s="4"/>
      <c r="CEL52" s="4"/>
      <c r="CEM52" s="4"/>
      <c r="CEN52" s="4"/>
      <c r="CEO52" s="4"/>
      <c r="CEP52" s="4"/>
      <c r="CEQ52" s="4"/>
      <c r="CER52" s="4"/>
      <c r="CES52" s="4"/>
      <c r="CET52" s="4"/>
      <c r="CEU52" s="4"/>
      <c r="CEV52" s="4"/>
      <c r="CEW52" s="4"/>
      <c r="CEX52" s="4"/>
      <c r="CEY52" s="4"/>
      <c r="CEZ52" s="4"/>
      <c r="CFA52" s="4"/>
      <c r="CFB52" s="4"/>
      <c r="CFC52" s="4"/>
      <c r="CFD52" s="4"/>
      <c r="CFE52" s="4"/>
      <c r="CFF52" s="4"/>
      <c r="CFG52" s="4"/>
      <c r="CFH52" s="4"/>
      <c r="CFI52" s="4"/>
      <c r="CFJ52" s="4"/>
      <c r="CFK52" s="4"/>
      <c r="CFL52" s="4"/>
      <c r="CFM52" s="4"/>
      <c r="CFN52" s="4"/>
      <c r="CFO52" s="4"/>
      <c r="CFP52" s="4"/>
      <c r="CFQ52" s="4"/>
      <c r="CFR52" s="4"/>
      <c r="CFS52" s="4"/>
      <c r="CFT52" s="4"/>
      <c r="CFU52" s="4"/>
      <c r="CFV52" s="4"/>
      <c r="CFW52" s="4"/>
      <c r="CFX52" s="4"/>
      <c r="CFY52" s="4"/>
      <c r="CFZ52" s="4"/>
      <c r="CGA52" s="4"/>
      <c r="CGB52" s="4"/>
      <c r="CGC52" s="4"/>
      <c r="CGD52" s="4"/>
      <c r="CGE52" s="4"/>
      <c r="CGF52" s="4"/>
      <c r="CGG52" s="4"/>
      <c r="CGH52" s="4"/>
      <c r="CGI52" s="4"/>
      <c r="CGJ52" s="4"/>
      <c r="CGK52" s="4"/>
      <c r="CGL52" s="4"/>
      <c r="CGM52" s="4"/>
      <c r="CGN52" s="4"/>
      <c r="CGO52" s="4"/>
      <c r="CGP52" s="4"/>
      <c r="CGQ52" s="4"/>
      <c r="CGR52" s="4"/>
      <c r="CGS52" s="4"/>
      <c r="CGT52" s="4"/>
      <c r="CGU52" s="4"/>
      <c r="CGV52" s="4"/>
      <c r="CGW52" s="4"/>
      <c r="CGX52" s="4"/>
      <c r="CGY52" s="4"/>
      <c r="CGZ52" s="4"/>
      <c r="CHA52" s="4"/>
      <c r="CHB52" s="4"/>
      <c r="CHC52" s="4"/>
      <c r="CHD52" s="4"/>
      <c r="CHE52" s="4"/>
      <c r="CHF52" s="4"/>
      <c r="CHG52" s="4"/>
      <c r="CHH52" s="4"/>
      <c r="CHI52" s="4"/>
      <c r="CHJ52" s="4"/>
      <c r="CHK52" s="4"/>
      <c r="CHL52" s="4"/>
      <c r="CHM52" s="4"/>
      <c r="CHN52" s="4"/>
      <c r="CHO52" s="4"/>
      <c r="CHP52" s="4"/>
      <c r="CHQ52" s="4"/>
      <c r="CHR52" s="4"/>
      <c r="CHS52" s="4"/>
      <c r="CHT52" s="4"/>
      <c r="CHU52" s="4"/>
      <c r="CHV52" s="4"/>
      <c r="CHW52" s="4"/>
      <c r="CHX52" s="4"/>
      <c r="CHY52" s="4"/>
      <c r="CHZ52" s="4"/>
      <c r="CIA52" s="4"/>
      <c r="CIB52" s="4"/>
      <c r="CIC52" s="4"/>
      <c r="CID52" s="4"/>
      <c r="CIE52" s="4"/>
      <c r="CIF52" s="4"/>
      <c r="CIG52" s="4"/>
      <c r="CIH52" s="4"/>
      <c r="CII52" s="4"/>
      <c r="CIJ52" s="4"/>
      <c r="CIK52" s="4"/>
      <c r="CIL52" s="4"/>
      <c r="CIM52" s="4"/>
      <c r="CIN52" s="4"/>
      <c r="CIO52" s="4"/>
      <c r="CIP52" s="4"/>
      <c r="CIQ52" s="4"/>
      <c r="CIR52" s="4"/>
      <c r="CIS52" s="4"/>
      <c r="CIT52" s="4"/>
      <c r="CIU52" s="4"/>
      <c r="CIV52" s="4"/>
      <c r="CIW52" s="4"/>
      <c r="CIX52" s="4"/>
      <c r="CIY52" s="4"/>
      <c r="CIZ52" s="4"/>
      <c r="CJA52" s="4"/>
      <c r="CJB52" s="4"/>
      <c r="CJC52" s="4"/>
      <c r="CJD52" s="4"/>
      <c r="CJE52" s="4"/>
      <c r="CJF52" s="4"/>
      <c r="CJG52" s="4"/>
      <c r="CJH52" s="4"/>
      <c r="CJI52" s="4"/>
      <c r="CJJ52" s="4"/>
      <c r="CJK52" s="4"/>
      <c r="CJL52" s="4"/>
      <c r="CJM52" s="4"/>
      <c r="CJN52" s="4"/>
      <c r="CJO52" s="4"/>
      <c r="CJP52" s="4"/>
      <c r="CJQ52" s="4"/>
      <c r="CJR52" s="4"/>
      <c r="CJS52" s="4"/>
      <c r="CJT52" s="4"/>
      <c r="CJU52" s="4"/>
      <c r="CJV52" s="4"/>
      <c r="CJW52" s="4"/>
      <c r="CJX52" s="4"/>
      <c r="CJY52" s="4"/>
      <c r="CJZ52" s="4"/>
      <c r="CKA52" s="4"/>
      <c r="CKB52" s="4"/>
      <c r="CKC52" s="4"/>
      <c r="CKD52" s="4"/>
      <c r="CKE52" s="4"/>
      <c r="CKF52" s="4"/>
      <c r="CKG52" s="4"/>
      <c r="CKH52" s="4"/>
      <c r="CKI52" s="4"/>
      <c r="CKJ52" s="4"/>
      <c r="CKK52" s="4"/>
      <c r="CKL52" s="4"/>
      <c r="CKM52" s="4"/>
      <c r="CKN52" s="4"/>
      <c r="CKO52" s="4"/>
      <c r="CKP52" s="4"/>
      <c r="CKQ52" s="4"/>
      <c r="CKR52" s="4"/>
      <c r="CKS52" s="4"/>
      <c r="CKT52" s="4"/>
      <c r="CKU52" s="4"/>
      <c r="CKV52" s="4"/>
      <c r="CKW52" s="4"/>
      <c r="CKX52" s="4"/>
      <c r="CKY52" s="4"/>
      <c r="CKZ52" s="4"/>
      <c r="CLA52" s="4"/>
      <c r="CLB52" s="4"/>
      <c r="CLC52" s="4"/>
      <c r="CLD52" s="4"/>
      <c r="CLE52" s="4"/>
      <c r="CLF52" s="4"/>
      <c r="CLG52" s="4"/>
      <c r="CLH52" s="4"/>
      <c r="CLI52" s="4"/>
      <c r="CLJ52" s="4"/>
      <c r="CLK52" s="4"/>
      <c r="CLL52" s="4"/>
      <c r="CLM52" s="4"/>
      <c r="CLN52" s="4"/>
      <c r="CLO52" s="4"/>
      <c r="CLP52" s="4"/>
      <c r="CLQ52" s="4"/>
      <c r="CLR52" s="4"/>
      <c r="CLS52" s="4"/>
      <c r="CLT52" s="4"/>
      <c r="CLU52" s="4"/>
      <c r="CLV52" s="4"/>
      <c r="CLW52" s="4"/>
      <c r="CLX52" s="4"/>
      <c r="CLY52" s="4"/>
      <c r="CLZ52" s="4"/>
      <c r="CMA52" s="4"/>
      <c r="CMB52" s="4"/>
      <c r="CMC52" s="4"/>
      <c r="CMD52" s="4"/>
      <c r="CME52" s="4"/>
      <c r="CMF52" s="4"/>
      <c r="CMG52" s="4"/>
      <c r="CMH52" s="4"/>
      <c r="CMI52" s="4"/>
      <c r="CMJ52" s="4"/>
      <c r="CMK52" s="4"/>
      <c r="CML52" s="4"/>
      <c r="CMM52" s="4"/>
      <c r="CMN52" s="4"/>
      <c r="CMO52" s="4"/>
      <c r="CMP52" s="4"/>
      <c r="CMQ52" s="4"/>
      <c r="CMR52" s="4"/>
      <c r="CMS52" s="4"/>
      <c r="CMT52" s="4"/>
      <c r="CMU52" s="4"/>
      <c r="CMV52" s="4"/>
      <c r="CMW52" s="4"/>
      <c r="CMX52" s="4"/>
      <c r="CMY52" s="4"/>
      <c r="CMZ52" s="4"/>
      <c r="CNA52" s="4"/>
      <c r="CNB52" s="4"/>
      <c r="CNC52" s="4"/>
      <c r="CND52" s="4"/>
      <c r="CNE52" s="4"/>
      <c r="CNF52" s="4"/>
      <c r="CNG52" s="4"/>
      <c r="CNH52" s="4"/>
      <c r="CNI52" s="4"/>
      <c r="CNJ52" s="4"/>
      <c r="CNK52" s="4"/>
      <c r="CNL52" s="4"/>
      <c r="CNM52" s="4"/>
      <c r="CNN52" s="4"/>
      <c r="CNO52" s="4"/>
      <c r="CNP52" s="4"/>
      <c r="CNQ52" s="4"/>
      <c r="CNR52" s="4"/>
      <c r="CNS52" s="4"/>
      <c r="CNT52" s="4"/>
      <c r="CNU52" s="4"/>
      <c r="CNV52" s="4"/>
      <c r="CNW52" s="4"/>
      <c r="CNX52" s="4"/>
      <c r="CNY52" s="4"/>
      <c r="CNZ52" s="4"/>
      <c r="COA52" s="4"/>
      <c r="COB52" s="4"/>
      <c r="COC52" s="4"/>
      <c r="COD52" s="4"/>
      <c r="COE52" s="4"/>
      <c r="COF52" s="4"/>
      <c r="COG52" s="4"/>
      <c r="COH52" s="4"/>
      <c r="COI52" s="4"/>
      <c r="COJ52" s="4"/>
      <c r="COK52" s="4"/>
      <c r="COL52" s="4"/>
      <c r="COM52" s="4"/>
      <c r="CON52" s="4"/>
      <c r="COO52" s="4"/>
      <c r="COP52" s="4"/>
      <c r="COQ52" s="4"/>
      <c r="COR52" s="4"/>
      <c r="COS52" s="4"/>
      <c r="COT52" s="4"/>
      <c r="COU52" s="4"/>
      <c r="COV52" s="4"/>
      <c r="COW52" s="4"/>
      <c r="COX52" s="4"/>
      <c r="COY52" s="4"/>
      <c r="COZ52" s="4"/>
      <c r="CPA52" s="4"/>
      <c r="CPB52" s="4"/>
      <c r="CPC52" s="4"/>
      <c r="CPD52" s="4"/>
      <c r="CPE52" s="4"/>
      <c r="CPF52" s="4"/>
      <c r="CPG52" s="4"/>
      <c r="CPH52" s="4"/>
      <c r="CPI52" s="4"/>
      <c r="CPJ52" s="4"/>
      <c r="CPK52" s="4"/>
      <c r="CPL52" s="4"/>
      <c r="CPM52" s="4"/>
      <c r="CPN52" s="4"/>
      <c r="CPO52" s="4"/>
      <c r="CPP52" s="4"/>
      <c r="CPQ52" s="4"/>
      <c r="CPR52" s="4"/>
      <c r="CPS52" s="4"/>
      <c r="CPT52" s="4"/>
      <c r="CPU52" s="4"/>
      <c r="CPV52" s="4"/>
      <c r="CPW52" s="4"/>
      <c r="CPX52" s="4"/>
      <c r="CPY52" s="4"/>
      <c r="CPZ52" s="4"/>
      <c r="CQA52" s="4"/>
      <c r="CQB52" s="4"/>
      <c r="CQC52" s="4"/>
      <c r="CQD52" s="4"/>
      <c r="CQE52" s="4"/>
      <c r="CQF52" s="4"/>
      <c r="CQG52" s="4"/>
      <c r="CQH52" s="4"/>
      <c r="CQI52" s="4"/>
      <c r="CQJ52" s="4"/>
      <c r="CQK52" s="4"/>
      <c r="CQL52" s="4"/>
      <c r="CQM52" s="4"/>
      <c r="CQN52" s="4"/>
      <c r="CQO52" s="4"/>
      <c r="CQP52" s="4"/>
      <c r="CQQ52" s="4"/>
      <c r="CQR52" s="4"/>
      <c r="CQS52" s="4"/>
      <c r="CQT52" s="4"/>
      <c r="CQU52" s="4"/>
      <c r="CQV52" s="4"/>
      <c r="CQW52" s="4"/>
      <c r="CQX52" s="4"/>
      <c r="CQY52" s="4"/>
      <c r="CQZ52" s="4"/>
      <c r="CRA52" s="4"/>
      <c r="CRB52" s="4"/>
      <c r="CRC52" s="4"/>
      <c r="CRD52" s="4"/>
      <c r="CRE52" s="4"/>
      <c r="CRF52" s="4"/>
      <c r="CRG52" s="4"/>
      <c r="CRH52" s="4"/>
      <c r="CRI52" s="4"/>
      <c r="CRJ52" s="4"/>
      <c r="CRK52" s="4"/>
      <c r="CRL52" s="4"/>
      <c r="CRM52" s="4"/>
      <c r="CRN52" s="4"/>
      <c r="CRO52" s="4"/>
      <c r="CRP52" s="4"/>
      <c r="CRQ52" s="4"/>
      <c r="CRR52" s="4"/>
      <c r="CRS52" s="4"/>
      <c r="CRT52" s="4"/>
      <c r="CRU52" s="4"/>
      <c r="CRV52" s="4"/>
      <c r="CRW52" s="4"/>
      <c r="CRX52" s="4"/>
      <c r="CRY52" s="4"/>
      <c r="CRZ52" s="4"/>
      <c r="CSA52" s="4"/>
      <c r="CSB52" s="4"/>
      <c r="CSC52" s="4"/>
      <c r="CSD52" s="4"/>
      <c r="CSE52" s="4"/>
      <c r="CSF52" s="4"/>
      <c r="CSG52" s="4"/>
      <c r="CSH52" s="4"/>
      <c r="CSI52" s="4"/>
      <c r="CSJ52" s="4"/>
      <c r="CSK52" s="4"/>
      <c r="CSL52" s="4"/>
      <c r="CSM52" s="4"/>
      <c r="CSN52" s="4"/>
      <c r="CSO52" s="4"/>
      <c r="CSP52" s="4"/>
      <c r="CSQ52" s="4"/>
      <c r="CSR52" s="4"/>
      <c r="CSS52" s="4"/>
      <c r="CST52" s="4"/>
      <c r="CSU52" s="4"/>
      <c r="CSV52" s="4"/>
      <c r="CSW52" s="4"/>
      <c r="CSX52" s="4"/>
      <c r="CSY52" s="4"/>
      <c r="CSZ52" s="4"/>
      <c r="CTA52" s="4"/>
      <c r="CTB52" s="4"/>
      <c r="CTC52" s="4"/>
      <c r="CTD52" s="4"/>
      <c r="CTE52" s="4"/>
      <c r="CTF52" s="4"/>
      <c r="CTG52" s="4"/>
      <c r="CTH52" s="4"/>
      <c r="CTI52" s="4"/>
      <c r="CTJ52" s="4"/>
      <c r="CTK52" s="4"/>
      <c r="CTL52" s="4"/>
      <c r="CTM52" s="4"/>
      <c r="CTN52" s="4"/>
      <c r="CTO52" s="4"/>
      <c r="CTP52" s="4"/>
      <c r="CTQ52" s="4"/>
      <c r="CTR52" s="4"/>
      <c r="CTS52" s="4"/>
      <c r="CTT52" s="4"/>
      <c r="CTU52" s="4"/>
      <c r="CTV52" s="4"/>
      <c r="CTW52" s="4"/>
      <c r="CTX52" s="4"/>
      <c r="CTY52" s="4"/>
      <c r="CTZ52" s="4"/>
      <c r="CUA52" s="4"/>
      <c r="CUB52" s="4"/>
      <c r="CUC52" s="4"/>
      <c r="CUD52" s="4"/>
      <c r="CUE52" s="4"/>
      <c r="CUF52" s="4"/>
      <c r="CUG52" s="4"/>
      <c r="CUH52" s="4"/>
      <c r="CUI52" s="4"/>
      <c r="CUJ52" s="4"/>
      <c r="CUK52" s="4"/>
      <c r="CUL52" s="4"/>
      <c r="CUM52" s="4"/>
      <c r="CUN52" s="4"/>
      <c r="CUO52" s="4"/>
      <c r="CUP52" s="4"/>
      <c r="CUQ52" s="4"/>
      <c r="CUR52" s="4"/>
      <c r="CUS52" s="4"/>
      <c r="CUT52" s="4"/>
      <c r="CUU52" s="4"/>
      <c r="CUV52" s="4"/>
      <c r="CUW52" s="4"/>
      <c r="CUX52" s="4"/>
      <c r="CUY52" s="4"/>
      <c r="CUZ52" s="4"/>
      <c r="CVA52" s="4"/>
      <c r="CVB52" s="4"/>
      <c r="CVC52" s="4"/>
      <c r="CVD52" s="4"/>
      <c r="CVE52" s="4"/>
      <c r="CVF52" s="4"/>
      <c r="CVG52" s="4"/>
      <c r="CVH52" s="4"/>
      <c r="CVI52" s="4"/>
      <c r="CVJ52" s="4"/>
      <c r="CVK52" s="4"/>
      <c r="CVL52" s="4"/>
      <c r="CVM52" s="4"/>
      <c r="CVN52" s="4"/>
      <c r="CVO52" s="4"/>
      <c r="CVP52" s="4"/>
      <c r="CVQ52" s="4"/>
      <c r="CVR52" s="4"/>
      <c r="CVS52" s="4"/>
      <c r="CVT52" s="4"/>
      <c r="CVU52" s="4"/>
      <c r="CVV52" s="4"/>
      <c r="CVW52" s="4"/>
      <c r="CVX52" s="4"/>
      <c r="CVY52" s="4"/>
      <c r="CVZ52" s="4"/>
      <c r="CWA52" s="4"/>
      <c r="CWB52" s="4"/>
      <c r="CWC52" s="4"/>
      <c r="CWD52" s="4"/>
      <c r="CWE52" s="4"/>
      <c r="CWF52" s="4"/>
      <c r="CWG52" s="4"/>
      <c r="CWH52" s="4"/>
      <c r="CWI52" s="4"/>
      <c r="CWJ52" s="4"/>
      <c r="CWK52" s="4"/>
      <c r="CWL52" s="4"/>
      <c r="CWM52" s="4"/>
      <c r="CWN52" s="4"/>
      <c r="CWO52" s="4"/>
      <c r="CWP52" s="4"/>
      <c r="CWQ52" s="4"/>
      <c r="CWR52" s="4"/>
      <c r="CWS52" s="4"/>
      <c r="CWT52" s="4"/>
      <c r="CWU52" s="4"/>
      <c r="CWV52" s="4"/>
      <c r="CWW52" s="4"/>
      <c r="CWX52" s="4"/>
      <c r="CWY52" s="4"/>
      <c r="CWZ52" s="4"/>
      <c r="CXA52" s="4"/>
      <c r="CXB52" s="4"/>
      <c r="CXC52" s="4"/>
      <c r="CXD52" s="4"/>
      <c r="CXE52" s="4"/>
      <c r="CXF52" s="4"/>
      <c r="CXG52" s="4"/>
      <c r="CXH52" s="4"/>
      <c r="CXI52" s="4"/>
      <c r="CXJ52" s="4"/>
      <c r="CXK52" s="4"/>
      <c r="CXL52" s="4"/>
      <c r="CXM52" s="4"/>
      <c r="CXN52" s="4"/>
      <c r="CXO52" s="4"/>
      <c r="CXP52" s="4"/>
      <c r="CXQ52" s="4"/>
      <c r="CXR52" s="4"/>
      <c r="CXS52" s="4"/>
      <c r="CXT52" s="4"/>
      <c r="CXU52" s="4"/>
      <c r="CXV52" s="4"/>
      <c r="CXW52" s="4"/>
      <c r="CXX52" s="4"/>
      <c r="CXY52" s="4"/>
      <c r="CXZ52" s="4"/>
      <c r="CYA52" s="4"/>
      <c r="CYB52" s="4"/>
      <c r="CYC52" s="4"/>
      <c r="CYD52" s="4"/>
      <c r="CYE52" s="4"/>
      <c r="CYF52" s="4"/>
      <c r="CYG52" s="4"/>
      <c r="CYH52" s="4"/>
      <c r="CYI52" s="4"/>
      <c r="CYJ52" s="4"/>
      <c r="CYK52" s="4"/>
      <c r="CYL52" s="4"/>
      <c r="CYM52" s="4"/>
      <c r="CYN52" s="4"/>
      <c r="CYO52" s="4"/>
      <c r="CYP52" s="4"/>
      <c r="CYQ52" s="4"/>
      <c r="CYR52" s="4"/>
      <c r="CYS52" s="4"/>
      <c r="CYT52" s="4"/>
      <c r="CYU52" s="4"/>
      <c r="CYV52" s="4"/>
      <c r="CYW52" s="4"/>
      <c r="CYX52" s="4"/>
      <c r="CYY52" s="4"/>
      <c r="CYZ52" s="4"/>
      <c r="CZA52" s="4"/>
      <c r="CZB52" s="4"/>
      <c r="CZC52" s="4"/>
      <c r="CZD52" s="4"/>
      <c r="CZE52" s="4"/>
      <c r="CZF52" s="4"/>
      <c r="CZG52" s="4"/>
      <c r="CZH52" s="4"/>
      <c r="CZI52" s="4"/>
      <c r="CZJ52" s="4"/>
      <c r="CZK52" s="4"/>
      <c r="CZL52" s="4"/>
      <c r="CZM52" s="4"/>
      <c r="CZN52" s="4"/>
      <c r="CZO52" s="4"/>
      <c r="CZP52" s="4"/>
      <c r="CZQ52" s="4"/>
      <c r="CZR52" s="4"/>
      <c r="CZS52" s="4"/>
      <c r="CZT52" s="4"/>
      <c r="CZU52" s="4"/>
      <c r="CZV52" s="4"/>
      <c r="CZW52" s="4"/>
      <c r="CZX52" s="4"/>
      <c r="CZY52" s="4"/>
      <c r="CZZ52" s="4"/>
      <c r="DAA52" s="4"/>
      <c r="DAB52" s="4"/>
      <c r="DAC52" s="4"/>
      <c r="DAD52" s="4"/>
      <c r="DAE52" s="4"/>
      <c r="DAF52" s="4"/>
      <c r="DAG52" s="4"/>
      <c r="DAH52" s="4"/>
      <c r="DAI52" s="4"/>
      <c r="DAJ52" s="4"/>
      <c r="DAK52" s="4"/>
      <c r="DAL52" s="4"/>
      <c r="DAM52" s="4"/>
      <c r="DAN52" s="4"/>
      <c r="DAO52" s="4"/>
      <c r="DAP52" s="4"/>
      <c r="DAQ52" s="4"/>
      <c r="DAR52" s="4"/>
      <c r="DAS52" s="4"/>
      <c r="DAT52" s="4"/>
      <c r="DAU52" s="4"/>
      <c r="DAV52" s="4"/>
      <c r="DAW52" s="4"/>
      <c r="DAX52" s="4"/>
      <c r="DAY52" s="4"/>
      <c r="DAZ52" s="4"/>
      <c r="DBA52" s="4"/>
      <c r="DBB52" s="4"/>
      <c r="DBC52" s="4"/>
      <c r="DBD52" s="4"/>
      <c r="DBE52" s="4"/>
      <c r="DBF52" s="4"/>
      <c r="DBG52" s="4"/>
      <c r="DBH52" s="4"/>
      <c r="DBI52" s="4"/>
      <c r="DBJ52" s="4"/>
      <c r="DBK52" s="4"/>
      <c r="DBL52" s="4"/>
      <c r="DBM52" s="4"/>
      <c r="DBN52" s="4"/>
      <c r="DBO52" s="4"/>
      <c r="DBP52" s="4"/>
      <c r="DBQ52" s="4"/>
      <c r="DBR52" s="4"/>
      <c r="DBS52" s="4"/>
      <c r="DBT52" s="4"/>
      <c r="DBU52" s="4"/>
      <c r="DBV52" s="4"/>
      <c r="DBW52" s="4"/>
      <c r="DBX52" s="4"/>
      <c r="DBY52" s="4"/>
      <c r="DBZ52" s="4"/>
      <c r="DCA52" s="4"/>
      <c r="DCB52" s="4"/>
      <c r="DCC52" s="4"/>
      <c r="DCD52" s="4"/>
      <c r="DCE52" s="4"/>
      <c r="DCF52" s="4"/>
      <c r="DCG52" s="4"/>
      <c r="DCH52" s="4"/>
      <c r="DCI52" s="4"/>
      <c r="DCJ52" s="4"/>
      <c r="DCK52" s="4"/>
      <c r="DCL52" s="4"/>
      <c r="DCM52" s="4"/>
      <c r="DCN52" s="4"/>
      <c r="DCO52" s="4"/>
      <c r="DCP52" s="4"/>
      <c r="DCQ52" s="4"/>
      <c r="DCR52" s="4"/>
      <c r="DCS52" s="4"/>
      <c r="DCT52" s="4"/>
      <c r="DCU52" s="4"/>
      <c r="DCV52" s="4"/>
      <c r="DCW52" s="4"/>
      <c r="DCX52" s="4"/>
      <c r="DCY52" s="4"/>
      <c r="DCZ52" s="4"/>
      <c r="DDA52" s="4"/>
      <c r="DDB52" s="4"/>
      <c r="DDC52" s="4"/>
      <c r="DDD52" s="4"/>
      <c r="DDE52" s="4"/>
      <c r="DDF52" s="4"/>
      <c r="DDG52" s="4"/>
      <c r="DDH52" s="4"/>
      <c r="DDI52" s="4"/>
      <c r="DDJ52" s="4"/>
      <c r="DDK52" s="4"/>
      <c r="DDL52" s="4"/>
      <c r="DDM52" s="4"/>
      <c r="DDN52" s="4"/>
      <c r="DDO52" s="4"/>
      <c r="DDP52" s="4"/>
      <c r="DDQ52" s="4"/>
      <c r="DDR52" s="4"/>
      <c r="DDS52" s="4"/>
      <c r="DDT52" s="4"/>
      <c r="DDU52" s="4"/>
      <c r="DDV52" s="4"/>
      <c r="DDW52" s="4"/>
      <c r="DDX52" s="4"/>
      <c r="DDY52" s="4"/>
      <c r="DDZ52" s="4"/>
      <c r="DEA52" s="4"/>
      <c r="DEB52" s="4"/>
      <c r="DEC52" s="4"/>
      <c r="DED52" s="4"/>
      <c r="DEE52" s="4"/>
      <c r="DEF52" s="4"/>
      <c r="DEG52" s="4"/>
      <c r="DEH52" s="4"/>
      <c r="DEI52" s="4"/>
      <c r="DEJ52" s="4"/>
      <c r="DEK52" s="4"/>
      <c r="DEL52" s="4"/>
      <c r="DEM52" s="4"/>
      <c r="DEN52" s="4"/>
      <c r="DEO52" s="4"/>
      <c r="DEP52" s="4"/>
      <c r="DEQ52" s="4"/>
      <c r="DER52" s="4"/>
      <c r="DES52" s="4"/>
      <c r="DET52" s="4"/>
      <c r="DEU52" s="4"/>
      <c r="DEV52" s="4"/>
      <c r="DEW52" s="4"/>
      <c r="DEX52" s="4"/>
      <c r="DEY52" s="4"/>
      <c r="DEZ52" s="4"/>
      <c r="DFA52" s="4"/>
      <c r="DFB52" s="4"/>
      <c r="DFC52" s="4"/>
      <c r="DFD52" s="4"/>
      <c r="DFE52" s="4"/>
      <c r="DFF52" s="4"/>
      <c r="DFG52" s="4"/>
      <c r="DFH52" s="4"/>
      <c r="DFI52" s="4"/>
      <c r="DFJ52" s="4"/>
      <c r="DFK52" s="4"/>
      <c r="DFL52" s="4"/>
      <c r="DFM52" s="4"/>
      <c r="DFN52" s="4"/>
      <c r="DFO52" s="4"/>
      <c r="DFP52" s="4"/>
      <c r="DFQ52" s="4"/>
      <c r="DFR52" s="4"/>
      <c r="DFS52" s="4"/>
      <c r="DFT52" s="4"/>
      <c r="DFU52" s="4"/>
      <c r="DFV52" s="4"/>
      <c r="DFW52" s="4"/>
      <c r="DFX52" s="4"/>
      <c r="DFY52" s="4"/>
      <c r="DFZ52" s="4"/>
      <c r="DGA52" s="4"/>
      <c r="DGB52" s="4"/>
      <c r="DGC52" s="4"/>
      <c r="DGD52" s="4"/>
      <c r="DGE52" s="4"/>
      <c r="DGF52" s="4"/>
      <c r="DGG52" s="4"/>
      <c r="DGH52" s="4"/>
      <c r="DGI52" s="4"/>
      <c r="DGJ52" s="4"/>
      <c r="DGK52" s="4"/>
      <c r="DGL52" s="4"/>
      <c r="DGM52" s="4"/>
      <c r="DGN52" s="4"/>
      <c r="DGO52" s="4"/>
      <c r="DGP52" s="4"/>
      <c r="DGQ52" s="4"/>
      <c r="DGR52" s="4"/>
      <c r="DGS52" s="4"/>
      <c r="DGT52" s="4"/>
      <c r="DGU52" s="4"/>
      <c r="DGV52" s="4"/>
      <c r="DGW52" s="4"/>
      <c r="DGX52" s="4"/>
      <c r="DGY52" s="4"/>
      <c r="DGZ52" s="4"/>
      <c r="DHA52" s="4"/>
      <c r="DHB52" s="4"/>
      <c r="DHC52" s="4"/>
      <c r="DHD52" s="4"/>
      <c r="DHE52" s="4"/>
      <c r="DHF52" s="4"/>
      <c r="DHG52" s="4"/>
      <c r="DHH52" s="4"/>
      <c r="DHI52" s="4"/>
      <c r="DHJ52" s="4"/>
      <c r="DHK52" s="4"/>
      <c r="DHL52" s="4"/>
      <c r="DHM52" s="4"/>
      <c r="DHN52" s="4"/>
      <c r="DHO52" s="4"/>
      <c r="DHP52" s="4"/>
      <c r="DHQ52" s="4"/>
      <c r="DHR52" s="4"/>
      <c r="DHS52" s="4"/>
      <c r="DHT52" s="4"/>
      <c r="DHU52" s="4"/>
      <c r="DHV52" s="4"/>
      <c r="DHW52" s="4"/>
      <c r="DHX52" s="4"/>
      <c r="DHY52" s="4"/>
      <c r="DHZ52" s="4"/>
      <c r="DIA52" s="4"/>
      <c r="DIB52" s="4"/>
      <c r="DIC52" s="4"/>
      <c r="DID52" s="4"/>
      <c r="DIE52" s="4"/>
      <c r="DIF52" s="4"/>
      <c r="DIG52" s="4"/>
      <c r="DIH52" s="4"/>
      <c r="DII52" s="4"/>
      <c r="DIJ52" s="4"/>
      <c r="DIK52" s="4"/>
      <c r="DIL52" s="4"/>
      <c r="DIM52" s="4"/>
      <c r="DIN52" s="4"/>
      <c r="DIO52" s="4"/>
      <c r="DIP52" s="4"/>
      <c r="DIQ52" s="4"/>
      <c r="DIR52" s="4"/>
      <c r="DIS52" s="4"/>
      <c r="DIT52" s="4"/>
      <c r="DIU52" s="4"/>
      <c r="DIV52" s="4"/>
      <c r="DIW52" s="4"/>
      <c r="DIX52" s="4"/>
      <c r="DIY52" s="4"/>
      <c r="DIZ52" s="4"/>
      <c r="DJA52" s="4"/>
      <c r="DJB52" s="4"/>
      <c r="DJC52" s="4"/>
      <c r="DJD52" s="4"/>
      <c r="DJE52" s="4"/>
      <c r="DJF52" s="4"/>
      <c r="DJG52" s="4"/>
      <c r="DJH52" s="4"/>
      <c r="DJI52" s="4"/>
      <c r="DJJ52" s="4"/>
      <c r="DJK52" s="4"/>
      <c r="DJL52" s="4"/>
      <c r="DJM52" s="4"/>
      <c r="DJN52" s="4"/>
      <c r="DJO52" s="4"/>
      <c r="DJP52" s="4"/>
      <c r="DJQ52" s="4"/>
      <c r="DJR52" s="4"/>
      <c r="DJS52" s="4"/>
      <c r="DJT52" s="4"/>
      <c r="DJU52" s="4"/>
      <c r="DJV52" s="4"/>
      <c r="DJW52" s="4"/>
      <c r="DJX52" s="4"/>
      <c r="DJY52" s="4"/>
      <c r="DJZ52" s="4"/>
      <c r="DKA52" s="4"/>
      <c r="DKB52" s="4"/>
      <c r="DKC52" s="4"/>
      <c r="DKD52" s="4"/>
      <c r="DKE52" s="4"/>
      <c r="DKF52" s="4"/>
      <c r="DKG52" s="4"/>
      <c r="DKH52" s="4"/>
      <c r="DKI52" s="4"/>
      <c r="DKJ52" s="4"/>
      <c r="DKK52" s="4"/>
      <c r="DKL52" s="4"/>
      <c r="DKM52" s="4"/>
      <c r="DKN52" s="4"/>
      <c r="DKO52" s="4"/>
      <c r="DKP52" s="4"/>
      <c r="DKQ52" s="4"/>
      <c r="DKR52" s="4"/>
      <c r="DKS52" s="4"/>
      <c r="DKT52" s="4"/>
      <c r="DKU52" s="4"/>
      <c r="DKV52" s="4"/>
      <c r="DKW52" s="4"/>
      <c r="DKX52" s="4"/>
      <c r="DKY52" s="4"/>
      <c r="DKZ52" s="4"/>
      <c r="DLA52" s="4"/>
      <c r="DLB52" s="4"/>
      <c r="DLC52" s="4"/>
      <c r="DLD52" s="4"/>
      <c r="DLE52" s="4"/>
      <c r="DLF52" s="4"/>
      <c r="DLG52" s="4"/>
      <c r="DLH52" s="4"/>
      <c r="DLI52" s="4"/>
      <c r="DLJ52" s="4"/>
      <c r="DLK52" s="4"/>
      <c r="DLL52" s="4"/>
      <c r="DLM52" s="4"/>
      <c r="DLN52" s="4"/>
      <c r="DLO52" s="4"/>
      <c r="DLP52" s="4"/>
      <c r="DLQ52" s="4"/>
      <c r="DLR52" s="4"/>
      <c r="DLS52" s="4"/>
      <c r="DLT52" s="4"/>
      <c r="DLU52" s="4"/>
      <c r="DLV52" s="4"/>
      <c r="DLW52" s="4"/>
      <c r="DLX52" s="4"/>
      <c r="DLY52" s="4"/>
      <c r="DLZ52" s="4"/>
      <c r="DMA52" s="4"/>
      <c r="DMB52" s="4"/>
      <c r="DMC52" s="4"/>
      <c r="DMD52" s="4"/>
      <c r="DME52" s="4"/>
      <c r="DMF52" s="4"/>
      <c r="DMG52" s="4"/>
      <c r="DMH52" s="4"/>
      <c r="DMI52" s="4"/>
      <c r="DMJ52" s="4"/>
      <c r="DMK52" s="4"/>
      <c r="DML52" s="4"/>
      <c r="DMM52" s="4"/>
      <c r="DMN52" s="4"/>
      <c r="DMO52" s="4"/>
      <c r="DMP52" s="4"/>
      <c r="DMQ52" s="4"/>
      <c r="DMR52" s="4"/>
      <c r="DMS52" s="4"/>
      <c r="DMT52" s="4"/>
      <c r="DMU52" s="4"/>
      <c r="DMV52" s="4"/>
      <c r="DMW52" s="4"/>
      <c r="DMX52" s="4"/>
      <c r="DMY52" s="4"/>
      <c r="DMZ52" s="4"/>
      <c r="DNA52" s="4"/>
      <c r="DNB52" s="4"/>
      <c r="DNC52" s="4"/>
      <c r="DND52" s="4"/>
      <c r="DNE52" s="4"/>
      <c r="DNF52" s="4"/>
      <c r="DNG52" s="4"/>
      <c r="DNH52" s="4"/>
      <c r="DNI52" s="4"/>
      <c r="DNJ52" s="4"/>
      <c r="DNK52" s="4"/>
      <c r="DNL52" s="4"/>
      <c r="DNM52" s="4"/>
      <c r="DNN52" s="4"/>
      <c r="DNO52" s="4"/>
      <c r="DNP52" s="4"/>
      <c r="DNQ52" s="4"/>
      <c r="DNR52" s="4"/>
      <c r="DNS52" s="4"/>
      <c r="DNT52" s="4"/>
      <c r="DNU52" s="4"/>
      <c r="DNV52" s="4"/>
      <c r="DNW52" s="4"/>
      <c r="DNX52" s="4"/>
      <c r="DNY52" s="4"/>
      <c r="DNZ52" s="4"/>
      <c r="DOA52" s="4"/>
      <c r="DOB52" s="4"/>
      <c r="DOC52" s="4"/>
      <c r="DOD52" s="4"/>
      <c r="DOE52" s="4"/>
      <c r="DOF52" s="4"/>
      <c r="DOG52" s="4"/>
      <c r="DOH52" s="4"/>
      <c r="DOI52" s="4"/>
      <c r="DOJ52" s="4"/>
      <c r="DOK52" s="4"/>
      <c r="DOL52" s="4"/>
      <c r="DOM52" s="4"/>
      <c r="DON52" s="4"/>
      <c r="DOO52" s="4"/>
      <c r="DOP52" s="4"/>
      <c r="DOQ52" s="4"/>
      <c r="DOR52" s="4"/>
      <c r="DOS52" s="4"/>
      <c r="DOT52" s="4"/>
      <c r="DOU52" s="4"/>
      <c r="DOV52" s="4"/>
      <c r="DOW52" s="4"/>
      <c r="DOX52" s="4"/>
      <c r="DOY52" s="4"/>
      <c r="DOZ52" s="4"/>
      <c r="DPA52" s="4"/>
      <c r="DPB52" s="4"/>
      <c r="DPC52" s="4"/>
      <c r="DPD52" s="4"/>
      <c r="DPE52" s="4"/>
      <c r="DPF52" s="4"/>
      <c r="DPG52" s="4"/>
      <c r="DPH52" s="4"/>
      <c r="DPI52" s="4"/>
      <c r="DPJ52" s="4"/>
      <c r="DPK52" s="4"/>
      <c r="DPL52" s="4"/>
      <c r="DPM52" s="4"/>
      <c r="DPN52" s="4"/>
      <c r="DPO52" s="4"/>
      <c r="DPP52" s="4"/>
      <c r="DPQ52" s="4"/>
      <c r="DPR52" s="4"/>
      <c r="DPS52" s="4"/>
      <c r="DPT52" s="4"/>
      <c r="DPU52" s="4"/>
      <c r="DPV52" s="4"/>
      <c r="DPW52" s="4"/>
      <c r="DPX52" s="4"/>
      <c r="DPY52" s="4"/>
      <c r="DPZ52" s="4"/>
      <c r="DQA52" s="4"/>
      <c r="DQB52" s="4"/>
      <c r="DQC52" s="4"/>
      <c r="DQD52" s="4"/>
      <c r="DQE52" s="4"/>
      <c r="DQF52" s="4"/>
      <c r="DQG52" s="4"/>
      <c r="DQH52" s="4"/>
      <c r="DQI52" s="4"/>
      <c r="DQJ52" s="4"/>
      <c r="DQK52" s="4"/>
      <c r="DQL52" s="4"/>
      <c r="DQM52" s="4"/>
      <c r="DQN52" s="4"/>
      <c r="DQO52" s="4"/>
      <c r="DQP52" s="4"/>
      <c r="DQQ52" s="4"/>
      <c r="DQR52" s="4"/>
      <c r="DQS52" s="4"/>
      <c r="DQT52" s="4"/>
      <c r="DQU52" s="4"/>
      <c r="DQV52" s="4"/>
      <c r="DQW52" s="4"/>
      <c r="DQX52" s="4"/>
      <c r="DQY52" s="4"/>
      <c r="DQZ52" s="4"/>
      <c r="DRA52" s="4"/>
      <c r="DRB52" s="4"/>
      <c r="DRC52" s="4"/>
      <c r="DRD52" s="4"/>
      <c r="DRE52" s="4"/>
      <c r="DRF52" s="4"/>
      <c r="DRG52" s="4"/>
      <c r="DRH52" s="4"/>
      <c r="DRI52" s="4"/>
      <c r="DRJ52" s="4"/>
      <c r="DRK52" s="4"/>
      <c r="DRL52" s="4"/>
      <c r="DRM52" s="4"/>
      <c r="DRN52" s="4"/>
      <c r="DRO52" s="4"/>
      <c r="DRP52" s="4"/>
      <c r="DRQ52" s="4"/>
      <c r="DRR52" s="4"/>
      <c r="DRS52" s="4"/>
      <c r="DRT52" s="4"/>
      <c r="DRU52" s="4"/>
      <c r="DRV52" s="4"/>
      <c r="DRW52" s="4"/>
      <c r="DRX52" s="4"/>
      <c r="DRY52" s="4"/>
      <c r="DRZ52" s="4"/>
      <c r="DSA52" s="4"/>
      <c r="DSB52" s="4"/>
      <c r="DSC52" s="4"/>
      <c r="DSD52" s="4"/>
      <c r="DSE52" s="4"/>
      <c r="DSF52" s="4"/>
      <c r="DSG52" s="4"/>
      <c r="DSH52" s="4"/>
      <c r="DSI52" s="4"/>
      <c r="DSJ52" s="4"/>
      <c r="DSK52" s="4"/>
      <c r="DSL52" s="4"/>
      <c r="DSM52" s="4"/>
      <c r="DSN52" s="4"/>
      <c r="DSO52" s="4"/>
      <c r="DSP52" s="4"/>
      <c r="DSQ52" s="4"/>
      <c r="DSR52" s="4"/>
      <c r="DSS52" s="4"/>
      <c r="DST52" s="4"/>
      <c r="DSU52" s="4"/>
      <c r="DSV52" s="4"/>
      <c r="DSW52" s="4"/>
      <c r="DSX52" s="4"/>
      <c r="DSY52" s="4"/>
      <c r="DSZ52" s="4"/>
      <c r="DTA52" s="4"/>
      <c r="DTB52" s="4"/>
      <c r="DTC52" s="4"/>
      <c r="DTD52" s="4"/>
      <c r="DTE52" s="4"/>
      <c r="DTF52" s="4"/>
      <c r="DTG52" s="4"/>
      <c r="DTH52" s="4"/>
      <c r="DTI52" s="4"/>
      <c r="DTJ52" s="4"/>
      <c r="DTK52" s="4"/>
      <c r="DTL52" s="4"/>
      <c r="DTM52" s="4"/>
      <c r="DTN52" s="4"/>
      <c r="DTO52" s="4"/>
      <c r="DTP52" s="4"/>
      <c r="DTQ52" s="4"/>
      <c r="DTR52" s="4"/>
      <c r="DTS52" s="4"/>
      <c r="DTT52" s="4"/>
      <c r="DTU52" s="4"/>
      <c r="DTV52" s="4"/>
      <c r="DTW52" s="4"/>
      <c r="DTX52" s="4"/>
      <c r="DTY52" s="4"/>
      <c r="DTZ52" s="4"/>
      <c r="DUA52" s="4"/>
      <c r="DUB52" s="4"/>
      <c r="DUC52" s="4"/>
      <c r="DUD52" s="4"/>
      <c r="DUE52" s="4"/>
      <c r="DUF52" s="4"/>
      <c r="DUG52" s="4"/>
      <c r="DUH52" s="4"/>
      <c r="DUI52" s="4"/>
      <c r="DUJ52" s="4"/>
      <c r="DUK52" s="4"/>
      <c r="DUL52" s="4"/>
      <c r="DUM52" s="4"/>
      <c r="DUN52" s="4"/>
      <c r="DUO52" s="4"/>
      <c r="DUP52" s="4"/>
      <c r="DUQ52" s="4"/>
      <c r="DUR52" s="4"/>
      <c r="DUS52" s="4"/>
      <c r="DUT52" s="4"/>
      <c r="DUU52" s="4"/>
      <c r="DUV52" s="4"/>
      <c r="DUW52" s="4"/>
      <c r="DUX52" s="4"/>
      <c r="DUY52" s="4"/>
      <c r="DUZ52" s="4"/>
      <c r="DVA52" s="4"/>
      <c r="DVB52" s="4"/>
      <c r="DVC52" s="4"/>
      <c r="DVD52" s="4"/>
      <c r="DVE52" s="4"/>
      <c r="DVF52" s="4"/>
      <c r="DVG52" s="4"/>
      <c r="DVH52" s="4"/>
      <c r="DVI52" s="4"/>
      <c r="DVJ52" s="4"/>
      <c r="DVK52" s="4"/>
      <c r="DVL52" s="4"/>
      <c r="DVM52" s="4"/>
      <c r="DVN52" s="4"/>
      <c r="DVO52" s="4"/>
      <c r="DVP52" s="4"/>
      <c r="DVQ52" s="4"/>
      <c r="DVR52" s="4"/>
      <c r="DVS52" s="4"/>
      <c r="DVT52" s="4"/>
      <c r="DVU52" s="4"/>
      <c r="DVV52" s="4"/>
      <c r="DVW52" s="4"/>
      <c r="DVX52" s="4"/>
      <c r="DVY52" s="4"/>
      <c r="DVZ52" s="4"/>
      <c r="DWA52" s="4"/>
      <c r="DWB52" s="4"/>
      <c r="DWC52" s="4"/>
      <c r="DWD52" s="4"/>
      <c r="DWE52" s="4"/>
      <c r="DWF52" s="4"/>
      <c r="DWG52" s="4"/>
      <c r="DWH52" s="4"/>
      <c r="DWI52" s="4"/>
      <c r="DWJ52" s="4"/>
      <c r="DWK52" s="4"/>
      <c r="DWL52" s="4"/>
      <c r="DWM52" s="4"/>
      <c r="DWN52" s="4"/>
      <c r="DWO52" s="4"/>
      <c r="DWP52" s="4"/>
      <c r="DWQ52" s="4"/>
      <c r="DWR52" s="4"/>
      <c r="DWS52" s="4"/>
      <c r="DWT52" s="4"/>
      <c r="DWU52" s="4"/>
      <c r="DWV52" s="4"/>
      <c r="DWW52" s="4"/>
      <c r="DWX52" s="4"/>
      <c r="DWY52" s="4"/>
      <c r="DWZ52" s="4"/>
      <c r="DXA52" s="4"/>
      <c r="DXB52" s="4"/>
      <c r="DXC52" s="4"/>
      <c r="DXD52" s="4"/>
      <c r="DXE52" s="4"/>
      <c r="DXF52" s="4"/>
      <c r="DXG52" s="4"/>
      <c r="DXH52" s="4"/>
      <c r="DXI52" s="4"/>
      <c r="DXJ52" s="4"/>
      <c r="DXK52" s="4"/>
      <c r="DXL52" s="4"/>
      <c r="DXM52" s="4"/>
      <c r="DXN52" s="4"/>
      <c r="DXO52" s="4"/>
      <c r="DXP52" s="4"/>
      <c r="DXQ52" s="4"/>
      <c r="DXR52" s="4"/>
      <c r="DXS52" s="4"/>
      <c r="DXT52" s="4"/>
      <c r="DXU52" s="4"/>
      <c r="DXV52" s="4"/>
      <c r="DXW52" s="4"/>
      <c r="DXX52" s="4"/>
      <c r="DXY52" s="4"/>
      <c r="DXZ52" s="4"/>
      <c r="DYA52" s="4"/>
      <c r="DYB52" s="4"/>
      <c r="DYC52" s="4"/>
      <c r="DYD52" s="4"/>
      <c r="DYE52" s="4"/>
      <c r="DYF52" s="4"/>
      <c r="DYG52" s="4"/>
      <c r="DYH52" s="4"/>
      <c r="DYI52" s="4"/>
      <c r="DYJ52" s="4"/>
      <c r="DYK52" s="4"/>
      <c r="DYL52" s="4"/>
      <c r="DYM52" s="4"/>
      <c r="DYN52" s="4"/>
      <c r="DYO52" s="4"/>
      <c r="DYP52" s="4"/>
      <c r="DYQ52" s="4"/>
      <c r="DYR52" s="4"/>
      <c r="DYS52" s="4"/>
      <c r="DYT52" s="4"/>
      <c r="DYU52" s="4"/>
      <c r="DYV52" s="4"/>
      <c r="DYW52" s="4"/>
      <c r="DYX52" s="4"/>
      <c r="DYY52" s="4"/>
      <c r="DYZ52" s="4"/>
      <c r="DZA52" s="4"/>
      <c r="DZB52" s="4"/>
      <c r="DZC52" s="4"/>
      <c r="DZD52" s="4"/>
      <c r="DZE52" s="4"/>
      <c r="DZF52" s="4"/>
      <c r="DZG52" s="4"/>
      <c r="DZH52" s="4"/>
      <c r="DZI52" s="4"/>
      <c r="DZJ52" s="4"/>
      <c r="DZK52" s="4"/>
      <c r="DZL52" s="4"/>
      <c r="DZM52" s="4"/>
      <c r="DZN52" s="4"/>
      <c r="DZO52" s="4"/>
      <c r="DZP52" s="4"/>
      <c r="DZQ52" s="4"/>
      <c r="DZR52" s="4"/>
      <c r="DZS52" s="4"/>
      <c r="DZT52" s="4"/>
      <c r="DZU52" s="4"/>
      <c r="DZV52" s="4"/>
      <c r="DZW52" s="4"/>
      <c r="DZX52" s="4"/>
      <c r="DZY52" s="4"/>
      <c r="DZZ52" s="4"/>
      <c r="EAA52" s="4"/>
      <c r="EAB52" s="4"/>
      <c r="EAC52" s="4"/>
      <c r="EAD52" s="4"/>
      <c r="EAE52" s="4"/>
      <c r="EAF52" s="4"/>
      <c r="EAG52" s="4"/>
      <c r="EAH52" s="4"/>
      <c r="EAI52" s="4"/>
      <c r="EAJ52" s="4"/>
      <c r="EAK52" s="4"/>
      <c r="EAL52" s="4"/>
      <c r="EAM52" s="4"/>
      <c r="EAN52" s="4"/>
      <c r="EAO52" s="4"/>
      <c r="EAP52" s="4"/>
      <c r="EAQ52" s="4"/>
      <c r="EAR52" s="4"/>
      <c r="EAS52" s="4"/>
      <c r="EAT52" s="4"/>
      <c r="EAU52" s="4"/>
      <c r="EAV52" s="4"/>
      <c r="EAW52" s="4"/>
      <c r="EAX52" s="4"/>
      <c r="EAY52" s="4"/>
      <c r="EAZ52" s="4"/>
      <c r="EBA52" s="4"/>
      <c r="EBB52" s="4"/>
      <c r="EBC52" s="4"/>
      <c r="EBD52" s="4"/>
      <c r="EBE52" s="4"/>
      <c r="EBF52" s="4"/>
      <c r="EBG52" s="4"/>
      <c r="EBH52" s="4"/>
      <c r="EBI52" s="4"/>
      <c r="EBJ52" s="4"/>
      <c r="EBK52" s="4"/>
      <c r="EBL52" s="4"/>
      <c r="EBM52" s="4"/>
      <c r="EBN52" s="4"/>
      <c r="EBO52" s="4"/>
      <c r="EBP52" s="4"/>
      <c r="EBQ52" s="4"/>
      <c r="EBR52" s="4"/>
      <c r="EBS52" s="4"/>
      <c r="EBT52" s="4"/>
      <c r="EBU52" s="4"/>
      <c r="EBV52" s="4"/>
      <c r="EBW52" s="4"/>
      <c r="EBX52" s="4"/>
      <c r="EBY52" s="4"/>
      <c r="EBZ52" s="4"/>
      <c r="ECA52" s="4"/>
      <c r="ECB52" s="4"/>
      <c r="ECC52" s="4"/>
      <c r="ECD52" s="4"/>
      <c r="ECE52" s="4"/>
      <c r="ECF52" s="4"/>
      <c r="ECG52" s="4"/>
      <c r="ECH52" s="4"/>
      <c r="ECI52" s="4"/>
      <c r="ECJ52" s="4"/>
      <c r="ECK52" s="4"/>
      <c r="ECL52" s="4"/>
      <c r="ECM52" s="4"/>
      <c r="ECN52" s="4"/>
      <c r="ECO52" s="4"/>
      <c r="ECP52" s="4"/>
      <c r="ECQ52" s="4"/>
      <c r="ECR52" s="4"/>
      <c r="ECS52" s="4"/>
      <c r="ECT52" s="4"/>
      <c r="ECU52" s="4"/>
      <c r="ECV52" s="4"/>
      <c r="ECW52" s="4"/>
      <c r="ECX52" s="4"/>
      <c r="ECY52" s="4"/>
      <c r="ECZ52" s="4"/>
      <c r="EDA52" s="4"/>
      <c r="EDB52" s="4"/>
      <c r="EDC52" s="4"/>
      <c r="EDD52" s="4"/>
      <c r="EDE52" s="4"/>
      <c r="EDF52" s="4"/>
      <c r="EDG52" s="4"/>
      <c r="EDH52" s="4"/>
      <c r="EDI52" s="4"/>
      <c r="EDJ52" s="4"/>
      <c r="EDK52" s="4"/>
      <c r="EDL52" s="4"/>
      <c r="EDM52" s="4"/>
      <c r="EDN52" s="4"/>
      <c r="EDO52" s="4"/>
      <c r="EDP52" s="4"/>
      <c r="EDQ52" s="4"/>
      <c r="EDR52" s="4"/>
      <c r="EDS52" s="4"/>
      <c r="EDT52" s="4"/>
      <c r="EDU52" s="4"/>
      <c r="EDV52" s="4"/>
      <c r="EDW52" s="4"/>
      <c r="EDX52" s="4"/>
      <c r="EDY52" s="4"/>
      <c r="EDZ52" s="4"/>
      <c r="EEA52" s="4"/>
      <c r="EEB52" s="4"/>
      <c r="EEC52" s="4"/>
      <c r="EED52" s="4"/>
      <c r="EEE52" s="4"/>
      <c r="EEF52" s="4"/>
      <c r="EEG52" s="4"/>
      <c r="EEH52" s="4"/>
      <c r="EEI52" s="4"/>
      <c r="EEJ52" s="4"/>
      <c r="EEK52" s="4"/>
      <c r="EEL52" s="4"/>
      <c r="EEM52" s="4"/>
      <c r="EEN52" s="4"/>
      <c r="EEO52" s="4"/>
      <c r="EEP52" s="4"/>
      <c r="EEQ52" s="4"/>
      <c r="EER52" s="4"/>
      <c r="EES52" s="4"/>
      <c r="EET52" s="4"/>
      <c r="EEU52" s="4"/>
      <c r="EEV52" s="4"/>
      <c r="EEW52" s="4"/>
      <c r="EEX52" s="4"/>
      <c r="EEY52" s="4"/>
      <c r="EEZ52" s="4"/>
      <c r="EFA52" s="4"/>
      <c r="EFB52" s="4"/>
      <c r="EFC52" s="4"/>
      <c r="EFD52" s="4"/>
      <c r="EFE52" s="4"/>
      <c r="EFF52" s="4"/>
      <c r="EFG52" s="4"/>
      <c r="EFH52" s="4"/>
      <c r="EFI52" s="4"/>
      <c r="EFJ52" s="4"/>
      <c r="EFK52" s="4"/>
      <c r="EFL52" s="4"/>
      <c r="EFM52" s="4"/>
      <c r="EFN52" s="4"/>
      <c r="EFO52" s="4"/>
      <c r="EFP52" s="4"/>
      <c r="EFQ52" s="4"/>
      <c r="EFR52" s="4"/>
      <c r="EFS52" s="4"/>
      <c r="EFT52" s="4"/>
      <c r="EFU52" s="4"/>
      <c r="EFV52" s="4"/>
      <c r="EFW52" s="4"/>
      <c r="EFX52" s="4"/>
      <c r="EFY52" s="4"/>
      <c r="EFZ52" s="4"/>
      <c r="EGA52" s="4"/>
      <c r="EGB52" s="4"/>
      <c r="EGC52" s="4"/>
      <c r="EGD52" s="4"/>
      <c r="EGE52" s="4"/>
      <c r="EGF52" s="4"/>
      <c r="EGG52" s="4"/>
      <c r="EGH52" s="4"/>
      <c r="EGI52" s="4"/>
      <c r="EGJ52" s="4"/>
      <c r="EGK52" s="4"/>
      <c r="EGL52" s="4"/>
      <c r="EGM52" s="4"/>
      <c r="EGN52" s="4"/>
      <c r="EGO52" s="4"/>
      <c r="EGP52" s="4"/>
      <c r="EGQ52" s="4"/>
      <c r="EGR52" s="4"/>
      <c r="EGS52" s="4"/>
      <c r="EGT52" s="4"/>
      <c r="EGU52" s="4"/>
      <c r="EGV52" s="4"/>
      <c r="EGW52" s="4"/>
      <c r="EGX52" s="4"/>
      <c r="EGY52" s="4"/>
      <c r="EGZ52" s="4"/>
      <c r="EHA52" s="4"/>
      <c r="EHB52" s="4"/>
      <c r="EHC52" s="4"/>
      <c r="EHD52" s="4"/>
      <c r="EHE52" s="4"/>
      <c r="EHF52" s="4"/>
      <c r="EHG52" s="4"/>
      <c r="EHH52" s="4"/>
      <c r="EHI52" s="4"/>
      <c r="EHJ52" s="4"/>
      <c r="EHK52" s="4"/>
      <c r="EHL52" s="4"/>
      <c r="EHM52" s="4"/>
      <c r="EHN52" s="4"/>
      <c r="EHO52" s="4"/>
      <c r="EHP52" s="4"/>
      <c r="EHQ52" s="4"/>
      <c r="EHR52" s="4"/>
      <c r="EHS52" s="4"/>
      <c r="EHT52" s="4"/>
      <c r="EHU52" s="4"/>
      <c r="EHV52" s="4"/>
      <c r="EHW52" s="4"/>
      <c r="EHX52" s="4"/>
      <c r="EHY52" s="4"/>
      <c r="EHZ52" s="4"/>
      <c r="EIA52" s="4"/>
      <c r="EIB52" s="4"/>
      <c r="EIC52" s="4"/>
      <c r="EID52" s="4"/>
      <c r="EIE52" s="4"/>
      <c r="EIF52" s="4"/>
      <c r="EIG52" s="4"/>
      <c r="EIH52" s="4"/>
      <c r="EII52" s="4"/>
      <c r="EIJ52" s="4"/>
      <c r="EIK52" s="4"/>
      <c r="EIL52" s="4"/>
      <c r="EIM52" s="4"/>
      <c r="EIN52" s="4"/>
      <c r="EIO52" s="4"/>
      <c r="EIP52" s="4"/>
      <c r="EIQ52" s="4"/>
      <c r="EIR52" s="4"/>
      <c r="EIS52" s="4"/>
      <c r="EIT52" s="4"/>
      <c r="EIU52" s="4"/>
      <c r="EIV52" s="4"/>
      <c r="EIW52" s="4"/>
      <c r="EIX52" s="4"/>
      <c r="EIY52" s="4"/>
      <c r="EIZ52" s="4"/>
      <c r="EJA52" s="4"/>
      <c r="EJB52" s="4"/>
      <c r="EJC52" s="4"/>
      <c r="EJD52" s="4"/>
      <c r="EJE52" s="4"/>
      <c r="EJF52" s="4"/>
      <c r="EJG52" s="4"/>
      <c r="EJH52" s="4"/>
      <c r="EJI52" s="4"/>
      <c r="EJJ52" s="4"/>
      <c r="EJK52" s="4"/>
      <c r="EJL52" s="4"/>
      <c r="EJM52" s="4"/>
      <c r="EJN52" s="4"/>
      <c r="EJO52" s="4"/>
      <c r="EJP52" s="4"/>
      <c r="EJQ52" s="4"/>
      <c r="EJR52" s="4"/>
      <c r="EJS52" s="4"/>
      <c r="EJT52" s="4"/>
      <c r="EJU52" s="4"/>
      <c r="EJV52" s="4"/>
      <c r="EJW52" s="4"/>
      <c r="EJX52" s="4"/>
      <c r="EJY52" s="4"/>
      <c r="EJZ52" s="4"/>
      <c r="EKA52" s="4"/>
      <c r="EKB52" s="4"/>
      <c r="EKC52" s="4"/>
      <c r="EKD52" s="4"/>
      <c r="EKE52" s="4"/>
      <c r="EKF52" s="4"/>
      <c r="EKG52" s="4"/>
      <c r="EKH52" s="4"/>
      <c r="EKI52" s="4"/>
      <c r="EKJ52" s="4"/>
      <c r="EKK52" s="4"/>
      <c r="EKL52" s="4"/>
      <c r="EKM52" s="4"/>
      <c r="EKN52" s="4"/>
      <c r="EKO52" s="4"/>
      <c r="EKP52" s="4"/>
      <c r="EKQ52" s="4"/>
      <c r="EKR52" s="4"/>
      <c r="EKS52" s="4"/>
      <c r="EKT52" s="4"/>
      <c r="EKU52" s="4"/>
      <c r="EKV52" s="4"/>
      <c r="EKW52" s="4"/>
      <c r="EKX52" s="4"/>
      <c r="EKY52" s="4"/>
      <c r="EKZ52" s="4"/>
      <c r="ELA52" s="4"/>
      <c r="ELB52" s="4"/>
      <c r="ELC52" s="4"/>
      <c r="ELD52" s="4"/>
      <c r="ELE52" s="4"/>
      <c r="ELF52" s="4"/>
      <c r="ELG52" s="4"/>
      <c r="ELH52" s="4"/>
      <c r="ELI52" s="4"/>
      <c r="ELJ52" s="4"/>
      <c r="ELK52" s="4"/>
      <c r="ELL52" s="4"/>
      <c r="ELM52" s="4"/>
      <c r="ELN52" s="4"/>
      <c r="ELO52" s="4"/>
      <c r="ELP52" s="4"/>
      <c r="ELQ52" s="4"/>
      <c r="ELR52" s="4"/>
      <c r="ELS52" s="4"/>
      <c r="ELT52" s="4"/>
      <c r="ELU52" s="4"/>
      <c r="ELV52" s="4"/>
      <c r="ELW52" s="4"/>
      <c r="ELX52" s="4"/>
      <c r="ELY52" s="4"/>
      <c r="ELZ52" s="4"/>
      <c r="EMA52" s="4"/>
      <c r="EMB52" s="4"/>
      <c r="EMC52" s="4"/>
      <c r="EMD52" s="4"/>
      <c r="EME52" s="4"/>
      <c r="EMF52" s="4"/>
      <c r="EMG52" s="4"/>
      <c r="EMH52" s="4"/>
      <c r="EMI52" s="4"/>
      <c r="EMJ52" s="4"/>
      <c r="EMK52" s="4"/>
      <c r="EML52" s="4"/>
      <c r="EMM52" s="4"/>
      <c r="EMN52" s="4"/>
      <c r="EMO52" s="4"/>
      <c r="EMP52" s="4"/>
      <c r="EMQ52" s="4"/>
      <c r="EMR52" s="4"/>
      <c r="EMS52" s="4"/>
      <c r="EMT52" s="4"/>
      <c r="EMU52" s="4"/>
      <c r="EMV52" s="4"/>
      <c r="EMW52" s="4"/>
      <c r="EMX52" s="4"/>
      <c r="EMY52" s="4"/>
      <c r="EMZ52" s="4"/>
      <c r="ENA52" s="4"/>
      <c r="ENB52" s="4"/>
      <c r="ENC52" s="4"/>
      <c r="END52" s="4"/>
      <c r="ENE52" s="4"/>
      <c r="ENF52" s="4"/>
      <c r="ENG52" s="4"/>
      <c r="ENH52" s="4"/>
      <c r="ENI52" s="4"/>
      <c r="ENJ52" s="4"/>
      <c r="ENK52" s="4"/>
      <c r="ENL52" s="4"/>
      <c r="ENM52" s="4"/>
      <c r="ENN52" s="4"/>
      <c r="ENO52" s="4"/>
      <c r="ENP52" s="4"/>
      <c r="ENQ52" s="4"/>
      <c r="ENR52" s="4"/>
      <c r="ENS52" s="4"/>
      <c r="ENT52" s="4"/>
      <c r="ENU52" s="4"/>
      <c r="ENV52" s="4"/>
      <c r="ENW52" s="4"/>
      <c r="ENX52" s="4"/>
      <c r="ENY52" s="4"/>
      <c r="ENZ52" s="4"/>
      <c r="EOA52" s="4"/>
      <c r="EOB52" s="4"/>
      <c r="EOC52" s="4"/>
      <c r="EOD52" s="4"/>
      <c r="EOE52" s="4"/>
      <c r="EOF52" s="4"/>
      <c r="EOG52" s="4"/>
      <c r="EOH52" s="4"/>
      <c r="EOI52" s="4"/>
      <c r="EOJ52" s="4"/>
      <c r="EOK52" s="4"/>
      <c r="EOL52" s="4"/>
      <c r="EOM52" s="4"/>
      <c r="EON52" s="4"/>
      <c r="EOO52" s="4"/>
      <c r="EOP52" s="4"/>
      <c r="EOQ52" s="4"/>
      <c r="EOR52" s="4"/>
      <c r="EOS52" s="4"/>
      <c r="EOT52" s="4"/>
      <c r="EOU52" s="4"/>
      <c r="EOV52" s="4"/>
      <c r="EOW52" s="4"/>
      <c r="EOX52" s="4"/>
      <c r="EOY52" s="4"/>
      <c r="EOZ52" s="4"/>
      <c r="EPA52" s="4"/>
      <c r="EPB52" s="4"/>
      <c r="EPC52" s="4"/>
      <c r="EPD52" s="4"/>
      <c r="EPE52" s="4"/>
      <c r="EPF52" s="4"/>
      <c r="EPG52" s="4"/>
      <c r="EPH52" s="4"/>
      <c r="EPI52" s="4"/>
      <c r="EPJ52" s="4"/>
      <c r="EPK52" s="4"/>
      <c r="EPL52" s="4"/>
      <c r="EPM52" s="4"/>
      <c r="EPN52" s="4"/>
      <c r="EPO52" s="4"/>
      <c r="EPP52" s="4"/>
      <c r="EPQ52" s="4"/>
      <c r="EPR52" s="4"/>
      <c r="EPS52" s="4"/>
      <c r="EPT52" s="4"/>
      <c r="EPU52" s="4"/>
      <c r="EPV52" s="4"/>
      <c r="EPW52" s="4"/>
      <c r="EPX52" s="4"/>
      <c r="EPY52" s="4"/>
      <c r="EPZ52" s="4"/>
      <c r="EQA52" s="4"/>
      <c r="EQB52" s="4"/>
      <c r="EQC52" s="4"/>
      <c r="EQD52" s="4"/>
      <c r="EQE52" s="4"/>
      <c r="EQF52" s="4"/>
      <c r="EQG52" s="4"/>
      <c r="EQH52" s="4"/>
      <c r="EQI52" s="4"/>
      <c r="EQJ52" s="4"/>
      <c r="EQK52" s="4"/>
      <c r="EQL52" s="4"/>
      <c r="EQM52" s="4"/>
      <c r="EQN52" s="4"/>
      <c r="EQO52" s="4"/>
      <c r="EQP52" s="4"/>
      <c r="EQQ52" s="4"/>
      <c r="EQR52" s="4"/>
      <c r="EQS52" s="4"/>
      <c r="EQT52" s="4"/>
      <c r="EQU52" s="4"/>
      <c r="EQV52" s="4"/>
      <c r="EQW52" s="4"/>
      <c r="EQX52" s="4"/>
      <c r="EQY52" s="4"/>
      <c r="EQZ52" s="4"/>
      <c r="ERA52" s="4"/>
      <c r="ERB52" s="4"/>
      <c r="ERC52" s="4"/>
      <c r="ERD52" s="4"/>
      <c r="ERE52" s="4"/>
      <c r="ERF52" s="4"/>
      <c r="ERG52" s="4"/>
      <c r="ERH52" s="4"/>
      <c r="ERI52" s="4"/>
      <c r="ERJ52" s="4"/>
      <c r="ERK52" s="4"/>
      <c r="ERL52" s="4"/>
      <c r="ERM52" s="4"/>
      <c r="ERN52" s="4"/>
      <c r="ERO52" s="4"/>
      <c r="ERP52" s="4"/>
      <c r="ERQ52" s="4"/>
      <c r="ERR52" s="4"/>
      <c r="ERS52" s="4"/>
      <c r="ERT52" s="4"/>
      <c r="ERU52" s="4"/>
      <c r="ERV52" s="4"/>
      <c r="ERW52" s="4"/>
      <c r="ERX52" s="4"/>
      <c r="ERY52" s="4"/>
      <c r="ERZ52" s="4"/>
      <c r="ESA52" s="4"/>
      <c r="ESB52" s="4"/>
      <c r="ESC52" s="4"/>
      <c r="ESD52" s="4"/>
      <c r="ESE52" s="4"/>
      <c r="ESF52" s="4"/>
      <c r="ESG52" s="4"/>
      <c r="ESH52" s="4"/>
      <c r="ESI52" s="4"/>
      <c r="ESJ52" s="4"/>
      <c r="ESK52" s="4"/>
      <c r="ESL52" s="4"/>
      <c r="ESM52" s="4"/>
      <c r="ESN52" s="4"/>
      <c r="ESO52" s="4"/>
      <c r="ESP52" s="4"/>
      <c r="ESQ52" s="4"/>
      <c r="ESR52" s="4"/>
      <c r="ESS52" s="4"/>
      <c r="EST52" s="4"/>
      <c r="ESU52" s="4"/>
      <c r="ESV52" s="4"/>
      <c r="ESW52" s="4"/>
      <c r="ESX52" s="4"/>
      <c r="ESY52" s="4"/>
      <c r="ESZ52" s="4"/>
      <c r="ETA52" s="4"/>
      <c r="ETB52" s="4"/>
      <c r="ETC52" s="4"/>
      <c r="ETD52" s="4"/>
      <c r="ETE52" s="4"/>
      <c r="ETF52" s="4"/>
      <c r="ETG52" s="4"/>
      <c r="ETH52" s="4"/>
      <c r="ETI52" s="4"/>
      <c r="ETJ52" s="4"/>
      <c r="ETK52" s="4"/>
      <c r="ETL52" s="4"/>
      <c r="ETM52" s="4"/>
      <c r="ETN52" s="4"/>
      <c r="ETO52" s="4"/>
      <c r="ETP52" s="4"/>
      <c r="ETQ52" s="4"/>
      <c r="ETR52" s="4"/>
      <c r="ETS52" s="4"/>
      <c r="ETT52" s="4"/>
      <c r="ETU52" s="4"/>
      <c r="ETV52" s="4"/>
      <c r="ETW52" s="4"/>
      <c r="ETX52" s="4"/>
      <c r="ETY52" s="4"/>
      <c r="ETZ52" s="4"/>
      <c r="EUA52" s="4"/>
      <c r="EUB52" s="4"/>
      <c r="EUC52" s="4"/>
      <c r="EUD52" s="4"/>
      <c r="EUE52" s="4"/>
      <c r="EUF52" s="4"/>
      <c r="EUG52" s="4"/>
      <c r="EUH52" s="4"/>
      <c r="EUI52" s="4"/>
      <c r="EUJ52" s="4"/>
      <c r="EUK52" s="4"/>
      <c r="EUL52" s="4"/>
      <c r="EUM52" s="4"/>
      <c r="EUN52" s="4"/>
      <c r="EUO52" s="4"/>
      <c r="EUP52" s="4"/>
      <c r="EUQ52" s="4"/>
      <c r="EUR52" s="4"/>
      <c r="EUS52" s="4"/>
      <c r="EUT52" s="4"/>
      <c r="EUU52" s="4"/>
      <c r="EUV52" s="4"/>
      <c r="EUW52" s="4"/>
      <c r="EUX52" s="4"/>
      <c r="EUY52" s="4"/>
      <c r="EUZ52" s="4"/>
      <c r="EVA52" s="4"/>
      <c r="EVB52" s="4"/>
      <c r="EVC52" s="4"/>
      <c r="EVD52" s="4"/>
      <c r="EVE52" s="4"/>
      <c r="EVF52" s="4"/>
      <c r="EVG52" s="4"/>
      <c r="EVH52" s="4"/>
      <c r="EVI52" s="4"/>
      <c r="EVJ52" s="4"/>
      <c r="EVK52" s="4"/>
      <c r="EVL52" s="4"/>
      <c r="EVM52" s="4"/>
      <c r="EVN52" s="4"/>
      <c r="EVO52" s="4"/>
      <c r="EVP52" s="4"/>
      <c r="EVQ52" s="4"/>
      <c r="EVR52" s="4"/>
      <c r="EVS52" s="4"/>
      <c r="EVT52" s="4"/>
      <c r="EVU52" s="4"/>
      <c r="EVV52" s="4"/>
      <c r="EVW52" s="4"/>
      <c r="EVX52" s="4"/>
      <c r="EVY52" s="4"/>
      <c r="EVZ52" s="4"/>
      <c r="EWA52" s="4"/>
      <c r="EWB52" s="4"/>
      <c r="EWC52" s="4"/>
      <c r="EWD52" s="4"/>
      <c r="EWE52" s="4"/>
      <c r="EWF52" s="4"/>
      <c r="EWG52" s="4"/>
      <c r="EWH52" s="4"/>
      <c r="EWI52" s="4"/>
      <c r="EWJ52" s="4"/>
      <c r="EWK52" s="4"/>
      <c r="EWL52" s="4"/>
      <c r="EWM52" s="4"/>
      <c r="EWN52" s="4"/>
      <c r="EWO52" s="4"/>
      <c r="EWP52" s="4"/>
      <c r="EWQ52" s="4"/>
      <c r="EWR52" s="4"/>
      <c r="EWS52" s="4"/>
      <c r="EWT52" s="4"/>
      <c r="EWU52" s="4"/>
      <c r="EWV52" s="4"/>
      <c r="EWW52" s="4"/>
      <c r="EWX52" s="4"/>
      <c r="EWY52" s="4"/>
      <c r="EWZ52" s="4"/>
      <c r="EXA52" s="4"/>
      <c r="EXB52" s="4"/>
      <c r="EXC52" s="4"/>
      <c r="EXD52" s="4"/>
      <c r="EXE52" s="4"/>
      <c r="EXF52" s="4"/>
      <c r="EXG52" s="4"/>
      <c r="EXH52" s="4"/>
      <c r="EXI52" s="4"/>
      <c r="EXJ52" s="4"/>
      <c r="EXK52" s="4"/>
      <c r="EXL52" s="4"/>
      <c r="EXM52" s="4"/>
      <c r="EXN52" s="4"/>
      <c r="EXO52" s="4"/>
      <c r="EXP52" s="4"/>
      <c r="EXQ52" s="4"/>
      <c r="EXR52" s="4"/>
      <c r="EXS52" s="4"/>
      <c r="EXT52" s="4"/>
      <c r="EXU52" s="4"/>
      <c r="EXV52" s="4"/>
      <c r="EXW52" s="4"/>
      <c r="EXX52" s="4"/>
      <c r="EXY52" s="4"/>
      <c r="EXZ52" s="4"/>
      <c r="EYA52" s="4"/>
      <c r="EYB52" s="4"/>
      <c r="EYC52" s="4"/>
      <c r="EYD52" s="4"/>
      <c r="EYE52" s="4"/>
      <c r="EYF52" s="4"/>
      <c r="EYG52" s="4"/>
      <c r="EYH52" s="4"/>
      <c r="EYI52" s="4"/>
      <c r="EYJ52" s="4"/>
      <c r="EYK52" s="4"/>
      <c r="EYL52" s="4"/>
      <c r="EYM52" s="4"/>
      <c r="EYN52" s="4"/>
      <c r="EYO52" s="4"/>
      <c r="EYP52" s="4"/>
      <c r="EYQ52" s="4"/>
      <c r="EYR52" s="4"/>
      <c r="EYS52" s="4"/>
      <c r="EYT52" s="4"/>
      <c r="EYU52" s="4"/>
      <c r="EYV52" s="4"/>
      <c r="EYW52" s="4"/>
      <c r="EYX52" s="4"/>
      <c r="EYY52" s="4"/>
      <c r="EYZ52" s="4"/>
      <c r="EZA52" s="4"/>
      <c r="EZB52" s="4"/>
      <c r="EZC52" s="4"/>
      <c r="EZD52" s="4"/>
      <c r="EZE52" s="4"/>
      <c r="EZF52" s="4"/>
      <c r="EZG52" s="4"/>
      <c r="EZH52" s="4"/>
      <c r="EZI52" s="4"/>
      <c r="EZJ52" s="4"/>
      <c r="EZK52" s="4"/>
      <c r="EZL52" s="4"/>
      <c r="EZM52" s="4"/>
      <c r="EZN52" s="4"/>
      <c r="EZO52" s="4"/>
      <c r="EZP52" s="4"/>
      <c r="EZQ52" s="4"/>
      <c r="EZR52" s="4"/>
      <c r="EZS52" s="4"/>
      <c r="EZT52" s="4"/>
      <c r="EZU52" s="4"/>
      <c r="EZV52" s="4"/>
      <c r="EZW52" s="4"/>
      <c r="EZX52" s="4"/>
      <c r="EZY52" s="4"/>
      <c r="EZZ52" s="4"/>
      <c r="FAA52" s="4"/>
      <c r="FAB52" s="4"/>
      <c r="FAC52" s="4"/>
      <c r="FAD52" s="4"/>
      <c r="FAE52" s="4"/>
      <c r="FAF52" s="4"/>
      <c r="FAG52" s="4"/>
      <c r="FAH52" s="4"/>
      <c r="FAI52" s="4"/>
      <c r="FAJ52" s="4"/>
      <c r="FAK52" s="4"/>
      <c r="FAL52" s="4"/>
      <c r="FAM52" s="4"/>
      <c r="FAN52" s="4"/>
      <c r="FAO52" s="4"/>
      <c r="FAP52" s="4"/>
      <c r="FAQ52" s="4"/>
      <c r="FAR52" s="4"/>
      <c r="FAS52" s="4"/>
      <c r="FAT52" s="4"/>
      <c r="FAU52" s="4"/>
      <c r="FAV52" s="4"/>
      <c r="FAW52" s="4"/>
      <c r="FAX52" s="4"/>
      <c r="FAY52" s="4"/>
      <c r="FAZ52" s="4"/>
      <c r="FBA52" s="4"/>
      <c r="FBB52" s="4"/>
      <c r="FBC52" s="4"/>
      <c r="FBD52" s="4"/>
      <c r="FBE52" s="4"/>
      <c r="FBF52" s="4"/>
      <c r="FBG52" s="4"/>
      <c r="FBH52" s="4"/>
      <c r="FBI52" s="4"/>
      <c r="FBJ52" s="4"/>
      <c r="FBK52" s="4"/>
      <c r="FBL52" s="4"/>
      <c r="FBM52" s="4"/>
      <c r="FBN52" s="4"/>
      <c r="FBO52" s="4"/>
      <c r="FBP52" s="4"/>
      <c r="FBQ52" s="4"/>
      <c r="FBR52" s="4"/>
      <c r="FBS52" s="4"/>
      <c r="FBT52" s="4"/>
      <c r="FBU52" s="4"/>
      <c r="FBV52" s="4"/>
      <c r="FBW52" s="4"/>
      <c r="FBX52" s="4"/>
      <c r="FBY52" s="4"/>
      <c r="FBZ52" s="4"/>
      <c r="FCA52" s="4"/>
      <c r="FCB52" s="4"/>
      <c r="FCC52" s="4"/>
      <c r="FCD52" s="4"/>
      <c r="FCE52" s="4"/>
      <c r="FCF52" s="4"/>
      <c r="FCG52" s="4"/>
      <c r="FCH52" s="4"/>
      <c r="FCI52" s="4"/>
      <c r="FCJ52" s="4"/>
      <c r="FCK52" s="4"/>
      <c r="FCL52" s="4"/>
      <c r="FCM52" s="4"/>
      <c r="FCN52" s="4"/>
      <c r="FCO52" s="4"/>
      <c r="FCP52" s="4"/>
      <c r="FCQ52" s="4"/>
      <c r="FCR52" s="4"/>
      <c r="FCS52" s="4"/>
      <c r="FCT52" s="4"/>
      <c r="FCU52" s="4"/>
      <c r="FCV52" s="4"/>
      <c r="FCW52" s="4"/>
      <c r="FCX52" s="4"/>
      <c r="FCY52" s="4"/>
      <c r="FCZ52" s="4"/>
      <c r="FDA52" s="4"/>
      <c r="FDB52" s="4"/>
      <c r="FDC52" s="4"/>
      <c r="FDD52" s="4"/>
      <c r="FDE52" s="4"/>
      <c r="FDF52" s="4"/>
      <c r="FDG52" s="4"/>
      <c r="FDH52" s="4"/>
      <c r="FDI52" s="4"/>
      <c r="FDJ52" s="4"/>
      <c r="FDK52" s="4"/>
      <c r="FDL52" s="4"/>
      <c r="FDM52" s="4"/>
      <c r="FDN52" s="4"/>
      <c r="FDO52" s="4"/>
      <c r="FDP52" s="4"/>
      <c r="FDQ52" s="4"/>
      <c r="FDR52" s="4"/>
      <c r="FDS52" s="4"/>
      <c r="FDT52" s="4"/>
      <c r="FDU52" s="4"/>
      <c r="FDV52" s="4"/>
      <c r="FDW52" s="4"/>
      <c r="FDX52" s="4"/>
      <c r="FDY52" s="4"/>
      <c r="FDZ52" s="4"/>
      <c r="FEA52" s="4"/>
      <c r="FEB52" s="4"/>
      <c r="FEC52" s="4"/>
      <c r="FED52" s="4"/>
      <c r="FEE52" s="4"/>
      <c r="FEF52" s="4"/>
      <c r="FEG52" s="4"/>
      <c r="FEH52" s="4"/>
      <c r="FEI52" s="4"/>
      <c r="FEJ52" s="4"/>
      <c r="FEK52" s="4"/>
      <c r="FEL52" s="4"/>
      <c r="FEM52" s="4"/>
      <c r="FEN52" s="4"/>
      <c r="FEO52" s="4"/>
      <c r="FEP52" s="4"/>
      <c r="FEQ52" s="4"/>
      <c r="FER52" s="4"/>
      <c r="FES52" s="4"/>
      <c r="FET52" s="4"/>
      <c r="FEU52" s="4"/>
      <c r="FEV52" s="4"/>
      <c r="FEW52" s="4"/>
      <c r="FEX52" s="4"/>
      <c r="FEY52" s="4"/>
      <c r="FEZ52" s="4"/>
      <c r="FFA52" s="4"/>
      <c r="FFB52" s="4"/>
      <c r="FFC52" s="4"/>
      <c r="FFD52" s="4"/>
      <c r="FFE52" s="4"/>
      <c r="FFF52" s="4"/>
      <c r="FFG52" s="4"/>
      <c r="FFH52" s="4"/>
      <c r="FFI52" s="4"/>
      <c r="FFJ52" s="4"/>
      <c r="FFK52" s="4"/>
      <c r="FFL52" s="4"/>
      <c r="FFM52" s="4"/>
      <c r="FFN52" s="4"/>
      <c r="FFO52" s="4"/>
      <c r="FFP52" s="4"/>
      <c r="FFQ52" s="4"/>
      <c r="FFR52" s="4"/>
      <c r="FFS52" s="4"/>
      <c r="FFT52" s="4"/>
      <c r="FFU52" s="4"/>
      <c r="FFV52" s="4"/>
      <c r="FFW52" s="4"/>
      <c r="FFX52" s="4"/>
      <c r="FFY52" s="4"/>
      <c r="FFZ52" s="4"/>
      <c r="FGA52" s="4"/>
      <c r="FGB52" s="4"/>
      <c r="FGC52" s="4"/>
      <c r="FGD52" s="4"/>
      <c r="FGE52" s="4"/>
      <c r="FGF52" s="4"/>
      <c r="FGG52" s="4"/>
      <c r="FGH52" s="4"/>
      <c r="FGI52" s="4"/>
      <c r="FGJ52" s="4"/>
      <c r="FGK52" s="4"/>
      <c r="FGL52" s="4"/>
      <c r="FGM52" s="4"/>
      <c r="FGN52" s="4"/>
      <c r="FGO52" s="4"/>
      <c r="FGP52" s="4"/>
      <c r="FGQ52" s="4"/>
      <c r="FGR52" s="4"/>
      <c r="FGS52" s="4"/>
      <c r="FGT52" s="4"/>
      <c r="FGU52" s="4"/>
      <c r="FGV52" s="4"/>
      <c r="FGW52" s="4"/>
      <c r="FGX52" s="4"/>
      <c r="FGY52" s="4"/>
      <c r="FGZ52" s="4"/>
      <c r="FHA52" s="4"/>
      <c r="FHB52" s="4"/>
      <c r="FHC52" s="4"/>
      <c r="FHD52" s="4"/>
      <c r="FHE52" s="4"/>
      <c r="FHF52" s="4"/>
      <c r="FHG52" s="4"/>
      <c r="FHH52" s="4"/>
      <c r="FHI52" s="4"/>
      <c r="FHJ52" s="4"/>
      <c r="FHK52" s="4"/>
      <c r="FHL52" s="4"/>
      <c r="FHM52" s="4"/>
      <c r="FHN52" s="4"/>
      <c r="FHO52" s="4"/>
      <c r="FHP52" s="4"/>
      <c r="FHQ52" s="4"/>
      <c r="FHR52" s="4"/>
      <c r="FHS52" s="4"/>
      <c r="FHT52" s="4"/>
      <c r="FHU52" s="4"/>
      <c r="FHV52" s="4"/>
      <c r="FHW52" s="4"/>
      <c r="FHX52" s="4"/>
      <c r="FHY52" s="4"/>
      <c r="FHZ52" s="4"/>
      <c r="FIA52" s="4"/>
      <c r="FIB52" s="4"/>
      <c r="FIC52" s="4"/>
      <c r="FID52" s="4"/>
      <c r="FIE52" s="4"/>
      <c r="FIF52" s="4"/>
      <c r="FIG52" s="4"/>
      <c r="FIH52" s="4"/>
      <c r="FII52" s="4"/>
      <c r="FIJ52" s="4"/>
      <c r="FIK52" s="4"/>
      <c r="FIL52" s="4"/>
      <c r="FIM52" s="4"/>
      <c r="FIN52" s="4"/>
      <c r="FIO52" s="4"/>
      <c r="FIP52" s="4"/>
      <c r="FIQ52" s="4"/>
      <c r="FIR52" s="4"/>
      <c r="FIS52" s="4"/>
      <c r="FIT52" s="4"/>
      <c r="FIU52" s="4"/>
      <c r="FIV52" s="4"/>
      <c r="FIW52" s="4"/>
      <c r="FIX52" s="4"/>
      <c r="FIY52" s="4"/>
      <c r="FIZ52" s="4"/>
      <c r="FJA52" s="4"/>
      <c r="FJB52" s="4"/>
      <c r="FJC52" s="4"/>
      <c r="FJD52" s="4"/>
      <c r="FJE52" s="4"/>
      <c r="FJF52" s="4"/>
      <c r="FJG52" s="4"/>
      <c r="FJH52" s="4"/>
      <c r="FJI52" s="4"/>
      <c r="FJJ52" s="4"/>
      <c r="FJK52" s="4"/>
      <c r="FJL52" s="4"/>
      <c r="FJM52" s="4"/>
      <c r="FJN52" s="4"/>
      <c r="FJO52" s="4"/>
      <c r="FJP52" s="4"/>
      <c r="FJQ52" s="4"/>
      <c r="FJR52" s="4"/>
      <c r="FJS52" s="4"/>
      <c r="FJT52" s="4"/>
      <c r="FJU52" s="4"/>
      <c r="FJV52" s="4"/>
      <c r="FJW52" s="4"/>
      <c r="FJX52" s="4"/>
      <c r="FJY52" s="4"/>
      <c r="FJZ52" s="4"/>
      <c r="FKA52" s="4"/>
      <c r="FKB52" s="4"/>
      <c r="FKC52" s="4"/>
      <c r="FKD52" s="4"/>
      <c r="FKE52" s="4"/>
      <c r="FKF52" s="4"/>
      <c r="FKG52" s="4"/>
      <c r="FKH52" s="4"/>
      <c r="FKI52" s="4"/>
      <c r="FKJ52" s="4"/>
      <c r="FKK52" s="4"/>
      <c r="FKL52" s="4"/>
      <c r="FKM52" s="4"/>
      <c r="FKN52" s="4"/>
      <c r="FKO52" s="4"/>
      <c r="FKP52" s="4"/>
      <c r="FKQ52" s="4"/>
      <c r="FKR52" s="4"/>
      <c r="FKS52" s="4"/>
      <c r="FKT52" s="4"/>
      <c r="FKU52" s="4"/>
      <c r="FKV52" s="4"/>
      <c r="FKW52" s="4"/>
      <c r="FKX52" s="4"/>
      <c r="FKY52" s="4"/>
      <c r="FKZ52" s="4"/>
      <c r="FLA52" s="4"/>
      <c r="FLB52" s="4"/>
      <c r="FLC52" s="4"/>
      <c r="FLD52" s="4"/>
      <c r="FLE52" s="4"/>
      <c r="FLF52" s="4"/>
      <c r="FLG52" s="4"/>
      <c r="FLH52" s="4"/>
      <c r="FLI52" s="4"/>
      <c r="FLJ52" s="4"/>
      <c r="FLK52" s="4"/>
      <c r="FLL52" s="4"/>
      <c r="FLM52" s="4"/>
      <c r="FLN52" s="4"/>
      <c r="FLO52" s="4"/>
      <c r="FLP52" s="4"/>
      <c r="FLQ52" s="4"/>
      <c r="FLR52" s="4"/>
      <c r="FLS52" s="4"/>
      <c r="FLT52" s="4"/>
      <c r="FLU52" s="4"/>
      <c r="FLV52" s="4"/>
      <c r="FLW52" s="4"/>
      <c r="FLX52" s="4"/>
      <c r="FLY52" s="4"/>
      <c r="FLZ52" s="4"/>
      <c r="FMA52" s="4"/>
      <c r="FMB52" s="4"/>
      <c r="FMC52" s="4"/>
      <c r="FMD52" s="4"/>
      <c r="FME52" s="4"/>
      <c r="FMF52" s="4"/>
      <c r="FMG52" s="4"/>
      <c r="FMH52" s="4"/>
      <c r="FMI52" s="4"/>
      <c r="FMJ52" s="4"/>
      <c r="FMK52" s="4"/>
      <c r="FML52" s="4"/>
      <c r="FMM52" s="4"/>
      <c r="FMN52" s="4"/>
      <c r="FMO52" s="4"/>
      <c r="FMP52" s="4"/>
      <c r="FMQ52" s="4"/>
      <c r="FMR52" s="4"/>
      <c r="FMS52" s="4"/>
      <c r="FMT52" s="4"/>
      <c r="FMU52" s="4"/>
      <c r="FMV52" s="4"/>
      <c r="FMW52" s="4"/>
      <c r="FMX52" s="4"/>
      <c r="FMY52" s="4"/>
      <c r="FMZ52" s="4"/>
      <c r="FNA52" s="4"/>
      <c r="FNB52" s="4"/>
      <c r="FNC52" s="4"/>
      <c r="FND52" s="4"/>
      <c r="FNE52" s="4"/>
      <c r="FNF52" s="4"/>
      <c r="FNG52" s="4"/>
      <c r="FNH52" s="4"/>
      <c r="FNI52" s="4"/>
      <c r="FNJ52" s="4"/>
      <c r="FNK52" s="4"/>
      <c r="FNL52" s="4"/>
      <c r="FNM52" s="4"/>
      <c r="FNN52" s="4"/>
      <c r="FNO52" s="4"/>
      <c r="FNP52" s="4"/>
      <c r="FNQ52" s="4"/>
      <c r="FNR52" s="4"/>
      <c r="FNS52" s="4"/>
      <c r="FNT52" s="4"/>
      <c r="FNU52" s="4"/>
      <c r="FNV52" s="4"/>
      <c r="FNW52" s="4"/>
      <c r="FNX52" s="4"/>
      <c r="FNY52" s="4"/>
      <c r="FNZ52" s="4"/>
      <c r="FOA52" s="4"/>
      <c r="FOB52" s="4"/>
      <c r="FOC52" s="4"/>
      <c r="FOD52" s="4"/>
      <c r="FOE52" s="4"/>
      <c r="FOF52" s="4"/>
      <c r="FOG52" s="4"/>
      <c r="FOH52" s="4"/>
      <c r="FOI52" s="4"/>
      <c r="FOJ52" s="4"/>
      <c r="FOK52" s="4"/>
      <c r="FOL52" s="4"/>
      <c r="FOM52" s="4"/>
      <c r="FON52" s="4"/>
      <c r="FOO52" s="4"/>
      <c r="FOP52" s="4"/>
      <c r="FOQ52" s="4"/>
      <c r="FOR52" s="4"/>
      <c r="FOS52" s="4"/>
      <c r="FOT52" s="4"/>
      <c r="FOU52" s="4"/>
      <c r="FOV52" s="4"/>
      <c r="FOW52" s="4"/>
      <c r="FOX52" s="4"/>
      <c r="FOY52" s="4"/>
      <c r="FOZ52" s="4"/>
      <c r="FPA52" s="4"/>
      <c r="FPB52" s="4"/>
      <c r="FPC52" s="4"/>
      <c r="FPD52" s="4"/>
      <c r="FPE52" s="4"/>
      <c r="FPF52" s="4"/>
      <c r="FPG52" s="4"/>
      <c r="FPH52" s="4"/>
      <c r="FPI52" s="4"/>
      <c r="FPJ52" s="4"/>
      <c r="FPK52" s="4"/>
      <c r="FPL52" s="4"/>
      <c r="FPM52" s="4"/>
      <c r="FPN52" s="4"/>
      <c r="FPO52" s="4"/>
      <c r="FPP52" s="4"/>
      <c r="FPQ52" s="4"/>
      <c r="FPR52" s="4"/>
      <c r="FPS52" s="4"/>
      <c r="FPT52" s="4"/>
      <c r="FPU52" s="4"/>
      <c r="FPV52" s="4"/>
      <c r="FPW52" s="4"/>
      <c r="FPX52" s="4"/>
      <c r="FPY52" s="4"/>
      <c r="FPZ52" s="4"/>
      <c r="FQA52" s="4"/>
      <c r="FQB52" s="4"/>
      <c r="FQC52" s="4"/>
      <c r="FQD52" s="4"/>
      <c r="FQE52" s="4"/>
      <c r="FQF52" s="4"/>
      <c r="FQG52" s="4"/>
      <c r="FQH52" s="4"/>
      <c r="FQI52" s="4"/>
      <c r="FQJ52" s="4"/>
      <c r="FQK52" s="4"/>
      <c r="FQL52" s="4"/>
      <c r="FQM52" s="4"/>
      <c r="FQN52" s="4"/>
      <c r="FQO52" s="4"/>
      <c r="FQP52" s="4"/>
      <c r="FQQ52" s="4"/>
      <c r="FQR52" s="4"/>
      <c r="FQS52" s="4"/>
      <c r="FQT52" s="4"/>
      <c r="FQU52" s="4"/>
      <c r="FQV52" s="4"/>
      <c r="FQW52" s="4"/>
      <c r="FQX52" s="4"/>
      <c r="FQY52" s="4"/>
      <c r="FQZ52" s="4"/>
      <c r="FRA52" s="4"/>
      <c r="FRB52" s="4"/>
      <c r="FRC52" s="4"/>
      <c r="FRD52" s="4"/>
      <c r="FRE52" s="4"/>
      <c r="FRF52" s="4"/>
      <c r="FRG52" s="4"/>
      <c r="FRH52" s="4"/>
      <c r="FRI52" s="4"/>
      <c r="FRJ52" s="4"/>
      <c r="FRK52" s="4"/>
      <c r="FRL52" s="4"/>
      <c r="FRM52" s="4"/>
      <c r="FRN52" s="4"/>
      <c r="FRO52" s="4"/>
      <c r="FRP52" s="4"/>
      <c r="FRQ52" s="4"/>
      <c r="FRR52" s="4"/>
      <c r="FRS52" s="4"/>
      <c r="FRT52" s="4"/>
      <c r="FRU52" s="4"/>
      <c r="FRV52" s="4"/>
      <c r="FRW52" s="4"/>
      <c r="FRX52" s="4"/>
      <c r="FRY52" s="4"/>
      <c r="FRZ52" s="4"/>
      <c r="FSA52" s="4"/>
      <c r="FSB52" s="4"/>
      <c r="FSC52" s="4"/>
      <c r="FSD52" s="4"/>
      <c r="FSE52" s="4"/>
      <c r="FSF52" s="4"/>
      <c r="FSG52" s="4"/>
      <c r="FSH52" s="4"/>
      <c r="FSI52" s="4"/>
      <c r="FSJ52" s="4"/>
      <c r="FSK52" s="4"/>
      <c r="FSL52" s="4"/>
      <c r="FSM52" s="4"/>
      <c r="FSN52" s="4"/>
      <c r="FSO52" s="4"/>
      <c r="FSP52" s="4"/>
      <c r="FSQ52" s="4"/>
      <c r="FSR52" s="4"/>
      <c r="FSS52" s="4"/>
      <c r="FST52" s="4"/>
      <c r="FSU52" s="4"/>
      <c r="FSV52" s="4"/>
      <c r="FSW52" s="4"/>
      <c r="FSX52" s="4"/>
      <c r="FSY52" s="4"/>
      <c r="FSZ52" s="4"/>
      <c r="FTA52" s="4"/>
      <c r="FTB52" s="4"/>
      <c r="FTC52" s="4"/>
      <c r="FTD52" s="4"/>
      <c r="FTE52" s="4"/>
      <c r="FTF52" s="4"/>
      <c r="FTG52" s="4"/>
      <c r="FTH52" s="4"/>
      <c r="FTI52" s="4"/>
      <c r="FTJ52" s="4"/>
      <c r="FTK52" s="4"/>
      <c r="FTL52" s="4"/>
      <c r="FTM52" s="4"/>
      <c r="FTN52" s="4"/>
      <c r="FTO52" s="4"/>
      <c r="FTP52" s="4"/>
      <c r="FTQ52" s="4"/>
      <c r="FTR52" s="4"/>
      <c r="FTS52" s="4"/>
      <c r="FTT52" s="4"/>
      <c r="FTU52" s="4"/>
      <c r="FTV52" s="4"/>
      <c r="FTW52" s="4"/>
      <c r="FTX52" s="4"/>
      <c r="FTY52" s="4"/>
      <c r="FTZ52" s="4"/>
      <c r="FUA52" s="4"/>
      <c r="FUB52" s="4"/>
      <c r="FUC52" s="4"/>
      <c r="FUD52" s="4"/>
      <c r="FUE52" s="4"/>
      <c r="FUF52" s="4"/>
      <c r="FUG52" s="4"/>
      <c r="FUH52" s="4"/>
      <c r="FUI52" s="4"/>
      <c r="FUJ52" s="4"/>
      <c r="FUK52" s="4"/>
      <c r="FUL52" s="4"/>
      <c r="FUM52" s="4"/>
      <c r="FUN52" s="4"/>
      <c r="FUO52" s="4"/>
      <c r="FUP52" s="4"/>
      <c r="FUQ52" s="4"/>
      <c r="FUR52" s="4"/>
      <c r="FUS52" s="4"/>
      <c r="FUT52" s="4"/>
      <c r="FUU52" s="4"/>
      <c r="FUV52" s="4"/>
      <c r="FUW52" s="4"/>
      <c r="FUX52" s="4"/>
      <c r="FUY52" s="4"/>
      <c r="FUZ52" s="4"/>
      <c r="FVA52" s="4"/>
      <c r="FVB52" s="4"/>
      <c r="FVC52" s="4"/>
      <c r="FVD52" s="4"/>
      <c r="FVE52" s="4"/>
      <c r="FVF52" s="4"/>
      <c r="FVG52" s="4"/>
      <c r="FVH52" s="4"/>
      <c r="FVI52" s="4"/>
      <c r="FVJ52" s="4"/>
      <c r="FVK52" s="4"/>
      <c r="FVL52" s="4"/>
      <c r="FVM52" s="4"/>
      <c r="FVN52" s="4"/>
      <c r="FVO52" s="4"/>
      <c r="FVP52" s="4"/>
      <c r="FVQ52" s="4"/>
      <c r="FVR52" s="4"/>
      <c r="FVS52" s="4"/>
      <c r="FVT52" s="4"/>
      <c r="FVU52" s="4"/>
      <c r="FVV52" s="4"/>
      <c r="FVW52" s="4"/>
      <c r="FVX52" s="4"/>
      <c r="FVY52" s="4"/>
      <c r="FVZ52" s="4"/>
      <c r="FWA52" s="4"/>
      <c r="FWB52" s="4"/>
      <c r="FWC52" s="4"/>
      <c r="FWD52" s="4"/>
      <c r="FWE52" s="4"/>
      <c r="FWF52" s="4"/>
      <c r="FWG52" s="4"/>
      <c r="FWH52" s="4"/>
      <c r="FWI52" s="4"/>
      <c r="FWJ52" s="4"/>
      <c r="FWK52" s="4"/>
      <c r="FWL52" s="4"/>
      <c r="FWM52" s="4"/>
      <c r="FWN52" s="4"/>
      <c r="FWO52" s="4"/>
      <c r="FWP52" s="4"/>
      <c r="FWQ52" s="4"/>
      <c r="FWR52" s="4"/>
      <c r="FWS52" s="4"/>
      <c r="FWT52" s="4"/>
      <c r="FWU52" s="4"/>
      <c r="FWV52" s="4"/>
      <c r="FWW52" s="4"/>
      <c r="FWX52" s="4"/>
      <c r="FWY52" s="4"/>
      <c r="FWZ52" s="4"/>
      <c r="FXA52" s="4"/>
      <c r="FXB52" s="4"/>
      <c r="FXC52" s="4"/>
      <c r="FXD52" s="4"/>
      <c r="FXE52" s="4"/>
      <c r="FXF52" s="4"/>
      <c r="FXG52" s="4"/>
      <c r="FXH52" s="4"/>
      <c r="FXI52" s="4"/>
      <c r="FXJ52" s="4"/>
      <c r="FXK52" s="4"/>
      <c r="FXL52" s="4"/>
      <c r="FXM52" s="4"/>
      <c r="FXN52" s="4"/>
      <c r="FXO52" s="4"/>
      <c r="FXP52" s="4"/>
      <c r="FXQ52" s="4"/>
      <c r="FXR52" s="4"/>
      <c r="FXS52" s="4"/>
      <c r="FXT52" s="4"/>
      <c r="FXU52" s="4"/>
      <c r="FXV52" s="4"/>
      <c r="FXW52" s="4"/>
      <c r="FXX52" s="4"/>
      <c r="FXY52" s="4"/>
      <c r="FXZ52" s="4"/>
      <c r="FYA52" s="4"/>
      <c r="FYB52" s="4"/>
      <c r="FYC52" s="4"/>
      <c r="FYD52" s="4"/>
      <c r="FYE52" s="4"/>
      <c r="FYF52" s="4"/>
      <c r="FYG52" s="4"/>
      <c r="FYH52" s="4"/>
      <c r="FYI52" s="4"/>
      <c r="FYJ52" s="4"/>
      <c r="FYK52" s="4"/>
      <c r="FYL52" s="4"/>
      <c r="FYM52" s="4"/>
      <c r="FYN52" s="4"/>
      <c r="FYO52" s="4"/>
      <c r="FYP52" s="4"/>
      <c r="FYQ52" s="4"/>
      <c r="FYR52" s="4"/>
      <c r="FYS52" s="4"/>
      <c r="FYT52" s="4"/>
      <c r="FYU52" s="4"/>
      <c r="FYV52" s="4"/>
      <c r="FYW52" s="4"/>
      <c r="FYX52" s="4"/>
      <c r="FYY52" s="4"/>
      <c r="FYZ52" s="4"/>
      <c r="FZA52" s="4"/>
      <c r="FZB52" s="4"/>
      <c r="FZC52" s="4"/>
      <c r="FZD52" s="4"/>
      <c r="FZE52" s="4"/>
      <c r="FZF52" s="4"/>
      <c r="FZG52" s="4"/>
      <c r="FZH52" s="4"/>
      <c r="FZI52" s="4"/>
      <c r="FZJ52" s="4"/>
      <c r="FZK52" s="4"/>
      <c r="FZL52" s="4"/>
      <c r="FZM52" s="4"/>
      <c r="FZN52" s="4"/>
      <c r="FZO52" s="4"/>
      <c r="FZP52" s="4"/>
      <c r="FZQ52" s="4"/>
      <c r="FZR52" s="4"/>
      <c r="FZS52" s="4"/>
      <c r="FZT52" s="4"/>
      <c r="FZU52" s="4"/>
      <c r="FZV52" s="4"/>
      <c r="FZW52" s="4"/>
      <c r="FZX52" s="4"/>
      <c r="FZY52" s="4"/>
      <c r="FZZ52" s="4"/>
      <c r="GAA52" s="4"/>
      <c r="GAB52" s="4"/>
      <c r="GAC52" s="4"/>
      <c r="GAD52" s="4"/>
      <c r="GAE52" s="4"/>
      <c r="GAF52" s="4"/>
      <c r="GAG52" s="4"/>
      <c r="GAH52" s="4"/>
      <c r="GAI52" s="4"/>
      <c r="GAJ52" s="4"/>
      <c r="GAK52" s="4"/>
      <c r="GAL52" s="4"/>
      <c r="GAM52" s="4"/>
      <c r="GAN52" s="4"/>
      <c r="GAO52" s="4"/>
      <c r="GAP52" s="4"/>
      <c r="GAQ52" s="4"/>
      <c r="GAR52" s="4"/>
      <c r="GAS52" s="4"/>
      <c r="GAT52" s="4"/>
      <c r="GAU52" s="4"/>
      <c r="GAV52" s="4"/>
      <c r="GAW52" s="4"/>
      <c r="GAX52" s="4"/>
      <c r="GAY52" s="4"/>
      <c r="GAZ52" s="4"/>
      <c r="GBA52" s="4"/>
      <c r="GBB52" s="4"/>
      <c r="GBC52" s="4"/>
      <c r="GBD52" s="4"/>
      <c r="GBE52" s="4"/>
      <c r="GBF52" s="4"/>
      <c r="GBG52" s="4"/>
      <c r="GBH52" s="4"/>
      <c r="GBI52" s="4"/>
      <c r="GBJ52" s="4"/>
      <c r="GBK52" s="4"/>
      <c r="GBL52" s="4"/>
      <c r="GBM52" s="4"/>
      <c r="GBN52" s="4"/>
      <c r="GBO52" s="4"/>
      <c r="GBP52" s="4"/>
      <c r="GBQ52" s="4"/>
      <c r="GBR52" s="4"/>
      <c r="GBS52" s="4"/>
      <c r="GBT52" s="4"/>
      <c r="GBU52" s="4"/>
      <c r="GBV52" s="4"/>
      <c r="GBW52" s="4"/>
      <c r="GBX52" s="4"/>
      <c r="GBY52" s="4"/>
      <c r="GBZ52" s="4"/>
      <c r="GCA52" s="4"/>
      <c r="GCB52" s="4"/>
      <c r="GCC52" s="4"/>
      <c r="GCD52" s="4"/>
      <c r="GCE52" s="4"/>
      <c r="GCF52" s="4"/>
      <c r="GCG52" s="4"/>
      <c r="GCH52" s="4"/>
      <c r="GCI52" s="4"/>
      <c r="GCJ52" s="4"/>
      <c r="GCK52" s="4"/>
      <c r="GCL52" s="4"/>
      <c r="GCM52" s="4"/>
      <c r="GCN52" s="4"/>
      <c r="GCO52" s="4"/>
      <c r="GCP52" s="4"/>
      <c r="GCQ52" s="4"/>
      <c r="GCR52" s="4"/>
      <c r="GCS52" s="4"/>
      <c r="GCT52" s="4"/>
      <c r="GCU52" s="4"/>
      <c r="GCV52" s="4"/>
      <c r="GCW52" s="4"/>
      <c r="GCX52" s="4"/>
      <c r="GCY52" s="4"/>
      <c r="GCZ52" s="4"/>
      <c r="GDA52" s="4"/>
      <c r="GDB52" s="4"/>
      <c r="GDC52" s="4"/>
      <c r="GDD52" s="4"/>
      <c r="GDE52" s="4"/>
      <c r="GDF52" s="4"/>
      <c r="GDG52" s="4"/>
      <c r="GDH52" s="4"/>
      <c r="GDI52" s="4"/>
      <c r="GDJ52" s="4"/>
      <c r="GDK52" s="4"/>
      <c r="GDL52" s="4"/>
      <c r="GDM52" s="4"/>
      <c r="GDN52" s="4"/>
      <c r="GDO52" s="4"/>
      <c r="GDP52" s="4"/>
      <c r="GDQ52" s="4"/>
      <c r="GDR52" s="4"/>
      <c r="GDS52" s="4"/>
      <c r="GDT52" s="4"/>
      <c r="GDU52" s="4"/>
      <c r="GDV52" s="4"/>
      <c r="GDW52" s="4"/>
      <c r="GDX52" s="4"/>
      <c r="GDY52" s="4"/>
      <c r="GDZ52" s="4"/>
      <c r="GEA52" s="4"/>
      <c r="GEB52" s="4"/>
      <c r="GEC52" s="4"/>
      <c r="GED52" s="4"/>
      <c r="GEE52" s="4"/>
      <c r="GEF52" s="4"/>
      <c r="GEG52" s="4"/>
      <c r="GEH52" s="4"/>
      <c r="GEI52" s="4"/>
      <c r="GEJ52" s="4"/>
      <c r="GEK52" s="4"/>
      <c r="GEL52" s="4"/>
      <c r="GEM52" s="4"/>
      <c r="GEN52" s="4"/>
      <c r="GEO52" s="4"/>
      <c r="GEP52" s="4"/>
      <c r="GEQ52" s="4"/>
      <c r="GER52" s="4"/>
      <c r="GES52" s="4"/>
      <c r="GET52" s="4"/>
      <c r="GEU52" s="4"/>
      <c r="GEV52" s="4"/>
      <c r="GEW52" s="4"/>
      <c r="GEX52" s="4"/>
      <c r="GEY52" s="4"/>
      <c r="GEZ52" s="4"/>
      <c r="GFA52" s="4"/>
      <c r="GFB52" s="4"/>
      <c r="GFC52" s="4"/>
      <c r="GFD52" s="4"/>
      <c r="GFE52" s="4"/>
      <c r="GFF52" s="4"/>
      <c r="GFG52" s="4"/>
      <c r="GFH52" s="4"/>
      <c r="GFI52" s="4"/>
      <c r="GFJ52" s="4"/>
      <c r="GFK52" s="4"/>
      <c r="GFL52" s="4"/>
      <c r="GFM52" s="4"/>
      <c r="GFN52" s="4"/>
      <c r="GFO52" s="4"/>
      <c r="GFP52" s="4"/>
      <c r="GFQ52" s="4"/>
      <c r="GFR52" s="4"/>
      <c r="GFS52" s="4"/>
      <c r="GFT52" s="4"/>
      <c r="GFU52" s="4"/>
      <c r="GFV52" s="4"/>
      <c r="GFW52" s="4"/>
      <c r="GFX52" s="4"/>
      <c r="GFY52" s="4"/>
      <c r="GFZ52" s="4"/>
      <c r="GGA52" s="4"/>
      <c r="GGB52" s="4"/>
      <c r="GGC52" s="4"/>
      <c r="GGD52" s="4"/>
      <c r="GGE52" s="4"/>
      <c r="GGF52" s="4"/>
      <c r="GGG52" s="4"/>
      <c r="GGH52" s="4"/>
      <c r="GGI52" s="4"/>
      <c r="GGJ52" s="4"/>
      <c r="GGK52" s="4"/>
      <c r="GGL52" s="4"/>
      <c r="GGM52" s="4"/>
      <c r="GGN52" s="4"/>
      <c r="GGO52" s="4"/>
      <c r="GGP52" s="4"/>
      <c r="GGQ52" s="4"/>
      <c r="GGR52" s="4"/>
      <c r="GGS52" s="4"/>
      <c r="GGT52" s="4"/>
      <c r="GGU52" s="4"/>
      <c r="GGV52" s="4"/>
      <c r="GGW52" s="4"/>
      <c r="GGX52" s="4"/>
      <c r="GGY52" s="4"/>
      <c r="GGZ52" s="4"/>
      <c r="GHA52" s="4"/>
      <c r="GHB52" s="4"/>
      <c r="GHC52" s="4"/>
      <c r="GHD52" s="4"/>
      <c r="GHE52" s="4"/>
      <c r="GHF52" s="4"/>
      <c r="GHG52" s="4"/>
      <c r="GHH52" s="4"/>
      <c r="GHI52" s="4"/>
      <c r="GHJ52" s="4"/>
      <c r="GHK52" s="4"/>
      <c r="GHL52" s="4"/>
      <c r="GHM52" s="4"/>
      <c r="GHN52" s="4"/>
      <c r="GHO52" s="4"/>
      <c r="GHP52" s="4"/>
      <c r="GHQ52" s="4"/>
      <c r="GHR52" s="4"/>
      <c r="GHS52" s="4"/>
      <c r="GHT52" s="4"/>
      <c r="GHU52" s="4"/>
      <c r="GHV52" s="4"/>
      <c r="GHW52" s="4"/>
      <c r="GHX52" s="4"/>
      <c r="GHY52" s="4"/>
      <c r="GHZ52" s="4"/>
      <c r="GIA52" s="4"/>
      <c r="GIB52" s="4"/>
      <c r="GIC52" s="4"/>
      <c r="GID52" s="4"/>
      <c r="GIE52" s="4"/>
      <c r="GIF52" s="4"/>
      <c r="GIG52" s="4"/>
      <c r="GIH52" s="4"/>
      <c r="GII52" s="4"/>
      <c r="GIJ52" s="4"/>
      <c r="GIK52" s="4"/>
      <c r="GIL52" s="4"/>
      <c r="GIM52" s="4"/>
      <c r="GIN52" s="4"/>
      <c r="GIO52" s="4"/>
      <c r="GIP52" s="4"/>
      <c r="GIQ52" s="4"/>
      <c r="GIR52" s="4"/>
      <c r="GIS52" s="4"/>
      <c r="GIT52" s="4"/>
      <c r="GIU52" s="4"/>
      <c r="GIV52" s="4"/>
      <c r="GIW52" s="4"/>
      <c r="GIX52" s="4"/>
      <c r="GIY52" s="4"/>
      <c r="GIZ52" s="4"/>
      <c r="GJA52" s="4"/>
      <c r="GJB52" s="4"/>
      <c r="GJC52" s="4"/>
      <c r="GJD52" s="4"/>
      <c r="GJE52" s="4"/>
      <c r="GJF52" s="4"/>
      <c r="GJG52" s="4"/>
      <c r="GJH52" s="4"/>
      <c r="GJI52" s="4"/>
      <c r="GJJ52" s="4"/>
      <c r="GJK52" s="4"/>
      <c r="GJL52" s="4"/>
      <c r="GJM52" s="4"/>
      <c r="GJN52" s="4"/>
      <c r="GJO52" s="4"/>
      <c r="GJP52" s="4"/>
      <c r="GJQ52" s="4"/>
      <c r="GJR52" s="4"/>
      <c r="GJS52" s="4"/>
      <c r="GJT52" s="4"/>
      <c r="GJU52" s="4"/>
      <c r="GJV52" s="4"/>
      <c r="GJW52" s="4"/>
      <c r="GJX52" s="4"/>
      <c r="GJY52" s="4"/>
      <c r="GJZ52" s="4"/>
      <c r="GKA52" s="4"/>
      <c r="GKB52" s="4"/>
      <c r="GKC52" s="4"/>
      <c r="GKD52" s="4"/>
      <c r="GKE52" s="4"/>
      <c r="GKF52" s="4"/>
      <c r="GKG52" s="4"/>
      <c r="GKH52" s="4"/>
      <c r="GKI52" s="4"/>
      <c r="GKJ52" s="4"/>
      <c r="GKK52" s="4"/>
      <c r="GKL52" s="4"/>
      <c r="GKM52" s="4"/>
      <c r="GKN52" s="4"/>
      <c r="GKO52" s="4"/>
      <c r="GKP52" s="4"/>
      <c r="GKQ52" s="4"/>
      <c r="GKR52" s="4"/>
      <c r="GKS52" s="4"/>
      <c r="GKT52" s="4"/>
      <c r="GKU52" s="4"/>
      <c r="GKV52" s="4"/>
      <c r="GKW52" s="4"/>
      <c r="GKX52" s="4"/>
      <c r="GKY52" s="4"/>
      <c r="GKZ52" s="4"/>
      <c r="GLA52" s="4"/>
      <c r="GLB52" s="4"/>
      <c r="GLC52" s="4"/>
      <c r="GLD52" s="4"/>
      <c r="GLE52" s="4"/>
      <c r="GLF52" s="4"/>
      <c r="GLG52" s="4"/>
      <c r="GLH52" s="4"/>
      <c r="GLI52" s="4"/>
      <c r="GLJ52" s="4"/>
      <c r="GLK52" s="4"/>
      <c r="GLL52" s="4"/>
      <c r="GLM52" s="4"/>
      <c r="GLN52" s="4"/>
      <c r="GLO52" s="4"/>
      <c r="GLP52" s="4"/>
      <c r="GLQ52" s="4"/>
      <c r="GLR52" s="4"/>
      <c r="GLS52" s="4"/>
      <c r="GLT52" s="4"/>
      <c r="GLU52" s="4"/>
      <c r="GLV52" s="4"/>
      <c r="GLW52" s="4"/>
      <c r="GLX52" s="4"/>
      <c r="GLY52" s="4"/>
      <c r="GLZ52" s="4"/>
      <c r="GMA52" s="4"/>
      <c r="GMB52" s="4"/>
      <c r="GMC52" s="4"/>
      <c r="GMD52" s="4"/>
      <c r="GME52" s="4"/>
      <c r="GMF52" s="4"/>
      <c r="GMG52" s="4"/>
      <c r="GMH52" s="4"/>
      <c r="GMI52" s="4"/>
      <c r="GMJ52" s="4"/>
      <c r="GMK52" s="4"/>
      <c r="GML52" s="4"/>
      <c r="GMM52" s="4"/>
      <c r="GMN52" s="4"/>
      <c r="GMO52" s="4"/>
      <c r="GMP52" s="4"/>
      <c r="GMQ52" s="4"/>
      <c r="GMR52" s="4"/>
      <c r="GMS52" s="4"/>
      <c r="GMT52" s="4"/>
      <c r="GMU52" s="4"/>
      <c r="GMV52" s="4"/>
      <c r="GMW52" s="4"/>
      <c r="GMX52" s="4"/>
      <c r="GMY52" s="4"/>
      <c r="GMZ52" s="4"/>
      <c r="GNA52" s="4"/>
      <c r="GNB52" s="4"/>
      <c r="GNC52" s="4"/>
      <c r="GND52" s="4"/>
      <c r="GNE52" s="4"/>
      <c r="GNF52" s="4"/>
      <c r="GNG52" s="4"/>
      <c r="GNH52" s="4"/>
      <c r="GNI52" s="4"/>
      <c r="GNJ52" s="4"/>
      <c r="GNK52" s="4"/>
      <c r="GNL52" s="4"/>
      <c r="GNM52" s="4"/>
      <c r="GNN52" s="4"/>
      <c r="GNO52" s="4"/>
      <c r="GNP52" s="4"/>
      <c r="GNQ52" s="4"/>
      <c r="GNR52" s="4"/>
      <c r="GNS52" s="4"/>
      <c r="GNT52" s="4"/>
      <c r="GNU52" s="4"/>
      <c r="GNV52" s="4"/>
      <c r="GNW52" s="4"/>
      <c r="GNX52" s="4"/>
      <c r="GNY52" s="4"/>
      <c r="GNZ52" s="4"/>
      <c r="GOA52" s="4"/>
      <c r="GOB52" s="4"/>
      <c r="GOC52" s="4"/>
      <c r="GOD52" s="4"/>
      <c r="GOE52" s="4"/>
      <c r="GOF52" s="4"/>
      <c r="GOG52" s="4"/>
      <c r="GOH52" s="4"/>
      <c r="GOI52" s="4"/>
      <c r="GOJ52" s="4"/>
      <c r="GOK52" s="4"/>
      <c r="GOL52" s="4"/>
      <c r="GOM52" s="4"/>
      <c r="GON52" s="4"/>
      <c r="GOO52" s="4"/>
      <c r="GOP52" s="4"/>
      <c r="GOQ52" s="4"/>
      <c r="GOR52" s="4"/>
      <c r="GOS52" s="4"/>
      <c r="GOT52" s="4"/>
      <c r="GOU52" s="4"/>
      <c r="GOV52" s="4"/>
      <c r="GOW52" s="4"/>
      <c r="GOX52" s="4"/>
      <c r="GOY52" s="4"/>
      <c r="GOZ52" s="4"/>
      <c r="GPA52" s="4"/>
      <c r="GPB52" s="4"/>
      <c r="GPC52" s="4"/>
      <c r="GPD52" s="4"/>
      <c r="GPE52" s="4"/>
      <c r="GPF52" s="4"/>
      <c r="GPG52" s="4"/>
      <c r="GPH52" s="4"/>
      <c r="GPI52" s="4"/>
      <c r="GPJ52" s="4"/>
      <c r="GPK52" s="4"/>
      <c r="GPL52" s="4"/>
      <c r="GPM52" s="4"/>
      <c r="GPN52" s="4"/>
      <c r="GPO52" s="4"/>
      <c r="GPP52" s="4"/>
      <c r="GPQ52" s="4"/>
      <c r="GPR52" s="4"/>
      <c r="GPS52" s="4"/>
      <c r="GPT52" s="4"/>
      <c r="GPU52" s="4"/>
      <c r="GPV52" s="4"/>
      <c r="GPW52" s="4"/>
      <c r="GPX52" s="4"/>
      <c r="GPY52" s="4"/>
      <c r="GPZ52" s="4"/>
      <c r="GQA52" s="4"/>
      <c r="GQB52" s="4"/>
      <c r="GQC52" s="4"/>
      <c r="GQD52" s="4"/>
      <c r="GQE52" s="4"/>
      <c r="GQF52" s="4"/>
      <c r="GQG52" s="4"/>
      <c r="GQH52" s="4"/>
      <c r="GQI52" s="4"/>
      <c r="GQJ52" s="4"/>
      <c r="GQK52" s="4"/>
      <c r="GQL52" s="4"/>
      <c r="GQM52" s="4"/>
      <c r="GQN52" s="4"/>
      <c r="GQO52" s="4"/>
      <c r="GQP52" s="4"/>
      <c r="GQQ52" s="4"/>
      <c r="GQR52" s="4"/>
      <c r="GQS52" s="4"/>
      <c r="GQT52" s="4"/>
      <c r="GQU52" s="4"/>
      <c r="GQV52" s="4"/>
      <c r="GQW52" s="4"/>
      <c r="GQX52" s="4"/>
      <c r="GQY52" s="4"/>
      <c r="GQZ52" s="4"/>
      <c r="GRA52" s="4"/>
      <c r="GRB52" s="4"/>
      <c r="GRC52" s="4"/>
      <c r="GRD52" s="4"/>
      <c r="GRE52" s="4"/>
      <c r="GRF52" s="4"/>
      <c r="GRG52" s="4"/>
      <c r="GRH52" s="4"/>
      <c r="GRI52" s="4"/>
      <c r="GRJ52" s="4"/>
      <c r="GRK52" s="4"/>
      <c r="GRL52" s="4"/>
      <c r="GRM52" s="4"/>
      <c r="GRN52" s="4"/>
      <c r="GRO52" s="4"/>
      <c r="GRP52" s="4"/>
      <c r="GRQ52" s="4"/>
      <c r="GRR52" s="4"/>
      <c r="GRS52" s="4"/>
      <c r="GRT52" s="4"/>
      <c r="GRU52" s="4"/>
      <c r="GRV52" s="4"/>
      <c r="GRW52" s="4"/>
      <c r="GRX52" s="4"/>
      <c r="GRY52" s="4"/>
      <c r="GRZ52" s="4"/>
      <c r="GSA52" s="4"/>
      <c r="GSB52" s="4"/>
      <c r="GSC52" s="4"/>
      <c r="GSD52" s="4"/>
      <c r="GSE52" s="4"/>
      <c r="GSF52" s="4"/>
      <c r="GSG52" s="4"/>
      <c r="GSH52" s="4"/>
      <c r="GSI52" s="4"/>
      <c r="GSJ52" s="4"/>
      <c r="GSK52" s="4"/>
      <c r="GSL52" s="4"/>
      <c r="GSM52" s="4"/>
      <c r="GSN52" s="4"/>
      <c r="GSO52" s="4"/>
      <c r="GSP52" s="4"/>
      <c r="GSQ52" s="4"/>
      <c r="GSR52" s="4"/>
      <c r="GSS52" s="4"/>
      <c r="GST52" s="4"/>
      <c r="GSU52" s="4"/>
      <c r="GSV52" s="4"/>
      <c r="GSW52" s="4"/>
      <c r="GSX52" s="4"/>
      <c r="GSY52" s="4"/>
      <c r="GSZ52" s="4"/>
      <c r="GTA52" s="4"/>
      <c r="GTB52" s="4"/>
      <c r="GTC52" s="4"/>
      <c r="GTD52" s="4"/>
      <c r="GTE52" s="4"/>
      <c r="GTF52" s="4"/>
      <c r="GTG52" s="4"/>
      <c r="GTH52" s="4"/>
      <c r="GTI52" s="4"/>
      <c r="GTJ52" s="4"/>
      <c r="GTK52" s="4"/>
      <c r="GTL52" s="4"/>
      <c r="GTM52" s="4"/>
      <c r="GTN52" s="4"/>
      <c r="GTO52" s="4"/>
      <c r="GTP52" s="4"/>
      <c r="GTQ52" s="4"/>
      <c r="GTR52" s="4"/>
      <c r="GTS52" s="4"/>
      <c r="GTT52" s="4"/>
      <c r="GTU52" s="4"/>
      <c r="GTV52" s="4"/>
      <c r="GTW52" s="4"/>
      <c r="GTX52" s="4"/>
      <c r="GTY52" s="4"/>
      <c r="GTZ52" s="4"/>
      <c r="GUA52" s="4"/>
      <c r="GUB52" s="4"/>
      <c r="GUC52" s="4"/>
      <c r="GUD52" s="4"/>
      <c r="GUE52" s="4"/>
      <c r="GUF52" s="4"/>
      <c r="GUG52" s="4"/>
      <c r="GUH52" s="4"/>
      <c r="GUI52" s="4"/>
      <c r="GUJ52" s="4"/>
      <c r="GUK52" s="4"/>
      <c r="GUL52" s="4"/>
      <c r="GUM52" s="4"/>
      <c r="GUN52" s="4"/>
      <c r="GUO52" s="4"/>
      <c r="GUP52" s="4"/>
      <c r="GUQ52" s="4"/>
      <c r="GUR52" s="4"/>
      <c r="GUS52" s="4"/>
      <c r="GUT52" s="4"/>
      <c r="GUU52" s="4"/>
      <c r="GUV52" s="4"/>
      <c r="GUW52" s="4"/>
      <c r="GUX52" s="4"/>
      <c r="GUY52" s="4"/>
      <c r="GUZ52" s="4"/>
      <c r="GVA52" s="4"/>
      <c r="GVB52" s="4"/>
      <c r="GVC52" s="4"/>
      <c r="GVD52" s="4"/>
      <c r="GVE52" s="4"/>
      <c r="GVF52" s="4"/>
      <c r="GVG52" s="4"/>
      <c r="GVH52" s="4"/>
      <c r="GVI52" s="4"/>
      <c r="GVJ52" s="4"/>
      <c r="GVK52" s="4"/>
      <c r="GVL52" s="4"/>
      <c r="GVM52" s="4"/>
      <c r="GVN52" s="4"/>
      <c r="GVO52" s="4"/>
      <c r="GVP52" s="4"/>
      <c r="GVQ52" s="4"/>
      <c r="GVR52" s="4"/>
      <c r="GVS52" s="4"/>
      <c r="GVT52" s="4"/>
      <c r="GVU52" s="4"/>
      <c r="GVV52" s="4"/>
      <c r="GVW52" s="4"/>
      <c r="GVX52" s="4"/>
      <c r="GVY52" s="4"/>
      <c r="GVZ52" s="4"/>
      <c r="GWA52" s="4"/>
      <c r="GWB52" s="4"/>
      <c r="GWC52" s="4"/>
      <c r="GWD52" s="4"/>
      <c r="GWE52" s="4"/>
      <c r="GWF52" s="4"/>
      <c r="GWG52" s="4"/>
      <c r="GWH52" s="4"/>
      <c r="GWI52" s="4"/>
      <c r="GWJ52" s="4"/>
      <c r="GWK52" s="4"/>
      <c r="GWL52" s="4"/>
      <c r="GWM52" s="4"/>
      <c r="GWN52" s="4"/>
      <c r="GWO52" s="4"/>
      <c r="GWP52" s="4"/>
      <c r="GWQ52" s="4"/>
      <c r="GWR52" s="4"/>
      <c r="GWS52" s="4"/>
      <c r="GWT52" s="4"/>
      <c r="GWU52" s="4"/>
      <c r="GWV52" s="4"/>
      <c r="GWW52" s="4"/>
      <c r="GWX52" s="4"/>
      <c r="GWY52" s="4"/>
      <c r="GWZ52" s="4"/>
      <c r="GXA52" s="4"/>
      <c r="GXB52" s="4"/>
      <c r="GXC52" s="4"/>
      <c r="GXD52" s="4"/>
      <c r="GXE52" s="4"/>
      <c r="GXF52" s="4"/>
      <c r="GXG52" s="4"/>
      <c r="GXH52" s="4"/>
      <c r="GXI52" s="4"/>
      <c r="GXJ52" s="4"/>
      <c r="GXK52" s="4"/>
      <c r="GXL52" s="4"/>
      <c r="GXM52" s="4"/>
      <c r="GXN52" s="4"/>
      <c r="GXO52" s="4"/>
      <c r="GXP52" s="4"/>
      <c r="GXQ52" s="4"/>
      <c r="GXR52" s="4"/>
      <c r="GXS52" s="4"/>
      <c r="GXT52" s="4"/>
      <c r="GXU52" s="4"/>
      <c r="GXV52" s="4"/>
      <c r="GXW52" s="4"/>
      <c r="GXX52" s="4"/>
      <c r="GXY52" s="4"/>
      <c r="GXZ52" s="4"/>
      <c r="GYA52" s="4"/>
      <c r="GYB52" s="4"/>
      <c r="GYC52" s="4"/>
      <c r="GYD52" s="4"/>
      <c r="GYE52" s="4"/>
      <c r="GYF52" s="4"/>
      <c r="GYG52" s="4"/>
      <c r="GYH52" s="4"/>
      <c r="GYI52" s="4"/>
      <c r="GYJ52" s="4"/>
      <c r="GYK52" s="4"/>
      <c r="GYL52" s="4"/>
      <c r="GYM52" s="4"/>
      <c r="GYN52" s="4"/>
      <c r="GYO52" s="4"/>
      <c r="GYP52" s="4"/>
      <c r="GYQ52" s="4"/>
      <c r="GYR52" s="4"/>
      <c r="GYS52" s="4"/>
      <c r="GYT52" s="4"/>
      <c r="GYU52" s="4"/>
      <c r="GYV52" s="4"/>
      <c r="GYW52" s="4"/>
      <c r="GYX52" s="4"/>
      <c r="GYY52" s="4"/>
      <c r="GYZ52" s="4"/>
      <c r="GZA52" s="4"/>
      <c r="GZB52" s="4"/>
      <c r="GZC52" s="4"/>
      <c r="GZD52" s="4"/>
      <c r="GZE52" s="4"/>
      <c r="GZF52" s="4"/>
      <c r="GZG52" s="4"/>
      <c r="GZH52" s="4"/>
      <c r="GZI52" s="4"/>
      <c r="GZJ52" s="4"/>
      <c r="GZK52" s="4"/>
      <c r="GZL52" s="4"/>
      <c r="GZM52" s="4"/>
      <c r="GZN52" s="4"/>
      <c r="GZO52" s="4"/>
      <c r="GZP52" s="4"/>
      <c r="GZQ52" s="4"/>
      <c r="GZR52" s="4"/>
      <c r="GZS52" s="4"/>
      <c r="GZT52" s="4"/>
      <c r="GZU52" s="4"/>
      <c r="GZV52" s="4"/>
      <c r="GZW52" s="4"/>
      <c r="GZX52" s="4"/>
      <c r="GZY52" s="4"/>
      <c r="GZZ52" s="4"/>
      <c r="HAA52" s="4"/>
      <c r="HAB52" s="4"/>
      <c r="HAC52" s="4"/>
      <c r="HAD52" s="4"/>
      <c r="HAE52" s="4"/>
      <c r="HAF52" s="4"/>
      <c r="HAG52" s="4"/>
      <c r="HAH52" s="4"/>
      <c r="HAI52" s="4"/>
      <c r="HAJ52" s="4"/>
      <c r="HAK52" s="4"/>
      <c r="HAL52" s="4"/>
      <c r="HAM52" s="4"/>
      <c r="HAN52" s="4"/>
      <c r="HAO52" s="4"/>
      <c r="HAP52" s="4"/>
      <c r="HAQ52" s="4"/>
      <c r="HAR52" s="4"/>
      <c r="HAS52" s="4"/>
      <c r="HAT52" s="4"/>
      <c r="HAU52" s="4"/>
      <c r="HAV52" s="4"/>
      <c r="HAW52" s="4"/>
      <c r="HAX52" s="4"/>
      <c r="HAY52" s="4"/>
      <c r="HAZ52" s="4"/>
      <c r="HBA52" s="4"/>
      <c r="HBB52" s="4"/>
      <c r="HBC52" s="4"/>
      <c r="HBD52" s="4"/>
      <c r="HBE52" s="4"/>
      <c r="HBF52" s="4"/>
      <c r="HBG52" s="4"/>
      <c r="HBH52" s="4"/>
      <c r="HBI52" s="4"/>
      <c r="HBJ52" s="4"/>
      <c r="HBK52" s="4"/>
      <c r="HBL52" s="4"/>
      <c r="HBM52" s="4"/>
      <c r="HBN52" s="4"/>
      <c r="HBO52" s="4"/>
      <c r="HBP52" s="4"/>
      <c r="HBQ52" s="4"/>
      <c r="HBR52" s="4"/>
      <c r="HBS52" s="4"/>
      <c r="HBT52" s="4"/>
      <c r="HBU52" s="4"/>
      <c r="HBV52" s="4"/>
      <c r="HBW52" s="4"/>
      <c r="HBX52" s="4"/>
      <c r="HBY52" s="4"/>
      <c r="HBZ52" s="4"/>
      <c r="HCA52" s="4"/>
      <c r="HCB52" s="4"/>
      <c r="HCC52" s="4"/>
      <c r="HCD52" s="4"/>
      <c r="HCE52" s="4"/>
      <c r="HCF52" s="4"/>
      <c r="HCG52" s="4"/>
      <c r="HCH52" s="4"/>
      <c r="HCI52" s="4"/>
      <c r="HCJ52" s="4"/>
      <c r="HCK52" s="4"/>
      <c r="HCL52" s="4"/>
      <c r="HCM52" s="4"/>
      <c r="HCN52" s="4"/>
      <c r="HCO52" s="4"/>
      <c r="HCP52" s="4"/>
      <c r="HCQ52" s="4"/>
      <c r="HCR52" s="4"/>
      <c r="HCS52" s="4"/>
      <c r="HCT52" s="4"/>
      <c r="HCU52" s="4"/>
      <c r="HCV52" s="4"/>
      <c r="HCW52" s="4"/>
      <c r="HCX52" s="4"/>
      <c r="HCY52" s="4"/>
      <c r="HCZ52" s="4"/>
      <c r="HDA52" s="4"/>
      <c r="HDB52" s="4"/>
      <c r="HDC52" s="4"/>
      <c r="HDD52" s="4"/>
      <c r="HDE52" s="4"/>
      <c r="HDF52" s="4"/>
      <c r="HDG52" s="4"/>
      <c r="HDH52" s="4"/>
      <c r="HDI52" s="4"/>
      <c r="HDJ52" s="4"/>
      <c r="HDK52" s="4"/>
      <c r="HDL52" s="4"/>
      <c r="HDM52" s="4"/>
      <c r="HDN52" s="4"/>
      <c r="HDO52" s="4"/>
      <c r="HDP52" s="4"/>
      <c r="HDQ52" s="4"/>
      <c r="HDR52" s="4"/>
      <c r="HDS52" s="4"/>
      <c r="HDT52" s="4"/>
      <c r="HDU52" s="4"/>
      <c r="HDV52" s="4"/>
      <c r="HDW52" s="4"/>
      <c r="HDX52" s="4"/>
      <c r="HDY52" s="4"/>
      <c r="HDZ52" s="4"/>
      <c r="HEA52" s="4"/>
      <c r="HEB52" s="4"/>
      <c r="HEC52" s="4"/>
      <c r="HED52" s="4"/>
      <c r="HEE52" s="4"/>
      <c r="HEF52" s="4"/>
      <c r="HEG52" s="4"/>
      <c r="HEH52" s="4"/>
      <c r="HEI52" s="4"/>
      <c r="HEJ52" s="4"/>
      <c r="HEK52" s="4"/>
      <c r="HEL52" s="4"/>
      <c r="HEM52" s="4"/>
      <c r="HEN52" s="4"/>
      <c r="HEO52" s="4"/>
      <c r="HEP52" s="4"/>
      <c r="HEQ52" s="4"/>
      <c r="HER52" s="4"/>
      <c r="HES52" s="4"/>
      <c r="HET52" s="4"/>
      <c r="HEU52" s="4"/>
      <c r="HEV52" s="4"/>
      <c r="HEW52" s="4"/>
      <c r="HEX52" s="4"/>
      <c r="HEY52" s="4"/>
      <c r="HEZ52" s="4"/>
      <c r="HFA52" s="4"/>
      <c r="HFB52" s="4"/>
      <c r="HFC52" s="4"/>
      <c r="HFD52" s="4"/>
      <c r="HFE52" s="4"/>
      <c r="HFF52" s="4"/>
      <c r="HFG52" s="4"/>
      <c r="HFH52" s="4"/>
      <c r="HFI52" s="4"/>
      <c r="HFJ52" s="4"/>
      <c r="HFK52" s="4"/>
      <c r="HFL52" s="4"/>
      <c r="HFM52" s="4"/>
      <c r="HFN52" s="4"/>
      <c r="HFO52" s="4"/>
      <c r="HFP52" s="4"/>
      <c r="HFQ52" s="4"/>
      <c r="HFR52" s="4"/>
      <c r="HFS52" s="4"/>
      <c r="HFT52" s="4"/>
      <c r="HFU52" s="4"/>
      <c r="HFV52" s="4"/>
      <c r="HFW52" s="4"/>
      <c r="HFX52" s="4"/>
      <c r="HFY52" s="4"/>
      <c r="HFZ52" s="4"/>
      <c r="HGA52" s="4"/>
      <c r="HGB52" s="4"/>
      <c r="HGC52" s="4"/>
      <c r="HGD52" s="4"/>
      <c r="HGE52" s="4"/>
      <c r="HGF52" s="4"/>
      <c r="HGG52" s="4"/>
      <c r="HGH52" s="4"/>
      <c r="HGI52" s="4"/>
      <c r="HGJ52" s="4"/>
      <c r="HGK52" s="4"/>
      <c r="HGL52" s="4"/>
      <c r="HGM52" s="4"/>
      <c r="HGN52" s="4"/>
      <c r="HGO52" s="4"/>
      <c r="HGP52" s="4"/>
      <c r="HGQ52" s="4"/>
      <c r="HGR52" s="4"/>
      <c r="HGS52" s="4"/>
      <c r="HGT52" s="4"/>
      <c r="HGU52" s="4"/>
      <c r="HGV52" s="4"/>
      <c r="HGW52" s="4"/>
      <c r="HGX52" s="4"/>
      <c r="HGY52" s="4"/>
      <c r="HGZ52" s="4"/>
      <c r="HHA52" s="4"/>
      <c r="HHB52" s="4"/>
      <c r="HHC52" s="4"/>
      <c r="HHD52" s="4"/>
      <c r="HHE52" s="4"/>
      <c r="HHF52" s="4"/>
      <c r="HHG52" s="4"/>
      <c r="HHH52" s="4"/>
      <c r="HHI52" s="4"/>
      <c r="HHJ52" s="4"/>
      <c r="HHK52" s="4"/>
      <c r="HHL52" s="4"/>
      <c r="HHM52" s="4"/>
      <c r="HHN52" s="4"/>
      <c r="HHO52" s="4"/>
      <c r="HHP52" s="4"/>
      <c r="HHQ52" s="4"/>
      <c r="HHR52" s="4"/>
      <c r="HHS52" s="4"/>
      <c r="HHT52" s="4"/>
      <c r="HHU52" s="4"/>
      <c r="HHV52" s="4"/>
      <c r="HHW52" s="4"/>
      <c r="HHX52" s="4"/>
      <c r="HHY52" s="4"/>
      <c r="HHZ52" s="4"/>
      <c r="HIA52" s="4"/>
      <c r="HIB52" s="4"/>
      <c r="HIC52" s="4"/>
      <c r="HID52" s="4"/>
      <c r="HIE52" s="4"/>
      <c r="HIF52" s="4"/>
      <c r="HIG52" s="4"/>
      <c r="HIH52" s="4"/>
      <c r="HII52" s="4"/>
      <c r="HIJ52" s="4"/>
      <c r="HIK52" s="4"/>
      <c r="HIL52" s="4"/>
      <c r="HIM52" s="4"/>
      <c r="HIN52" s="4"/>
      <c r="HIO52" s="4"/>
      <c r="HIP52" s="4"/>
      <c r="HIQ52" s="4"/>
      <c r="HIR52" s="4"/>
      <c r="HIS52" s="4"/>
      <c r="HIT52" s="4"/>
      <c r="HIU52" s="4"/>
      <c r="HIV52" s="4"/>
      <c r="HIW52" s="4"/>
      <c r="HIX52" s="4"/>
      <c r="HIY52" s="4"/>
      <c r="HIZ52" s="4"/>
      <c r="HJA52" s="4"/>
      <c r="HJB52" s="4"/>
      <c r="HJC52" s="4"/>
      <c r="HJD52" s="4"/>
      <c r="HJE52" s="4"/>
      <c r="HJF52" s="4"/>
      <c r="HJG52" s="4"/>
      <c r="HJH52" s="4"/>
      <c r="HJI52" s="4"/>
      <c r="HJJ52" s="4"/>
      <c r="HJK52" s="4"/>
      <c r="HJL52" s="4"/>
      <c r="HJM52" s="4"/>
      <c r="HJN52" s="4"/>
      <c r="HJO52" s="4"/>
      <c r="HJP52" s="4"/>
      <c r="HJQ52" s="4"/>
      <c r="HJR52" s="4"/>
      <c r="HJS52" s="4"/>
      <c r="HJT52" s="4"/>
      <c r="HJU52" s="4"/>
      <c r="HJV52" s="4"/>
      <c r="HJW52" s="4"/>
      <c r="HJX52" s="4"/>
      <c r="HJY52" s="4"/>
      <c r="HJZ52" s="4"/>
      <c r="HKA52" s="4"/>
      <c r="HKB52" s="4"/>
      <c r="HKC52" s="4"/>
      <c r="HKD52" s="4"/>
      <c r="HKE52" s="4"/>
      <c r="HKF52" s="4"/>
      <c r="HKG52" s="4"/>
      <c r="HKH52" s="4"/>
      <c r="HKI52" s="4"/>
      <c r="HKJ52" s="4"/>
      <c r="HKK52" s="4"/>
      <c r="HKL52" s="4"/>
      <c r="HKM52" s="4"/>
      <c r="HKN52" s="4"/>
      <c r="HKO52" s="4"/>
      <c r="HKP52" s="4"/>
      <c r="HKQ52" s="4"/>
      <c r="HKR52" s="4"/>
      <c r="HKS52" s="4"/>
      <c r="HKT52" s="4"/>
      <c r="HKU52" s="4"/>
      <c r="HKV52" s="4"/>
      <c r="HKW52" s="4"/>
      <c r="HKX52" s="4"/>
      <c r="HKY52" s="4"/>
      <c r="HKZ52" s="4"/>
      <c r="HLA52" s="4"/>
      <c r="HLB52" s="4"/>
      <c r="HLC52" s="4"/>
      <c r="HLD52" s="4"/>
      <c r="HLE52" s="4"/>
      <c r="HLF52" s="4"/>
      <c r="HLG52" s="4"/>
      <c r="HLH52" s="4"/>
      <c r="HLI52" s="4"/>
      <c r="HLJ52" s="4"/>
      <c r="HLK52" s="4"/>
      <c r="HLL52" s="4"/>
      <c r="HLM52" s="4"/>
      <c r="HLN52" s="4"/>
      <c r="HLO52" s="4"/>
      <c r="HLP52" s="4"/>
      <c r="HLQ52" s="4"/>
      <c r="HLR52" s="4"/>
      <c r="HLS52" s="4"/>
      <c r="HLT52" s="4"/>
      <c r="HLU52" s="4"/>
      <c r="HLV52" s="4"/>
      <c r="HLW52" s="4"/>
      <c r="HLX52" s="4"/>
      <c r="HLY52" s="4"/>
      <c r="HLZ52" s="4"/>
      <c r="HMA52" s="4"/>
      <c r="HMB52" s="4"/>
      <c r="HMC52" s="4"/>
      <c r="HMD52" s="4"/>
      <c r="HME52" s="4"/>
      <c r="HMF52" s="4"/>
      <c r="HMG52" s="4"/>
      <c r="HMH52" s="4"/>
      <c r="HMI52" s="4"/>
      <c r="HMJ52" s="4"/>
      <c r="HMK52" s="4"/>
      <c r="HML52" s="4"/>
      <c r="HMM52" s="4"/>
      <c r="HMN52" s="4"/>
      <c r="HMO52" s="4"/>
      <c r="HMP52" s="4"/>
      <c r="HMQ52" s="4"/>
      <c r="HMR52" s="4"/>
      <c r="HMS52" s="4"/>
      <c r="HMT52" s="4"/>
      <c r="HMU52" s="4"/>
      <c r="HMV52" s="4"/>
      <c r="HMW52" s="4"/>
      <c r="HMX52" s="4"/>
      <c r="HMY52" s="4"/>
      <c r="HMZ52" s="4"/>
      <c r="HNA52" s="4"/>
      <c r="HNB52" s="4"/>
      <c r="HNC52" s="4"/>
      <c r="HND52" s="4"/>
      <c r="HNE52" s="4"/>
      <c r="HNF52" s="4"/>
      <c r="HNG52" s="4"/>
      <c r="HNH52" s="4"/>
      <c r="HNI52" s="4"/>
      <c r="HNJ52" s="4"/>
      <c r="HNK52" s="4"/>
      <c r="HNL52" s="4"/>
      <c r="HNM52" s="4"/>
      <c r="HNN52" s="4"/>
      <c r="HNO52" s="4"/>
      <c r="HNP52" s="4"/>
      <c r="HNQ52" s="4"/>
      <c r="HNR52" s="4"/>
      <c r="HNS52" s="4"/>
      <c r="HNT52" s="4"/>
      <c r="HNU52" s="4"/>
      <c r="HNV52" s="4"/>
      <c r="HNW52" s="4"/>
      <c r="HNX52" s="4"/>
      <c r="HNY52" s="4"/>
      <c r="HNZ52" s="4"/>
      <c r="HOA52" s="4"/>
      <c r="HOB52" s="4"/>
      <c r="HOC52" s="4"/>
      <c r="HOD52" s="4"/>
      <c r="HOE52" s="4"/>
      <c r="HOF52" s="4"/>
      <c r="HOG52" s="4"/>
      <c r="HOH52" s="4"/>
      <c r="HOI52" s="4"/>
      <c r="HOJ52" s="4"/>
      <c r="HOK52" s="4"/>
      <c r="HOL52" s="4"/>
      <c r="HOM52" s="4"/>
      <c r="HON52" s="4"/>
      <c r="HOO52" s="4"/>
      <c r="HOP52" s="4"/>
      <c r="HOQ52" s="4"/>
      <c r="HOR52" s="4"/>
      <c r="HOS52" s="4"/>
      <c r="HOT52" s="4"/>
      <c r="HOU52" s="4"/>
      <c r="HOV52" s="4"/>
      <c r="HOW52" s="4"/>
      <c r="HOX52" s="4"/>
      <c r="HOY52" s="4"/>
      <c r="HOZ52" s="4"/>
      <c r="HPA52" s="4"/>
      <c r="HPB52" s="4"/>
      <c r="HPC52" s="4"/>
      <c r="HPD52" s="4"/>
      <c r="HPE52" s="4"/>
      <c r="HPF52" s="4"/>
      <c r="HPG52" s="4"/>
      <c r="HPH52" s="4"/>
      <c r="HPI52" s="4"/>
      <c r="HPJ52" s="4"/>
      <c r="HPK52" s="4"/>
      <c r="HPL52" s="4"/>
      <c r="HPM52" s="4"/>
      <c r="HPN52" s="4"/>
      <c r="HPO52" s="4"/>
      <c r="HPP52" s="4"/>
      <c r="HPQ52" s="4"/>
      <c r="HPR52" s="4"/>
      <c r="HPS52" s="4"/>
      <c r="HPT52" s="4"/>
      <c r="HPU52" s="4"/>
      <c r="HPV52" s="4"/>
      <c r="HPW52" s="4"/>
      <c r="HPX52" s="4"/>
      <c r="HPY52" s="4"/>
      <c r="HPZ52" s="4"/>
      <c r="HQA52" s="4"/>
      <c r="HQB52" s="4"/>
      <c r="HQC52" s="4"/>
      <c r="HQD52" s="4"/>
      <c r="HQE52" s="4"/>
      <c r="HQF52" s="4"/>
      <c r="HQG52" s="4"/>
      <c r="HQH52" s="4"/>
      <c r="HQI52" s="4"/>
      <c r="HQJ52" s="4"/>
      <c r="HQK52" s="4"/>
      <c r="HQL52" s="4"/>
      <c r="HQM52" s="4"/>
      <c r="HQN52" s="4"/>
      <c r="HQO52" s="4"/>
      <c r="HQP52" s="4"/>
      <c r="HQQ52" s="4"/>
      <c r="HQR52" s="4"/>
      <c r="HQS52" s="4"/>
      <c r="HQT52" s="4"/>
      <c r="HQU52" s="4"/>
      <c r="HQV52" s="4"/>
      <c r="HQW52" s="4"/>
      <c r="HQX52" s="4"/>
      <c r="HQY52" s="4"/>
      <c r="HQZ52" s="4"/>
      <c r="HRA52" s="4"/>
      <c r="HRB52" s="4"/>
      <c r="HRC52" s="4"/>
      <c r="HRD52" s="4"/>
      <c r="HRE52" s="4"/>
      <c r="HRF52" s="4"/>
      <c r="HRG52" s="4"/>
      <c r="HRH52" s="4"/>
      <c r="HRI52" s="4"/>
      <c r="HRJ52" s="4"/>
      <c r="HRK52" s="4"/>
      <c r="HRL52" s="4"/>
      <c r="HRM52" s="4"/>
      <c r="HRN52" s="4"/>
      <c r="HRO52" s="4"/>
      <c r="HRP52" s="4"/>
      <c r="HRQ52" s="4"/>
      <c r="HRR52" s="4"/>
      <c r="HRS52" s="4"/>
      <c r="HRT52" s="4"/>
      <c r="HRU52" s="4"/>
      <c r="HRV52" s="4"/>
      <c r="HRW52" s="4"/>
      <c r="HRX52" s="4"/>
      <c r="HRY52" s="4"/>
      <c r="HRZ52" s="4"/>
      <c r="HSA52" s="4"/>
      <c r="HSB52" s="4"/>
      <c r="HSC52" s="4"/>
      <c r="HSD52" s="4"/>
      <c r="HSE52" s="4"/>
      <c r="HSF52" s="4"/>
      <c r="HSG52" s="4"/>
      <c r="HSH52" s="4"/>
      <c r="HSI52" s="4"/>
      <c r="HSJ52" s="4"/>
      <c r="HSK52" s="4"/>
      <c r="HSL52" s="4"/>
      <c r="HSM52" s="4"/>
      <c r="HSN52" s="4"/>
      <c r="HSO52" s="4"/>
      <c r="HSP52" s="4"/>
      <c r="HSQ52" s="4"/>
      <c r="HSR52" s="4"/>
      <c r="HSS52" s="4"/>
      <c r="HST52" s="4"/>
      <c r="HSU52" s="4"/>
      <c r="HSV52" s="4"/>
      <c r="HSW52" s="4"/>
      <c r="HSX52" s="4"/>
      <c r="HSY52" s="4"/>
      <c r="HSZ52" s="4"/>
      <c r="HTA52" s="4"/>
      <c r="HTB52" s="4"/>
      <c r="HTC52" s="4"/>
      <c r="HTD52" s="4"/>
      <c r="HTE52" s="4"/>
      <c r="HTF52" s="4"/>
      <c r="HTG52" s="4"/>
      <c r="HTH52" s="4"/>
      <c r="HTI52" s="4"/>
      <c r="HTJ52" s="4"/>
      <c r="HTK52" s="4"/>
      <c r="HTL52" s="4"/>
      <c r="HTM52" s="4"/>
      <c r="HTN52" s="4"/>
      <c r="HTO52" s="4"/>
      <c r="HTP52" s="4"/>
      <c r="HTQ52" s="4"/>
      <c r="HTR52" s="4"/>
      <c r="HTS52" s="4"/>
      <c r="HTT52" s="4"/>
      <c r="HTU52" s="4"/>
      <c r="HTV52" s="4"/>
      <c r="HTW52" s="4"/>
      <c r="HTX52" s="4"/>
      <c r="HTY52" s="4"/>
      <c r="HTZ52" s="4"/>
      <c r="HUA52" s="4"/>
      <c r="HUB52" s="4"/>
      <c r="HUC52" s="4"/>
      <c r="HUD52" s="4"/>
      <c r="HUE52" s="4"/>
      <c r="HUF52" s="4"/>
      <c r="HUG52" s="4"/>
      <c r="HUH52" s="4"/>
      <c r="HUI52" s="4"/>
      <c r="HUJ52" s="4"/>
      <c r="HUK52" s="4"/>
      <c r="HUL52" s="4"/>
      <c r="HUM52" s="4"/>
      <c r="HUN52" s="4"/>
      <c r="HUO52" s="4"/>
      <c r="HUP52" s="4"/>
      <c r="HUQ52" s="4"/>
      <c r="HUR52" s="4"/>
      <c r="HUS52" s="4"/>
      <c r="HUT52" s="4"/>
      <c r="HUU52" s="4"/>
      <c r="HUV52" s="4"/>
      <c r="HUW52" s="4"/>
      <c r="HUX52" s="4"/>
      <c r="HUY52" s="4"/>
      <c r="HUZ52" s="4"/>
      <c r="HVA52" s="4"/>
      <c r="HVB52" s="4"/>
      <c r="HVC52" s="4"/>
      <c r="HVD52" s="4"/>
      <c r="HVE52" s="4"/>
      <c r="HVF52" s="4"/>
      <c r="HVG52" s="4"/>
      <c r="HVH52" s="4"/>
      <c r="HVI52" s="4"/>
      <c r="HVJ52" s="4"/>
      <c r="HVK52" s="4"/>
      <c r="HVL52" s="4"/>
      <c r="HVM52" s="4"/>
      <c r="HVN52" s="4"/>
      <c r="HVO52" s="4"/>
      <c r="HVP52" s="4"/>
      <c r="HVQ52" s="4"/>
      <c r="HVR52" s="4"/>
      <c r="HVS52" s="4"/>
      <c r="HVT52" s="4"/>
      <c r="HVU52" s="4"/>
      <c r="HVV52" s="4"/>
      <c r="HVW52" s="4"/>
      <c r="HVX52" s="4"/>
      <c r="HVY52" s="4"/>
      <c r="HVZ52" s="4"/>
      <c r="HWA52" s="4"/>
      <c r="HWB52" s="4"/>
      <c r="HWC52" s="4"/>
      <c r="HWD52" s="4"/>
      <c r="HWE52" s="4"/>
      <c r="HWF52" s="4"/>
      <c r="HWG52" s="4"/>
      <c r="HWH52" s="4"/>
      <c r="HWI52" s="4"/>
      <c r="HWJ52" s="4"/>
      <c r="HWK52" s="4"/>
      <c r="HWL52" s="4"/>
      <c r="HWM52" s="4"/>
      <c r="HWN52" s="4"/>
      <c r="HWO52" s="4"/>
      <c r="HWP52" s="4"/>
      <c r="HWQ52" s="4"/>
      <c r="HWR52" s="4"/>
      <c r="HWS52" s="4"/>
      <c r="HWT52" s="4"/>
      <c r="HWU52" s="4"/>
      <c r="HWV52" s="4"/>
      <c r="HWW52" s="4"/>
      <c r="HWX52" s="4"/>
      <c r="HWY52" s="4"/>
      <c r="HWZ52" s="4"/>
      <c r="HXA52" s="4"/>
      <c r="HXB52" s="4"/>
      <c r="HXC52" s="4"/>
      <c r="HXD52" s="4"/>
      <c r="HXE52" s="4"/>
      <c r="HXF52" s="4"/>
      <c r="HXG52" s="4"/>
      <c r="HXH52" s="4"/>
      <c r="HXI52" s="4"/>
      <c r="HXJ52" s="4"/>
      <c r="HXK52" s="4"/>
      <c r="HXL52" s="4"/>
      <c r="HXM52" s="4"/>
      <c r="HXN52" s="4"/>
      <c r="HXO52" s="4"/>
      <c r="HXP52" s="4"/>
      <c r="HXQ52" s="4"/>
      <c r="HXR52" s="4"/>
      <c r="HXS52" s="4"/>
      <c r="HXT52" s="4"/>
      <c r="HXU52" s="4"/>
      <c r="HXV52" s="4"/>
      <c r="HXW52" s="4"/>
      <c r="HXX52" s="4"/>
      <c r="HXY52" s="4"/>
      <c r="HXZ52" s="4"/>
      <c r="HYA52" s="4"/>
      <c r="HYB52" s="4"/>
      <c r="HYC52" s="4"/>
      <c r="HYD52" s="4"/>
      <c r="HYE52" s="4"/>
      <c r="HYF52" s="4"/>
      <c r="HYG52" s="4"/>
      <c r="HYH52" s="4"/>
      <c r="HYI52" s="4"/>
      <c r="HYJ52" s="4"/>
      <c r="HYK52" s="4"/>
      <c r="HYL52" s="4"/>
      <c r="HYM52" s="4"/>
      <c r="HYN52" s="4"/>
      <c r="HYO52" s="4"/>
      <c r="HYP52" s="4"/>
      <c r="HYQ52" s="4"/>
      <c r="HYR52" s="4"/>
      <c r="HYS52" s="4"/>
      <c r="HYT52" s="4"/>
      <c r="HYU52" s="4"/>
      <c r="HYV52" s="4"/>
      <c r="HYW52" s="4"/>
      <c r="HYX52" s="4"/>
      <c r="HYY52" s="4"/>
      <c r="HYZ52" s="4"/>
      <c r="HZA52" s="4"/>
      <c r="HZB52" s="4"/>
      <c r="HZC52" s="4"/>
      <c r="HZD52" s="4"/>
      <c r="HZE52" s="4"/>
      <c r="HZF52" s="4"/>
      <c r="HZG52" s="4"/>
      <c r="HZH52" s="4"/>
      <c r="HZI52" s="4"/>
      <c r="HZJ52" s="4"/>
      <c r="HZK52" s="4"/>
      <c r="HZL52" s="4"/>
      <c r="HZM52" s="4"/>
      <c r="HZN52" s="4"/>
      <c r="HZO52" s="4"/>
      <c r="HZP52" s="4"/>
      <c r="HZQ52" s="4"/>
      <c r="HZR52" s="4"/>
      <c r="HZS52" s="4"/>
      <c r="HZT52" s="4"/>
      <c r="HZU52" s="4"/>
      <c r="HZV52" s="4"/>
      <c r="HZW52" s="4"/>
      <c r="HZX52" s="4"/>
      <c r="HZY52" s="4"/>
      <c r="HZZ52" s="4"/>
      <c r="IAA52" s="4"/>
      <c r="IAB52" s="4"/>
      <c r="IAC52" s="4"/>
      <c r="IAD52" s="4"/>
      <c r="IAE52" s="4"/>
      <c r="IAF52" s="4"/>
      <c r="IAG52" s="4"/>
      <c r="IAH52" s="4"/>
      <c r="IAI52" s="4"/>
      <c r="IAJ52" s="4"/>
      <c r="IAK52" s="4"/>
      <c r="IAL52" s="4"/>
      <c r="IAM52" s="4"/>
      <c r="IAN52" s="4"/>
      <c r="IAO52" s="4"/>
      <c r="IAP52" s="4"/>
      <c r="IAQ52" s="4"/>
      <c r="IAR52" s="4"/>
      <c r="IAS52" s="4"/>
      <c r="IAT52" s="4"/>
      <c r="IAU52" s="4"/>
      <c r="IAV52" s="4"/>
      <c r="IAW52" s="4"/>
      <c r="IAX52" s="4"/>
      <c r="IAY52" s="4"/>
      <c r="IAZ52" s="4"/>
      <c r="IBA52" s="4"/>
      <c r="IBB52" s="4"/>
      <c r="IBC52" s="4"/>
      <c r="IBD52" s="4"/>
      <c r="IBE52" s="4"/>
      <c r="IBF52" s="4"/>
      <c r="IBG52" s="4"/>
      <c r="IBH52" s="4"/>
      <c r="IBI52" s="4"/>
      <c r="IBJ52" s="4"/>
      <c r="IBK52" s="4"/>
      <c r="IBL52" s="4"/>
      <c r="IBM52" s="4"/>
      <c r="IBN52" s="4"/>
      <c r="IBO52" s="4"/>
      <c r="IBP52" s="4"/>
      <c r="IBQ52" s="4"/>
      <c r="IBR52" s="4"/>
      <c r="IBS52" s="4"/>
      <c r="IBT52" s="4"/>
      <c r="IBU52" s="4"/>
      <c r="IBV52" s="4"/>
      <c r="IBW52" s="4"/>
      <c r="IBX52" s="4"/>
      <c r="IBY52" s="4"/>
      <c r="IBZ52" s="4"/>
      <c r="ICA52" s="4"/>
      <c r="ICB52" s="4"/>
      <c r="ICC52" s="4"/>
      <c r="ICD52" s="4"/>
      <c r="ICE52" s="4"/>
      <c r="ICF52" s="4"/>
      <c r="ICG52" s="4"/>
      <c r="ICH52" s="4"/>
      <c r="ICI52" s="4"/>
      <c r="ICJ52" s="4"/>
      <c r="ICK52" s="4"/>
      <c r="ICL52" s="4"/>
      <c r="ICM52" s="4"/>
      <c r="ICN52" s="4"/>
      <c r="ICO52" s="4"/>
      <c r="ICP52" s="4"/>
      <c r="ICQ52" s="4"/>
      <c r="ICR52" s="4"/>
      <c r="ICS52" s="4"/>
      <c r="ICT52" s="4"/>
      <c r="ICU52" s="4"/>
      <c r="ICV52" s="4"/>
      <c r="ICW52" s="4"/>
      <c r="ICX52" s="4"/>
      <c r="ICY52" s="4"/>
      <c r="ICZ52" s="4"/>
      <c r="IDA52" s="4"/>
      <c r="IDB52" s="4"/>
      <c r="IDC52" s="4"/>
      <c r="IDD52" s="4"/>
      <c r="IDE52" s="4"/>
      <c r="IDF52" s="4"/>
      <c r="IDG52" s="4"/>
      <c r="IDH52" s="4"/>
      <c r="IDI52" s="4"/>
      <c r="IDJ52" s="4"/>
      <c r="IDK52" s="4"/>
      <c r="IDL52" s="4"/>
      <c r="IDM52" s="4"/>
      <c r="IDN52" s="4"/>
      <c r="IDO52" s="4"/>
      <c r="IDP52" s="4"/>
      <c r="IDQ52" s="4"/>
      <c r="IDR52" s="4"/>
      <c r="IDS52" s="4"/>
      <c r="IDT52" s="4"/>
      <c r="IDU52" s="4"/>
      <c r="IDV52" s="4"/>
      <c r="IDW52" s="4"/>
      <c r="IDX52" s="4"/>
      <c r="IDY52" s="4"/>
      <c r="IDZ52" s="4"/>
      <c r="IEA52" s="4"/>
      <c r="IEB52" s="4"/>
      <c r="IEC52" s="4"/>
      <c r="IED52" s="4"/>
      <c r="IEE52" s="4"/>
      <c r="IEF52" s="4"/>
      <c r="IEG52" s="4"/>
      <c r="IEH52" s="4"/>
      <c r="IEI52" s="4"/>
      <c r="IEJ52" s="4"/>
      <c r="IEK52" s="4"/>
      <c r="IEL52" s="4"/>
      <c r="IEM52" s="4"/>
      <c r="IEN52" s="4"/>
      <c r="IEO52" s="4"/>
      <c r="IEP52" s="4"/>
      <c r="IEQ52" s="4"/>
      <c r="IER52" s="4"/>
      <c r="IES52" s="4"/>
      <c r="IET52" s="4"/>
      <c r="IEU52" s="4"/>
      <c r="IEV52" s="4"/>
      <c r="IEW52" s="4"/>
      <c r="IEX52" s="4"/>
      <c r="IEY52" s="4"/>
      <c r="IEZ52" s="4"/>
      <c r="IFA52" s="4"/>
      <c r="IFB52" s="4"/>
      <c r="IFC52" s="4"/>
      <c r="IFD52" s="4"/>
      <c r="IFE52" s="4"/>
      <c r="IFF52" s="4"/>
      <c r="IFG52" s="4"/>
      <c r="IFH52" s="4"/>
      <c r="IFI52" s="4"/>
      <c r="IFJ52" s="4"/>
      <c r="IFK52" s="4"/>
      <c r="IFL52" s="4"/>
      <c r="IFM52" s="4"/>
      <c r="IFN52" s="4"/>
      <c r="IFO52" s="4"/>
      <c r="IFP52" s="4"/>
      <c r="IFQ52" s="4"/>
      <c r="IFR52" s="4"/>
      <c r="IFS52" s="4"/>
      <c r="IFT52" s="4"/>
      <c r="IFU52" s="4"/>
      <c r="IFV52" s="4"/>
      <c r="IFW52" s="4"/>
      <c r="IFX52" s="4"/>
      <c r="IFY52" s="4"/>
      <c r="IFZ52" s="4"/>
      <c r="IGA52" s="4"/>
      <c r="IGB52" s="4"/>
      <c r="IGC52" s="4"/>
      <c r="IGD52" s="4"/>
      <c r="IGE52" s="4"/>
      <c r="IGF52" s="4"/>
      <c r="IGG52" s="4"/>
      <c r="IGH52" s="4"/>
      <c r="IGI52" s="4"/>
      <c r="IGJ52" s="4"/>
      <c r="IGK52" s="4"/>
      <c r="IGL52" s="4"/>
      <c r="IGM52" s="4"/>
      <c r="IGN52" s="4"/>
      <c r="IGO52" s="4"/>
      <c r="IGP52" s="4"/>
      <c r="IGQ52" s="4"/>
      <c r="IGR52" s="4"/>
      <c r="IGS52" s="4"/>
      <c r="IGT52" s="4"/>
      <c r="IGU52" s="4"/>
      <c r="IGV52" s="4"/>
      <c r="IGW52" s="4"/>
      <c r="IGX52" s="4"/>
      <c r="IGY52" s="4"/>
      <c r="IGZ52" s="4"/>
      <c r="IHA52" s="4"/>
      <c r="IHB52" s="4"/>
      <c r="IHC52" s="4"/>
      <c r="IHD52" s="4"/>
      <c r="IHE52" s="4"/>
      <c r="IHF52" s="4"/>
      <c r="IHG52" s="4"/>
      <c r="IHH52" s="4"/>
      <c r="IHI52" s="4"/>
      <c r="IHJ52" s="4"/>
      <c r="IHK52" s="4"/>
      <c r="IHL52" s="4"/>
      <c r="IHM52" s="4"/>
      <c r="IHN52" s="4"/>
      <c r="IHO52" s="4"/>
      <c r="IHP52" s="4"/>
      <c r="IHQ52" s="4"/>
      <c r="IHR52" s="4"/>
      <c r="IHS52" s="4"/>
      <c r="IHT52" s="4"/>
      <c r="IHU52" s="4"/>
      <c r="IHV52" s="4"/>
      <c r="IHW52" s="4"/>
      <c r="IHX52" s="4"/>
      <c r="IHY52" s="4"/>
      <c r="IHZ52" s="4"/>
      <c r="IIA52" s="4"/>
      <c r="IIB52" s="4"/>
      <c r="IIC52" s="4"/>
      <c r="IID52" s="4"/>
      <c r="IIE52" s="4"/>
      <c r="IIF52" s="4"/>
      <c r="IIG52" s="4"/>
      <c r="IIH52" s="4"/>
      <c r="III52" s="4"/>
      <c r="IIJ52" s="4"/>
      <c r="IIK52" s="4"/>
      <c r="IIL52" s="4"/>
      <c r="IIM52" s="4"/>
      <c r="IIN52" s="4"/>
      <c r="IIO52" s="4"/>
      <c r="IIP52" s="4"/>
      <c r="IIQ52" s="4"/>
      <c r="IIR52" s="4"/>
      <c r="IIS52" s="4"/>
      <c r="IIT52" s="4"/>
      <c r="IIU52" s="4"/>
      <c r="IIV52" s="4"/>
      <c r="IIW52" s="4"/>
      <c r="IIX52" s="4"/>
      <c r="IIY52" s="4"/>
      <c r="IIZ52" s="4"/>
      <c r="IJA52" s="4"/>
      <c r="IJB52" s="4"/>
      <c r="IJC52" s="4"/>
      <c r="IJD52" s="4"/>
      <c r="IJE52" s="4"/>
      <c r="IJF52" s="4"/>
      <c r="IJG52" s="4"/>
      <c r="IJH52" s="4"/>
      <c r="IJI52" s="4"/>
      <c r="IJJ52" s="4"/>
      <c r="IJK52" s="4"/>
      <c r="IJL52" s="4"/>
      <c r="IJM52" s="4"/>
      <c r="IJN52" s="4"/>
      <c r="IJO52" s="4"/>
      <c r="IJP52" s="4"/>
      <c r="IJQ52" s="4"/>
      <c r="IJR52" s="4"/>
      <c r="IJS52" s="4"/>
      <c r="IJT52" s="4"/>
      <c r="IJU52" s="4"/>
      <c r="IJV52" s="4"/>
      <c r="IJW52" s="4"/>
      <c r="IJX52" s="4"/>
      <c r="IJY52" s="4"/>
      <c r="IJZ52" s="4"/>
      <c r="IKA52" s="4"/>
      <c r="IKB52" s="4"/>
      <c r="IKC52" s="4"/>
      <c r="IKD52" s="4"/>
      <c r="IKE52" s="4"/>
      <c r="IKF52" s="4"/>
      <c r="IKG52" s="4"/>
      <c r="IKH52" s="4"/>
      <c r="IKI52" s="4"/>
      <c r="IKJ52" s="4"/>
      <c r="IKK52" s="4"/>
      <c r="IKL52" s="4"/>
      <c r="IKM52" s="4"/>
      <c r="IKN52" s="4"/>
      <c r="IKO52" s="4"/>
      <c r="IKP52" s="4"/>
      <c r="IKQ52" s="4"/>
      <c r="IKR52" s="4"/>
      <c r="IKS52" s="4"/>
      <c r="IKT52" s="4"/>
      <c r="IKU52" s="4"/>
      <c r="IKV52" s="4"/>
      <c r="IKW52" s="4"/>
      <c r="IKX52" s="4"/>
      <c r="IKY52" s="4"/>
      <c r="IKZ52" s="4"/>
      <c r="ILA52" s="4"/>
      <c r="ILB52" s="4"/>
      <c r="ILC52" s="4"/>
      <c r="ILD52" s="4"/>
      <c r="ILE52" s="4"/>
      <c r="ILF52" s="4"/>
      <c r="ILG52" s="4"/>
      <c r="ILH52" s="4"/>
      <c r="ILI52" s="4"/>
      <c r="ILJ52" s="4"/>
      <c r="ILK52" s="4"/>
      <c r="ILL52" s="4"/>
      <c r="ILM52" s="4"/>
      <c r="ILN52" s="4"/>
      <c r="ILO52" s="4"/>
      <c r="ILP52" s="4"/>
      <c r="ILQ52" s="4"/>
      <c r="ILR52" s="4"/>
      <c r="ILS52" s="4"/>
      <c r="ILT52" s="4"/>
      <c r="ILU52" s="4"/>
      <c r="ILV52" s="4"/>
      <c r="ILW52" s="4"/>
      <c r="ILX52" s="4"/>
      <c r="ILY52" s="4"/>
      <c r="ILZ52" s="4"/>
      <c r="IMA52" s="4"/>
      <c r="IMB52" s="4"/>
      <c r="IMC52" s="4"/>
      <c r="IMD52" s="4"/>
      <c r="IME52" s="4"/>
      <c r="IMF52" s="4"/>
      <c r="IMG52" s="4"/>
      <c r="IMH52" s="4"/>
      <c r="IMI52" s="4"/>
      <c r="IMJ52" s="4"/>
      <c r="IMK52" s="4"/>
      <c r="IML52" s="4"/>
      <c r="IMM52" s="4"/>
      <c r="IMN52" s="4"/>
      <c r="IMO52" s="4"/>
      <c r="IMP52" s="4"/>
      <c r="IMQ52" s="4"/>
      <c r="IMR52" s="4"/>
      <c r="IMS52" s="4"/>
      <c r="IMT52" s="4"/>
      <c r="IMU52" s="4"/>
      <c r="IMV52" s="4"/>
      <c r="IMW52" s="4"/>
      <c r="IMX52" s="4"/>
      <c r="IMY52" s="4"/>
      <c r="IMZ52" s="4"/>
      <c r="INA52" s="4"/>
      <c r="INB52" s="4"/>
      <c r="INC52" s="4"/>
      <c r="IND52" s="4"/>
      <c r="INE52" s="4"/>
      <c r="INF52" s="4"/>
      <c r="ING52" s="4"/>
      <c r="INH52" s="4"/>
      <c r="INI52" s="4"/>
      <c r="INJ52" s="4"/>
      <c r="INK52" s="4"/>
      <c r="INL52" s="4"/>
      <c r="INM52" s="4"/>
      <c r="INN52" s="4"/>
      <c r="INO52" s="4"/>
      <c r="INP52" s="4"/>
      <c r="INQ52" s="4"/>
      <c r="INR52" s="4"/>
      <c r="INS52" s="4"/>
      <c r="INT52" s="4"/>
      <c r="INU52" s="4"/>
      <c r="INV52" s="4"/>
      <c r="INW52" s="4"/>
      <c r="INX52" s="4"/>
      <c r="INY52" s="4"/>
      <c r="INZ52" s="4"/>
      <c r="IOA52" s="4"/>
      <c r="IOB52" s="4"/>
      <c r="IOC52" s="4"/>
      <c r="IOD52" s="4"/>
      <c r="IOE52" s="4"/>
      <c r="IOF52" s="4"/>
      <c r="IOG52" s="4"/>
      <c r="IOH52" s="4"/>
      <c r="IOI52" s="4"/>
      <c r="IOJ52" s="4"/>
      <c r="IOK52" s="4"/>
      <c r="IOL52" s="4"/>
      <c r="IOM52" s="4"/>
      <c r="ION52" s="4"/>
      <c r="IOO52" s="4"/>
      <c r="IOP52" s="4"/>
      <c r="IOQ52" s="4"/>
      <c r="IOR52" s="4"/>
      <c r="IOS52" s="4"/>
      <c r="IOT52" s="4"/>
      <c r="IOU52" s="4"/>
      <c r="IOV52" s="4"/>
      <c r="IOW52" s="4"/>
      <c r="IOX52" s="4"/>
      <c r="IOY52" s="4"/>
      <c r="IOZ52" s="4"/>
      <c r="IPA52" s="4"/>
      <c r="IPB52" s="4"/>
      <c r="IPC52" s="4"/>
      <c r="IPD52" s="4"/>
      <c r="IPE52" s="4"/>
      <c r="IPF52" s="4"/>
      <c r="IPG52" s="4"/>
      <c r="IPH52" s="4"/>
      <c r="IPI52" s="4"/>
      <c r="IPJ52" s="4"/>
      <c r="IPK52" s="4"/>
      <c r="IPL52" s="4"/>
      <c r="IPM52" s="4"/>
      <c r="IPN52" s="4"/>
      <c r="IPO52" s="4"/>
      <c r="IPP52" s="4"/>
      <c r="IPQ52" s="4"/>
      <c r="IPR52" s="4"/>
      <c r="IPS52" s="4"/>
      <c r="IPT52" s="4"/>
      <c r="IPU52" s="4"/>
      <c r="IPV52" s="4"/>
      <c r="IPW52" s="4"/>
      <c r="IPX52" s="4"/>
      <c r="IPY52" s="4"/>
      <c r="IPZ52" s="4"/>
      <c r="IQA52" s="4"/>
      <c r="IQB52" s="4"/>
      <c r="IQC52" s="4"/>
      <c r="IQD52" s="4"/>
      <c r="IQE52" s="4"/>
      <c r="IQF52" s="4"/>
      <c r="IQG52" s="4"/>
      <c r="IQH52" s="4"/>
      <c r="IQI52" s="4"/>
      <c r="IQJ52" s="4"/>
      <c r="IQK52" s="4"/>
      <c r="IQL52" s="4"/>
      <c r="IQM52" s="4"/>
      <c r="IQN52" s="4"/>
      <c r="IQO52" s="4"/>
      <c r="IQP52" s="4"/>
      <c r="IQQ52" s="4"/>
      <c r="IQR52" s="4"/>
      <c r="IQS52" s="4"/>
      <c r="IQT52" s="4"/>
      <c r="IQU52" s="4"/>
      <c r="IQV52" s="4"/>
      <c r="IQW52" s="4"/>
      <c r="IQX52" s="4"/>
      <c r="IQY52" s="4"/>
      <c r="IQZ52" s="4"/>
      <c r="IRA52" s="4"/>
      <c r="IRB52" s="4"/>
      <c r="IRC52" s="4"/>
      <c r="IRD52" s="4"/>
      <c r="IRE52" s="4"/>
      <c r="IRF52" s="4"/>
      <c r="IRG52" s="4"/>
      <c r="IRH52" s="4"/>
      <c r="IRI52" s="4"/>
      <c r="IRJ52" s="4"/>
      <c r="IRK52" s="4"/>
      <c r="IRL52" s="4"/>
      <c r="IRM52" s="4"/>
      <c r="IRN52" s="4"/>
      <c r="IRO52" s="4"/>
      <c r="IRP52" s="4"/>
      <c r="IRQ52" s="4"/>
      <c r="IRR52" s="4"/>
      <c r="IRS52" s="4"/>
      <c r="IRT52" s="4"/>
      <c r="IRU52" s="4"/>
      <c r="IRV52" s="4"/>
      <c r="IRW52" s="4"/>
      <c r="IRX52" s="4"/>
      <c r="IRY52" s="4"/>
      <c r="IRZ52" s="4"/>
      <c r="ISA52" s="4"/>
      <c r="ISB52" s="4"/>
      <c r="ISC52" s="4"/>
      <c r="ISD52" s="4"/>
      <c r="ISE52" s="4"/>
      <c r="ISF52" s="4"/>
      <c r="ISG52" s="4"/>
      <c r="ISH52" s="4"/>
      <c r="ISI52" s="4"/>
      <c r="ISJ52" s="4"/>
      <c r="ISK52" s="4"/>
      <c r="ISL52" s="4"/>
      <c r="ISM52" s="4"/>
      <c r="ISN52" s="4"/>
      <c r="ISO52" s="4"/>
      <c r="ISP52" s="4"/>
      <c r="ISQ52" s="4"/>
      <c r="ISR52" s="4"/>
      <c r="ISS52" s="4"/>
      <c r="IST52" s="4"/>
      <c r="ISU52" s="4"/>
      <c r="ISV52" s="4"/>
      <c r="ISW52" s="4"/>
      <c r="ISX52" s="4"/>
      <c r="ISY52" s="4"/>
      <c r="ISZ52" s="4"/>
      <c r="ITA52" s="4"/>
      <c r="ITB52" s="4"/>
      <c r="ITC52" s="4"/>
      <c r="ITD52" s="4"/>
      <c r="ITE52" s="4"/>
      <c r="ITF52" s="4"/>
      <c r="ITG52" s="4"/>
      <c r="ITH52" s="4"/>
      <c r="ITI52" s="4"/>
      <c r="ITJ52" s="4"/>
      <c r="ITK52" s="4"/>
      <c r="ITL52" s="4"/>
      <c r="ITM52" s="4"/>
      <c r="ITN52" s="4"/>
      <c r="ITO52" s="4"/>
      <c r="ITP52" s="4"/>
      <c r="ITQ52" s="4"/>
      <c r="ITR52" s="4"/>
      <c r="ITS52" s="4"/>
      <c r="ITT52" s="4"/>
      <c r="ITU52" s="4"/>
      <c r="ITV52" s="4"/>
      <c r="ITW52" s="4"/>
      <c r="ITX52" s="4"/>
      <c r="ITY52" s="4"/>
      <c r="ITZ52" s="4"/>
      <c r="IUA52" s="4"/>
      <c r="IUB52" s="4"/>
      <c r="IUC52" s="4"/>
      <c r="IUD52" s="4"/>
      <c r="IUE52" s="4"/>
      <c r="IUF52" s="4"/>
      <c r="IUG52" s="4"/>
      <c r="IUH52" s="4"/>
      <c r="IUI52" s="4"/>
      <c r="IUJ52" s="4"/>
      <c r="IUK52" s="4"/>
      <c r="IUL52" s="4"/>
      <c r="IUM52" s="4"/>
      <c r="IUN52" s="4"/>
      <c r="IUO52" s="4"/>
      <c r="IUP52" s="4"/>
      <c r="IUQ52" s="4"/>
      <c r="IUR52" s="4"/>
      <c r="IUS52" s="4"/>
      <c r="IUT52" s="4"/>
      <c r="IUU52" s="4"/>
      <c r="IUV52" s="4"/>
      <c r="IUW52" s="4"/>
      <c r="IUX52" s="4"/>
      <c r="IUY52" s="4"/>
      <c r="IUZ52" s="4"/>
      <c r="IVA52" s="4"/>
      <c r="IVB52" s="4"/>
      <c r="IVC52" s="4"/>
      <c r="IVD52" s="4"/>
      <c r="IVE52" s="4"/>
      <c r="IVF52" s="4"/>
      <c r="IVG52" s="4"/>
      <c r="IVH52" s="4"/>
      <c r="IVI52" s="4"/>
      <c r="IVJ52" s="4"/>
      <c r="IVK52" s="4"/>
      <c r="IVL52" s="4"/>
      <c r="IVM52" s="4"/>
      <c r="IVN52" s="4"/>
      <c r="IVO52" s="4"/>
      <c r="IVP52" s="4"/>
      <c r="IVQ52" s="4"/>
      <c r="IVR52" s="4"/>
      <c r="IVS52" s="4"/>
      <c r="IVT52" s="4"/>
      <c r="IVU52" s="4"/>
      <c r="IVV52" s="4"/>
      <c r="IVW52" s="4"/>
      <c r="IVX52" s="4"/>
      <c r="IVY52" s="4"/>
      <c r="IVZ52" s="4"/>
      <c r="IWA52" s="4"/>
      <c r="IWB52" s="4"/>
      <c r="IWC52" s="4"/>
      <c r="IWD52" s="4"/>
      <c r="IWE52" s="4"/>
      <c r="IWF52" s="4"/>
      <c r="IWG52" s="4"/>
      <c r="IWH52" s="4"/>
      <c r="IWI52" s="4"/>
      <c r="IWJ52" s="4"/>
      <c r="IWK52" s="4"/>
      <c r="IWL52" s="4"/>
      <c r="IWM52" s="4"/>
      <c r="IWN52" s="4"/>
      <c r="IWO52" s="4"/>
      <c r="IWP52" s="4"/>
      <c r="IWQ52" s="4"/>
      <c r="IWR52" s="4"/>
      <c r="IWS52" s="4"/>
      <c r="IWT52" s="4"/>
      <c r="IWU52" s="4"/>
      <c r="IWV52" s="4"/>
      <c r="IWW52" s="4"/>
      <c r="IWX52" s="4"/>
      <c r="IWY52" s="4"/>
      <c r="IWZ52" s="4"/>
      <c r="IXA52" s="4"/>
      <c r="IXB52" s="4"/>
      <c r="IXC52" s="4"/>
      <c r="IXD52" s="4"/>
      <c r="IXE52" s="4"/>
      <c r="IXF52" s="4"/>
      <c r="IXG52" s="4"/>
      <c r="IXH52" s="4"/>
      <c r="IXI52" s="4"/>
      <c r="IXJ52" s="4"/>
      <c r="IXK52" s="4"/>
      <c r="IXL52" s="4"/>
      <c r="IXM52" s="4"/>
      <c r="IXN52" s="4"/>
      <c r="IXO52" s="4"/>
      <c r="IXP52" s="4"/>
      <c r="IXQ52" s="4"/>
      <c r="IXR52" s="4"/>
      <c r="IXS52" s="4"/>
      <c r="IXT52" s="4"/>
      <c r="IXU52" s="4"/>
      <c r="IXV52" s="4"/>
      <c r="IXW52" s="4"/>
      <c r="IXX52" s="4"/>
      <c r="IXY52" s="4"/>
      <c r="IXZ52" s="4"/>
      <c r="IYA52" s="4"/>
      <c r="IYB52" s="4"/>
      <c r="IYC52" s="4"/>
      <c r="IYD52" s="4"/>
      <c r="IYE52" s="4"/>
      <c r="IYF52" s="4"/>
      <c r="IYG52" s="4"/>
      <c r="IYH52" s="4"/>
      <c r="IYI52" s="4"/>
      <c r="IYJ52" s="4"/>
      <c r="IYK52" s="4"/>
      <c r="IYL52" s="4"/>
      <c r="IYM52" s="4"/>
      <c r="IYN52" s="4"/>
      <c r="IYO52" s="4"/>
      <c r="IYP52" s="4"/>
      <c r="IYQ52" s="4"/>
      <c r="IYR52" s="4"/>
      <c r="IYS52" s="4"/>
      <c r="IYT52" s="4"/>
      <c r="IYU52" s="4"/>
      <c r="IYV52" s="4"/>
      <c r="IYW52" s="4"/>
      <c r="IYX52" s="4"/>
      <c r="IYY52" s="4"/>
      <c r="IYZ52" s="4"/>
      <c r="IZA52" s="4"/>
      <c r="IZB52" s="4"/>
      <c r="IZC52" s="4"/>
      <c r="IZD52" s="4"/>
      <c r="IZE52" s="4"/>
      <c r="IZF52" s="4"/>
      <c r="IZG52" s="4"/>
      <c r="IZH52" s="4"/>
      <c r="IZI52" s="4"/>
      <c r="IZJ52" s="4"/>
      <c r="IZK52" s="4"/>
      <c r="IZL52" s="4"/>
      <c r="IZM52" s="4"/>
      <c r="IZN52" s="4"/>
      <c r="IZO52" s="4"/>
      <c r="IZP52" s="4"/>
      <c r="IZQ52" s="4"/>
      <c r="IZR52" s="4"/>
      <c r="IZS52" s="4"/>
      <c r="IZT52" s="4"/>
      <c r="IZU52" s="4"/>
      <c r="IZV52" s="4"/>
      <c r="IZW52" s="4"/>
      <c r="IZX52" s="4"/>
      <c r="IZY52" s="4"/>
      <c r="IZZ52" s="4"/>
      <c r="JAA52" s="4"/>
      <c r="JAB52" s="4"/>
      <c r="JAC52" s="4"/>
      <c r="JAD52" s="4"/>
      <c r="JAE52" s="4"/>
      <c r="JAF52" s="4"/>
      <c r="JAG52" s="4"/>
      <c r="JAH52" s="4"/>
      <c r="JAI52" s="4"/>
      <c r="JAJ52" s="4"/>
      <c r="JAK52" s="4"/>
      <c r="JAL52" s="4"/>
      <c r="JAM52" s="4"/>
      <c r="JAN52" s="4"/>
      <c r="JAO52" s="4"/>
      <c r="JAP52" s="4"/>
      <c r="JAQ52" s="4"/>
      <c r="JAR52" s="4"/>
      <c r="JAS52" s="4"/>
      <c r="JAT52" s="4"/>
      <c r="JAU52" s="4"/>
      <c r="JAV52" s="4"/>
      <c r="JAW52" s="4"/>
      <c r="JAX52" s="4"/>
      <c r="JAY52" s="4"/>
      <c r="JAZ52" s="4"/>
      <c r="JBA52" s="4"/>
      <c r="JBB52" s="4"/>
      <c r="JBC52" s="4"/>
      <c r="JBD52" s="4"/>
      <c r="JBE52" s="4"/>
      <c r="JBF52" s="4"/>
      <c r="JBG52" s="4"/>
      <c r="JBH52" s="4"/>
      <c r="JBI52" s="4"/>
      <c r="JBJ52" s="4"/>
      <c r="JBK52" s="4"/>
      <c r="JBL52" s="4"/>
      <c r="JBM52" s="4"/>
      <c r="JBN52" s="4"/>
      <c r="JBO52" s="4"/>
      <c r="JBP52" s="4"/>
      <c r="JBQ52" s="4"/>
      <c r="JBR52" s="4"/>
      <c r="JBS52" s="4"/>
      <c r="JBT52" s="4"/>
      <c r="JBU52" s="4"/>
      <c r="JBV52" s="4"/>
      <c r="JBW52" s="4"/>
      <c r="JBX52" s="4"/>
      <c r="JBY52" s="4"/>
      <c r="JBZ52" s="4"/>
      <c r="JCA52" s="4"/>
      <c r="JCB52" s="4"/>
      <c r="JCC52" s="4"/>
      <c r="JCD52" s="4"/>
      <c r="JCE52" s="4"/>
      <c r="JCF52" s="4"/>
      <c r="JCG52" s="4"/>
      <c r="JCH52" s="4"/>
      <c r="JCI52" s="4"/>
      <c r="JCJ52" s="4"/>
      <c r="JCK52" s="4"/>
      <c r="JCL52" s="4"/>
      <c r="JCM52" s="4"/>
      <c r="JCN52" s="4"/>
      <c r="JCO52" s="4"/>
      <c r="JCP52" s="4"/>
      <c r="JCQ52" s="4"/>
      <c r="JCR52" s="4"/>
      <c r="JCS52" s="4"/>
      <c r="JCT52" s="4"/>
      <c r="JCU52" s="4"/>
      <c r="JCV52" s="4"/>
      <c r="JCW52" s="4"/>
      <c r="JCX52" s="4"/>
      <c r="JCY52" s="4"/>
      <c r="JCZ52" s="4"/>
      <c r="JDA52" s="4"/>
      <c r="JDB52" s="4"/>
      <c r="JDC52" s="4"/>
      <c r="JDD52" s="4"/>
      <c r="JDE52" s="4"/>
      <c r="JDF52" s="4"/>
      <c r="JDG52" s="4"/>
      <c r="JDH52" s="4"/>
      <c r="JDI52" s="4"/>
      <c r="JDJ52" s="4"/>
      <c r="JDK52" s="4"/>
      <c r="JDL52" s="4"/>
      <c r="JDM52" s="4"/>
      <c r="JDN52" s="4"/>
      <c r="JDO52" s="4"/>
      <c r="JDP52" s="4"/>
      <c r="JDQ52" s="4"/>
      <c r="JDR52" s="4"/>
      <c r="JDS52" s="4"/>
      <c r="JDT52" s="4"/>
      <c r="JDU52" s="4"/>
      <c r="JDV52" s="4"/>
      <c r="JDW52" s="4"/>
      <c r="JDX52" s="4"/>
      <c r="JDY52" s="4"/>
      <c r="JDZ52" s="4"/>
      <c r="JEA52" s="4"/>
      <c r="JEB52" s="4"/>
      <c r="JEC52" s="4"/>
      <c r="JED52" s="4"/>
      <c r="JEE52" s="4"/>
      <c r="JEF52" s="4"/>
      <c r="JEG52" s="4"/>
      <c r="JEH52" s="4"/>
      <c r="JEI52" s="4"/>
      <c r="JEJ52" s="4"/>
      <c r="JEK52" s="4"/>
      <c r="JEL52" s="4"/>
      <c r="JEM52" s="4"/>
      <c r="JEN52" s="4"/>
      <c r="JEO52" s="4"/>
      <c r="JEP52" s="4"/>
      <c r="JEQ52" s="4"/>
      <c r="JER52" s="4"/>
      <c r="JES52" s="4"/>
      <c r="JET52" s="4"/>
      <c r="JEU52" s="4"/>
      <c r="JEV52" s="4"/>
      <c r="JEW52" s="4"/>
      <c r="JEX52" s="4"/>
      <c r="JEY52" s="4"/>
      <c r="JEZ52" s="4"/>
      <c r="JFA52" s="4"/>
      <c r="JFB52" s="4"/>
      <c r="JFC52" s="4"/>
      <c r="JFD52" s="4"/>
      <c r="JFE52" s="4"/>
      <c r="JFF52" s="4"/>
      <c r="JFG52" s="4"/>
      <c r="JFH52" s="4"/>
      <c r="JFI52" s="4"/>
      <c r="JFJ52" s="4"/>
      <c r="JFK52" s="4"/>
      <c r="JFL52" s="4"/>
      <c r="JFM52" s="4"/>
      <c r="JFN52" s="4"/>
      <c r="JFO52" s="4"/>
      <c r="JFP52" s="4"/>
      <c r="JFQ52" s="4"/>
      <c r="JFR52" s="4"/>
      <c r="JFS52" s="4"/>
      <c r="JFT52" s="4"/>
      <c r="JFU52" s="4"/>
      <c r="JFV52" s="4"/>
      <c r="JFW52" s="4"/>
      <c r="JFX52" s="4"/>
      <c r="JFY52" s="4"/>
      <c r="JFZ52" s="4"/>
      <c r="JGA52" s="4"/>
      <c r="JGB52" s="4"/>
      <c r="JGC52" s="4"/>
      <c r="JGD52" s="4"/>
      <c r="JGE52" s="4"/>
      <c r="JGF52" s="4"/>
      <c r="JGG52" s="4"/>
      <c r="JGH52" s="4"/>
      <c r="JGI52" s="4"/>
      <c r="JGJ52" s="4"/>
      <c r="JGK52" s="4"/>
      <c r="JGL52" s="4"/>
      <c r="JGM52" s="4"/>
      <c r="JGN52" s="4"/>
      <c r="JGO52" s="4"/>
      <c r="JGP52" s="4"/>
      <c r="JGQ52" s="4"/>
      <c r="JGR52" s="4"/>
      <c r="JGS52" s="4"/>
      <c r="JGT52" s="4"/>
      <c r="JGU52" s="4"/>
      <c r="JGV52" s="4"/>
      <c r="JGW52" s="4"/>
      <c r="JGX52" s="4"/>
      <c r="JGY52" s="4"/>
      <c r="JGZ52" s="4"/>
      <c r="JHA52" s="4"/>
      <c r="JHB52" s="4"/>
      <c r="JHC52" s="4"/>
      <c r="JHD52" s="4"/>
      <c r="JHE52" s="4"/>
      <c r="JHF52" s="4"/>
      <c r="JHG52" s="4"/>
      <c r="JHH52" s="4"/>
      <c r="JHI52" s="4"/>
      <c r="JHJ52" s="4"/>
      <c r="JHK52" s="4"/>
      <c r="JHL52" s="4"/>
      <c r="JHM52" s="4"/>
      <c r="JHN52" s="4"/>
      <c r="JHO52" s="4"/>
      <c r="JHP52" s="4"/>
      <c r="JHQ52" s="4"/>
      <c r="JHR52" s="4"/>
      <c r="JHS52" s="4"/>
      <c r="JHT52" s="4"/>
      <c r="JHU52" s="4"/>
      <c r="JHV52" s="4"/>
      <c r="JHW52" s="4"/>
      <c r="JHX52" s="4"/>
      <c r="JHY52" s="4"/>
      <c r="JHZ52" s="4"/>
      <c r="JIA52" s="4"/>
      <c r="JIB52" s="4"/>
      <c r="JIC52" s="4"/>
      <c r="JID52" s="4"/>
      <c r="JIE52" s="4"/>
      <c r="JIF52" s="4"/>
      <c r="JIG52" s="4"/>
      <c r="JIH52" s="4"/>
      <c r="JII52" s="4"/>
      <c r="JIJ52" s="4"/>
      <c r="JIK52" s="4"/>
      <c r="JIL52" s="4"/>
      <c r="JIM52" s="4"/>
      <c r="JIN52" s="4"/>
      <c r="JIO52" s="4"/>
      <c r="JIP52" s="4"/>
      <c r="JIQ52" s="4"/>
      <c r="JIR52" s="4"/>
      <c r="JIS52" s="4"/>
      <c r="JIT52" s="4"/>
      <c r="JIU52" s="4"/>
      <c r="JIV52" s="4"/>
      <c r="JIW52" s="4"/>
      <c r="JIX52" s="4"/>
      <c r="JIY52" s="4"/>
      <c r="JIZ52" s="4"/>
      <c r="JJA52" s="4"/>
      <c r="JJB52" s="4"/>
      <c r="JJC52" s="4"/>
      <c r="JJD52" s="4"/>
      <c r="JJE52" s="4"/>
      <c r="JJF52" s="4"/>
      <c r="JJG52" s="4"/>
      <c r="JJH52" s="4"/>
      <c r="JJI52" s="4"/>
      <c r="JJJ52" s="4"/>
      <c r="JJK52" s="4"/>
      <c r="JJL52" s="4"/>
      <c r="JJM52" s="4"/>
      <c r="JJN52" s="4"/>
      <c r="JJO52" s="4"/>
      <c r="JJP52" s="4"/>
      <c r="JJQ52" s="4"/>
      <c r="JJR52" s="4"/>
      <c r="JJS52" s="4"/>
      <c r="JJT52" s="4"/>
      <c r="JJU52" s="4"/>
      <c r="JJV52" s="4"/>
      <c r="JJW52" s="4"/>
      <c r="JJX52" s="4"/>
      <c r="JJY52" s="4"/>
      <c r="JJZ52" s="4"/>
      <c r="JKA52" s="4"/>
      <c r="JKB52" s="4"/>
      <c r="JKC52" s="4"/>
      <c r="JKD52" s="4"/>
      <c r="JKE52" s="4"/>
      <c r="JKF52" s="4"/>
      <c r="JKG52" s="4"/>
      <c r="JKH52" s="4"/>
      <c r="JKI52" s="4"/>
      <c r="JKJ52" s="4"/>
      <c r="JKK52" s="4"/>
      <c r="JKL52" s="4"/>
      <c r="JKM52" s="4"/>
      <c r="JKN52" s="4"/>
      <c r="JKO52" s="4"/>
      <c r="JKP52" s="4"/>
      <c r="JKQ52" s="4"/>
      <c r="JKR52" s="4"/>
      <c r="JKS52" s="4"/>
      <c r="JKT52" s="4"/>
      <c r="JKU52" s="4"/>
      <c r="JKV52" s="4"/>
      <c r="JKW52" s="4"/>
      <c r="JKX52" s="4"/>
      <c r="JKY52" s="4"/>
      <c r="JKZ52" s="4"/>
      <c r="JLA52" s="4"/>
      <c r="JLB52" s="4"/>
      <c r="JLC52" s="4"/>
      <c r="JLD52" s="4"/>
      <c r="JLE52" s="4"/>
      <c r="JLF52" s="4"/>
      <c r="JLG52" s="4"/>
      <c r="JLH52" s="4"/>
      <c r="JLI52" s="4"/>
      <c r="JLJ52" s="4"/>
      <c r="JLK52" s="4"/>
      <c r="JLL52" s="4"/>
      <c r="JLM52" s="4"/>
      <c r="JLN52" s="4"/>
      <c r="JLO52" s="4"/>
      <c r="JLP52" s="4"/>
      <c r="JLQ52" s="4"/>
      <c r="JLR52" s="4"/>
      <c r="JLS52" s="4"/>
      <c r="JLT52" s="4"/>
      <c r="JLU52" s="4"/>
      <c r="JLV52" s="4"/>
      <c r="JLW52" s="4"/>
      <c r="JLX52" s="4"/>
      <c r="JLY52" s="4"/>
      <c r="JLZ52" s="4"/>
      <c r="JMA52" s="4"/>
      <c r="JMB52" s="4"/>
      <c r="JMC52" s="4"/>
      <c r="JMD52" s="4"/>
      <c r="JME52" s="4"/>
      <c r="JMF52" s="4"/>
      <c r="JMG52" s="4"/>
      <c r="JMH52" s="4"/>
      <c r="JMI52" s="4"/>
      <c r="JMJ52" s="4"/>
      <c r="JMK52" s="4"/>
      <c r="JML52" s="4"/>
      <c r="JMM52" s="4"/>
      <c r="JMN52" s="4"/>
      <c r="JMO52" s="4"/>
      <c r="JMP52" s="4"/>
      <c r="JMQ52" s="4"/>
      <c r="JMR52" s="4"/>
      <c r="JMS52" s="4"/>
      <c r="JMT52" s="4"/>
      <c r="JMU52" s="4"/>
      <c r="JMV52" s="4"/>
      <c r="JMW52" s="4"/>
      <c r="JMX52" s="4"/>
      <c r="JMY52" s="4"/>
      <c r="JMZ52" s="4"/>
      <c r="JNA52" s="4"/>
      <c r="JNB52" s="4"/>
      <c r="JNC52" s="4"/>
      <c r="JND52" s="4"/>
      <c r="JNE52" s="4"/>
      <c r="JNF52" s="4"/>
      <c r="JNG52" s="4"/>
      <c r="JNH52" s="4"/>
      <c r="JNI52" s="4"/>
      <c r="JNJ52" s="4"/>
      <c r="JNK52" s="4"/>
      <c r="JNL52" s="4"/>
      <c r="JNM52" s="4"/>
      <c r="JNN52" s="4"/>
      <c r="JNO52" s="4"/>
      <c r="JNP52" s="4"/>
      <c r="JNQ52" s="4"/>
      <c r="JNR52" s="4"/>
      <c r="JNS52" s="4"/>
      <c r="JNT52" s="4"/>
      <c r="JNU52" s="4"/>
      <c r="JNV52" s="4"/>
      <c r="JNW52" s="4"/>
      <c r="JNX52" s="4"/>
      <c r="JNY52" s="4"/>
      <c r="JNZ52" s="4"/>
      <c r="JOA52" s="4"/>
      <c r="JOB52" s="4"/>
      <c r="JOC52" s="4"/>
      <c r="JOD52" s="4"/>
      <c r="JOE52" s="4"/>
      <c r="JOF52" s="4"/>
      <c r="JOG52" s="4"/>
      <c r="JOH52" s="4"/>
      <c r="JOI52" s="4"/>
      <c r="JOJ52" s="4"/>
      <c r="JOK52" s="4"/>
      <c r="JOL52" s="4"/>
      <c r="JOM52" s="4"/>
      <c r="JON52" s="4"/>
      <c r="JOO52" s="4"/>
      <c r="JOP52" s="4"/>
      <c r="JOQ52" s="4"/>
      <c r="JOR52" s="4"/>
      <c r="JOS52" s="4"/>
      <c r="JOT52" s="4"/>
      <c r="JOU52" s="4"/>
      <c r="JOV52" s="4"/>
      <c r="JOW52" s="4"/>
      <c r="JOX52" s="4"/>
      <c r="JOY52" s="4"/>
      <c r="JOZ52" s="4"/>
      <c r="JPA52" s="4"/>
      <c r="JPB52" s="4"/>
      <c r="JPC52" s="4"/>
      <c r="JPD52" s="4"/>
      <c r="JPE52" s="4"/>
      <c r="JPF52" s="4"/>
      <c r="JPG52" s="4"/>
      <c r="JPH52" s="4"/>
      <c r="JPI52" s="4"/>
      <c r="JPJ52" s="4"/>
      <c r="JPK52" s="4"/>
      <c r="JPL52" s="4"/>
      <c r="JPM52" s="4"/>
      <c r="JPN52" s="4"/>
      <c r="JPO52" s="4"/>
      <c r="JPP52" s="4"/>
      <c r="JPQ52" s="4"/>
      <c r="JPR52" s="4"/>
      <c r="JPS52" s="4"/>
      <c r="JPT52" s="4"/>
      <c r="JPU52" s="4"/>
      <c r="JPV52" s="4"/>
      <c r="JPW52" s="4"/>
      <c r="JPX52" s="4"/>
      <c r="JPY52" s="4"/>
      <c r="JPZ52" s="4"/>
      <c r="JQA52" s="4"/>
      <c r="JQB52" s="4"/>
      <c r="JQC52" s="4"/>
      <c r="JQD52" s="4"/>
      <c r="JQE52" s="4"/>
      <c r="JQF52" s="4"/>
      <c r="JQG52" s="4"/>
      <c r="JQH52" s="4"/>
      <c r="JQI52" s="4"/>
      <c r="JQJ52" s="4"/>
      <c r="JQK52" s="4"/>
      <c r="JQL52" s="4"/>
      <c r="JQM52" s="4"/>
      <c r="JQN52" s="4"/>
      <c r="JQO52" s="4"/>
      <c r="JQP52" s="4"/>
      <c r="JQQ52" s="4"/>
      <c r="JQR52" s="4"/>
      <c r="JQS52" s="4"/>
      <c r="JQT52" s="4"/>
      <c r="JQU52" s="4"/>
      <c r="JQV52" s="4"/>
      <c r="JQW52" s="4"/>
      <c r="JQX52" s="4"/>
      <c r="JQY52" s="4"/>
      <c r="JQZ52" s="4"/>
      <c r="JRA52" s="4"/>
      <c r="JRB52" s="4"/>
      <c r="JRC52" s="4"/>
      <c r="JRD52" s="4"/>
      <c r="JRE52" s="4"/>
      <c r="JRF52" s="4"/>
      <c r="JRG52" s="4"/>
      <c r="JRH52" s="4"/>
      <c r="JRI52" s="4"/>
      <c r="JRJ52" s="4"/>
      <c r="JRK52" s="4"/>
      <c r="JRL52" s="4"/>
      <c r="JRM52" s="4"/>
      <c r="JRN52" s="4"/>
      <c r="JRO52" s="4"/>
      <c r="JRP52" s="4"/>
      <c r="JRQ52" s="4"/>
      <c r="JRR52" s="4"/>
      <c r="JRS52" s="4"/>
      <c r="JRT52" s="4"/>
      <c r="JRU52" s="4"/>
      <c r="JRV52" s="4"/>
      <c r="JRW52" s="4"/>
      <c r="JRX52" s="4"/>
      <c r="JRY52" s="4"/>
      <c r="JRZ52" s="4"/>
      <c r="JSA52" s="4"/>
      <c r="JSB52" s="4"/>
      <c r="JSC52" s="4"/>
      <c r="JSD52" s="4"/>
      <c r="JSE52" s="4"/>
      <c r="JSF52" s="4"/>
      <c r="JSG52" s="4"/>
      <c r="JSH52" s="4"/>
      <c r="JSI52" s="4"/>
      <c r="JSJ52" s="4"/>
      <c r="JSK52" s="4"/>
      <c r="JSL52" s="4"/>
      <c r="JSM52" s="4"/>
      <c r="JSN52" s="4"/>
      <c r="JSO52" s="4"/>
      <c r="JSP52" s="4"/>
      <c r="JSQ52" s="4"/>
      <c r="JSR52" s="4"/>
      <c r="JSS52" s="4"/>
      <c r="JST52" s="4"/>
      <c r="JSU52" s="4"/>
      <c r="JSV52" s="4"/>
      <c r="JSW52" s="4"/>
      <c r="JSX52" s="4"/>
      <c r="JSY52" s="4"/>
      <c r="JSZ52" s="4"/>
      <c r="JTA52" s="4"/>
      <c r="JTB52" s="4"/>
      <c r="JTC52" s="4"/>
      <c r="JTD52" s="4"/>
      <c r="JTE52" s="4"/>
      <c r="JTF52" s="4"/>
      <c r="JTG52" s="4"/>
      <c r="JTH52" s="4"/>
      <c r="JTI52" s="4"/>
      <c r="JTJ52" s="4"/>
      <c r="JTK52" s="4"/>
      <c r="JTL52" s="4"/>
      <c r="JTM52" s="4"/>
      <c r="JTN52" s="4"/>
      <c r="JTO52" s="4"/>
      <c r="JTP52" s="4"/>
      <c r="JTQ52" s="4"/>
      <c r="JTR52" s="4"/>
      <c r="JTS52" s="4"/>
      <c r="JTT52" s="4"/>
      <c r="JTU52" s="4"/>
      <c r="JTV52" s="4"/>
      <c r="JTW52" s="4"/>
      <c r="JTX52" s="4"/>
      <c r="JTY52" s="4"/>
      <c r="JTZ52" s="4"/>
      <c r="JUA52" s="4"/>
      <c r="JUB52" s="4"/>
      <c r="JUC52" s="4"/>
      <c r="JUD52" s="4"/>
      <c r="JUE52" s="4"/>
      <c r="JUF52" s="4"/>
      <c r="JUG52" s="4"/>
      <c r="JUH52" s="4"/>
      <c r="JUI52" s="4"/>
      <c r="JUJ52" s="4"/>
      <c r="JUK52" s="4"/>
      <c r="JUL52" s="4"/>
      <c r="JUM52" s="4"/>
      <c r="JUN52" s="4"/>
      <c r="JUO52" s="4"/>
      <c r="JUP52" s="4"/>
      <c r="JUQ52" s="4"/>
      <c r="JUR52" s="4"/>
      <c r="JUS52" s="4"/>
      <c r="JUT52" s="4"/>
      <c r="JUU52" s="4"/>
      <c r="JUV52" s="4"/>
      <c r="JUW52" s="4"/>
      <c r="JUX52" s="4"/>
      <c r="JUY52" s="4"/>
      <c r="JUZ52" s="4"/>
      <c r="JVA52" s="4"/>
      <c r="JVB52" s="4"/>
      <c r="JVC52" s="4"/>
      <c r="JVD52" s="4"/>
      <c r="JVE52" s="4"/>
      <c r="JVF52" s="4"/>
      <c r="JVG52" s="4"/>
      <c r="JVH52" s="4"/>
      <c r="JVI52" s="4"/>
      <c r="JVJ52" s="4"/>
      <c r="JVK52" s="4"/>
      <c r="JVL52" s="4"/>
      <c r="JVM52" s="4"/>
      <c r="JVN52" s="4"/>
      <c r="JVO52" s="4"/>
      <c r="JVP52" s="4"/>
      <c r="JVQ52" s="4"/>
      <c r="JVR52" s="4"/>
      <c r="JVS52" s="4"/>
      <c r="JVT52" s="4"/>
      <c r="JVU52" s="4"/>
      <c r="JVV52" s="4"/>
      <c r="JVW52" s="4"/>
      <c r="JVX52" s="4"/>
      <c r="JVY52" s="4"/>
      <c r="JVZ52" s="4"/>
      <c r="JWA52" s="4"/>
      <c r="JWB52" s="4"/>
      <c r="JWC52" s="4"/>
      <c r="JWD52" s="4"/>
      <c r="JWE52" s="4"/>
      <c r="JWF52" s="4"/>
      <c r="JWG52" s="4"/>
      <c r="JWH52" s="4"/>
      <c r="JWI52" s="4"/>
      <c r="JWJ52" s="4"/>
      <c r="JWK52" s="4"/>
      <c r="JWL52" s="4"/>
      <c r="JWM52" s="4"/>
      <c r="JWN52" s="4"/>
      <c r="JWO52" s="4"/>
      <c r="JWP52" s="4"/>
      <c r="JWQ52" s="4"/>
      <c r="JWR52" s="4"/>
      <c r="JWS52" s="4"/>
      <c r="JWT52" s="4"/>
      <c r="JWU52" s="4"/>
      <c r="JWV52" s="4"/>
      <c r="JWW52" s="4"/>
      <c r="JWX52" s="4"/>
      <c r="JWY52" s="4"/>
      <c r="JWZ52" s="4"/>
      <c r="JXA52" s="4"/>
      <c r="JXB52" s="4"/>
      <c r="JXC52" s="4"/>
      <c r="JXD52" s="4"/>
      <c r="JXE52" s="4"/>
      <c r="JXF52" s="4"/>
      <c r="JXG52" s="4"/>
      <c r="JXH52" s="4"/>
      <c r="JXI52" s="4"/>
      <c r="JXJ52" s="4"/>
      <c r="JXK52" s="4"/>
      <c r="JXL52" s="4"/>
      <c r="JXM52" s="4"/>
      <c r="JXN52" s="4"/>
      <c r="JXO52" s="4"/>
      <c r="JXP52" s="4"/>
      <c r="JXQ52" s="4"/>
      <c r="JXR52" s="4"/>
      <c r="JXS52" s="4"/>
      <c r="JXT52" s="4"/>
      <c r="JXU52" s="4"/>
      <c r="JXV52" s="4"/>
      <c r="JXW52" s="4"/>
      <c r="JXX52" s="4"/>
      <c r="JXY52" s="4"/>
      <c r="JXZ52" s="4"/>
      <c r="JYA52" s="4"/>
      <c r="JYB52" s="4"/>
      <c r="JYC52" s="4"/>
      <c r="JYD52" s="4"/>
      <c r="JYE52" s="4"/>
      <c r="JYF52" s="4"/>
      <c r="JYG52" s="4"/>
      <c r="JYH52" s="4"/>
      <c r="JYI52" s="4"/>
      <c r="JYJ52" s="4"/>
      <c r="JYK52" s="4"/>
      <c r="JYL52" s="4"/>
      <c r="JYM52" s="4"/>
      <c r="JYN52" s="4"/>
      <c r="JYO52" s="4"/>
      <c r="JYP52" s="4"/>
      <c r="JYQ52" s="4"/>
      <c r="JYR52" s="4"/>
      <c r="JYS52" s="4"/>
      <c r="JYT52" s="4"/>
      <c r="JYU52" s="4"/>
      <c r="JYV52" s="4"/>
      <c r="JYW52" s="4"/>
      <c r="JYX52" s="4"/>
      <c r="JYY52" s="4"/>
      <c r="JYZ52" s="4"/>
      <c r="JZA52" s="4"/>
      <c r="JZB52" s="4"/>
      <c r="JZC52" s="4"/>
      <c r="JZD52" s="4"/>
      <c r="JZE52" s="4"/>
      <c r="JZF52" s="4"/>
      <c r="JZG52" s="4"/>
      <c r="JZH52" s="4"/>
      <c r="JZI52" s="4"/>
      <c r="JZJ52" s="4"/>
      <c r="JZK52" s="4"/>
      <c r="JZL52" s="4"/>
      <c r="JZM52" s="4"/>
      <c r="JZN52" s="4"/>
      <c r="JZO52" s="4"/>
      <c r="JZP52" s="4"/>
      <c r="JZQ52" s="4"/>
      <c r="JZR52" s="4"/>
      <c r="JZS52" s="4"/>
      <c r="JZT52" s="4"/>
      <c r="JZU52" s="4"/>
      <c r="JZV52" s="4"/>
      <c r="JZW52" s="4"/>
      <c r="JZX52" s="4"/>
      <c r="JZY52" s="4"/>
      <c r="JZZ52" s="4"/>
      <c r="KAA52" s="4"/>
      <c r="KAB52" s="4"/>
      <c r="KAC52" s="4"/>
      <c r="KAD52" s="4"/>
      <c r="KAE52" s="4"/>
      <c r="KAF52" s="4"/>
      <c r="KAG52" s="4"/>
      <c r="KAH52" s="4"/>
      <c r="KAI52" s="4"/>
      <c r="KAJ52" s="4"/>
      <c r="KAK52" s="4"/>
      <c r="KAL52" s="4"/>
      <c r="KAM52" s="4"/>
      <c r="KAN52" s="4"/>
      <c r="KAO52" s="4"/>
      <c r="KAP52" s="4"/>
      <c r="KAQ52" s="4"/>
      <c r="KAR52" s="4"/>
      <c r="KAS52" s="4"/>
      <c r="KAT52" s="4"/>
      <c r="KAU52" s="4"/>
      <c r="KAV52" s="4"/>
      <c r="KAW52" s="4"/>
      <c r="KAX52" s="4"/>
      <c r="KAY52" s="4"/>
      <c r="KAZ52" s="4"/>
      <c r="KBA52" s="4"/>
      <c r="KBB52" s="4"/>
      <c r="KBC52" s="4"/>
      <c r="KBD52" s="4"/>
      <c r="KBE52" s="4"/>
      <c r="KBF52" s="4"/>
      <c r="KBG52" s="4"/>
      <c r="KBH52" s="4"/>
      <c r="KBI52" s="4"/>
      <c r="KBJ52" s="4"/>
      <c r="KBK52" s="4"/>
      <c r="KBL52" s="4"/>
      <c r="KBM52" s="4"/>
      <c r="KBN52" s="4"/>
      <c r="KBO52" s="4"/>
      <c r="KBP52" s="4"/>
      <c r="KBQ52" s="4"/>
      <c r="KBR52" s="4"/>
      <c r="KBS52" s="4"/>
      <c r="KBT52" s="4"/>
      <c r="KBU52" s="4"/>
      <c r="KBV52" s="4"/>
      <c r="KBW52" s="4"/>
      <c r="KBX52" s="4"/>
      <c r="KBY52" s="4"/>
      <c r="KBZ52" s="4"/>
      <c r="KCA52" s="4"/>
      <c r="KCB52" s="4"/>
      <c r="KCC52" s="4"/>
      <c r="KCD52" s="4"/>
      <c r="KCE52" s="4"/>
      <c r="KCF52" s="4"/>
      <c r="KCG52" s="4"/>
      <c r="KCH52" s="4"/>
      <c r="KCI52" s="4"/>
      <c r="KCJ52" s="4"/>
      <c r="KCK52" s="4"/>
      <c r="KCL52" s="4"/>
      <c r="KCM52" s="4"/>
      <c r="KCN52" s="4"/>
      <c r="KCO52" s="4"/>
      <c r="KCP52" s="4"/>
      <c r="KCQ52" s="4"/>
      <c r="KCR52" s="4"/>
      <c r="KCS52" s="4"/>
      <c r="KCT52" s="4"/>
      <c r="KCU52" s="4"/>
      <c r="KCV52" s="4"/>
      <c r="KCW52" s="4"/>
      <c r="KCX52" s="4"/>
      <c r="KCY52" s="4"/>
      <c r="KCZ52" s="4"/>
      <c r="KDA52" s="4"/>
      <c r="KDB52" s="4"/>
      <c r="KDC52" s="4"/>
      <c r="KDD52" s="4"/>
      <c r="KDE52" s="4"/>
      <c r="KDF52" s="4"/>
      <c r="KDG52" s="4"/>
      <c r="KDH52" s="4"/>
      <c r="KDI52" s="4"/>
      <c r="KDJ52" s="4"/>
      <c r="KDK52" s="4"/>
      <c r="KDL52" s="4"/>
      <c r="KDM52" s="4"/>
      <c r="KDN52" s="4"/>
      <c r="KDO52" s="4"/>
      <c r="KDP52" s="4"/>
      <c r="KDQ52" s="4"/>
      <c r="KDR52" s="4"/>
      <c r="KDS52" s="4"/>
      <c r="KDT52" s="4"/>
      <c r="KDU52" s="4"/>
      <c r="KDV52" s="4"/>
      <c r="KDW52" s="4"/>
      <c r="KDX52" s="4"/>
      <c r="KDY52" s="4"/>
      <c r="KDZ52" s="4"/>
      <c r="KEA52" s="4"/>
      <c r="KEB52" s="4"/>
      <c r="KEC52" s="4"/>
      <c r="KED52" s="4"/>
      <c r="KEE52" s="4"/>
      <c r="KEF52" s="4"/>
      <c r="KEG52" s="4"/>
      <c r="KEH52" s="4"/>
      <c r="KEI52" s="4"/>
      <c r="KEJ52" s="4"/>
      <c r="KEK52" s="4"/>
      <c r="KEL52" s="4"/>
      <c r="KEM52" s="4"/>
      <c r="KEN52" s="4"/>
      <c r="KEO52" s="4"/>
      <c r="KEP52" s="4"/>
      <c r="KEQ52" s="4"/>
      <c r="KER52" s="4"/>
      <c r="KES52" s="4"/>
      <c r="KET52" s="4"/>
      <c r="KEU52" s="4"/>
      <c r="KEV52" s="4"/>
      <c r="KEW52" s="4"/>
      <c r="KEX52" s="4"/>
      <c r="KEY52" s="4"/>
      <c r="KEZ52" s="4"/>
      <c r="KFA52" s="4"/>
      <c r="KFB52" s="4"/>
      <c r="KFC52" s="4"/>
      <c r="KFD52" s="4"/>
      <c r="KFE52" s="4"/>
      <c r="KFF52" s="4"/>
      <c r="KFG52" s="4"/>
      <c r="KFH52" s="4"/>
      <c r="KFI52" s="4"/>
      <c r="KFJ52" s="4"/>
      <c r="KFK52" s="4"/>
      <c r="KFL52" s="4"/>
      <c r="KFM52" s="4"/>
      <c r="KFN52" s="4"/>
      <c r="KFO52" s="4"/>
      <c r="KFP52" s="4"/>
      <c r="KFQ52" s="4"/>
      <c r="KFR52" s="4"/>
      <c r="KFS52" s="4"/>
      <c r="KFT52" s="4"/>
      <c r="KFU52" s="4"/>
      <c r="KFV52" s="4"/>
      <c r="KFW52" s="4"/>
      <c r="KFX52" s="4"/>
      <c r="KFY52" s="4"/>
      <c r="KFZ52" s="4"/>
      <c r="KGA52" s="4"/>
      <c r="KGB52" s="4"/>
      <c r="KGC52" s="4"/>
      <c r="KGD52" s="4"/>
      <c r="KGE52" s="4"/>
      <c r="KGF52" s="4"/>
      <c r="KGG52" s="4"/>
      <c r="KGH52" s="4"/>
      <c r="KGI52" s="4"/>
      <c r="KGJ52" s="4"/>
      <c r="KGK52" s="4"/>
      <c r="KGL52" s="4"/>
      <c r="KGM52" s="4"/>
      <c r="KGN52" s="4"/>
      <c r="KGO52" s="4"/>
      <c r="KGP52" s="4"/>
      <c r="KGQ52" s="4"/>
      <c r="KGR52" s="4"/>
      <c r="KGS52" s="4"/>
      <c r="KGT52" s="4"/>
      <c r="KGU52" s="4"/>
      <c r="KGV52" s="4"/>
      <c r="KGW52" s="4"/>
      <c r="KGX52" s="4"/>
      <c r="KGY52" s="4"/>
      <c r="KGZ52" s="4"/>
      <c r="KHA52" s="4"/>
      <c r="KHB52" s="4"/>
      <c r="KHC52" s="4"/>
      <c r="KHD52" s="4"/>
      <c r="KHE52" s="4"/>
      <c r="KHF52" s="4"/>
      <c r="KHG52" s="4"/>
      <c r="KHH52" s="4"/>
      <c r="KHI52" s="4"/>
      <c r="KHJ52" s="4"/>
      <c r="KHK52" s="4"/>
      <c r="KHL52" s="4"/>
      <c r="KHM52" s="4"/>
      <c r="KHN52" s="4"/>
      <c r="KHO52" s="4"/>
      <c r="KHP52" s="4"/>
      <c r="KHQ52" s="4"/>
      <c r="KHR52" s="4"/>
      <c r="KHS52" s="4"/>
      <c r="KHT52" s="4"/>
      <c r="KHU52" s="4"/>
      <c r="KHV52" s="4"/>
      <c r="KHW52" s="4"/>
      <c r="KHX52" s="4"/>
      <c r="KHY52" s="4"/>
      <c r="KHZ52" s="4"/>
      <c r="KIA52" s="4"/>
      <c r="KIB52" s="4"/>
      <c r="KIC52" s="4"/>
      <c r="KID52" s="4"/>
      <c r="KIE52" s="4"/>
      <c r="KIF52" s="4"/>
      <c r="KIG52" s="4"/>
      <c r="KIH52" s="4"/>
      <c r="KII52" s="4"/>
      <c r="KIJ52" s="4"/>
      <c r="KIK52" s="4"/>
      <c r="KIL52" s="4"/>
      <c r="KIM52" s="4"/>
      <c r="KIN52" s="4"/>
      <c r="KIO52" s="4"/>
      <c r="KIP52" s="4"/>
      <c r="KIQ52" s="4"/>
      <c r="KIR52" s="4"/>
      <c r="KIS52" s="4"/>
      <c r="KIT52" s="4"/>
      <c r="KIU52" s="4"/>
      <c r="KIV52" s="4"/>
      <c r="KIW52" s="4"/>
      <c r="KIX52" s="4"/>
      <c r="KIY52" s="4"/>
      <c r="KIZ52" s="4"/>
      <c r="KJA52" s="4"/>
      <c r="KJB52" s="4"/>
      <c r="KJC52" s="4"/>
      <c r="KJD52" s="4"/>
      <c r="KJE52" s="4"/>
      <c r="KJF52" s="4"/>
      <c r="KJG52" s="4"/>
      <c r="KJH52" s="4"/>
      <c r="KJI52" s="4"/>
      <c r="KJJ52" s="4"/>
      <c r="KJK52" s="4"/>
      <c r="KJL52" s="4"/>
      <c r="KJM52" s="4"/>
      <c r="KJN52" s="4"/>
      <c r="KJO52" s="4"/>
      <c r="KJP52" s="4"/>
      <c r="KJQ52" s="4"/>
      <c r="KJR52" s="4"/>
      <c r="KJS52" s="4"/>
      <c r="KJT52" s="4"/>
      <c r="KJU52" s="4"/>
      <c r="KJV52" s="4"/>
      <c r="KJW52" s="4"/>
      <c r="KJX52" s="4"/>
      <c r="KJY52" s="4"/>
      <c r="KJZ52" s="4"/>
      <c r="KKA52" s="4"/>
      <c r="KKB52" s="4"/>
      <c r="KKC52" s="4"/>
      <c r="KKD52" s="4"/>
      <c r="KKE52" s="4"/>
      <c r="KKF52" s="4"/>
      <c r="KKG52" s="4"/>
      <c r="KKH52" s="4"/>
      <c r="KKI52" s="4"/>
      <c r="KKJ52" s="4"/>
      <c r="KKK52" s="4"/>
      <c r="KKL52" s="4"/>
      <c r="KKM52" s="4"/>
      <c r="KKN52" s="4"/>
      <c r="KKO52" s="4"/>
      <c r="KKP52" s="4"/>
      <c r="KKQ52" s="4"/>
      <c r="KKR52" s="4"/>
      <c r="KKS52" s="4"/>
      <c r="KKT52" s="4"/>
      <c r="KKU52" s="4"/>
      <c r="KKV52" s="4"/>
      <c r="KKW52" s="4"/>
      <c r="KKX52" s="4"/>
      <c r="KKY52" s="4"/>
      <c r="KKZ52" s="4"/>
      <c r="KLA52" s="4"/>
      <c r="KLB52" s="4"/>
      <c r="KLC52" s="4"/>
      <c r="KLD52" s="4"/>
      <c r="KLE52" s="4"/>
      <c r="KLF52" s="4"/>
      <c r="KLG52" s="4"/>
      <c r="KLH52" s="4"/>
      <c r="KLI52" s="4"/>
      <c r="KLJ52" s="4"/>
      <c r="KLK52" s="4"/>
      <c r="KLL52" s="4"/>
      <c r="KLM52" s="4"/>
      <c r="KLN52" s="4"/>
      <c r="KLO52" s="4"/>
      <c r="KLP52" s="4"/>
      <c r="KLQ52" s="4"/>
      <c r="KLR52" s="4"/>
      <c r="KLS52" s="4"/>
      <c r="KLT52" s="4"/>
      <c r="KLU52" s="4"/>
      <c r="KLV52" s="4"/>
      <c r="KLW52" s="4"/>
      <c r="KLX52" s="4"/>
      <c r="KLY52" s="4"/>
      <c r="KLZ52" s="4"/>
      <c r="KMA52" s="4"/>
      <c r="KMB52" s="4"/>
      <c r="KMC52" s="4"/>
      <c r="KMD52" s="4"/>
      <c r="KME52" s="4"/>
      <c r="KMF52" s="4"/>
      <c r="KMG52" s="4"/>
      <c r="KMH52" s="4"/>
      <c r="KMI52" s="4"/>
      <c r="KMJ52" s="4"/>
      <c r="KMK52" s="4"/>
      <c r="KML52" s="4"/>
      <c r="KMM52" s="4"/>
      <c r="KMN52" s="4"/>
      <c r="KMO52" s="4"/>
      <c r="KMP52" s="4"/>
      <c r="KMQ52" s="4"/>
      <c r="KMR52" s="4"/>
      <c r="KMS52" s="4"/>
      <c r="KMT52" s="4"/>
      <c r="KMU52" s="4"/>
      <c r="KMV52" s="4"/>
      <c r="KMW52" s="4"/>
      <c r="KMX52" s="4"/>
      <c r="KMY52" s="4"/>
      <c r="KMZ52" s="4"/>
      <c r="KNA52" s="4"/>
      <c r="KNB52" s="4"/>
      <c r="KNC52" s="4"/>
      <c r="KND52" s="4"/>
      <c r="KNE52" s="4"/>
      <c r="KNF52" s="4"/>
      <c r="KNG52" s="4"/>
      <c r="KNH52" s="4"/>
      <c r="KNI52" s="4"/>
      <c r="KNJ52" s="4"/>
      <c r="KNK52" s="4"/>
      <c r="KNL52" s="4"/>
      <c r="KNM52" s="4"/>
      <c r="KNN52" s="4"/>
      <c r="KNO52" s="4"/>
      <c r="KNP52" s="4"/>
      <c r="KNQ52" s="4"/>
      <c r="KNR52" s="4"/>
      <c r="KNS52" s="4"/>
      <c r="KNT52" s="4"/>
      <c r="KNU52" s="4"/>
      <c r="KNV52" s="4"/>
      <c r="KNW52" s="4"/>
      <c r="KNX52" s="4"/>
      <c r="KNY52" s="4"/>
      <c r="KNZ52" s="4"/>
      <c r="KOA52" s="4"/>
      <c r="KOB52" s="4"/>
      <c r="KOC52" s="4"/>
      <c r="KOD52" s="4"/>
      <c r="KOE52" s="4"/>
      <c r="KOF52" s="4"/>
      <c r="KOG52" s="4"/>
      <c r="KOH52" s="4"/>
      <c r="KOI52" s="4"/>
      <c r="KOJ52" s="4"/>
      <c r="KOK52" s="4"/>
      <c r="KOL52" s="4"/>
      <c r="KOM52" s="4"/>
      <c r="KON52" s="4"/>
      <c r="KOO52" s="4"/>
      <c r="KOP52" s="4"/>
      <c r="KOQ52" s="4"/>
      <c r="KOR52" s="4"/>
      <c r="KOS52" s="4"/>
      <c r="KOT52" s="4"/>
      <c r="KOU52" s="4"/>
      <c r="KOV52" s="4"/>
      <c r="KOW52" s="4"/>
      <c r="KOX52" s="4"/>
      <c r="KOY52" s="4"/>
      <c r="KOZ52" s="4"/>
      <c r="KPA52" s="4"/>
      <c r="KPB52" s="4"/>
      <c r="KPC52" s="4"/>
      <c r="KPD52" s="4"/>
      <c r="KPE52" s="4"/>
      <c r="KPF52" s="4"/>
      <c r="KPG52" s="4"/>
      <c r="KPH52" s="4"/>
      <c r="KPI52" s="4"/>
      <c r="KPJ52" s="4"/>
      <c r="KPK52" s="4"/>
      <c r="KPL52" s="4"/>
      <c r="KPM52" s="4"/>
      <c r="KPN52" s="4"/>
      <c r="KPO52" s="4"/>
      <c r="KPP52" s="4"/>
      <c r="KPQ52" s="4"/>
      <c r="KPR52" s="4"/>
      <c r="KPS52" s="4"/>
      <c r="KPT52" s="4"/>
      <c r="KPU52" s="4"/>
      <c r="KPV52" s="4"/>
      <c r="KPW52" s="4"/>
      <c r="KPX52" s="4"/>
      <c r="KPY52" s="4"/>
      <c r="KPZ52" s="4"/>
      <c r="KQA52" s="4"/>
      <c r="KQB52" s="4"/>
      <c r="KQC52" s="4"/>
      <c r="KQD52" s="4"/>
      <c r="KQE52" s="4"/>
      <c r="KQF52" s="4"/>
      <c r="KQG52" s="4"/>
      <c r="KQH52" s="4"/>
      <c r="KQI52" s="4"/>
      <c r="KQJ52" s="4"/>
      <c r="KQK52" s="4"/>
      <c r="KQL52" s="4"/>
      <c r="KQM52" s="4"/>
      <c r="KQN52" s="4"/>
      <c r="KQO52" s="4"/>
      <c r="KQP52" s="4"/>
      <c r="KQQ52" s="4"/>
      <c r="KQR52" s="4"/>
      <c r="KQS52" s="4"/>
      <c r="KQT52" s="4"/>
      <c r="KQU52" s="4"/>
      <c r="KQV52" s="4"/>
      <c r="KQW52" s="4"/>
      <c r="KQX52" s="4"/>
      <c r="KQY52" s="4"/>
      <c r="KQZ52" s="4"/>
      <c r="KRA52" s="4"/>
      <c r="KRB52" s="4"/>
      <c r="KRC52" s="4"/>
      <c r="KRD52" s="4"/>
      <c r="KRE52" s="4"/>
      <c r="KRF52" s="4"/>
      <c r="KRG52" s="4"/>
      <c r="KRH52" s="4"/>
      <c r="KRI52" s="4"/>
      <c r="KRJ52" s="4"/>
      <c r="KRK52" s="4"/>
      <c r="KRL52" s="4"/>
      <c r="KRM52" s="4"/>
      <c r="KRN52" s="4"/>
      <c r="KRO52" s="4"/>
      <c r="KRP52" s="4"/>
      <c r="KRQ52" s="4"/>
      <c r="KRR52" s="4"/>
      <c r="KRS52" s="4"/>
      <c r="KRT52" s="4"/>
      <c r="KRU52" s="4"/>
      <c r="KRV52" s="4"/>
      <c r="KRW52" s="4"/>
      <c r="KRX52" s="4"/>
      <c r="KRY52" s="4"/>
      <c r="KRZ52" s="4"/>
      <c r="KSA52" s="4"/>
      <c r="KSB52" s="4"/>
      <c r="KSC52" s="4"/>
      <c r="KSD52" s="4"/>
      <c r="KSE52" s="4"/>
      <c r="KSF52" s="4"/>
      <c r="KSG52" s="4"/>
      <c r="KSH52" s="4"/>
      <c r="KSI52" s="4"/>
      <c r="KSJ52" s="4"/>
      <c r="KSK52" s="4"/>
      <c r="KSL52" s="4"/>
      <c r="KSM52" s="4"/>
      <c r="KSN52" s="4"/>
      <c r="KSO52" s="4"/>
      <c r="KSP52" s="4"/>
      <c r="KSQ52" s="4"/>
      <c r="KSR52" s="4"/>
      <c r="KSS52" s="4"/>
      <c r="KST52" s="4"/>
      <c r="KSU52" s="4"/>
      <c r="KSV52" s="4"/>
      <c r="KSW52" s="4"/>
      <c r="KSX52" s="4"/>
      <c r="KSY52" s="4"/>
      <c r="KSZ52" s="4"/>
      <c r="KTA52" s="4"/>
      <c r="KTB52" s="4"/>
      <c r="KTC52" s="4"/>
      <c r="KTD52" s="4"/>
      <c r="KTE52" s="4"/>
      <c r="KTF52" s="4"/>
      <c r="KTG52" s="4"/>
      <c r="KTH52" s="4"/>
      <c r="KTI52" s="4"/>
      <c r="KTJ52" s="4"/>
      <c r="KTK52" s="4"/>
      <c r="KTL52" s="4"/>
      <c r="KTM52" s="4"/>
      <c r="KTN52" s="4"/>
      <c r="KTO52" s="4"/>
      <c r="KTP52" s="4"/>
      <c r="KTQ52" s="4"/>
      <c r="KTR52" s="4"/>
      <c r="KTS52" s="4"/>
      <c r="KTT52" s="4"/>
      <c r="KTU52" s="4"/>
      <c r="KTV52" s="4"/>
      <c r="KTW52" s="4"/>
      <c r="KTX52" s="4"/>
      <c r="KTY52" s="4"/>
      <c r="KTZ52" s="4"/>
      <c r="KUA52" s="4"/>
      <c r="KUB52" s="4"/>
      <c r="KUC52" s="4"/>
      <c r="KUD52" s="4"/>
      <c r="KUE52" s="4"/>
      <c r="KUF52" s="4"/>
      <c r="KUG52" s="4"/>
      <c r="KUH52" s="4"/>
      <c r="KUI52" s="4"/>
      <c r="KUJ52" s="4"/>
      <c r="KUK52" s="4"/>
      <c r="KUL52" s="4"/>
      <c r="KUM52" s="4"/>
      <c r="KUN52" s="4"/>
      <c r="KUO52" s="4"/>
      <c r="KUP52" s="4"/>
      <c r="KUQ52" s="4"/>
      <c r="KUR52" s="4"/>
      <c r="KUS52" s="4"/>
      <c r="KUT52" s="4"/>
      <c r="KUU52" s="4"/>
      <c r="KUV52" s="4"/>
      <c r="KUW52" s="4"/>
      <c r="KUX52" s="4"/>
      <c r="KUY52" s="4"/>
      <c r="KUZ52" s="4"/>
      <c r="KVA52" s="4"/>
      <c r="KVB52" s="4"/>
      <c r="KVC52" s="4"/>
      <c r="KVD52" s="4"/>
      <c r="KVE52" s="4"/>
      <c r="KVF52" s="4"/>
      <c r="KVG52" s="4"/>
      <c r="KVH52" s="4"/>
      <c r="KVI52" s="4"/>
      <c r="KVJ52" s="4"/>
      <c r="KVK52" s="4"/>
      <c r="KVL52" s="4"/>
      <c r="KVM52" s="4"/>
      <c r="KVN52" s="4"/>
      <c r="KVO52" s="4"/>
      <c r="KVP52" s="4"/>
      <c r="KVQ52" s="4"/>
      <c r="KVR52" s="4"/>
      <c r="KVS52" s="4"/>
      <c r="KVT52" s="4"/>
      <c r="KVU52" s="4"/>
      <c r="KVV52" s="4"/>
      <c r="KVW52" s="4"/>
      <c r="KVX52" s="4"/>
      <c r="KVY52" s="4"/>
      <c r="KVZ52" s="4"/>
      <c r="KWA52" s="4"/>
      <c r="KWB52" s="4"/>
      <c r="KWC52" s="4"/>
      <c r="KWD52" s="4"/>
      <c r="KWE52" s="4"/>
      <c r="KWF52" s="4"/>
      <c r="KWG52" s="4"/>
      <c r="KWH52" s="4"/>
      <c r="KWI52" s="4"/>
      <c r="KWJ52" s="4"/>
      <c r="KWK52" s="4"/>
      <c r="KWL52" s="4"/>
      <c r="KWM52" s="4"/>
      <c r="KWN52" s="4"/>
      <c r="KWO52" s="4"/>
      <c r="KWP52" s="4"/>
      <c r="KWQ52" s="4"/>
      <c r="KWR52" s="4"/>
      <c r="KWS52" s="4"/>
      <c r="KWT52" s="4"/>
      <c r="KWU52" s="4"/>
      <c r="KWV52" s="4"/>
      <c r="KWW52" s="4"/>
      <c r="KWX52" s="4"/>
      <c r="KWY52" s="4"/>
      <c r="KWZ52" s="4"/>
      <c r="KXA52" s="4"/>
      <c r="KXB52" s="4"/>
      <c r="KXC52" s="4"/>
      <c r="KXD52" s="4"/>
      <c r="KXE52" s="4"/>
      <c r="KXF52" s="4"/>
      <c r="KXG52" s="4"/>
      <c r="KXH52" s="4"/>
      <c r="KXI52" s="4"/>
      <c r="KXJ52" s="4"/>
      <c r="KXK52" s="4"/>
      <c r="KXL52" s="4"/>
      <c r="KXM52" s="4"/>
      <c r="KXN52" s="4"/>
      <c r="KXO52" s="4"/>
      <c r="KXP52" s="4"/>
      <c r="KXQ52" s="4"/>
      <c r="KXR52" s="4"/>
      <c r="KXS52" s="4"/>
      <c r="KXT52" s="4"/>
      <c r="KXU52" s="4"/>
      <c r="KXV52" s="4"/>
      <c r="KXW52" s="4"/>
      <c r="KXX52" s="4"/>
      <c r="KXY52" s="4"/>
      <c r="KXZ52" s="4"/>
      <c r="KYA52" s="4"/>
      <c r="KYB52" s="4"/>
      <c r="KYC52" s="4"/>
      <c r="KYD52" s="4"/>
      <c r="KYE52" s="4"/>
      <c r="KYF52" s="4"/>
      <c r="KYG52" s="4"/>
      <c r="KYH52" s="4"/>
      <c r="KYI52" s="4"/>
      <c r="KYJ52" s="4"/>
      <c r="KYK52" s="4"/>
      <c r="KYL52" s="4"/>
      <c r="KYM52" s="4"/>
      <c r="KYN52" s="4"/>
      <c r="KYO52" s="4"/>
      <c r="KYP52" s="4"/>
      <c r="KYQ52" s="4"/>
      <c r="KYR52" s="4"/>
      <c r="KYS52" s="4"/>
      <c r="KYT52" s="4"/>
      <c r="KYU52" s="4"/>
      <c r="KYV52" s="4"/>
      <c r="KYW52" s="4"/>
      <c r="KYX52" s="4"/>
      <c r="KYY52" s="4"/>
      <c r="KYZ52" s="4"/>
      <c r="KZA52" s="4"/>
      <c r="KZB52" s="4"/>
      <c r="KZC52" s="4"/>
      <c r="KZD52" s="4"/>
      <c r="KZE52" s="4"/>
      <c r="KZF52" s="4"/>
      <c r="KZG52" s="4"/>
      <c r="KZH52" s="4"/>
      <c r="KZI52" s="4"/>
      <c r="KZJ52" s="4"/>
      <c r="KZK52" s="4"/>
      <c r="KZL52" s="4"/>
      <c r="KZM52" s="4"/>
      <c r="KZN52" s="4"/>
      <c r="KZO52" s="4"/>
      <c r="KZP52" s="4"/>
      <c r="KZQ52" s="4"/>
      <c r="KZR52" s="4"/>
      <c r="KZS52" s="4"/>
      <c r="KZT52" s="4"/>
      <c r="KZU52" s="4"/>
      <c r="KZV52" s="4"/>
      <c r="KZW52" s="4"/>
      <c r="KZX52" s="4"/>
      <c r="KZY52" s="4"/>
      <c r="KZZ52" s="4"/>
      <c r="LAA52" s="4"/>
      <c r="LAB52" s="4"/>
      <c r="LAC52" s="4"/>
      <c r="LAD52" s="4"/>
      <c r="LAE52" s="4"/>
      <c r="LAF52" s="4"/>
      <c r="LAG52" s="4"/>
      <c r="LAH52" s="4"/>
      <c r="LAI52" s="4"/>
      <c r="LAJ52" s="4"/>
      <c r="LAK52" s="4"/>
      <c r="LAL52" s="4"/>
      <c r="LAM52" s="4"/>
      <c r="LAN52" s="4"/>
      <c r="LAO52" s="4"/>
      <c r="LAP52" s="4"/>
      <c r="LAQ52" s="4"/>
      <c r="LAR52" s="4"/>
      <c r="LAS52" s="4"/>
      <c r="LAT52" s="4"/>
      <c r="LAU52" s="4"/>
      <c r="LAV52" s="4"/>
      <c r="LAW52" s="4"/>
      <c r="LAX52" s="4"/>
      <c r="LAY52" s="4"/>
      <c r="LAZ52" s="4"/>
      <c r="LBA52" s="4"/>
      <c r="LBB52" s="4"/>
      <c r="LBC52" s="4"/>
      <c r="LBD52" s="4"/>
      <c r="LBE52" s="4"/>
      <c r="LBF52" s="4"/>
      <c r="LBG52" s="4"/>
      <c r="LBH52" s="4"/>
      <c r="LBI52" s="4"/>
      <c r="LBJ52" s="4"/>
      <c r="LBK52" s="4"/>
      <c r="LBL52" s="4"/>
      <c r="LBM52" s="4"/>
      <c r="LBN52" s="4"/>
      <c r="LBO52" s="4"/>
      <c r="LBP52" s="4"/>
      <c r="LBQ52" s="4"/>
      <c r="LBR52" s="4"/>
      <c r="LBS52" s="4"/>
      <c r="LBT52" s="4"/>
      <c r="LBU52" s="4"/>
      <c r="LBV52" s="4"/>
      <c r="LBW52" s="4"/>
      <c r="LBX52" s="4"/>
      <c r="LBY52" s="4"/>
      <c r="LBZ52" s="4"/>
      <c r="LCA52" s="4"/>
      <c r="LCB52" s="4"/>
      <c r="LCC52" s="4"/>
      <c r="LCD52" s="4"/>
      <c r="LCE52" s="4"/>
      <c r="LCF52" s="4"/>
      <c r="LCG52" s="4"/>
      <c r="LCH52" s="4"/>
      <c r="LCI52" s="4"/>
      <c r="LCJ52" s="4"/>
      <c r="LCK52" s="4"/>
      <c r="LCL52" s="4"/>
      <c r="LCM52" s="4"/>
      <c r="LCN52" s="4"/>
      <c r="LCO52" s="4"/>
      <c r="LCP52" s="4"/>
      <c r="LCQ52" s="4"/>
      <c r="LCR52" s="4"/>
      <c r="LCS52" s="4"/>
      <c r="LCT52" s="4"/>
      <c r="LCU52" s="4"/>
      <c r="LCV52" s="4"/>
      <c r="LCW52" s="4"/>
      <c r="LCX52" s="4"/>
      <c r="LCY52" s="4"/>
      <c r="LCZ52" s="4"/>
      <c r="LDA52" s="4"/>
      <c r="LDB52" s="4"/>
      <c r="LDC52" s="4"/>
      <c r="LDD52" s="4"/>
      <c r="LDE52" s="4"/>
      <c r="LDF52" s="4"/>
      <c r="LDG52" s="4"/>
      <c r="LDH52" s="4"/>
      <c r="LDI52" s="4"/>
      <c r="LDJ52" s="4"/>
      <c r="LDK52" s="4"/>
      <c r="LDL52" s="4"/>
      <c r="LDM52" s="4"/>
      <c r="LDN52" s="4"/>
      <c r="LDO52" s="4"/>
      <c r="LDP52" s="4"/>
      <c r="LDQ52" s="4"/>
      <c r="LDR52" s="4"/>
      <c r="LDS52" s="4"/>
      <c r="LDT52" s="4"/>
      <c r="LDU52" s="4"/>
      <c r="LDV52" s="4"/>
      <c r="LDW52" s="4"/>
      <c r="LDX52" s="4"/>
      <c r="LDY52" s="4"/>
      <c r="LDZ52" s="4"/>
      <c r="LEA52" s="4"/>
      <c r="LEB52" s="4"/>
      <c r="LEC52" s="4"/>
      <c r="LED52" s="4"/>
      <c r="LEE52" s="4"/>
      <c r="LEF52" s="4"/>
      <c r="LEG52" s="4"/>
      <c r="LEH52" s="4"/>
      <c r="LEI52" s="4"/>
      <c r="LEJ52" s="4"/>
      <c r="LEK52" s="4"/>
      <c r="LEL52" s="4"/>
      <c r="LEM52" s="4"/>
      <c r="LEN52" s="4"/>
      <c r="LEO52" s="4"/>
      <c r="LEP52" s="4"/>
      <c r="LEQ52" s="4"/>
      <c r="LER52" s="4"/>
      <c r="LES52" s="4"/>
      <c r="LET52" s="4"/>
      <c r="LEU52" s="4"/>
      <c r="LEV52" s="4"/>
      <c r="LEW52" s="4"/>
      <c r="LEX52" s="4"/>
      <c r="LEY52" s="4"/>
      <c r="LEZ52" s="4"/>
      <c r="LFA52" s="4"/>
      <c r="LFB52" s="4"/>
      <c r="LFC52" s="4"/>
      <c r="LFD52" s="4"/>
      <c r="LFE52" s="4"/>
      <c r="LFF52" s="4"/>
      <c r="LFG52" s="4"/>
      <c r="LFH52" s="4"/>
      <c r="LFI52" s="4"/>
      <c r="LFJ52" s="4"/>
      <c r="LFK52" s="4"/>
      <c r="LFL52" s="4"/>
      <c r="LFM52" s="4"/>
      <c r="LFN52" s="4"/>
      <c r="LFO52" s="4"/>
      <c r="LFP52" s="4"/>
      <c r="LFQ52" s="4"/>
      <c r="LFR52" s="4"/>
      <c r="LFS52" s="4"/>
      <c r="LFT52" s="4"/>
      <c r="LFU52" s="4"/>
      <c r="LFV52" s="4"/>
      <c r="LFW52" s="4"/>
      <c r="LFX52" s="4"/>
      <c r="LFY52" s="4"/>
      <c r="LFZ52" s="4"/>
      <c r="LGA52" s="4"/>
      <c r="LGB52" s="4"/>
      <c r="LGC52" s="4"/>
      <c r="LGD52" s="4"/>
      <c r="LGE52" s="4"/>
      <c r="LGF52" s="4"/>
      <c r="LGG52" s="4"/>
      <c r="LGH52" s="4"/>
      <c r="LGI52" s="4"/>
      <c r="LGJ52" s="4"/>
      <c r="LGK52" s="4"/>
      <c r="LGL52" s="4"/>
      <c r="LGM52" s="4"/>
      <c r="LGN52" s="4"/>
      <c r="LGO52" s="4"/>
      <c r="LGP52" s="4"/>
      <c r="LGQ52" s="4"/>
      <c r="LGR52" s="4"/>
      <c r="LGS52" s="4"/>
      <c r="LGT52" s="4"/>
      <c r="LGU52" s="4"/>
      <c r="LGV52" s="4"/>
      <c r="LGW52" s="4"/>
      <c r="LGX52" s="4"/>
      <c r="LGY52" s="4"/>
      <c r="LGZ52" s="4"/>
      <c r="LHA52" s="4"/>
      <c r="LHB52" s="4"/>
      <c r="LHC52" s="4"/>
      <c r="LHD52" s="4"/>
      <c r="LHE52" s="4"/>
      <c r="LHF52" s="4"/>
      <c r="LHG52" s="4"/>
      <c r="LHH52" s="4"/>
      <c r="LHI52" s="4"/>
      <c r="LHJ52" s="4"/>
      <c r="LHK52" s="4"/>
      <c r="LHL52" s="4"/>
      <c r="LHM52" s="4"/>
      <c r="LHN52" s="4"/>
      <c r="LHO52" s="4"/>
      <c r="LHP52" s="4"/>
      <c r="LHQ52" s="4"/>
      <c r="LHR52" s="4"/>
      <c r="LHS52" s="4"/>
      <c r="LHT52" s="4"/>
      <c r="LHU52" s="4"/>
      <c r="LHV52" s="4"/>
      <c r="LHW52" s="4"/>
      <c r="LHX52" s="4"/>
      <c r="LHY52" s="4"/>
      <c r="LHZ52" s="4"/>
      <c r="LIA52" s="4"/>
      <c r="LIB52" s="4"/>
      <c r="LIC52" s="4"/>
      <c r="LID52" s="4"/>
      <c r="LIE52" s="4"/>
      <c r="LIF52" s="4"/>
      <c r="LIG52" s="4"/>
      <c r="LIH52" s="4"/>
      <c r="LII52" s="4"/>
      <c r="LIJ52" s="4"/>
      <c r="LIK52" s="4"/>
      <c r="LIL52" s="4"/>
      <c r="LIM52" s="4"/>
      <c r="LIN52" s="4"/>
      <c r="LIO52" s="4"/>
      <c r="LIP52" s="4"/>
      <c r="LIQ52" s="4"/>
      <c r="LIR52" s="4"/>
      <c r="LIS52" s="4"/>
      <c r="LIT52" s="4"/>
      <c r="LIU52" s="4"/>
      <c r="LIV52" s="4"/>
      <c r="LIW52" s="4"/>
      <c r="LIX52" s="4"/>
      <c r="LIY52" s="4"/>
      <c r="LIZ52" s="4"/>
      <c r="LJA52" s="4"/>
      <c r="LJB52" s="4"/>
      <c r="LJC52" s="4"/>
      <c r="LJD52" s="4"/>
      <c r="LJE52" s="4"/>
      <c r="LJF52" s="4"/>
      <c r="LJG52" s="4"/>
      <c r="LJH52" s="4"/>
      <c r="LJI52" s="4"/>
      <c r="LJJ52" s="4"/>
      <c r="LJK52" s="4"/>
      <c r="LJL52" s="4"/>
      <c r="LJM52" s="4"/>
      <c r="LJN52" s="4"/>
      <c r="LJO52" s="4"/>
      <c r="LJP52" s="4"/>
      <c r="LJQ52" s="4"/>
      <c r="LJR52" s="4"/>
      <c r="LJS52" s="4"/>
      <c r="LJT52" s="4"/>
      <c r="LJU52" s="4"/>
      <c r="LJV52" s="4"/>
      <c r="LJW52" s="4"/>
      <c r="LJX52" s="4"/>
      <c r="LJY52" s="4"/>
      <c r="LJZ52" s="4"/>
      <c r="LKA52" s="4"/>
      <c r="LKB52" s="4"/>
      <c r="LKC52" s="4"/>
      <c r="LKD52" s="4"/>
      <c r="LKE52" s="4"/>
      <c r="LKF52" s="4"/>
      <c r="LKG52" s="4"/>
      <c r="LKH52" s="4"/>
      <c r="LKI52" s="4"/>
      <c r="LKJ52" s="4"/>
      <c r="LKK52" s="4"/>
      <c r="LKL52" s="4"/>
      <c r="LKM52" s="4"/>
      <c r="LKN52" s="4"/>
      <c r="LKO52" s="4"/>
      <c r="LKP52" s="4"/>
      <c r="LKQ52" s="4"/>
      <c r="LKR52" s="4"/>
      <c r="LKS52" s="4"/>
      <c r="LKT52" s="4"/>
      <c r="LKU52" s="4"/>
      <c r="LKV52" s="4"/>
      <c r="LKW52" s="4"/>
      <c r="LKX52" s="4"/>
      <c r="LKY52" s="4"/>
      <c r="LKZ52" s="4"/>
      <c r="LLA52" s="4"/>
      <c r="LLB52" s="4"/>
      <c r="LLC52" s="4"/>
      <c r="LLD52" s="4"/>
      <c r="LLE52" s="4"/>
      <c r="LLF52" s="4"/>
      <c r="LLG52" s="4"/>
      <c r="LLH52" s="4"/>
      <c r="LLI52" s="4"/>
      <c r="LLJ52" s="4"/>
      <c r="LLK52" s="4"/>
      <c r="LLL52" s="4"/>
      <c r="LLM52" s="4"/>
      <c r="LLN52" s="4"/>
      <c r="LLO52" s="4"/>
      <c r="LLP52" s="4"/>
      <c r="LLQ52" s="4"/>
      <c r="LLR52" s="4"/>
      <c r="LLS52" s="4"/>
      <c r="LLT52" s="4"/>
      <c r="LLU52" s="4"/>
      <c r="LLV52" s="4"/>
      <c r="LLW52" s="4"/>
      <c r="LLX52" s="4"/>
      <c r="LLY52" s="4"/>
      <c r="LLZ52" s="4"/>
      <c r="LMA52" s="4"/>
      <c r="LMB52" s="4"/>
      <c r="LMC52" s="4"/>
      <c r="LMD52" s="4"/>
      <c r="LME52" s="4"/>
      <c r="LMF52" s="4"/>
      <c r="LMG52" s="4"/>
      <c r="LMH52" s="4"/>
      <c r="LMI52" s="4"/>
      <c r="LMJ52" s="4"/>
      <c r="LMK52" s="4"/>
      <c r="LML52" s="4"/>
      <c r="LMM52" s="4"/>
      <c r="LMN52" s="4"/>
      <c r="LMO52" s="4"/>
      <c r="LMP52" s="4"/>
      <c r="LMQ52" s="4"/>
      <c r="LMR52" s="4"/>
      <c r="LMS52" s="4"/>
      <c r="LMT52" s="4"/>
      <c r="LMU52" s="4"/>
      <c r="LMV52" s="4"/>
      <c r="LMW52" s="4"/>
      <c r="LMX52" s="4"/>
      <c r="LMY52" s="4"/>
      <c r="LMZ52" s="4"/>
      <c r="LNA52" s="4"/>
      <c r="LNB52" s="4"/>
      <c r="LNC52" s="4"/>
      <c r="LND52" s="4"/>
      <c r="LNE52" s="4"/>
      <c r="LNF52" s="4"/>
      <c r="LNG52" s="4"/>
      <c r="LNH52" s="4"/>
      <c r="LNI52" s="4"/>
      <c r="LNJ52" s="4"/>
      <c r="LNK52" s="4"/>
      <c r="LNL52" s="4"/>
      <c r="LNM52" s="4"/>
      <c r="LNN52" s="4"/>
      <c r="LNO52" s="4"/>
      <c r="LNP52" s="4"/>
      <c r="LNQ52" s="4"/>
      <c r="LNR52" s="4"/>
      <c r="LNS52" s="4"/>
      <c r="LNT52" s="4"/>
      <c r="LNU52" s="4"/>
      <c r="LNV52" s="4"/>
      <c r="LNW52" s="4"/>
      <c r="LNX52" s="4"/>
      <c r="LNY52" s="4"/>
      <c r="LNZ52" s="4"/>
      <c r="LOA52" s="4"/>
      <c r="LOB52" s="4"/>
      <c r="LOC52" s="4"/>
      <c r="LOD52" s="4"/>
      <c r="LOE52" s="4"/>
      <c r="LOF52" s="4"/>
      <c r="LOG52" s="4"/>
      <c r="LOH52" s="4"/>
      <c r="LOI52" s="4"/>
      <c r="LOJ52" s="4"/>
      <c r="LOK52" s="4"/>
      <c r="LOL52" s="4"/>
      <c r="LOM52" s="4"/>
      <c r="LON52" s="4"/>
      <c r="LOO52" s="4"/>
      <c r="LOP52" s="4"/>
      <c r="LOQ52" s="4"/>
      <c r="LOR52" s="4"/>
      <c r="LOS52" s="4"/>
      <c r="LOT52" s="4"/>
      <c r="LOU52" s="4"/>
      <c r="LOV52" s="4"/>
      <c r="LOW52" s="4"/>
      <c r="LOX52" s="4"/>
      <c r="LOY52" s="4"/>
      <c r="LOZ52" s="4"/>
      <c r="LPA52" s="4"/>
      <c r="LPB52" s="4"/>
      <c r="LPC52" s="4"/>
      <c r="LPD52" s="4"/>
      <c r="LPE52" s="4"/>
      <c r="LPF52" s="4"/>
      <c r="LPG52" s="4"/>
      <c r="LPH52" s="4"/>
      <c r="LPI52" s="4"/>
      <c r="LPJ52" s="4"/>
      <c r="LPK52" s="4"/>
      <c r="LPL52" s="4"/>
      <c r="LPM52" s="4"/>
      <c r="LPN52" s="4"/>
      <c r="LPO52" s="4"/>
      <c r="LPP52" s="4"/>
      <c r="LPQ52" s="4"/>
      <c r="LPR52" s="4"/>
      <c r="LPS52" s="4"/>
      <c r="LPT52" s="4"/>
      <c r="LPU52" s="4"/>
      <c r="LPV52" s="4"/>
      <c r="LPW52" s="4"/>
      <c r="LPX52" s="4"/>
      <c r="LPY52" s="4"/>
      <c r="LPZ52" s="4"/>
      <c r="LQA52" s="4"/>
      <c r="LQB52" s="4"/>
      <c r="LQC52" s="4"/>
      <c r="LQD52" s="4"/>
      <c r="LQE52" s="4"/>
      <c r="LQF52" s="4"/>
      <c r="LQG52" s="4"/>
      <c r="LQH52" s="4"/>
      <c r="LQI52" s="4"/>
      <c r="LQJ52" s="4"/>
      <c r="LQK52" s="4"/>
      <c r="LQL52" s="4"/>
      <c r="LQM52" s="4"/>
      <c r="LQN52" s="4"/>
      <c r="LQO52" s="4"/>
      <c r="LQP52" s="4"/>
      <c r="LQQ52" s="4"/>
      <c r="LQR52" s="4"/>
      <c r="LQS52" s="4"/>
      <c r="LQT52" s="4"/>
      <c r="LQU52" s="4"/>
      <c r="LQV52" s="4"/>
      <c r="LQW52" s="4"/>
      <c r="LQX52" s="4"/>
      <c r="LQY52" s="4"/>
      <c r="LQZ52" s="4"/>
      <c r="LRA52" s="4"/>
      <c r="LRB52" s="4"/>
      <c r="LRC52" s="4"/>
      <c r="LRD52" s="4"/>
      <c r="LRE52" s="4"/>
      <c r="LRF52" s="4"/>
      <c r="LRG52" s="4"/>
      <c r="LRH52" s="4"/>
      <c r="LRI52" s="4"/>
      <c r="LRJ52" s="4"/>
      <c r="LRK52" s="4"/>
      <c r="LRL52" s="4"/>
      <c r="LRM52" s="4"/>
      <c r="LRN52" s="4"/>
      <c r="LRO52" s="4"/>
      <c r="LRP52" s="4"/>
      <c r="LRQ52" s="4"/>
      <c r="LRR52" s="4"/>
      <c r="LRS52" s="4"/>
      <c r="LRT52" s="4"/>
      <c r="LRU52" s="4"/>
      <c r="LRV52" s="4"/>
      <c r="LRW52" s="4"/>
      <c r="LRX52" s="4"/>
      <c r="LRY52" s="4"/>
      <c r="LRZ52" s="4"/>
      <c r="LSA52" s="4"/>
      <c r="LSB52" s="4"/>
      <c r="LSC52" s="4"/>
      <c r="LSD52" s="4"/>
      <c r="LSE52" s="4"/>
      <c r="LSF52" s="4"/>
      <c r="LSG52" s="4"/>
      <c r="LSH52" s="4"/>
      <c r="LSI52" s="4"/>
      <c r="LSJ52" s="4"/>
      <c r="LSK52" s="4"/>
      <c r="LSL52" s="4"/>
      <c r="LSM52" s="4"/>
      <c r="LSN52" s="4"/>
      <c r="LSO52" s="4"/>
      <c r="LSP52" s="4"/>
      <c r="LSQ52" s="4"/>
      <c r="LSR52" s="4"/>
      <c r="LSS52" s="4"/>
      <c r="LST52" s="4"/>
      <c r="LSU52" s="4"/>
      <c r="LSV52" s="4"/>
      <c r="LSW52" s="4"/>
      <c r="LSX52" s="4"/>
      <c r="LSY52" s="4"/>
      <c r="LSZ52" s="4"/>
      <c r="LTA52" s="4"/>
      <c r="LTB52" s="4"/>
      <c r="LTC52" s="4"/>
      <c r="LTD52" s="4"/>
      <c r="LTE52" s="4"/>
      <c r="LTF52" s="4"/>
      <c r="LTG52" s="4"/>
      <c r="LTH52" s="4"/>
      <c r="LTI52" s="4"/>
      <c r="LTJ52" s="4"/>
      <c r="LTK52" s="4"/>
      <c r="LTL52" s="4"/>
      <c r="LTM52" s="4"/>
      <c r="LTN52" s="4"/>
      <c r="LTO52" s="4"/>
      <c r="LTP52" s="4"/>
      <c r="LTQ52" s="4"/>
      <c r="LTR52" s="4"/>
      <c r="LTS52" s="4"/>
      <c r="LTT52" s="4"/>
      <c r="LTU52" s="4"/>
      <c r="LTV52" s="4"/>
      <c r="LTW52" s="4"/>
      <c r="LTX52" s="4"/>
      <c r="LTY52" s="4"/>
      <c r="LTZ52" s="4"/>
      <c r="LUA52" s="4"/>
      <c r="LUB52" s="4"/>
      <c r="LUC52" s="4"/>
      <c r="LUD52" s="4"/>
      <c r="LUE52" s="4"/>
      <c r="LUF52" s="4"/>
      <c r="LUG52" s="4"/>
      <c r="LUH52" s="4"/>
      <c r="LUI52" s="4"/>
      <c r="LUJ52" s="4"/>
      <c r="LUK52" s="4"/>
      <c r="LUL52" s="4"/>
      <c r="LUM52" s="4"/>
      <c r="LUN52" s="4"/>
      <c r="LUO52" s="4"/>
      <c r="LUP52" s="4"/>
      <c r="LUQ52" s="4"/>
      <c r="LUR52" s="4"/>
      <c r="LUS52" s="4"/>
      <c r="LUT52" s="4"/>
      <c r="LUU52" s="4"/>
      <c r="LUV52" s="4"/>
      <c r="LUW52" s="4"/>
      <c r="LUX52" s="4"/>
      <c r="LUY52" s="4"/>
      <c r="LUZ52" s="4"/>
      <c r="LVA52" s="4"/>
      <c r="LVB52" s="4"/>
      <c r="LVC52" s="4"/>
      <c r="LVD52" s="4"/>
      <c r="LVE52" s="4"/>
      <c r="LVF52" s="4"/>
      <c r="LVG52" s="4"/>
      <c r="LVH52" s="4"/>
      <c r="LVI52" s="4"/>
      <c r="LVJ52" s="4"/>
      <c r="LVK52" s="4"/>
      <c r="LVL52" s="4"/>
      <c r="LVM52" s="4"/>
      <c r="LVN52" s="4"/>
      <c r="LVO52" s="4"/>
      <c r="LVP52" s="4"/>
      <c r="LVQ52" s="4"/>
      <c r="LVR52" s="4"/>
      <c r="LVS52" s="4"/>
      <c r="LVT52" s="4"/>
      <c r="LVU52" s="4"/>
      <c r="LVV52" s="4"/>
      <c r="LVW52" s="4"/>
      <c r="LVX52" s="4"/>
      <c r="LVY52" s="4"/>
      <c r="LVZ52" s="4"/>
      <c r="LWA52" s="4"/>
      <c r="LWB52" s="4"/>
      <c r="LWC52" s="4"/>
      <c r="LWD52" s="4"/>
      <c r="LWE52" s="4"/>
      <c r="LWF52" s="4"/>
      <c r="LWG52" s="4"/>
      <c r="LWH52" s="4"/>
      <c r="LWI52" s="4"/>
      <c r="LWJ52" s="4"/>
      <c r="LWK52" s="4"/>
      <c r="LWL52" s="4"/>
      <c r="LWM52" s="4"/>
      <c r="LWN52" s="4"/>
      <c r="LWO52" s="4"/>
      <c r="LWP52" s="4"/>
      <c r="LWQ52" s="4"/>
      <c r="LWR52" s="4"/>
      <c r="LWS52" s="4"/>
      <c r="LWT52" s="4"/>
      <c r="LWU52" s="4"/>
      <c r="LWV52" s="4"/>
      <c r="LWW52" s="4"/>
      <c r="LWX52" s="4"/>
      <c r="LWY52" s="4"/>
      <c r="LWZ52" s="4"/>
      <c r="LXA52" s="4"/>
      <c r="LXB52" s="4"/>
      <c r="LXC52" s="4"/>
      <c r="LXD52" s="4"/>
      <c r="LXE52" s="4"/>
      <c r="LXF52" s="4"/>
      <c r="LXG52" s="4"/>
      <c r="LXH52" s="4"/>
      <c r="LXI52" s="4"/>
      <c r="LXJ52" s="4"/>
      <c r="LXK52" s="4"/>
      <c r="LXL52" s="4"/>
      <c r="LXM52" s="4"/>
      <c r="LXN52" s="4"/>
      <c r="LXO52" s="4"/>
      <c r="LXP52" s="4"/>
      <c r="LXQ52" s="4"/>
      <c r="LXR52" s="4"/>
      <c r="LXS52" s="4"/>
      <c r="LXT52" s="4"/>
      <c r="LXU52" s="4"/>
      <c r="LXV52" s="4"/>
      <c r="LXW52" s="4"/>
      <c r="LXX52" s="4"/>
      <c r="LXY52" s="4"/>
      <c r="LXZ52" s="4"/>
      <c r="LYA52" s="4"/>
      <c r="LYB52" s="4"/>
      <c r="LYC52" s="4"/>
      <c r="LYD52" s="4"/>
      <c r="LYE52" s="4"/>
      <c r="LYF52" s="4"/>
      <c r="LYG52" s="4"/>
      <c r="LYH52" s="4"/>
      <c r="LYI52" s="4"/>
      <c r="LYJ52" s="4"/>
      <c r="LYK52" s="4"/>
      <c r="LYL52" s="4"/>
      <c r="LYM52" s="4"/>
      <c r="LYN52" s="4"/>
      <c r="LYO52" s="4"/>
      <c r="LYP52" s="4"/>
      <c r="LYQ52" s="4"/>
      <c r="LYR52" s="4"/>
      <c r="LYS52" s="4"/>
      <c r="LYT52" s="4"/>
      <c r="LYU52" s="4"/>
      <c r="LYV52" s="4"/>
      <c r="LYW52" s="4"/>
      <c r="LYX52" s="4"/>
      <c r="LYY52" s="4"/>
      <c r="LYZ52" s="4"/>
      <c r="LZA52" s="4"/>
      <c r="LZB52" s="4"/>
      <c r="LZC52" s="4"/>
      <c r="LZD52" s="4"/>
      <c r="LZE52" s="4"/>
      <c r="LZF52" s="4"/>
      <c r="LZG52" s="4"/>
      <c r="LZH52" s="4"/>
      <c r="LZI52" s="4"/>
      <c r="LZJ52" s="4"/>
      <c r="LZK52" s="4"/>
      <c r="LZL52" s="4"/>
      <c r="LZM52" s="4"/>
      <c r="LZN52" s="4"/>
      <c r="LZO52" s="4"/>
      <c r="LZP52" s="4"/>
      <c r="LZQ52" s="4"/>
      <c r="LZR52" s="4"/>
      <c r="LZS52" s="4"/>
      <c r="LZT52" s="4"/>
      <c r="LZU52" s="4"/>
      <c r="LZV52" s="4"/>
      <c r="LZW52" s="4"/>
      <c r="LZX52" s="4"/>
      <c r="LZY52" s="4"/>
      <c r="LZZ52" s="4"/>
      <c r="MAA52" s="4"/>
      <c r="MAB52" s="4"/>
      <c r="MAC52" s="4"/>
      <c r="MAD52" s="4"/>
      <c r="MAE52" s="4"/>
      <c r="MAF52" s="4"/>
      <c r="MAG52" s="4"/>
      <c r="MAH52" s="4"/>
      <c r="MAI52" s="4"/>
      <c r="MAJ52" s="4"/>
      <c r="MAK52" s="4"/>
      <c r="MAL52" s="4"/>
      <c r="MAM52" s="4"/>
      <c r="MAN52" s="4"/>
      <c r="MAO52" s="4"/>
      <c r="MAP52" s="4"/>
      <c r="MAQ52" s="4"/>
      <c r="MAR52" s="4"/>
      <c r="MAS52" s="4"/>
      <c r="MAT52" s="4"/>
      <c r="MAU52" s="4"/>
      <c r="MAV52" s="4"/>
      <c r="MAW52" s="4"/>
      <c r="MAX52" s="4"/>
      <c r="MAY52" s="4"/>
      <c r="MAZ52" s="4"/>
      <c r="MBA52" s="4"/>
      <c r="MBB52" s="4"/>
      <c r="MBC52" s="4"/>
      <c r="MBD52" s="4"/>
      <c r="MBE52" s="4"/>
      <c r="MBF52" s="4"/>
      <c r="MBG52" s="4"/>
      <c r="MBH52" s="4"/>
      <c r="MBI52" s="4"/>
      <c r="MBJ52" s="4"/>
      <c r="MBK52" s="4"/>
      <c r="MBL52" s="4"/>
      <c r="MBM52" s="4"/>
      <c r="MBN52" s="4"/>
      <c r="MBO52" s="4"/>
      <c r="MBP52" s="4"/>
      <c r="MBQ52" s="4"/>
      <c r="MBR52" s="4"/>
      <c r="MBS52" s="4"/>
      <c r="MBT52" s="4"/>
      <c r="MBU52" s="4"/>
      <c r="MBV52" s="4"/>
      <c r="MBW52" s="4"/>
      <c r="MBX52" s="4"/>
      <c r="MBY52" s="4"/>
      <c r="MBZ52" s="4"/>
      <c r="MCA52" s="4"/>
      <c r="MCB52" s="4"/>
      <c r="MCC52" s="4"/>
      <c r="MCD52" s="4"/>
      <c r="MCE52" s="4"/>
      <c r="MCF52" s="4"/>
      <c r="MCG52" s="4"/>
      <c r="MCH52" s="4"/>
      <c r="MCI52" s="4"/>
      <c r="MCJ52" s="4"/>
      <c r="MCK52" s="4"/>
      <c r="MCL52" s="4"/>
      <c r="MCM52" s="4"/>
      <c r="MCN52" s="4"/>
      <c r="MCO52" s="4"/>
      <c r="MCP52" s="4"/>
      <c r="MCQ52" s="4"/>
      <c r="MCR52" s="4"/>
      <c r="MCS52" s="4"/>
      <c r="MCT52" s="4"/>
      <c r="MCU52" s="4"/>
      <c r="MCV52" s="4"/>
      <c r="MCW52" s="4"/>
      <c r="MCX52" s="4"/>
      <c r="MCY52" s="4"/>
      <c r="MCZ52" s="4"/>
      <c r="MDA52" s="4"/>
      <c r="MDB52" s="4"/>
      <c r="MDC52" s="4"/>
      <c r="MDD52" s="4"/>
      <c r="MDE52" s="4"/>
      <c r="MDF52" s="4"/>
      <c r="MDG52" s="4"/>
      <c r="MDH52" s="4"/>
      <c r="MDI52" s="4"/>
      <c r="MDJ52" s="4"/>
      <c r="MDK52" s="4"/>
      <c r="MDL52" s="4"/>
      <c r="MDM52" s="4"/>
      <c r="MDN52" s="4"/>
      <c r="MDO52" s="4"/>
      <c r="MDP52" s="4"/>
      <c r="MDQ52" s="4"/>
      <c r="MDR52" s="4"/>
      <c r="MDS52" s="4"/>
      <c r="MDT52" s="4"/>
      <c r="MDU52" s="4"/>
      <c r="MDV52" s="4"/>
      <c r="MDW52" s="4"/>
      <c r="MDX52" s="4"/>
      <c r="MDY52" s="4"/>
      <c r="MDZ52" s="4"/>
      <c r="MEA52" s="4"/>
      <c r="MEB52" s="4"/>
      <c r="MEC52" s="4"/>
      <c r="MED52" s="4"/>
      <c r="MEE52" s="4"/>
      <c r="MEF52" s="4"/>
      <c r="MEG52" s="4"/>
      <c r="MEH52" s="4"/>
      <c r="MEI52" s="4"/>
      <c r="MEJ52" s="4"/>
      <c r="MEK52" s="4"/>
      <c r="MEL52" s="4"/>
      <c r="MEM52" s="4"/>
      <c r="MEN52" s="4"/>
      <c r="MEO52" s="4"/>
      <c r="MEP52" s="4"/>
      <c r="MEQ52" s="4"/>
      <c r="MER52" s="4"/>
      <c r="MES52" s="4"/>
      <c r="MET52" s="4"/>
      <c r="MEU52" s="4"/>
      <c r="MEV52" s="4"/>
      <c r="MEW52" s="4"/>
      <c r="MEX52" s="4"/>
      <c r="MEY52" s="4"/>
      <c r="MEZ52" s="4"/>
      <c r="MFA52" s="4"/>
      <c r="MFB52" s="4"/>
      <c r="MFC52" s="4"/>
      <c r="MFD52" s="4"/>
      <c r="MFE52" s="4"/>
      <c r="MFF52" s="4"/>
      <c r="MFG52" s="4"/>
      <c r="MFH52" s="4"/>
      <c r="MFI52" s="4"/>
      <c r="MFJ52" s="4"/>
      <c r="MFK52" s="4"/>
      <c r="MFL52" s="4"/>
      <c r="MFM52" s="4"/>
      <c r="MFN52" s="4"/>
      <c r="MFO52" s="4"/>
      <c r="MFP52" s="4"/>
      <c r="MFQ52" s="4"/>
      <c r="MFR52" s="4"/>
      <c r="MFS52" s="4"/>
      <c r="MFT52" s="4"/>
      <c r="MFU52" s="4"/>
      <c r="MFV52" s="4"/>
      <c r="MFW52" s="4"/>
      <c r="MFX52" s="4"/>
      <c r="MFY52" s="4"/>
      <c r="MFZ52" s="4"/>
      <c r="MGA52" s="4"/>
      <c r="MGB52" s="4"/>
      <c r="MGC52" s="4"/>
      <c r="MGD52" s="4"/>
      <c r="MGE52" s="4"/>
      <c r="MGF52" s="4"/>
      <c r="MGG52" s="4"/>
      <c r="MGH52" s="4"/>
      <c r="MGI52" s="4"/>
      <c r="MGJ52" s="4"/>
      <c r="MGK52" s="4"/>
      <c r="MGL52" s="4"/>
      <c r="MGM52" s="4"/>
      <c r="MGN52" s="4"/>
      <c r="MGO52" s="4"/>
      <c r="MGP52" s="4"/>
      <c r="MGQ52" s="4"/>
      <c r="MGR52" s="4"/>
      <c r="MGS52" s="4"/>
      <c r="MGT52" s="4"/>
      <c r="MGU52" s="4"/>
      <c r="MGV52" s="4"/>
      <c r="MGW52" s="4"/>
      <c r="MGX52" s="4"/>
      <c r="MGY52" s="4"/>
      <c r="MGZ52" s="4"/>
      <c r="MHA52" s="4"/>
      <c r="MHB52" s="4"/>
      <c r="MHC52" s="4"/>
      <c r="MHD52" s="4"/>
      <c r="MHE52" s="4"/>
      <c r="MHF52" s="4"/>
      <c r="MHG52" s="4"/>
      <c r="MHH52" s="4"/>
      <c r="MHI52" s="4"/>
      <c r="MHJ52" s="4"/>
      <c r="MHK52" s="4"/>
      <c r="MHL52" s="4"/>
      <c r="MHM52" s="4"/>
      <c r="MHN52" s="4"/>
      <c r="MHO52" s="4"/>
      <c r="MHP52" s="4"/>
      <c r="MHQ52" s="4"/>
      <c r="MHR52" s="4"/>
      <c r="MHS52" s="4"/>
      <c r="MHT52" s="4"/>
      <c r="MHU52" s="4"/>
      <c r="MHV52" s="4"/>
      <c r="MHW52" s="4"/>
      <c r="MHX52" s="4"/>
      <c r="MHY52" s="4"/>
      <c r="MHZ52" s="4"/>
      <c r="MIA52" s="4"/>
      <c r="MIB52" s="4"/>
      <c r="MIC52" s="4"/>
      <c r="MID52" s="4"/>
      <c r="MIE52" s="4"/>
      <c r="MIF52" s="4"/>
      <c r="MIG52" s="4"/>
      <c r="MIH52" s="4"/>
      <c r="MII52" s="4"/>
      <c r="MIJ52" s="4"/>
      <c r="MIK52" s="4"/>
      <c r="MIL52" s="4"/>
      <c r="MIM52" s="4"/>
      <c r="MIN52" s="4"/>
      <c r="MIO52" s="4"/>
      <c r="MIP52" s="4"/>
      <c r="MIQ52" s="4"/>
      <c r="MIR52" s="4"/>
      <c r="MIS52" s="4"/>
      <c r="MIT52" s="4"/>
      <c r="MIU52" s="4"/>
      <c r="MIV52" s="4"/>
      <c r="MIW52" s="4"/>
      <c r="MIX52" s="4"/>
      <c r="MIY52" s="4"/>
      <c r="MIZ52" s="4"/>
      <c r="MJA52" s="4"/>
      <c r="MJB52" s="4"/>
      <c r="MJC52" s="4"/>
      <c r="MJD52" s="4"/>
      <c r="MJE52" s="4"/>
      <c r="MJF52" s="4"/>
      <c r="MJG52" s="4"/>
      <c r="MJH52" s="4"/>
      <c r="MJI52" s="4"/>
      <c r="MJJ52" s="4"/>
      <c r="MJK52" s="4"/>
      <c r="MJL52" s="4"/>
      <c r="MJM52" s="4"/>
      <c r="MJN52" s="4"/>
      <c r="MJO52" s="4"/>
      <c r="MJP52" s="4"/>
      <c r="MJQ52" s="4"/>
      <c r="MJR52" s="4"/>
      <c r="MJS52" s="4"/>
      <c r="MJT52" s="4"/>
      <c r="MJU52" s="4"/>
      <c r="MJV52" s="4"/>
      <c r="MJW52" s="4"/>
      <c r="MJX52" s="4"/>
      <c r="MJY52" s="4"/>
      <c r="MJZ52" s="4"/>
      <c r="MKA52" s="4"/>
      <c r="MKB52" s="4"/>
      <c r="MKC52" s="4"/>
      <c r="MKD52" s="4"/>
      <c r="MKE52" s="4"/>
      <c r="MKF52" s="4"/>
      <c r="MKG52" s="4"/>
      <c r="MKH52" s="4"/>
      <c r="MKI52" s="4"/>
      <c r="MKJ52" s="4"/>
      <c r="MKK52" s="4"/>
      <c r="MKL52" s="4"/>
      <c r="MKM52" s="4"/>
      <c r="MKN52" s="4"/>
      <c r="MKO52" s="4"/>
      <c r="MKP52" s="4"/>
      <c r="MKQ52" s="4"/>
      <c r="MKR52" s="4"/>
      <c r="MKS52" s="4"/>
      <c r="MKT52" s="4"/>
      <c r="MKU52" s="4"/>
      <c r="MKV52" s="4"/>
      <c r="MKW52" s="4"/>
      <c r="MKX52" s="4"/>
      <c r="MKY52" s="4"/>
      <c r="MKZ52" s="4"/>
      <c r="MLA52" s="4"/>
      <c r="MLB52" s="4"/>
      <c r="MLC52" s="4"/>
      <c r="MLD52" s="4"/>
      <c r="MLE52" s="4"/>
      <c r="MLF52" s="4"/>
      <c r="MLG52" s="4"/>
      <c r="MLH52" s="4"/>
      <c r="MLI52" s="4"/>
      <c r="MLJ52" s="4"/>
      <c r="MLK52" s="4"/>
      <c r="MLL52" s="4"/>
      <c r="MLM52" s="4"/>
      <c r="MLN52" s="4"/>
      <c r="MLO52" s="4"/>
      <c r="MLP52" s="4"/>
      <c r="MLQ52" s="4"/>
      <c r="MLR52" s="4"/>
      <c r="MLS52" s="4"/>
      <c r="MLT52" s="4"/>
      <c r="MLU52" s="4"/>
      <c r="MLV52" s="4"/>
      <c r="MLW52" s="4"/>
      <c r="MLX52" s="4"/>
      <c r="MLY52" s="4"/>
      <c r="MLZ52" s="4"/>
      <c r="MMA52" s="4"/>
      <c r="MMB52" s="4"/>
      <c r="MMC52" s="4"/>
      <c r="MMD52" s="4"/>
      <c r="MME52" s="4"/>
      <c r="MMF52" s="4"/>
      <c r="MMG52" s="4"/>
      <c r="MMH52" s="4"/>
      <c r="MMI52" s="4"/>
      <c r="MMJ52" s="4"/>
      <c r="MMK52" s="4"/>
      <c r="MML52" s="4"/>
      <c r="MMM52" s="4"/>
      <c r="MMN52" s="4"/>
      <c r="MMO52" s="4"/>
      <c r="MMP52" s="4"/>
      <c r="MMQ52" s="4"/>
      <c r="MMR52" s="4"/>
      <c r="MMS52" s="4"/>
      <c r="MMT52" s="4"/>
      <c r="MMU52" s="4"/>
      <c r="MMV52" s="4"/>
      <c r="MMW52" s="4"/>
      <c r="MMX52" s="4"/>
      <c r="MMY52" s="4"/>
      <c r="MMZ52" s="4"/>
      <c r="MNA52" s="4"/>
      <c r="MNB52" s="4"/>
      <c r="MNC52" s="4"/>
      <c r="MND52" s="4"/>
      <c r="MNE52" s="4"/>
      <c r="MNF52" s="4"/>
      <c r="MNG52" s="4"/>
      <c r="MNH52" s="4"/>
      <c r="MNI52" s="4"/>
      <c r="MNJ52" s="4"/>
      <c r="MNK52" s="4"/>
      <c r="MNL52" s="4"/>
      <c r="MNM52" s="4"/>
      <c r="MNN52" s="4"/>
      <c r="MNO52" s="4"/>
      <c r="MNP52" s="4"/>
      <c r="MNQ52" s="4"/>
      <c r="MNR52" s="4"/>
      <c r="MNS52" s="4"/>
      <c r="MNT52" s="4"/>
      <c r="MNU52" s="4"/>
      <c r="MNV52" s="4"/>
      <c r="MNW52" s="4"/>
      <c r="MNX52" s="4"/>
      <c r="MNY52" s="4"/>
      <c r="MNZ52" s="4"/>
      <c r="MOA52" s="4"/>
      <c r="MOB52" s="4"/>
      <c r="MOC52" s="4"/>
      <c r="MOD52" s="4"/>
      <c r="MOE52" s="4"/>
      <c r="MOF52" s="4"/>
      <c r="MOG52" s="4"/>
      <c r="MOH52" s="4"/>
      <c r="MOI52" s="4"/>
      <c r="MOJ52" s="4"/>
      <c r="MOK52" s="4"/>
      <c r="MOL52" s="4"/>
      <c r="MOM52" s="4"/>
      <c r="MON52" s="4"/>
      <c r="MOO52" s="4"/>
      <c r="MOP52" s="4"/>
      <c r="MOQ52" s="4"/>
      <c r="MOR52" s="4"/>
      <c r="MOS52" s="4"/>
      <c r="MOT52" s="4"/>
      <c r="MOU52" s="4"/>
      <c r="MOV52" s="4"/>
      <c r="MOW52" s="4"/>
      <c r="MOX52" s="4"/>
      <c r="MOY52" s="4"/>
      <c r="MOZ52" s="4"/>
      <c r="MPA52" s="4"/>
      <c r="MPB52" s="4"/>
      <c r="MPC52" s="4"/>
      <c r="MPD52" s="4"/>
      <c r="MPE52" s="4"/>
      <c r="MPF52" s="4"/>
      <c r="MPG52" s="4"/>
      <c r="MPH52" s="4"/>
      <c r="MPI52" s="4"/>
      <c r="MPJ52" s="4"/>
      <c r="MPK52" s="4"/>
      <c r="MPL52" s="4"/>
      <c r="MPM52" s="4"/>
      <c r="MPN52" s="4"/>
      <c r="MPO52" s="4"/>
      <c r="MPP52" s="4"/>
      <c r="MPQ52" s="4"/>
      <c r="MPR52" s="4"/>
      <c r="MPS52" s="4"/>
      <c r="MPT52" s="4"/>
      <c r="MPU52" s="4"/>
      <c r="MPV52" s="4"/>
      <c r="MPW52" s="4"/>
      <c r="MPX52" s="4"/>
      <c r="MPY52" s="4"/>
      <c r="MPZ52" s="4"/>
      <c r="MQA52" s="4"/>
      <c r="MQB52" s="4"/>
      <c r="MQC52" s="4"/>
      <c r="MQD52" s="4"/>
      <c r="MQE52" s="4"/>
      <c r="MQF52" s="4"/>
      <c r="MQG52" s="4"/>
      <c r="MQH52" s="4"/>
      <c r="MQI52" s="4"/>
      <c r="MQJ52" s="4"/>
      <c r="MQK52" s="4"/>
      <c r="MQL52" s="4"/>
      <c r="MQM52" s="4"/>
      <c r="MQN52" s="4"/>
      <c r="MQO52" s="4"/>
      <c r="MQP52" s="4"/>
      <c r="MQQ52" s="4"/>
      <c r="MQR52" s="4"/>
      <c r="MQS52" s="4"/>
      <c r="MQT52" s="4"/>
      <c r="MQU52" s="4"/>
      <c r="MQV52" s="4"/>
      <c r="MQW52" s="4"/>
      <c r="MQX52" s="4"/>
      <c r="MQY52" s="4"/>
      <c r="MQZ52" s="4"/>
      <c r="MRA52" s="4"/>
      <c r="MRB52" s="4"/>
      <c r="MRC52" s="4"/>
      <c r="MRD52" s="4"/>
      <c r="MRE52" s="4"/>
      <c r="MRF52" s="4"/>
      <c r="MRG52" s="4"/>
      <c r="MRH52" s="4"/>
      <c r="MRI52" s="4"/>
      <c r="MRJ52" s="4"/>
      <c r="MRK52" s="4"/>
      <c r="MRL52" s="4"/>
      <c r="MRM52" s="4"/>
      <c r="MRN52" s="4"/>
      <c r="MRO52" s="4"/>
      <c r="MRP52" s="4"/>
      <c r="MRQ52" s="4"/>
      <c r="MRR52" s="4"/>
      <c r="MRS52" s="4"/>
      <c r="MRT52" s="4"/>
      <c r="MRU52" s="4"/>
      <c r="MRV52" s="4"/>
      <c r="MRW52" s="4"/>
      <c r="MRX52" s="4"/>
      <c r="MRY52" s="4"/>
      <c r="MRZ52" s="4"/>
      <c r="MSA52" s="4"/>
      <c r="MSB52" s="4"/>
      <c r="MSC52" s="4"/>
      <c r="MSD52" s="4"/>
      <c r="MSE52" s="4"/>
      <c r="MSF52" s="4"/>
      <c r="MSG52" s="4"/>
      <c r="MSH52" s="4"/>
      <c r="MSI52" s="4"/>
      <c r="MSJ52" s="4"/>
      <c r="MSK52" s="4"/>
      <c r="MSL52" s="4"/>
      <c r="MSM52" s="4"/>
      <c r="MSN52" s="4"/>
      <c r="MSO52" s="4"/>
      <c r="MSP52" s="4"/>
      <c r="MSQ52" s="4"/>
      <c r="MSR52" s="4"/>
      <c r="MSS52" s="4"/>
      <c r="MST52" s="4"/>
      <c r="MSU52" s="4"/>
      <c r="MSV52" s="4"/>
      <c r="MSW52" s="4"/>
      <c r="MSX52" s="4"/>
      <c r="MSY52" s="4"/>
      <c r="MSZ52" s="4"/>
      <c r="MTA52" s="4"/>
      <c r="MTB52" s="4"/>
      <c r="MTC52" s="4"/>
      <c r="MTD52" s="4"/>
      <c r="MTE52" s="4"/>
      <c r="MTF52" s="4"/>
      <c r="MTG52" s="4"/>
      <c r="MTH52" s="4"/>
      <c r="MTI52" s="4"/>
      <c r="MTJ52" s="4"/>
      <c r="MTK52" s="4"/>
      <c r="MTL52" s="4"/>
      <c r="MTM52" s="4"/>
      <c r="MTN52" s="4"/>
      <c r="MTO52" s="4"/>
      <c r="MTP52" s="4"/>
      <c r="MTQ52" s="4"/>
      <c r="MTR52" s="4"/>
      <c r="MTS52" s="4"/>
      <c r="MTT52" s="4"/>
      <c r="MTU52" s="4"/>
      <c r="MTV52" s="4"/>
      <c r="MTW52" s="4"/>
      <c r="MTX52" s="4"/>
      <c r="MTY52" s="4"/>
      <c r="MTZ52" s="4"/>
      <c r="MUA52" s="4"/>
      <c r="MUB52" s="4"/>
      <c r="MUC52" s="4"/>
      <c r="MUD52" s="4"/>
      <c r="MUE52" s="4"/>
      <c r="MUF52" s="4"/>
      <c r="MUG52" s="4"/>
      <c r="MUH52" s="4"/>
      <c r="MUI52" s="4"/>
      <c r="MUJ52" s="4"/>
      <c r="MUK52" s="4"/>
      <c r="MUL52" s="4"/>
      <c r="MUM52" s="4"/>
      <c r="MUN52" s="4"/>
      <c r="MUO52" s="4"/>
      <c r="MUP52" s="4"/>
      <c r="MUQ52" s="4"/>
      <c r="MUR52" s="4"/>
      <c r="MUS52" s="4"/>
      <c r="MUT52" s="4"/>
      <c r="MUU52" s="4"/>
      <c r="MUV52" s="4"/>
      <c r="MUW52" s="4"/>
      <c r="MUX52" s="4"/>
      <c r="MUY52" s="4"/>
      <c r="MUZ52" s="4"/>
      <c r="MVA52" s="4"/>
      <c r="MVB52" s="4"/>
      <c r="MVC52" s="4"/>
      <c r="MVD52" s="4"/>
      <c r="MVE52" s="4"/>
      <c r="MVF52" s="4"/>
      <c r="MVG52" s="4"/>
      <c r="MVH52" s="4"/>
      <c r="MVI52" s="4"/>
      <c r="MVJ52" s="4"/>
      <c r="MVK52" s="4"/>
      <c r="MVL52" s="4"/>
      <c r="MVM52" s="4"/>
      <c r="MVN52" s="4"/>
      <c r="MVO52" s="4"/>
      <c r="MVP52" s="4"/>
      <c r="MVQ52" s="4"/>
      <c r="MVR52" s="4"/>
      <c r="MVS52" s="4"/>
      <c r="MVT52" s="4"/>
      <c r="MVU52" s="4"/>
      <c r="MVV52" s="4"/>
      <c r="MVW52" s="4"/>
      <c r="MVX52" s="4"/>
      <c r="MVY52" s="4"/>
      <c r="MVZ52" s="4"/>
      <c r="MWA52" s="4"/>
      <c r="MWB52" s="4"/>
      <c r="MWC52" s="4"/>
      <c r="MWD52" s="4"/>
      <c r="MWE52" s="4"/>
      <c r="MWF52" s="4"/>
      <c r="MWG52" s="4"/>
      <c r="MWH52" s="4"/>
      <c r="MWI52" s="4"/>
      <c r="MWJ52" s="4"/>
      <c r="MWK52" s="4"/>
      <c r="MWL52" s="4"/>
      <c r="MWM52" s="4"/>
      <c r="MWN52" s="4"/>
      <c r="MWO52" s="4"/>
      <c r="MWP52" s="4"/>
      <c r="MWQ52" s="4"/>
      <c r="MWR52" s="4"/>
      <c r="MWS52" s="4"/>
      <c r="MWT52" s="4"/>
      <c r="MWU52" s="4"/>
      <c r="MWV52" s="4"/>
      <c r="MWW52" s="4"/>
      <c r="MWX52" s="4"/>
      <c r="MWY52" s="4"/>
      <c r="MWZ52" s="4"/>
      <c r="MXA52" s="4"/>
      <c r="MXB52" s="4"/>
      <c r="MXC52" s="4"/>
      <c r="MXD52" s="4"/>
      <c r="MXE52" s="4"/>
      <c r="MXF52" s="4"/>
      <c r="MXG52" s="4"/>
      <c r="MXH52" s="4"/>
      <c r="MXI52" s="4"/>
      <c r="MXJ52" s="4"/>
      <c r="MXK52" s="4"/>
      <c r="MXL52" s="4"/>
      <c r="MXM52" s="4"/>
      <c r="MXN52" s="4"/>
      <c r="MXO52" s="4"/>
      <c r="MXP52" s="4"/>
      <c r="MXQ52" s="4"/>
      <c r="MXR52" s="4"/>
      <c r="MXS52" s="4"/>
      <c r="MXT52" s="4"/>
      <c r="MXU52" s="4"/>
      <c r="MXV52" s="4"/>
      <c r="MXW52" s="4"/>
      <c r="MXX52" s="4"/>
      <c r="MXY52" s="4"/>
      <c r="MXZ52" s="4"/>
      <c r="MYA52" s="4"/>
      <c r="MYB52" s="4"/>
      <c r="MYC52" s="4"/>
      <c r="MYD52" s="4"/>
      <c r="MYE52" s="4"/>
      <c r="MYF52" s="4"/>
      <c r="MYG52" s="4"/>
      <c r="MYH52" s="4"/>
      <c r="MYI52" s="4"/>
      <c r="MYJ52" s="4"/>
      <c r="MYK52" s="4"/>
      <c r="MYL52" s="4"/>
      <c r="MYM52" s="4"/>
      <c r="MYN52" s="4"/>
      <c r="MYO52" s="4"/>
      <c r="MYP52" s="4"/>
      <c r="MYQ52" s="4"/>
      <c r="MYR52" s="4"/>
      <c r="MYS52" s="4"/>
      <c r="MYT52" s="4"/>
      <c r="MYU52" s="4"/>
      <c r="MYV52" s="4"/>
      <c r="MYW52" s="4"/>
      <c r="MYX52" s="4"/>
      <c r="MYY52" s="4"/>
      <c r="MYZ52" s="4"/>
      <c r="MZA52" s="4"/>
      <c r="MZB52" s="4"/>
      <c r="MZC52" s="4"/>
      <c r="MZD52" s="4"/>
      <c r="MZE52" s="4"/>
      <c r="MZF52" s="4"/>
      <c r="MZG52" s="4"/>
      <c r="MZH52" s="4"/>
      <c r="MZI52" s="4"/>
      <c r="MZJ52" s="4"/>
      <c r="MZK52" s="4"/>
      <c r="MZL52" s="4"/>
      <c r="MZM52" s="4"/>
      <c r="MZN52" s="4"/>
      <c r="MZO52" s="4"/>
      <c r="MZP52" s="4"/>
      <c r="MZQ52" s="4"/>
      <c r="MZR52" s="4"/>
      <c r="MZS52" s="4"/>
      <c r="MZT52" s="4"/>
      <c r="MZU52" s="4"/>
      <c r="MZV52" s="4"/>
      <c r="MZW52" s="4"/>
      <c r="MZX52" s="4"/>
      <c r="MZY52" s="4"/>
      <c r="MZZ52" s="4"/>
      <c r="NAA52" s="4"/>
      <c r="NAB52" s="4"/>
      <c r="NAC52" s="4"/>
      <c r="NAD52" s="4"/>
      <c r="NAE52" s="4"/>
      <c r="NAF52" s="4"/>
      <c r="NAG52" s="4"/>
      <c r="NAH52" s="4"/>
      <c r="NAI52" s="4"/>
      <c r="NAJ52" s="4"/>
      <c r="NAK52" s="4"/>
      <c r="NAL52" s="4"/>
      <c r="NAM52" s="4"/>
      <c r="NAN52" s="4"/>
      <c r="NAO52" s="4"/>
      <c r="NAP52" s="4"/>
      <c r="NAQ52" s="4"/>
      <c r="NAR52" s="4"/>
      <c r="NAS52" s="4"/>
      <c r="NAT52" s="4"/>
      <c r="NAU52" s="4"/>
      <c r="NAV52" s="4"/>
      <c r="NAW52" s="4"/>
      <c r="NAX52" s="4"/>
      <c r="NAY52" s="4"/>
      <c r="NAZ52" s="4"/>
      <c r="NBA52" s="4"/>
      <c r="NBB52" s="4"/>
      <c r="NBC52" s="4"/>
      <c r="NBD52" s="4"/>
      <c r="NBE52" s="4"/>
      <c r="NBF52" s="4"/>
      <c r="NBG52" s="4"/>
      <c r="NBH52" s="4"/>
      <c r="NBI52" s="4"/>
      <c r="NBJ52" s="4"/>
      <c r="NBK52" s="4"/>
      <c r="NBL52" s="4"/>
      <c r="NBM52" s="4"/>
      <c r="NBN52" s="4"/>
      <c r="NBO52" s="4"/>
      <c r="NBP52" s="4"/>
      <c r="NBQ52" s="4"/>
      <c r="NBR52" s="4"/>
      <c r="NBS52" s="4"/>
      <c r="NBT52" s="4"/>
      <c r="NBU52" s="4"/>
      <c r="NBV52" s="4"/>
      <c r="NBW52" s="4"/>
      <c r="NBX52" s="4"/>
      <c r="NBY52" s="4"/>
      <c r="NBZ52" s="4"/>
      <c r="NCA52" s="4"/>
      <c r="NCB52" s="4"/>
      <c r="NCC52" s="4"/>
      <c r="NCD52" s="4"/>
      <c r="NCE52" s="4"/>
      <c r="NCF52" s="4"/>
      <c r="NCG52" s="4"/>
      <c r="NCH52" s="4"/>
      <c r="NCI52" s="4"/>
      <c r="NCJ52" s="4"/>
      <c r="NCK52" s="4"/>
      <c r="NCL52" s="4"/>
      <c r="NCM52" s="4"/>
      <c r="NCN52" s="4"/>
      <c r="NCO52" s="4"/>
      <c r="NCP52" s="4"/>
      <c r="NCQ52" s="4"/>
      <c r="NCR52" s="4"/>
      <c r="NCS52" s="4"/>
      <c r="NCT52" s="4"/>
      <c r="NCU52" s="4"/>
      <c r="NCV52" s="4"/>
      <c r="NCW52" s="4"/>
      <c r="NCX52" s="4"/>
      <c r="NCY52" s="4"/>
      <c r="NCZ52" s="4"/>
      <c r="NDA52" s="4"/>
      <c r="NDB52" s="4"/>
      <c r="NDC52" s="4"/>
      <c r="NDD52" s="4"/>
      <c r="NDE52" s="4"/>
      <c r="NDF52" s="4"/>
      <c r="NDG52" s="4"/>
      <c r="NDH52" s="4"/>
      <c r="NDI52" s="4"/>
      <c r="NDJ52" s="4"/>
      <c r="NDK52" s="4"/>
      <c r="NDL52" s="4"/>
      <c r="NDM52" s="4"/>
      <c r="NDN52" s="4"/>
      <c r="NDO52" s="4"/>
      <c r="NDP52" s="4"/>
      <c r="NDQ52" s="4"/>
      <c r="NDR52" s="4"/>
      <c r="NDS52" s="4"/>
      <c r="NDT52" s="4"/>
      <c r="NDU52" s="4"/>
      <c r="NDV52" s="4"/>
      <c r="NDW52" s="4"/>
      <c r="NDX52" s="4"/>
      <c r="NDY52" s="4"/>
      <c r="NDZ52" s="4"/>
      <c r="NEA52" s="4"/>
      <c r="NEB52" s="4"/>
      <c r="NEC52" s="4"/>
      <c r="NED52" s="4"/>
      <c r="NEE52" s="4"/>
      <c r="NEF52" s="4"/>
      <c r="NEG52" s="4"/>
      <c r="NEH52" s="4"/>
      <c r="NEI52" s="4"/>
      <c r="NEJ52" s="4"/>
      <c r="NEK52" s="4"/>
      <c r="NEL52" s="4"/>
      <c r="NEM52" s="4"/>
      <c r="NEN52" s="4"/>
      <c r="NEO52" s="4"/>
      <c r="NEP52" s="4"/>
      <c r="NEQ52" s="4"/>
      <c r="NER52" s="4"/>
      <c r="NES52" s="4"/>
      <c r="NET52" s="4"/>
      <c r="NEU52" s="4"/>
      <c r="NEV52" s="4"/>
      <c r="NEW52" s="4"/>
      <c r="NEX52" s="4"/>
      <c r="NEY52" s="4"/>
      <c r="NEZ52" s="4"/>
      <c r="NFA52" s="4"/>
      <c r="NFB52" s="4"/>
      <c r="NFC52" s="4"/>
      <c r="NFD52" s="4"/>
      <c r="NFE52" s="4"/>
      <c r="NFF52" s="4"/>
      <c r="NFG52" s="4"/>
      <c r="NFH52" s="4"/>
      <c r="NFI52" s="4"/>
      <c r="NFJ52" s="4"/>
      <c r="NFK52" s="4"/>
      <c r="NFL52" s="4"/>
      <c r="NFM52" s="4"/>
      <c r="NFN52" s="4"/>
      <c r="NFO52" s="4"/>
      <c r="NFP52" s="4"/>
      <c r="NFQ52" s="4"/>
      <c r="NFR52" s="4"/>
      <c r="NFS52" s="4"/>
      <c r="NFT52" s="4"/>
      <c r="NFU52" s="4"/>
      <c r="NFV52" s="4"/>
      <c r="NFW52" s="4"/>
      <c r="NFX52" s="4"/>
      <c r="NFY52" s="4"/>
      <c r="NFZ52" s="4"/>
      <c r="NGA52" s="4"/>
      <c r="NGB52" s="4"/>
      <c r="NGC52" s="4"/>
      <c r="NGD52" s="4"/>
      <c r="NGE52" s="4"/>
      <c r="NGF52" s="4"/>
      <c r="NGG52" s="4"/>
      <c r="NGH52" s="4"/>
      <c r="NGI52" s="4"/>
      <c r="NGJ52" s="4"/>
      <c r="NGK52" s="4"/>
      <c r="NGL52" s="4"/>
      <c r="NGM52" s="4"/>
      <c r="NGN52" s="4"/>
      <c r="NGO52" s="4"/>
      <c r="NGP52" s="4"/>
      <c r="NGQ52" s="4"/>
      <c r="NGR52" s="4"/>
      <c r="NGS52" s="4"/>
      <c r="NGT52" s="4"/>
      <c r="NGU52" s="4"/>
      <c r="NGV52" s="4"/>
      <c r="NGW52" s="4"/>
      <c r="NGX52" s="4"/>
      <c r="NGY52" s="4"/>
      <c r="NGZ52" s="4"/>
      <c r="NHA52" s="4"/>
      <c r="NHB52" s="4"/>
      <c r="NHC52" s="4"/>
      <c r="NHD52" s="4"/>
      <c r="NHE52" s="4"/>
      <c r="NHF52" s="4"/>
      <c r="NHG52" s="4"/>
      <c r="NHH52" s="4"/>
      <c r="NHI52" s="4"/>
      <c r="NHJ52" s="4"/>
      <c r="NHK52" s="4"/>
      <c r="NHL52" s="4"/>
      <c r="NHM52" s="4"/>
      <c r="NHN52" s="4"/>
      <c r="NHO52" s="4"/>
      <c r="NHP52" s="4"/>
      <c r="NHQ52" s="4"/>
      <c r="NHR52" s="4"/>
      <c r="NHS52" s="4"/>
      <c r="NHT52" s="4"/>
      <c r="NHU52" s="4"/>
      <c r="NHV52" s="4"/>
      <c r="NHW52" s="4"/>
      <c r="NHX52" s="4"/>
      <c r="NHY52" s="4"/>
      <c r="NHZ52" s="4"/>
      <c r="NIA52" s="4"/>
      <c r="NIB52" s="4"/>
      <c r="NIC52" s="4"/>
      <c r="NID52" s="4"/>
      <c r="NIE52" s="4"/>
      <c r="NIF52" s="4"/>
      <c r="NIG52" s="4"/>
      <c r="NIH52" s="4"/>
      <c r="NII52" s="4"/>
      <c r="NIJ52" s="4"/>
      <c r="NIK52" s="4"/>
      <c r="NIL52" s="4"/>
      <c r="NIM52" s="4"/>
      <c r="NIN52" s="4"/>
      <c r="NIO52" s="4"/>
      <c r="NIP52" s="4"/>
      <c r="NIQ52" s="4"/>
      <c r="NIR52" s="4"/>
      <c r="NIS52" s="4"/>
      <c r="NIT52" s="4"/>
      <c r="NIU52" s="4"/>
      <c r="NIV52" s="4"/>
      <c r="NIW52" s="4"/>
      <c r="NIX52" s="4"/>
      <c r="NIY52" s="4"/>
      <c r="NIZ52" s="4"/>
      <c r="NJA52" s="4"/>
      <c r="NJB52" s="4"/>
      <c r="NJC52" s="4"/>
      <c r="NJD52" s="4"/>
      <c r="NJE52" s="4"/>
      <c r="NJF52" s="4"/>
      <c r="NJG52" s="4"/>
      <c r="NJH52" s="4"/>
      <c r="NJI52" s="4"/>
      <c r="NJJ52" s="4"/>
      <c r="NJK52" s="4"/>
      <c r="NJL52" s="4"/>
      <c r="NJM52" s="4"/>
      <c r="NJN52" s="4"/>
      <c r="NJO52" s="4"/>
      <c r="NJP52" s="4"/>
      <c r="NJQ52" s="4"/>
      <c r="NJR52" s="4"/>
      <c r="NJS52" s="4"/>
      <c r="NJT52" s="4"/>
      <c r="NJU52" s="4"/>
      <c r="NJV52" s="4"/>
      <c r="NJW52" s="4"/>
      <c r="NJX52" s="4"/>
      <c r="NJY52" s="4"/>
      <c r="NJZ52" s="4"/>
      <c r="NKA52" s="4"/>
      <c r="NKB52" s="4"/>
      <c r="NKC52" s="4"/>
      <c r="NKD52" s="4"/>
      <c r="NKE52" s="4"/>
      <c r="NKF52" s="4"/>
      <c r="NKG52" s="4"/>
      <c r="NKH52" s="4"/>
      <c r="NKI52" s="4"/>
      <c r="NKJ52" s="4"/>
      <c r="NKK52" s="4"/>
      <c r="NKL52" s="4"/>
      <c r="NKM52" s="4"/>
      <c r="NKN52" s="4"/>
      <c r="NKO52" s="4"/>
      <c r="NKP52" s="4"/>
      <c r="NKQ52" s="4"/>
      <c r="NKR52" s="4"/>
      <c r="NKS52" s="4"/>
      <c r="NKT52" s="4"/>
      <c r="NKU52" s="4"/>
      <c r="NKV52" s="4"/>
      <c r="NKW52" s="4"/>
      <c r="NKX52" s="4"/>
      <c r="NKY52" s="4"/>
      <c r="NKZ52" s="4"/>
      <c r="NLA52" s="4"/>
      <c r="NLB52" s="4"/>
      <c r="NLC52" s="4"/>
      <c r="NLD52" s="4"/>
      <c r="NLE52" s="4"/>
      <c r="NLF52" s="4"/>
      <c r="NLG52" s="4"/>
      <c r="NLH52" s="4"/>
      <c r="NLI52" s="4"/>
      <c r="NLJ52" s="4"/>
      <c r="NLK52" s="4"/>
      <c r="NLL52" s="4"/>
      <c r="NLM52" s="4"/>
      <c r="NLN52" s="4"/>
      <c r="NLO52" s="4"/>
      <c r="NLP52" s="4"/>
      <c r="NLQ52" s="4"/>
      <c r="NLR52" s="4"/>
      <c r="NLS52" s="4"/>
      <c r="NLT52" s="4"/>
      <c r="NLU52" s="4"/>
      <c r="NLV52" s="4"/>
      <c r="NLW52" s="4"/>
      <c r="NLX52" s="4"/>
      <c r="NLY52" s="4"/>
      <c r="NLZ52" s="4"/>
      <c r="NMA52" s="4"/>
      <c r="NMB52" s="4"/>
      <c r="NMC52" s="4"/>
      <c r="NMD52" s="4"/>
      <c r="NME52" s="4"/>
      <c r="NMF52" s="4"/>
      <c r="NMG52" s="4"/>
      <c r="NMH52" s="4"/>
      <c r="NMI52" s="4"/>
      <c r="NMJ52" s="4"/>
      <c r="NMK52" s="4"/>
      <c r="NML52" s="4"/>
      <c r="NMM52" s="4"/>
      <c r="NMN52" s="4"/>
      <c r="NMO52" s="4"/>
      <c r="NMP52" s="4"/>
      <c r="NMQ52" s="4"/>
      <c r="NMR52" s="4"/>
      <c r="NMS52" s="4"/>
      <c r="NMT52" s="4"/>
      <c r="NMU52" s="4"/>
      <c r="NMV52" s="4"/>
      <c r="NMW52" s="4"/>
      <c r="NMX52" s="4"/>
      <c r="NMY52" s="4"/>
      <c r="NMZ52" s="4"/>
      <c r="NNA52" s="4"/>
      <c r="NNB52" s="4"/>
      <c r="NNC52" s="4"/>
      <c r="NND52" s="4"/>
      <c r="NNE52" s="4"/>
      <c r="NNF52" s="4"/>
      <c r="NNG52" s="4"/>
      <c r="NNH52" s="4"/>
      <c r="NNI52" s="4"/>
      <c r="NNJ52" s="4"/>
      <c r="NNK52" s="4"/>
      <c r="NNL52" s="4"/>
      <c r="NNM52" s="4"/>
      <c r="NNN52" s="4"/>
      <c r="NNO52" s="4"/>
      <c r="NNP52" s="4"/>
      <c r="NNQ52" s="4"/>
      <c r="NNR52" s="4"/>
      <c r="NNS52" s="4"/>
      <c r="NNT52" s="4"/>
      <c r="NNU52" s="4"/>
      <c r="NNV52" s="4"/>
      <c r="NNW52" s="4"/>
      <c r="NNX52" s="4"/>
      <c r="NNY52" s="4"/>
      <c r="NNZ52" s="4"/>
      <c r="NOA52" s="4"/>
      <c r="NOB52" s="4"/>
      <c r="NOC52" s="4"/>
      <c r="NOD52" s="4"/>
      <c r="NOE52" s="4"/>
      <c r="NOF52" s="4"/>
      <c r="NOG52" s="4"/>
      <c r="NOH52" s="4"/>
      <c r="NOI52" s="4"/>
      <c r="NOJ52" s="4"/>
      <c r="NOK52" s="4"/>
      <c r="NOL52" s="4"/>
      <c r="NOM52" s="4"/>
      <c r="NON52" s="4"/>
      <c r="NOO52" s="4"/>
      <c r="NOP52" s="4"/>
      <c r="NOQ52" s="4"/>
      <c r="NOR52" s="4"/>
      <c r="NOS52" s="4"/>
      <c r="NOT52" s="4"/>
      <c r="NOU52" s="4"/>
      <c r="NOV52" s="4"/>
      <c r="NOW52" s="4"/>
      <c r="NOX52" s="4"/>
      <c r="NOY52" s="4"/>
      <c r="NOZ52" s="4"/>
      <c r="NPA52" s="4"/>
      <c r="NPB52" s="4"/>
      <c r="NPC52" s="4"/>
      <c r="NPD52" s="4"/>
      <c r="NPE52" s="4"/>
      <c r="NPF52" s="4"/>
      <c r="NPG52" s="4"/>
      <c r="NPH52" s="4"/>
      <c r="NPI52" s="4"/>
      <c r="NPJ52" s="4"/>
      <c r="NPK52" s="4"/>
      <c r="NPL52" s="4"/>
      <c r="NPM52" s="4"/>
      <c r="NPN52" s="4"/>
      <c r="NPO52" s="4"/>
      <c r="NPP52" s="4"/>
      <c r="NPQ52" s="4"/>
      <c r="NPR52" s="4"/>
      <c r="NPS52" s="4"/>
      <c r="NPT52" s="4"/>
      <c r="NPU52" s="4"/>
      <c r="NPV52" s="4"/>
      <c r="NPW52" s="4"/>
      <c r="NPX52" s="4"/>
      <c r="NPY52" s="4"/>
      <c r="NPZ52" s="4"/>
      <c r="NQA52" s="4"/>
      <c r="NQB52" s="4"/>
      <c r="NQC52" s="4"/>
      <c r="NQD52" s="4"/>
      <c r="NQE52" s="4"/>
      <c r="NQF52" s="4"/>
      <c r="NQG52" s="4"/>
      <c r="NQH52" s="4"/>
      <c r="NQI52" s="4"/>
      <c r="NQJ52" s="4"/>
      <c r="NQK52" s="4"/>
      <c r="NQL52" s="4"/>
      <c r="NQM52" s="4"/>
      <c r="NQN52" s="4"/>
      <c r="NQO52" s="4"/>
      <c r="NQP52" s="4"/>
      <c r="NQQ52" s="4"/>
      <c r="NQR52" s="4"/>
      <c r="NQS52" s="4"/>
      <c r="NQT52" s="4"/>
      <c r="NQU52" s="4"/>
      <c r="NQV52" s="4"/>
      <c r="NQW52" s="4"/>
      <c r="NQX52" s="4"/>
      <c r="NQY52" s="4"/>
      <c r="NQZ52" s="4"/>
      <c r="NRA52" s="4"/>
      <c r="NRB52" s="4"/>
      <c r="NRC52" s="4"/>
      <c r="NRD52" s="4"/>
      <c r="NRE52" s="4"/>
      <c r="NRF52" s="4"/>
      <c r="NRG52" s="4"/>
      <c r="NRH52" s="4"/>
      <c r="NRI52" s="4"/>
      <c r="NRJ52" s="4"/>
      <c r="NRK52" s="4"/>
      <c r="NRL52" s="4"/>
      <c r="NRM52" s="4"/>
      <c r="NRN52" s="4"/>
      <c r="NRO52" s="4"/>
      <c r="NRP52" s="4"/>
      <c r="NRQ52" s="4"/>
      <c r="NRR52" s="4"/>
      <c r="NRS52" s="4"/>
      <c r="NRT52" s="4"/>
      <c r="NRU52" s="4"/>
      <c r="NRV52" s="4"/>
      <c r="NRW52" s="4"/>
      <c r="NRX52" s="4"/>
      <c r="NRY52" s="4"/>
      <c r="NRZ52" s="4"/>
      <c r="NSA52" s="4"/>
      <c r="NSB52" s="4"/>
      <c r="NSC52" s="4"/>
      <c r="NSD52" s="4"/>
      <c r="NSE52" s="4"/>
      <c r="NSF52" s="4"/>
      <c r="NSG52" s="4"/>
      <c r="NSH52" s="4"/>
      <c r="NSI52" s="4"/>
      <c r="NSJ52" s="4"/>
      <c r="NSK52" s="4"/>
      <c r="NSL52" s="4"/>
      <c r="NSM52" s="4"/>
      <c r="NSN52" s="4"/>
      <c r="NSO52" s="4"/>
      <c r="NSP52" s="4"/>
      <c r="NSQ52" s="4"/>
      <c r="NSR52" s="4"/>
      <c r="NSS52" s="4"/>
      <c r="NST52" s="4"/>
      <c r="NSU52" s="4"/>
      <c r="NSV52" s="4"/>
      <c r="NSW52" s="4"/>
      <c r="NSX52" s="4"/>
      <c r="NSY52" s="4"/>
      <c r="NSZ52" s="4"/>
      <c r="NTA52" s="4"/>
      <c r="NTB52" s="4"/>
      <c r="NTC52" s="4"/>
      <c r="NTD52" s="4"/>
      <c r="NTE52" s="4"/>
      <c r="NTF52" s="4"/>
      <c r="NTG52" s="4"/>
      <c r="NTH52" s="4"/>
      <c r="NTI52" s="4"/>
      <c r="NTJ52" s="4"/>
      <c r="NTK52" s="4"/>
      <c r="NTL52" s="4"/>
      <c r="NTM52" s="4"/>
      <c r="NTN52" s="4"/>
      <c r="NTO52" s="4"/>
      <c r="NTP52" s="4"/>
      <c r="NTQ52" s="4"/>
      <c r="NTR52" s="4"/>
      <c r="NTS52" s="4"/>
      <c r="NTT52" s="4"/>
      <c r="NTU52" s="4"/>
      <c r="NTV52" s="4"/>
      <c r="NTW52" s="4"/>
      <c r="NTX52" s="4"/>
      <c r="NTY52" s="4"/>
      <c r="NTZ52" s="4"/>
      <c r="NUA52" s="4"/>
      <c r="NUB52" s="4"/>
      <c r="NUC52" s="4"/>
      <c r="NUD52" s="4"/>
      <c r="NUE52" s="4"/>
      <c r="NUF52" s="4"/>
      <c r="NUG52" s="4"/>
      <c r="NUH52" s="4"/>
      <c r="NUI52" s="4"/>
      <c r="NUJ52" s="4"/>
      <c r="NUK52" s="4"/>
      <c r="NUL52" s="4"/>
      <c r="NUM52" s="4"/>
      <c r="NUN52" s="4"/>
      <c r="NUO52" s="4"/>
      <c r="NUP52" s="4"/>
      <c r="NUQ52" s="4"/>
      <c r="NUR52" s="4"/>
      <c r="NUS52" s="4"/>
      <c r="NUT52" s="4"/>
      <c r="NUU52" s="4"/>
      <c r="NUV52" s="4"/>
      <c r="NUW52" s="4"/>
      <c r="NUX52" s="4"/>
      <c r="NUY52" s="4"/>
      <c r="NUZ52" s="4"/>
      <c r="NVA52" s="4"/>
      <c r="NVB52" s="4"/>
      <c r="NVC52" s="4"/>
      <c r="NVD52" s="4"/>
      <c r="NVE52" s="4"/>
      <c r="NVF52" s="4"/>
      <c r="NVG52" s="4"/>
      <c r="NVH52" s="4"/>
      <c r="NVI52" s="4"/>
      <c r="NVJ52" s="4"/>
      <c r="NVK52" s="4"/>
      <c r="NVL52" s="4"/>
      <c r="NVM52" s="4"/>
      <c r="NVN52" s="4"/>
      <c r="NVO52" s="4"/>
      <c r="NVP52" s="4"/>
      <c r="NVQ52" s="4"/>
      <c r="NVR52" s="4"/>
      <c r="NVS52" s="4"/>
      <c r="NVT52" s="4"/>
      <c r="NVU52" s="4"/>
      <c r="NVV52" s="4"/>
      <c r="NVW52" s="4"/>
      <c r="NVX52" s="4"/>
      <c r="NVY52" s="4"/>
      <c r="NVZ52" s="4"/>
      <c r="NWA52" s="4"/>
      <c r="NWB52" s="4"/>
      <c r="NWC52" s="4"/>
      <c r="NWD52" s="4"/>
      <c r="NWE52" s="4"/>
      <c r="NWF52" s="4"/>
      <c r="NWG52" s="4"/>
      <c r="NWH52" s="4"/>
      <c r="NWI52" s="4"/>
      <c r="NWJ52" s="4"/>
      <c r="NWK52" s="4"/>
      <c r="NWL52" s="4"/>
      <c r="NWM52" s="4"/>
      <c r="NWN52" s="4"/>
      <c r="NWO52" s="4"/>
      <c r="NWP52" s="4"/>
      <c r="NWQ52" s="4"/>
      <c r="NWR52" s="4"/>
      <c r="NWS52" s="4"/>
      <c r="NWT52" s="4"/>
      <c r="NWU52" s="4"/>
      <c r="NWV52" s="4"/>
      <c r="NWW52" s="4"/>
      <c r="NWX52" s="4"/>
      <c r="NWY52" s="4"/>
      <c r="NWZ52" s="4"/>
      <c r="NXA52" s="4"/>
      <c r="NXB52" s="4"/>
      <c r="NXC52" s="4"/>
      <c r="NXD52" s="4"/>
      <c r="NXE52" s="4"/>
      <c r="NXF52" s="4"/>
      <c r="NXG52" s="4"/>
      <c r="NXH52" s="4"/>
      <c r="NXI52" s="4"/>
      <c r="NXJ52" s="4"/>
      <c r="NXK52" s="4"/>
      <c r="NXL52" s="4"/>
      <c r="NXM52" s="4"/>
      <c r="NXN52" s="4"/>
      <c r="NXO52" s="4"/>
      <c r="NXP52" s="4"/>
      <c r="NXQ52" s="4"/>
      <c r="NXR52" s="4"/>
      <c r="NXS52" s="4"/>
      <c r="NXT52" s="4"/>
      <c r="NXU52" s="4"/>
      <c r="NXV52" s="4"/>
      <c r="NXW52" s="4"/>
      <c r="NXX52" s="4"/>
      <c r="NXY52" s="4"/>
      <c r="NXZ52" s="4"/>
      <c r="NYA52" s="4"/>
      <c r="NYB52" s="4"/>
      <c r="NYC52" s="4"/>
      <c r="NYD52" s="4"/>
      <c r="NYE52" s="4"/>
      <c r="NYF52" s="4"/>
      <c r="NYG52" s="4"/>
      <c r="NYH52" s="4"/>
      <c r="NYI52" s="4"/>
      <c r="NYJ52" s="4"/>
      <c r="NYK52" s="4"/>
      <c r="NYL52" s="4"/>
      <c r="NYM52" s="4"/>
      <c r="NYN52" s="4"/>
      <c r="NYO52" s="4"/>
      <c r="NYP52" s="4"/>
      <c r="NYQ52" s="4"/>
      <c r="NYR52" s="4"/>
      <c r="NYS52" s="4"/>
      <c r="NYT52" s="4"/>
      <c r="NYU52" s="4"/>
      <c r="NYV52" s="4"/>
      <c r="NYW52" s="4"/>
      <c r="NYX52" s="4"/>
      <c r="NYY52" s="4"/>
      <c r="NYZ52" s="4"/>
      <c r="NZA52" s="4"/>
      <c r="NZB52" s="4"/>
      <c r="NZC52" s="4"/>
      <c r="NZD52" s="4"/>
      <c r="NZE52" s="4"/>
      <c r="NZF52" s="4"/>
      <c r="NZG52" s="4"/>
      <c r="NZH52" s="4"/>
      <c r="NZI52" s="4"/>
      <c r="NZJ52" s="4"/>
      <c r="NZK52" s="4"/>
      <c r="NZL52" s="4"/>
      <c r="NZM52" s="4"/>
      <c r="NZN52" s="4"/>
      <c r="NZO52" s="4"/>
      <c r="NZP52" s="4"/>
      <c r="NZQ52" s="4"/>
      <c r="NZR52" s="4"/>
      <c r="NZS52" s="4"/>
      <c r="NZT52" s="4"/>
      <c r="NZU52" s="4"/>
      <c r="NZV52" s="4"/>
      <c r="NZW52" s="4"/>
      <c r="NZX52" s="4"/>
      <c r="NZY52" s="4"/>
      <c r="NZZ52" s="4"/>
      <c r="OAA52" s="4"/>
      <c r="OAB52" s="4"/>
      <c r="OAC52" s="4"/>
      <c r="OAD52" s="4"/>
      <c r="OAE52" s="4"/>
      <c r="OAF52" s="4"/>
      <c r="OAG52" s="4"/>
      <c r="OAH52" s="4"/>
      <c r="OAI52" s="4"/>
      <c r="OAJ52" s="4"/>
      <c r="OAK52" s="4"/>
      <c r="OAL52" s="4"/>
      <c r="OAM52" s="4"/>
      <c r="OAN52" s="4"/>
      <c r="OAO52" s="4"/>
      <c r="OAP52" s="4"/>
      <c r="OAQ52" s="4"/>
      <c r="OAR52" s="4"/>
      <c r="OAS52" s="4"/>
      <c r="OAT52" s="4"/>
      <c r="OAU52" s="4"/>
      <c r="OAV52" s="4"/>
      <c r="OAW52" s="4"/>
      <c r="OAX52" s="4"/>
      <c r="OAY52" s="4"/>
      <c r="OAZ52" s="4"/>
      <c r="OBA52" s="4"/>
      <c r="OBB52" s="4"/>
      <c r="OBC52" s="4"/>
      <c r="OBD52" s="4"/>
      <c r="OBE52" s="4"/>
      <c r="OBF52" s="4"/>
      <c r="OBG52" s="4"/>
      <c r="OBH52" s="4"/>
      <c r="OBI52" s="4"/>
      <c r="OBJ52" s="4"/>
      <c r="OBK52" s="4"/>
      <c r="OBL52" s="4"/>
      <c r="OBM52" s="4"/>
      <c r="OBN52" s="4"/>
      <c r="OBO52" s="4"/>
      <c r="OBP52" s="4"/>
      <c r="OBQ52" s="4"/>
      <c r="OBR52" s="4"/>
      <c r="OBS52" s="4"/>
      <c r="OBT52" s="4"/>
      <c r="OBU52" s="4"/>
      <c r="OBV52" s="4"/>
      <c r="OBW52" s="4"/>
      <c r="OBX52" s="4"/>
      <c r="OBY52" s="4"/>
      <c r="OBZ52" s="4"/>
      <c r="OCA52" s="4"/>
      <c r="OCB52" s="4"/>
      <c r="OCC52" s="4"/>
      <c r="OCD52" s="4"/>
      <c r="OCE52" s="4"/>
      <c r="OCF52" s="4"/>
      <c r="OCG52" s="4"/>
      <c r="OCH52" s="4"/>
      <c r="OCI52" s="4"/>
      <c r="OCJ52" s="4"/>
      <c r="OCK52" s="4"/>
      <c r="OCL52" s="4"/>
      <c r="OCM52" s="4"/>
      <c r="OCN52" s="4"/>
      <c r="OCO52" s="4"/>
      <c r="OCP52" s="4"/>
      <c r="OCQ52" s="4"/>
      <c r="OCR52" s="4"/>
      <c r="OCS52" s="4"/>
      <c r="OCT52" s="4"/>
      <c r="OCU52" s="4"/>
      <c r="OCV52" s="4"/>
      <c r="OCW52" s="4"/>
      <c r="OCX52" s="4"/>
      <c r="OCY52" s="4"/>
      <c r="OCZ52" s="4"/>
      <c r="ODA52" s="4"/>
      <c r="ODB52" s="4"/>
      <c r="ODC52" s="4"/>
      <c r="ODD52" s="4"/>
      <c r="ODE52" s="4"/>
      <c r="ODF52" s="4"/>
      <c r="ODG52" s="4"/>
      <c r="ODH52" s="4"/>
      <c r="ODI52" s="4"/>
      <c r="ODJ52" s="4"/>
      <c r="ODK52" s="4"/>
      <c r="ODL52" s="4"/>
      <c r="ODM52" s="4"/>
      <c r="ODN52" s="4"/>
      <c r="ODO52" s="4"/>
      <c r="ODP52" s="4"/>
      <c r="ODQ52" s="4"/>
      <c r="ODR52" s="4"/>
      <c r="ODS52" s="4"/>
      <c r="ODT52" s="4"/>
      <c r="ODU52" s="4"/>
      <c r="ODV52" s="4"/>
      <c r="ODW52" s="4"/>
      <c r="ODX52" s="4"/>
      <c r="ODY52" s="4"/>
      <c r="ODZ52" s="4"/>
      <c r="OEA52" s="4"/>
      <c r="OEB52" s="4"/>
      <c r="OEC52" s="4"/>
      <c r="OED52" s="4"/>
      <c r="OEE52" s="4"/>
      <c r="OEF52" s="4"/>
      <c r="OEG52" s="4"/>
      <c r="OEH52" s="4"/>
      <c r="OEI52" s="4"/>
      <c r="OEJ52" s="4"/>
      <c r="OEK52" s="4"/>
      <c r="OEL52" s="4"/>
      <c r="OEM52" s="4"/>
      <c r="OEN52" s="4"/>
      <c r="OEO52" s="4"/>
      <c r="OEP52" s="4"/>
      <c r="OEQ52" s="4"/>
      <c r="OER52" s="4"/>
      <c r="OES52" s="4"/>
      <c r="OET52" s="4"/>
      <c r="OEU52" s="4"/>
      <c r="OEV52" s="4"/>
      <c r="OEW52" s="4"/>
      <c r="OEX52" s="4"/>
      <c r="OEY52" s="4"/>
      <c r="OEZ52" s="4"/>
      <c r="OFA52" s="4"/>
      <c r="OFB52" s="4"/>
      <c r="OFC52" s="4"/>
      <c r="OFD52" s="4"/>
      <c r="OFE52" s="4"/>
      <c r="OFF52" s="4"/>
      <c r="OFG52" s="4"/>
      <c r="OFH52" s="4"/>
      <c r="OFI52" s="4"/>
      <c r="OFJ52" s="4"/>
      <c r="OFK52" s="4"/>
      <c r="OFL52" s="4"/>
      <c r="OFM52" s="4"/>
      <c r="OFN52" s="4"/>
      <c r="OFO52" s="4"/>
      <c r="OFP52" s="4"/>
      <c r="OFQ52" s="4"/>
      <c r="OFR52" s="4"/>
      <c r="OFS52" s="4"/>
      <c r="OFT52" s="4"/>
      <c r="OFU52" s="4"/>
      <c r="OFV52" s="4"/>
      <c r="OFW52" s="4"/>
      <c r="OFX52" s="4"/>
      <c r="OFY52" s="4"/>
      <c r="OFZ52" s="4"/>
      <c r="OGA52" s="4"/>
      <c r="OGB52" s="4"/>
      <c r="OGC52" s="4"/>
      <c r="OGD52" s="4"/>
      <c r="OGE52" s="4"/>
      <c r="OGF52" s="4"/>
      <c r="OGG52" s="4"/>
      <c r="OGH52" s="4"/>
      <c r="OGI52" s="4"/>
      <c r="OGJ52" s="4"/>
      <c r="OGK52" s="4"/>
      <c r="OGL52" s="4"/>
      <c r="OGM52" s="4"/>
      <c r="OGN52" s="4"/>
      <c r="OGO52" s="4"/>
      <c r="OGP52" s="4"/>
      <c r="OGQ52" s="4"/>
      <c r="OGR52" s="4"/>
      <c r="OGS52" s="4"/>
      <c r="OGT52" s="4"/>
      <c r="OGU52" s="4"/>
      <c r="OGV52" s="4"/>
      <c r="OGW52" s="4"/>
      <c r="OGX52" s="4"/>
      <c r="OGY52" s="4"/>
      <c r="OGZ52" s="4"/>
      <c r="OHA52" s="4"/>
      <c r="OHB52" s="4"/>
      <c r="OHC52" s="4"/>
      <c r="OHD52" s="4"/>
      <c r="OHE52" s="4"/>
      <c r="OHF52" s="4"/>
      <c r="OHG52" s="4"/>
      <c r="OHH52" s="4"/>
      <c r="OHI52" s="4"/>
      <c r="OHJ52" s="4"/>
      <c r="OHK52" s="4"/>
      <c r="OHL52" s="4"/>
      <c r="OHM52" s="4"/>
      <c r="OHN52" s="4"/>
      <c r="OHO52" s="4"/>
      <c r="OHP52" s="4"/>
      <c r="OHQ52" s="4"/>
      <c r="OHR52" s="4"/>
      <c r="OHS52" s="4"/>
      <c r="OHT52" s="4"/>
      <c r="OHU52" s="4"/>
      <c r="OHV52" s="4"/>
      <c r="OHW52" s="4"/>
      <c r="OHX52" s="4"/>
      <c r="OHY52" s="4"/>
      <c r="OHZ52" s="4"/>
      <c r="OIA52" s="4"/>
      <c r="OIB52" s="4"/>
      <c r="OIC52" s="4"/>
      <c r="OID52" s="4"/>
      <c r="OIE52" s="4"/>
      <c r="OIF52" s="4"/>
      <c r="OIG52" s="4"/>
      <c r="OIH52" s="4"/>
      <c r="OII52" s="4"/>
      <c r="OIJ52" s="4"/>
      <c r="OIK52" s="4"/>
      <c r="OIL52" s="4"/>
      <c r="OIM52" s="4"/>
      <c r="OIN52" s="4"/>
      <c r="OIO52" s="4"/>
      <c r="OIP52" s="4"/>
      <c r="OIQ52" s="4"/>
      <c r="OIR52" s="4"/>
      <c r="OIS52" s="4"/>
      <c r="OIT52" s="4"/>
      <c r="OIU52" s="4"/>
      <c r="OIV52" s="4"/>
      <c r="OIW52" s="4"/>
      <c r="OIX52" s="4"/>
      <c r="OIY52" s="4"/>
      <c r="OIZ52" s="4"/>
      <c r="OJA52" s="4"/>
      <c r="OJB52" s="4"/>
      <c r="OJC52" s="4"/>
      <c r="OJD52" s="4"/>
      <c r="OJE52" s="4"/>
      <c r="OJF52" s="4"/>
      <c r="OJG52" s="4"/>
      <c r="OJH52" s="4"/>
      <c r="OJI52" s="4"/>
      <c r="OJJ52" s="4"/>
      <c r="OJK52" s="4"/>
      <c r="OJL52" s="4"/>
      <c r="OJM52" s="4"/>
      <c r="OJN52" s="4"/>
      <c r="OJO52" s="4"/>
      <c r="OJP52" s="4"/>
      <c r="OJQ52" s="4"/>
      <c r="OJR52" s="4"/>
      <c r="OJS52" s="4"/>
      <c r="OJT52" s="4"/>
      <c r="OJU52" s="4"/>
      <c r="OJV52" s="4"/>
      <c r="OJW52" s="4"/>
      <c r="OJX52" s="4"/>
      <c r="OJY52" s="4"/>
      <c r="OJZ52" s="4"/>
      <c r="OKA52" s="4"/>
      <c r="OKB52" s="4"/>
      <c r="OKC52" s="4"/>
      <c r="OKD52" s="4"/>
      <c r="OKE52" s="4"/>
      <c r="OKF52" s="4"/>
      <c r="OKG52" s="4"/>
      <c r="OKH52" s="4"/>
      <c r="OKI52" s="4"/>
      <c r="OKJ52" s="4"/>
      <c r="OKK52" s="4"/>
      <c r="OKL52" s="4"/>
      <c r="OKM52" s="4"/>
      <c r="OKN52" s="4"/>
      <c r="OKO52" s="4"/>
      <c r="OKP52" s="4"/>
      <c r="OKQ52" s="4"/>
      <c r="OKR52" s="4"/>
      <c r="OKS52" s="4"/>
      <c r="OKT52" s="4"/>
      <c r="OKU52" s="4"/>
      <c r="OKV52" s="4"/>
      <c r="OKW52" s="4"/>
      <c r="OKX52" s="4"/>
      <c r="OKY52" s="4"/>
      <c r="OKZ52" s="4"/>
      <c r="OLA52" s="4"/>
      <c r="OLB52" s="4"/>
      <c r="OLC52" s="4"/>
      <c r="OLD52" s="4"/>
      <c r="OLE52" s="4"/>
      <c r="OLF52" s="4"/>
      <c r="OLG52" s="4"/>
      <c r="OLH52" s="4"/>
      <c r="OLI52" s="4"/>
      <c r="OLJ52" s="4"/>
      <c r="OLK52" s="4"/>
      <c r="OLL52" s="4"/>
      <c r="OLM52" s="4"/>
      <c r="OLN52" s="4"/>
      <c r="OLO52" s="4"/>
      <c r="OLP52" s="4"/>
      <c r="OLQ52" s="4"/>
      <c r="OLR52" s="4"/>
      <c r="OLS52" s="4"/>
      <c r="OLT52" s="4"/>
      <c r="OLU52" s="4"/>
      <c r="OLV52" s="4"/>
      <c r="OLW52" s="4"/>
      <c r="OLX52" s="4"/>
      <c r="OLY52" s="4"/>
      <c r="OLZ52" s="4"/>
      <c r="OMA52" s="4"/>
      <c r="OMB52" s="4"/>
      <c r="OMC52" s="4"/>
      <c r="OMD52" s="4"/>
      <c r="OME52" s="4"/>
      <c r="OMF52" s="4"/>
      <c r="OMG52" s="4"/>
      <c r="OMH52" s="4"/>
      <c r="OMI52" s="4"/>
      <c r="OMJ52" s="4"/>
      <c r="OMK52" s="4"/>
      <c r="OML52" s="4"/>
      <c r="OMM52" s="4"/>
      <c r="OMN52" s="4"/>
      <c r="OMO52" s="4"/>
      <c r="OMP52" s="4"/>
      <c r="OMQ52" s="4"/>
      <c r="OMR52" s="4"/>
      <c r="OMS52" s="4"/>
      <c r="OMT52" s="4"/>
      <c r="OMU52" s="4"/>
      <c r="OMV52" s="4"/>
      <c r="OMW52" s="4"/>
      <c r="OMX52" s="4"/>
      <c r="OMY52" s="4"/>
      <c r="OMZ52" s="4"/>
      <c r="ONA52" s="4"/>
      <c r="ONB52" s="4"/>
      <c r="ONC52" s="4"/>
      <c r="OND52" s="4"/>
      <c r="ONE52" s="4"/>
      <c r="ONF52" s="4"/>
      <c r="ONG52" s="4"/>
      <c r="ONH52" s="4"/>
      <c r="ONI52" s="4"/>
      <c r="ONJ52" s="4"/>
      <c r="ONK52" s="4"/>
      <c r="ONL52" s="4"/>
      <c r="ONM52" s="4"/>
      <c r="ONN52" s="4"/>
      <c r="ONO52" s="4"/>
      <c r="ONP52" s="4"/>
      <c r="ONQ52" s="4"/>
      <c r="ONR52" s="4"/>
      <c r="ONS52" s="4"/>
      <c r="ONT52" s="4"/>
      <c r="ONU52" s="4"/>
      <c r="ONV52" s="4"/>
      <c r="ONW52" s="4"/>
      <c r="ONX52" s="4"/>
      <c r="ONY52" s="4"/>
      <c r="ONZ52" s="4"/>
      <c r="OOA52" s="4"/>
      <c r="OOB52" s="4"/>
      <c r="OOC52" s="4"/>
      <c r="OOD52" s="4"/>
      <c r="OOE52" s="4"/>
      <c r="OOF52" s="4"/>
      <c r="OOG52" s="4"/>
      <c r="OOH52" s="4"/>
      <c r="OOI52" s="4"/>
      <c r="OOJ52" s="4"/>
      <c r="OOK52" s="4"/>
      <c r="OOL52" s="4"/>
      <c r="OOM52" s="4"/>
      <c r="OON52" s="4"/>
      <c r="OOO52" s="4"/>
      <c r="OOP52" s="4"/>
      <c r="OOQ52" s="4"/>
      <c r="OOR52" s="4"/>
      <c r="OOS52" s="4"/>
      <c r="OOT52" s="4"/>
      <c r="OOU52" s="4"/>
      <c r="OOV52" s="4"/>
      <c r="OOW52" s="4"/>
      <c r="OOX52" s="4"/>
      <c r="OOY52" s="4"/>
      <c r="OOZ52" s="4"/>
      <c r="OPA52" s="4"/>
      <c r="OPB52" s="4"/>
      <c r="OPC52" s="4"/>
      <c r="OPD52" s="4"/>
      <c r="OPE52" s="4"/>
      <c r="OPF52" s="4"/>
      <c r="OPG52" s="4"/>
      <c r="OPH52" s="4"/>
      <c r="OPI52" s="4"/>
      <c r="OPJ52" s="4"/>
      <c r="OPK52" s="4"/>
      <c r="OPL52" s="4"/>
      <c r="OPM52" s="4"/>
      <c r="OPN52" s="4"/>
      <c r="OPO52" s="4"/>
      <c r="OPP52" s="4"/>
      <c r="OPQ52" s="4"/>
      <c r="OPR52" s="4"/>
      <c r="OPS52" s="4"/>
      <c r="OPT52" s="4"/>
      <c r="OPU52" s="4"/>
      <c r="OPV52" s="4"/>
      <c r="OPW52" s="4"/>
      <c r="OPX52" s="4"/>
      <c r="OPY52" s="4"/>
      <c r="OPZ52" s="4"/>
      <c r="OQA52" s="4"/>
      <c r="OQB52" s="4"/>
      <c r="OQC52" s="4"/>
      <c r="OQD52" s="4"/>
      <c r="OQE52" s="4"/>
      <c r="OQF52" s="4"/>
      <c r="OQG52" s="4"/>
      <c r="OQH52" s="4"/>
      <c r="OQI52" s="4"/>
      <c r="OQJ52" s="4"/>
      <c r="OQK52" s="4"/>
      <c r="OQL52" s="4"/>
      <c r="OQM52" s="4"/>
      <c r="OQN52" s="4"/>
      <c r="OQO52" s="4"/>
      <c r="OQP52" s="4"/>
      <c r="OQQ52" s="4"/>
      <c r="OQR52" s="4"/>
      <c r="OQS52" s="4"/>
      <c r="OQT52" s="4"/>
      <c r="OQU52" s="4"/>
      <c r="OQV52" s="4"/>
      <c r="OQW52" s="4"/>
      <c r="OQX52" s="4"/>
      <c r="OQY52" s="4"/>
      <c r="OQZ52" s="4"/>
      <c r="ORA52" s="4"/>
      <c r="ORB52" s="4"/>
      <c r="ORC52" s="4"/>
      <c r="ORD52" s="4"/>
      <c r="ORE52" s="4"/>
      <c r="ORF52" s="4"/>
      <c r="ORG52" s="4"/>
      <c r="ORH52" s="4"/>
      <c r="ORI52" s="4"/>
      <c r="ORJ52" s="4"/>
      <c r="ORK52" s="4"/>
      <c r="ORL52" s="4"/>
      <c r="ORM52" s="4"/>
      <c r="ORN52" s="4"/>
      <c r="ORO52" s="4"/>
      <c r="ORP52" s="4"/>
      <c r="ORQ52" s="4"/>
      <c r="ORR52" s="4"/>
      <c r="ORS52" s="4"/>
      <c r="ORT52" s="4"/>
      <c r="ORU52" s="4"/>
      <c r="ORV52" s="4"/>
      <c r="ORW52" s="4"/>
      <c r="ORX52" s="4"/>
      <c r="ORY52" s="4"/>
      <c r="ORZ52" s="4"/>
      <c r="OSA52" s="4"/>
      <c r="OSB52" s="4"/>
      <c r="OSC52" s="4"/>
      <c r="OSD52" s="4"/>
      <c r="OSE52" s="4"/>
      <c r="OSF52" s="4"/>
      <c r="OSG52" s="4"/>
      <c r="OSH52" s="4"/>
      <c r="OSI52" s="4"/>
      <c r="OSJ52" s="4"/>
      <c r="OSK52" s="4"/>
      <c r="OSL52" s="4"/>
      <c r="OSM52" s="4"/>
      <c r="OSN52" s="4"/>
      <c r="OSO52" s="4"/>
      <c r="OSP52" s="4"/>
      <c r="OSQ52" s="4"/>
      <c r="OSR52" s="4"/>
      <c r="OSS52" s="4"/>
      <c r="OST52" s="4"/>
      <c r="OSU52" s="4"/>
      <c r="OSV52" s="4"/>
      <c r="OSW52" s="4"/>
      <c r="OSX52" s="4"/>
      <c r="OSY52" s="4"/>
      <c r="OSZ52" s="4"/>
      <c r="OTA52" s="4"/>
      <c r="OTB52" s="4"/>
      <c r="OTC52" s="4"/>
      <c r="OTD52" s="4"/>
      <c r="OTE52" s="4"/>
      <c r="OTF52" s="4"/>
      <c r="OTG52" s="4"/>
      <c r="OTH52" s="4"/>
      <c r="OTI52" s="4"/>
      <c r="OTJ52" s="4"/>
      <c r="OTK52" s="4"/>
      <c r="OTL52" s="4"/>
      <c r="OTM52" s="4"/>
      <c r="OTN52" s="4"/>
      <c r="OTO52" s="4"/>
      <c r="OTP52" s="4"/>
      <c r="OTQ52" s="4"/>
      <c r="OTR52" s="4"/>
      <c r="OTS52" s="4"/>
      <c r="OTT52" s="4"/>
      <c r="OTU52" s="4"/>
      <c r="OTV52" s="4"/>
      <c r="OTW52" s="4"/>
      <c r="OTX52" s="4"/>
      <c r="OTY52" s="4"/>
      <c r="OTZ52" s="4"/>
      <c r="OUA52" s="4"/>
      <c r="OUB52" s="4"/>
      <c r="OUC52" s="4"/>
      <c r="OUD52" s="4"/>
      <c r="OUE52" s="4"/>
      <c r="OUF52" s="4"/>
      <c r="OUG52" s="4"/>
      <c r="OUH52" s="4"/>
      <c r="OUI52" s="4"/>
      <c r="OUJ52" s="4"/>
      <c r="OUK52" s="4"/>
      <c r="OUL52" s="4"/>
      <c r="OUM52" s="4"/>
      <c r="OUN52" s="4"/>
      <c r="OUO52" s="4"/>
      <c r="OUP52" s="4"/>
      <c r="OUQ52" s="4"/>
      <c r="OUR52" s="4"/>
      <c r="OUS52" s="4"/>
      <c r="OUT52" s="4"/>
      <c r="OUU52" s="4"/>
      <c r="OUV52" s="4"/>
      <c r="OUW52" s="4"/>
      <c r="OUX52" s="4"/>
      <c r="OUY52" s="4"/>
      <c r="OUZ52" s="4"/>
      <c r="OVA52" s="4"/>
      <c r="OVB52" s="4"/>
      <c r="OVC52" s="4"/>
      <c r="OVD52" s="4"/>
      <c r="OVE52" s="4"/>
      <c r="OVF52" s="4"/>
      <c r="OVG52" s="4"/>
      <c r="OVH52" s="4"/>
      <c r="OVI52" s="4"/>
      <c r="OVJ52" s="4"/>
      <c r="OVK52" s="4"/>
      <c r="OVL52" s="4"/>
      <c r="OVM52" s="4"/>
      <c r="OVN52" s="4"/>
      <c r="OVO52" s="4"/>
      <c r="OVP52" s="4"/>
      <c r="OVQ52" s="4"/>
      <c r="OVR52" s="4"/>
      <c r="OVS52" s="4"/>
      <c r="OVT52" s="4"/>
      <c r="OVU52" s="4"/>
      <c r="OVV52" s="4"/>
      <c r="OVW52" s="4"/>
      <c r="OVX52" s="4"/>
      <c r="OVY52" s="4"/>
      <c r="OVZ52" s="4"/>
      <c r="OWA52" s="4"/>
      <c r="OWB52" s="4"/>
      <c r="OWC52" s="4"/>
      <c r="OWD52" s="4"/>
      <c r="OWE52" s="4"/>
      <c r="OWF52" s="4"/>
      <c r="OWG52" s="4"/>
      <c r="OWH52" s="4"/>
      <c r="OWI52" s="4"/>
      <c r="OWJ52" s="4"/>
      <c r="OWK52" s="4"/>
      <c r="OWL52" s="4"/>
      <c r="OWM52" s="4"/>
      <c r="OWN52" s="4"/>
      <c r="OWO52" s="4"/>
      <c r="OWP52" s="4"/>
      <c r="OWQ52" s="4"/>
      <c r="OWR52" s="4"/>
      <c r="OWS52" s="4"/>
      <c r="OWT52" s="4"/>
      <c r="OWU52" s="4"/>
      <c r="OWV52" s="4"/>
      <c r="OWW52" s="4"/>
      <c r="OWX52" s="4"/>
      <c r="OWY52" s="4"/>
      <c r="OWZ52" s="4"/>
      <c r="OXA52" s="4"/>
      <c r="OXB52" s="4"/>
      <c r="OXC52" s="4"/>
      <c r="OXD52" s="4"/>
      <c r="OXE52" s="4"/>
      <c r="OXF52" s="4"/>
      <c r="OXG52" s="4"/>
      <c r="OXH52" s="4"/>
      <c r="OXI52" s="4"/>
      <c r="OXJ52" s="4"/>
      <c r="OXK52" s="4"/>
      <c r="OXL52" s="4"/>
      <c r="OXM52" s="4"/>
      <c r="OXN52" s="4"/>
      <c r="OXO52" s="4"/>
      <c r="OXP52" s="4"/>
      <c r="OXQ52" s="4"/>
      <c r="OXR52" s="4"/>
      <c r="OXS52" s="4"/>
      <c r="OXT52" s="4"/>
      <c r="OXU52" s="4"/>
      <c r="OXV52" s="4"/>
      <c r="OXW52" s="4"/>
      <c r="OXX52" s="4"/>
      <c r="OXY52" s="4"/>
      <c r="OXZ52" s="4"/>
      <c r="OYA52" s="4"/>
      <c r="OYB52" s="4"/>
      <c r="OYC52" s="4"/>
      <c r="OYD52" s="4"/>
      <c r="OYE52" s="4"/>
      <c r="OYF52" s="4"/>
      <c r="OYG52" s="4"/>
      <c r="OYH52" s="4"/>
      <c r="OYI52" s="4"/>
      <c r="OYJ52" s="4"/>
      <c r="OYK52" s="4"/>
      <c r="OYL52" s="4"/>
      <c r="OYM52" s="4"/>
      <c r="OYN52" s="4"/>
      <c r="OYO52" s="4"/>
      <c r="OYP52" s="4"/>
      <c r="OYQ52" s="4"/>
      <c r="OYR52" s="4"/>
      <c r="OYS52" s="4"/>
      <c r="OYT52" s="4"/>
      <c r="OYU52" s="4"/>
      <c r="OYV52" s="4"/>
      <c r="OYW52" s="4"/>
      <c r="OYX52" s="4"/>
      <c r="OYY52" s="4"/>
      <c r="OYZ52" s="4"/>
      <c r="OZA52" s="4"/>
      <c r="OZB52" s="4"/>
      <c r="OZC52" s="4"/>
      <c r="OZD52" s="4"/>
      <c r="OZE52" s="4"/>
      <c r="OZF52" s="4"/>
      <c r="OZG52" s="4"/>
      <c r="OZH52" s="4"/>
      <c r="OZI52" s="4"/>
      <c r="OZJ52" s="4"/>
      <c r="OZK52" s="4"/>
      <c r="OZL52" s="4"/>
      <c r="OZM52" s="4"/>
      <c r="OZN52" s="4"/>
      <c r="OZO52" s="4"/>
      <c r="OZP52" s="4"/>
      <c r="OZQ52" s="4"/>
      <c r="OZR52" s="4"/>
      <c r="OZS52" s="4"/>
      <c r="OZT52" s="4"/>
      <c r="OZU52" s="4"/>
      <c r="OZV52" s="4"/>
      <c r="OZW52" s="4"/>
      <c r="OZX52" s="4"/>
      <c r="OZY52" s="4"/>
      <c r="OZZ52" s="4"/>
      <c r="PAA52" s="4"/>
      <c r="PAB52" s="4"/>
      <c r="PAC52" s="4"/>
      <c r="PAD52" s="4"/>
      <c r="PAE52" s="4"/>
      <c r="PAF52" s="4"/>
      <c r="PAG52" s="4"/>
      <c r="PAH52" s="4"/>
      <c r="PAI52" s="4"/>
      <c r="PAJ52" s="4"/>
      <c r="PAK52" s="4"/>
      <c r="PAL52" s="4"/>
      <c r="PAM52" s="4"/>
      <c r="PAN52" s="4"/>
      <c r="PAO52" s="4"/>
      <c r="PAP52" s="4"/>
      <c r="PAQ52" s="4"/>
      <c r="PAR52" s="4"/>
      <c r="PAS52" s="4"/>
      <c r="PAT52" s="4"/>
      <c r="PAU52" s="4"/>
      <c r="PAV52" s="4"/>
      <c r="PAW52" s="4"/>
      <c r="PAX52" s="4"/>
      <c r="PAY52" s="4"/>
      <c r="PAZ52" s="4"/>
      <c r="PBA52" s="4"/>
      <c r="PBB52" s="4"/>
      <c r="PBC52" s="4"/>
      <c r="PBD52" s="4"/>
      <c r="PBE52" s="4"/>
      <c r="PBF52" s="4"/>
      <c r="PBG52" s="4"/>
      <c r="PBH52" s="4"/>
      <c r="PBI52" s="4"/>
      <c r="PBJ52" s="4"/>
      <c r="PBK52" s="4"/>
      <c r="PBL52" s="4"/>
      <c r="PBM52" s="4"/>
      <c r="PBN52" s="4"/>
      <c r="PBO52" s="4"/>
      <c r="PBP52" s="4"/>
      <c r="PBQ52" s="4"/>
      <c r="PBR52" s="4"/>
      <c r="PBS52" s="4"/>
      <c r="PBT52" s="4"/>
      <c r="PBU52" s="4"/>
      <c r="PBV52" s="4"/>
      <c r="PBW52" s="4"/>
      <c r="PBX52" s="4"/>
      <c r="PBY52" s="4"/>
      <c r="PBZ52" s="4"/>
      <c r="PCA52" s="4"/>
      <c r="PCB52" s="4"/>
      <c r="PCC52" s="4"/>
      <c r="PCD52" s="4"/>
      <c r="PCE52" s="4"/>
      <c r="PCF52" s="4"/>
      <c r="PCG52" s="4"/>
      <c r="PCH52" s="4"/>
      <c r="PCI52" s="4"/>
      <c r="PCJ52" s="4"/>
      <c r="PCK52" s="4"/>
      <c r="PCL52" s="4"/>
      <c r="PCM52" s="4"/>
      <c r="PCN52" s="4"/>
      <c r="PCO52" s="4"/>
      <c r="PCP52" s="4"/>
      <c r="PCQ52" s="4"/>
      <c r="PCR52" s="4"/>
      <c r="PCS52" s="4"/>
      <c r="PCT52" s="4"/>
      <c r="PCU52" s="4"/>
      <c r="PCV52" s="4"/>
      <c r="PCW52" s="4"/>
      <c r="PCX52" s="4"/>
      <c r="PCY52" s="4"/>
      <c r="PCZ52" s="4"/>
      <c r="PDA52" s="4"/>
      <c r="PDB52" s="4"/>
      <c r="PDC52" s="4"/>
      <c r="PDD52" s="4"/>
      <c r="PDE52" s="4"/>
      <c r="PDF52" s="4"/>
      <c r="PDG52" s="4"/>
      <c r="PDH52" s="4"/>
      <c r="PDI52" s="4"/>
      <c r="PDJ52" s="4"/>
      <c r="PDK52" s="4"/>
      <c r="PDL52" s="4"/>
      <c r="PDM52" s="4"/>
      <c r="PDN52" s="4"/>
      <c r="PDO52" s="4"/>
      <c r="PDP52" s="4"/>
      <c r="PDQ52" s="4"/>
      <c r="PDR52" s="4"/>
      <c r="PDS52" s="4"/>
      <c r="PDT52" s="4"/>
      <c r="PDU52" s="4"/>
      <c r="PDV52" s="4"/>
      <c r="PDW52" s="4"/>
      <c r="PDX52" s="4"/>
      <c r="PDY52" s="4"/>
      <c r="PDZ52" s="4"/>
      <c r="PEA52" s="4"/>
      <c r="PEB52" s="4"/>
      <c r="PEC52" s="4"/>
      <c r="PED52" s="4"/>
      <c r="PEE52" s="4"/>
      <c r="PEF52" s="4"/>
      <c r="PEG52" s="4"/>
      <c r="PEH52" s="4"/>
      <c r="PEI52" s="4"/>
      <c r="PEJ52" s="4"/>
      <c r="PEK52" s="4"/>
      <c r="PEL52" s="4"/>
      <c r="PEM52" s="4"/>
      <c r="PEN52" s="4"/>
      <c r="PEO52" s="4"/>
      <c r="PEP52" s="4"/>
      <c r="PEQ52" s="4"/>
      <c r="PER52" s="4"/>
      <c r="PES52" s="4"/>
      <c r="PET52" s="4"/>
      <c r="PEU52" s="4"/>
      <c r="PEV52" s="4"/>
      <c r="PEW52" s="4"/>
      <c r="PEX52" s="4"/>
      <c r="PEY52" s="4"/>
      <c r="PEZ52" s="4"/>
      <c r="PFA52" s="4"/>
      <c r="PFB52" s="4"/>
      <c r="PFC52" s="4"/>
      <c r="PFD52" s="4"/>
      <c r="PFE52" s="4"/>
      <c r="PFF52" s="4"/>
      <c r="PFG52" s="4"/>
      <c r="PFH52" s="4"/>
      <c r="PFI52" s="4"/>
      <c r="PFJ52" s="4"/>
      <c r="PFK52" s="4"/>
      <c r="PFL52" s="4"/>
      <c r="PFM52" s="4"/>
      <c r="PFN52" s="4"/>
      <c r="PFO52" s="4"/>
      <c r="PFP52" s="4"/>
      <c r="PFQ52" s="4"/>
      <c r="PFR52" s="4"/>
      <c r="PFS52" s="4"/>
      <c r="PFT52" s="4"/>
      <c r="PFU52" s="4"/>
      <c r="PFV52" s="4"/>
      <c r="PFW52" s="4"/>
      <c r="PFX52" s="4"/>
      <c r="PFY52" s="4"/>
      <c r="PFZ52" s="4"/>
      <c r="PGA52" s="4"/>
      <c r="PGB52" s="4"/>
      <c r="PGC52" s="4"/>
      <c r="PGD52" s="4"/>
      <c r="PGE52" s="4"/>
      <c r="PGF52" s="4"/>
      <c r="PGG52" s="4"/>
      <c r="PGH52" s="4"/>
      <c r="PGI52" s="4"/>
      <c r="PGJ52" s="4"/>
      <c r="PGK52" s="4"/>
      <c r="PGL52" s="4"/>
      <c r="PGM52" s="4"/>
      <c r="PGN52" s="4"/>
      <c r="PGO52" s="4"/>
      <c r="PGP52" s="4"/>
      <c r="PGQ52" s="4"/>
      <c r="PGR52" s="4"/>
      <c r="PGS52" s="4"/>
      <c r="PGT52" s="4"/>
      <c r="PGU52" s="4"/>
      <c r="PGV52" s="4"/>
      <c r="PGW52" s="4"/>
      <c r="PGX52" s="4"/>
      <c r="PGY52" s="4"/>
      <c r="PGZ52" s="4"/>
      <c r="PHA52" s="4"/>
      <c r="PHB52" s="4"/>
      <c r="PHC52" s="4"/>
      <c r="PHD52" s="4"/>
      <c r="PHE52" s="4"/>
      <c r="PHF52" s="4"/>
      <c r="PHG52" s="4"/>
      <c r="PHH52" s="4"/>
      <c r="PHI52" s="4"/>
      <c r="PHJ52" s="4"/>
      <c r="PHK52" s="4"/>
      <c r="PHL52" s="4"/>
      <c r="PHM52" s="4"/>
      <c r="PHN52" s="4"/>
      <c r="PHO52" s="4"/>
      <c r="PHP52" s="4"/>
      <c r="PHQ52" s="4"/>
      <c r="PHR52" s="4"/>
      <c r="PHS52" s="4"/>
      <c r="PHT52" s="4"/>
      <c r="PHU52" s="4"/>
      <c r="PHV52" s="4"/>
      <c r="PHW52" s="4"/>
      <c r="PHX52" s="4"/>
      <c r="PHY52" s="4"/>
      <c r="PHZ52" s="4"/>
      <c r="PIA52" s="4"/>
      <c r="PIB52" s="4"/>
      <c r="PIC52" s="4"/>
      <c r="PID52" s="4"/>
      <c r="PIE52" s="4"/>
      <c r="PIF52" s="4"/>
      <c r="PIG52" s="4"/>
      <c r="PIH52" s="4"/>
      <c r="PII52" s="4"/>
      <c r="PIJ52" s="4"/>
      <c r="PIK52" s="4"/>
      <c r="PIL52" s="4"/>
      <c r="PIM52" s="4"/>
      <c r="PIN52" s="4"/>
      <c r="PIO52" s="4"/>
      <c r="PIP52" s="4"/>
      <c r="PIQ52" s="4"/>
      <c r="PIR52" s="4"/>
      <c r="PIS52" s="4"/>
      <c r="PIT52" s="4"/>
      <c r="PIU52" s="4"/>
      <c r="PIV52" s="4"/>
      <c r="PIW52" s="4"/>
      <c r="PIX52" s="4"/>
      <c r="PIY52" s="4"/>
      <c r="PIZ52" s="4"/>
      <c r="PJA52" s="4"/>
      <c r="PJB52" s="4"/>
      <c r="PJC52" s="4"/>
      <c r="PJD52" s="4"/>
      <c r="PJE52" s="4"/>
      <c r="PJF52" s="4"/>
      <c r="PJG52" s="4"/>
      <c r="PJH52" s="4"/>
      <c r="PJI52" s="4"/>
      <c r="PJJ52" s="4"/>
      <c r="PJK52" s="4"/>
      <c r="PJL52" s="4"/>
      <c r="PJM52" s="4"/>
      <c r="PJN52" s="4"/>
      <c r="PJO52" s="4"/>
      <c r="PJP52" s="4"/>
      <c r="PJQ52" s="4"/>
      <c r="PJR52" s="4"/>
      <c r="PJS52" s="4"/>
      <c r="PJT52" s="4"/>
      <c r="PJU52" s="4"/>
      <c r="PJV52" s="4"/>
      <c r="PJW52" s="4"/>
      <c r="PJX52" s="4"/>
      <c r="PJY52" s="4"/>
      <c r="PJZ52" s="4"/>
      <c r="PKA52" s="4"/>
      <c r="PKB52" s="4"/>
      <c r="PKC52" s="4"/>
      <c r="PKD52" s="4"/>
      <c r="PKE52" s="4"/>
      <c r="PKF52" s="4"/>
      <c r="PKG52" s="4"/>
      <c r="PKH52" s="4"/>
      <c r="PKI52" s="4"/>
      <c r="PKJ52" s="4"/>
      <c r="PKK52" s="4"/>
      <c r="PKL52" s="4"/>
      <c r="PKM52" s="4"/>
      <c r="PKN52" s="4"/>
      <c r="PKO52" s="4"/>
      <c r="PKP52" s="4"/>
      <c r="PKQ52" s="4"/>
      <c r="PKR52" s="4"/>
      <c r="PKS52" s="4"/>
      <c r="PKT52" s="4"/>
      <c r="PKU52" s="4"/>
      <c r="PKV52" s="4"/>
      <c r="PKW52" s="4"/>
      <c r="PKX52" s="4"/>
      <c r="PKY52" s="4"/>
      <c r="PKZ52" s="4"/>
      <c r="PLA52" s="4"/>
      <c r="PLB52" s="4"/>
      <c r="PLC52" s="4"/>
      <c r="PLD52" s="4"/>
      <c r="PLE52" s="4"/>
      <c r="PLF52" s="4"/>
      <c r="PLG52" s="4"/>
      <c r="PLH52" s="4"/>
      <c r="PLI52" s="4"/>
      <c r="PLJ52" s="4"/>
      <c r="PLK52" s="4"/>
      <c r="PLL52" s="4"/>
      <c r="PLM52" s="4"/>
      <c r="PLN52" s="4"/>
      <c r="PLO52" s="4"/>
      <c r="PLP52" s="4"/>
      <c r="PLQ52" s="4"/>
      <c r="PLR52" s="4"/>
      <c r="PLS52" s="4"/>
      <c r="PLT52" s="4"/>
      <c r="PLU52" s="4"/>
      <c r="PLV52" s="4"/>
      <c r="PLW52" s="4"/>
      <c r="PLX52" s="4"/>
      <c r="PLY52" s="4"/>
      <c r="PLZ52" s="4"/>
      <c r="PMA52" s="4"/>
      <c r="PMB52" s="4"/>
      <c r="PMC52" s="4"/>
      <c r="PMD52" s="4"/>
      <c r="PME52" s="4"/>
      <c r="PMF52" s="4"/>
      <c r="PMG52" s="4"/>
      <c r="PMH52" s="4"/>
      <c r="PMI52" s="4"/>
      <c r="PMJ52" s="4"/>
      <c r="PMK52" s="4"/>
      <c r="PML52" s="4"/>
      <c r="PMM52" s="4"/>
      <c r="PMN52" s="4"/>
      <c r="PMO52" s="4"/>
      <c r="PMP52" s="4"/>
      <c r="PMQ52" s="4"/>
      <c r="PMR52" s="4"/>
      <c r="PMS52" s="4"/>
      <c r="PMT52" s="4"/>
      <c r="PMU52" s="4"/>
      <c r="PMV52" s="4"/>
      <c r="PMW52" s="4"/>
      <c r="PMX52" s="4"/>
      <c r="PMY52" s="4"/>
      <c r="PMZ52" s="4"/>
      <c r="PNA52" s="4"/>
      <c r="PNB52" s="4"/>
      <c r="PNC52" s="4"/>
      <c r="PND52" s="4"/>
      <c r="PNE52" s="4"/>
      <c r="PNF52" s="4"/>
      <c r="PNG52" s="4"/>
      <c r="PNH52" s="4"/>
      <c r="PNI52" s="4"/>
      <c r="PNJ52" s="4"/>
      <c r="PNK52" s="4"/>
      <c r="PNL52" s="4"/>
      <c r="PNM52" s="4"/>
      <c r="PNN52" s="4"/>
      <c r="PNO52" s="4"/>
      <c r="PNP52" s="4"/>
      <c r="PNQ52" s="4"/>
      <c r="PNR52" s="4"/>
      <c r="PNS52" s="4"/>
      <c r="PNT52" s="4"/>
      <c r="PNU52" s="4"/>
      <c r="PNV52" s="4"/>
      <c r="PNW52" s="4"/>
      <c r="PNX52" s="4"/>
      <c r="PNY52" s="4"/>
      <c r="PNZ52" s="4"/>
      <c r="POA52" s="4"/>
      <c r="POB52" s="4"/>
      <c r="POC52" s="4"/>
      <c r="POD52" s="4"/>
      <c r="POE52" s="4"/>
      <c r="POF52" s="4"/>
      <c r="POG52" s="4"/>
      <c r="POH52" s="4"/>
      <c r="POI52" s="4"/>
      <c r="POJ52" s="4"/>
      <c r="POK52" s="4"/>
      <c r="POL52" s="4"/>
      <c r="POM52" s="4"/>
      <c r="PON52" s="4"/>
      <c r="POO52" s="4"/>
      <c r="POP52" s="4"/>
      <c r="POQ52" s="4"/>
      <c r="POR52" s="4"/>
      <c r="POS52" s="4"/>
      <c r="POT52" s="4"/>
      <c r="POU52" s="4"/>
      <c r="POV52" s="4"/>
      <c r="POW52" s="4"/>
      <c r="POX52" s="4"/>
      <c r="POY52" s="4"/>
      <c r="POZ52" s="4"/>
      <c r="PPA52" s="4"/>
      <c r="PPB52" s="4"/>
      <c r="PPC52" s="4"/>
      <c r="PPD52" s="4"/>
      <c r="PPE52" s="4"/>
      <c r="PPF52" s="4"/>
      <c r="PPG52" s="4"/>
      <c r="PPH52" s="4"/>
      <c r="PPI52" s="4"/>
      <c r="PPJ52" s="4"/>
      <c r="PPK52" s="4"/>
      <c r="PPL52" s="4"/>
      <c r="PPM52" s="4"/>
      <c r="PPN52" s="4"/>
      <c r="PPO52" s="4"/>
      <c r="PPP52" s="4"/>
      <c r="PPQ52" s="4"/>
      <c r="PPR52" s="4"/>
      <c r="PPS52" s="4"/>
      <c r="PPT52" s="4"/>
      <c r="PPU52" s="4"/>
      <c r="PPV52" s="4"/>
      <c r="PPW52" s="4"/>
      <c r="PPX52" s="4"/>
      <c r="PPY52" s="4"/>
      <c r="PPZ52" s="4"/>
      <c r="PQA52" s="4"/>
      <c r="PQB52" s="4"/>
      <c r="PQC52" s="4"/>
      <c r="PQD52" s="4"/>
      <c r="PQE52" s="4"/>
      <c r="PQF52" s="4"/>
      <c r="PQG52" s="4"/>
      <c r="PQH52" s="4"/>
      <c r="PQI52" s="4"/>
      <c r="PQJ52" s="4"/>
      <c r="PQK52" s="4"/>
      <c r="PQL52" s="4"/>
      <c r="PQM52" s="4"/>
      <c r="PQN52" s="4"/>
      <c r="PQO52" s="4"/>
      <c r="PQP52" s="4"/>
      <c r="PQQ52" s="4"/>
      <c r="PQR52" s="4"/>
      <c r="PQS52" s="4"/>
      <c r="PQT52" s="4"/>
      <c r="PQU52" s="4"/>
      <c r="PQV52" s="4"/>
      <c r="PQW52" s="4"/>
      <c r="PQX52" s="4"/>
      <c r="PQY52" s="4"/>
      <c r="PQZ52" s="4"/>
      <c r="PRA52" s="4"/>
      <c r="PRB52" s="4"/>
      <c r="PRC52" s="4"/>
      <c r="PRD52" s="4"/>
      <c r="PRE52" s="4"/>
      <c r="PRF52" s="4"/>
      <c r="PRG52" s="4"/>
      <c r="PRH52" s="4"/>
      <c r="PRI52" s="4"/>
      <c r="PRJ52" s="4"/>
      <c r="PRK52" s="4"/>
      <c r="PRL52" s="4"/>
      <c r="PRM52" s="4"/>
      <c r="PRN52" s="4"/>
      <c r="PRO52" s="4"/>
      <c r="PRP52" s="4"/>
      <c r="PRQ52" s="4"/>
      <c r="PRR52" s="4"/>
      <c r="PRS52" s="4"/>
      <c r="PRT52" s="4"/>
      <c r="PRU52" s="4"/>
      <c r="PRV52" s="4"/>
      <c r="PRW52" s="4"/>
      <c r="PRX52" s="4"/>
      <c r="PRY52" s="4"/>
      <c r="PRZ52" s="4"/>
      <c r="PSA52" s="4"/>
      <c r="PSB52" s="4"/>
      <c r="PSC52" s="4"/>
      <c r="PSD52" s="4"/>
      <c r="PSE52" s="4"/>
      <c r="PSF52" s="4"/>
      <c r="PSG52" s="4"/>
      <c r="PSH52" s="4"/>
      <c r="PSI52" s="4"/>
      <c r="PSJ52" s="4"/>
      <c r="PSK52" s="4"/>
      <c r="PSL52" s="4"/>
      <c r="PSM52" s="4"/>
      <c r="PSN52" s="4"/>
      <c r="PSO52" s="4"/>
      <c r="PSP52" s="4"/>
      <c r="PSQ52" s="4"/>
      <c r="PSR52" s="4"/>
      <c r="PSS52" s="4"/>
      <c r="PST52" s="4"/>
      <c r="PSU52" s="4"/>
      <c r="PSV52" s="4"/>
      <c r="PSW52" s="4"/>
      <c r="PSX52" s="4"/>
      <c r="PSY52" s="4"/>
      <c r="PSZ52" s="4"/>
      <c r="PTA52" s="4"/>
      <c r="PTB52" s="4"/>
      <c r="PTC52" s="4"/>
      <c r="PTD52" s="4"/>
      <c r="PTE52" s="4"/>
      <c r="PTF52" s="4"/>
      <c r="PTG52" s="4"/>
      <c r="PTH52" s="4"/>
      <c r="PTI52" s="4"/>
      <c r="PTJ52" s="4"/>
      <c r="PTK52" s="4"/>
      <c r="PTL52" s="4"/>
      <c r="PTM52" s="4"/>
      <c r="PTN52" s="4"/>
      <c r="PTO52" s="4"/>
      <c r="PTP52" s="4"/>
      <c r="PTQ52" s="4"/>
      <c r="PTR52" s="4"/>
      <c r="PTS52" s="4"/>
      <c r="PTT52" s="4"/>
      <c r="PTU52" s="4"/>
      <c r="PTV52" s="4"/>
      <c r="PTW52" s="4"/>
      <c r="PTX52" s="4"/>
      <c r="PTY52" s="4"/>
      <c r="PTZ52" s="4"/>
      <c r="PUA52" s="4"/>
      <c r="PUB52" s="4"/>
      <c r="PUC52" s="4"/>
      <c r="PUD52" s="4"/>
      <c r="PUE52" s="4"/>
      <c r="PUF52" s="4"/>
      <c r="PUG52" s="4"/>
      <c r="PUH52" s="4"/>
      <c r="PUI52" s="4"/>
      <c r="PUJ52" s="4"/>
      <c r="PUK52" s="4"/>
      <c r="PUL52" s="4"/>
      <c r="PUM52" s="4"/>
      <c r="PUN52" s="4"/>
      <c r="PUO52" s="4"/>
      <c r="PUP52" s="4"/>
      <c r="PUQ52" s="4"/>
      <c r="PUR52" s="4"/>
      <c r="PUS52" s="4"/>
      <c r="PUT52" s="4"/>
      <c r="PUU52" s="4"/>
      <c r="PUV52" s="4"/>
      <c r="PUW52" s="4"/>
      <c r="PUX52" s="4"/>
      <c r="PUY52" s="4"/>
      <c r="PUZ52" s="4"/>
      <c r="PVA52" s="4"/>
      <c r="PVB52" s="4"/>
      <c r="PVC52" s="4"/>
      <c r="PVD52" s="4"/>
      <c r="PVE52" s="4"/>
      <c r="PVF52" s="4"/>
      <c r="PVG52" s="4"/>
      <c r="PVH52" s="4"/>
      <c r="PVI52" s="4"/>
      <c r="PVJ52" s="4"/>
      <c r="PVK52" s="4"/>
      <c r="PVL52" s="4"/>
      <c r="PVM52" s="4"/>
      <c r="PVN52" s="4"/>
      <c r="PVO52" s="4"/>
      <c r="PVP52" s="4"/>
      <c r="PVQ52" s="4"/>
      <c r="PVR52" s="4"/>
      <c r="PVS52" s="4"/>
      <c r="PVT52" s="4"/>
      <c r="PVU52" s="4"/>
      <c r="PVV52" s="4"/>
      <c r="PVW52" s="4"/>
      <c r="PVX52" s="4"/>
      <c r="PVY52" s="4"/>
      <c r="PVZ52" s="4"/>
      <c r="PWA52" s="4"/>
      <c r="PWB52" s="4"/>
      <c r="PWC52" s="4"/>
      <c r="PWD52" s="4"/>
      <c r="PWE52" s="4"/>
      <c r="PWF52" s="4"/>
      <c r="PWG52" s="4"/>
      <c r="PWH52" s="4"/>
      <c r="PWI52" s="4"/>
      <c r="PWJ52" s="4"/>
      <c r="PWK52" s="4"/>
      <c r="PWL52" s="4"/>
      <c r="PWM52" s="4"/>
      <c r="PWN52" s="4"/>
      <c r="PWO52" s="4"/>
      <c r="PWP52" s="4"/>
      <c r="PWQ52" s="4"/>
      <c r="PWR52" s="4"/>
      <c r="PWS52" s="4"/>
      <c r="PWT52" s="4"/>
      <c r="PWU52" s="4"/>
      <c r="PWV52" s="4"/>
      <c r="PWW52" s="4"/>
      <c r="PWX52" s="4"/>
      <c r="PWY52" s="4"/>
      <c r="PWZ52" s="4"/>
      <c r="PXA52" s="4"/>
      <c r="PXB52" s="4"/>
      <c r="PXC52" s="4"/>
      <c r="PXD52" s="4"/>
      <c r="PXE52" s="4"/>
      <c r="PXF52" s="4"/>
      <c r="PXG52" s="4"/>
      <c r="PXH52" s="4"/>
      <c r="PXI52" s="4"/>
      <c r="PXJ52" s="4"/>
      <c r="PXK52" s="4"/>
      <c r="PXL52" s="4"/>
      <c r="PXM52" s="4"/>
      <c r="PXN52" s="4"/>
      <c r="PXO52" s="4"/>
      <c r="PXP52" s="4"/>
      <c r="PXQ52" s="4"/>
      <c r="PXR52" s="4"/>
      <c r="PXS52" s="4"/>
      <c r="PXT52" s="4"/>
      <c r="PXU52" s="4"/>
      <c r="PXV52" s="4"/>
      <c r="PXW52" s="4"/>
      <c r="PXX52" s="4"/>
      <c r="PXY52" s="4"/>
      <c r="PXZ52" s="4"/>
      <c r="PYA52" s="4"/>
      <c r="PYB52" s="4"/>
      <c r="PYC52" s="4"/>
      <c r="PYD52" s="4"/>
      <c r="PYE52" s="4"/>
      <c r="PYF52" s="4"/>
      <c r="PYG52" s="4"/>
      <c r="PYH52" s="4"/>
      <c r="PYI52" s="4"/>
      <c r="PYJ52" s="4"/>
      <c r="PYK52" s="4"/>
      <c r="PYL52" s="4"/>
      <c r="PYM52" s="4"/>
      <c r="PYN52" s="4"/>
      <c r="PYO52" s="4"/>
      <c r="PYP52" s="4"/>
      <c r="PYQ52" s="4"/>
      <c r="PYR52" s="4"/>
      <c r="PYS52" s="4"/>
      <c r="PYT52" s="4"/>
      <c r="PYU52" s="4"/>
      <c r="PYV52" s="4"/>
      <c r="PYW52" s="4"/>
      <c r="PYX52" s="4"/>
      <c r="PYY52" s="4"/>
      <c r="PYZ52" s="4"/>
      <c r="PZA52" s="4"/>
      <c r="PZB52" s="4"/>
      <c r="PZC52" s="4"/>
      <c r="PZD52" s="4"/>
      <c r="PZE52" s="4"/>
      <c r="PZF52" s="4"/>
      <c r="PZG52" s="4"/>
      <c r="PZH52" s="4"/>
      <c r="PZI52" s="4"/>
      <c r="PZJ52" s="4"/>
      <c r="PZK52" s="4"/>
      <c r="PZL52" s="4"/>
      <c r="PZM52" s="4"/>
      <c r="PZN52" s="4"/>
      <c r="PZO52" s="4"/>
      <c r="PZP52" s="4"/>
      <c r="PZQ52" s="4"/>
      <c r="PZR52" s="4"/>
      <c r="PZS52" s="4"/>
      <c r="PZT52" s="4"/>
      <c r="PZU52" s="4"/>
      <c r="PZV52" s="4"/>
      <c r="PZW52" s="4"/>
      <c r="PZX52" s="4"/>
      <c r="PZY52" s="4"/>
      <c r="PZZ52" s="4"/>
      <c r="QAA52" s="4"/>
      <c r="QAB52" s="4"/>
      <c r="QAC52" s="4"/>
      <c r="QAD52" s="4"/>
      <c r="QAE52" s="4"/>
      <c r="QAF52" s="4"/>
      <c r="QAG52" s="4"/>
      <c r="QAH52" s="4"/>
      <c r="QAI52" s="4"/>
      <c r="QAJ52" s="4"/>
      <c r="QAK52" s="4"/>
      <c r="QAL52" s="4"/>
      <c r="QAM52" s="4"/>
      <c r="QAN52" s="4"/>
      <c r="QAO52" s="4"/>
      <c r="QAP52" s="4"/>
      <c r="QAQ52" s="4"/>
      <c r="QAR52" s="4"/>
      <c r="QAS52" s="4"/>
      <c r="QAT52" s="4"/>
      <c r="QAU52" s="4"/>
      <c r="QAV52" s="4"/>
      <c r="QAW52" s="4"/>
      <c r="QAX52" s="4"/>
      <c r="QAY52" s="4"/>
      <c r="QAZ52" s="4"/>
      <c r="QBA52" s="4"/>
      <c r="QBB52" s="4"/>
      <c r="QBC52" s="4"/>
      <c r="QBD52" s="4"/>
      <c r="QBE52" s="4"/>
      <c r="QBF52" s="4"/>
      <c r="QBG52" s="4"/>
      <c r="QBH52" s="4"/>
      <c r="QBI52" s="4"/>
      <c r="QBJ52" s="4"/>
      <c r="QBK52" s="4"/>
      <c r="QBL52" s="4"/>
      <c r="QBM52" s="4"/>
      <c r="QBN52" s="4"/>
      <c r="QBO52" s="4"/>
      <c r="QBP52" s="4"/>
      <c r="QBQ52" s="4"/>
      <c r="QBR52" s="4"/>
      <c r="QBS52" s="4"/>
      <c r="QBT52" s="4"/>
      <c r="QBU52" s="4"/>
      <c r="QBV52" s="4"/>
      <c r="QBW52" s="4"/>
      <c r="QBX52" s="4"/>
      <c r="QBY52" s="4"/>
      <c r="QBZ52" s="4"/>
      <c r="QCA52" s="4"/>
      <c r="QCB52" s="4"/>
      <c r="QCC52" s="4"/>
      <c r="QCD52" s="4"/>
      <c r="QCE52" s="4"/>
      <c r="QCF52" s="4"/>
      <c r="QCG52" s="4"/>
      <c r="QCH52" s="4"/>
      <c r="QCI52" s="4"/>
      <c r="QCJ52" s="4"/>
      <c r="QCK52" s="4"/>
      <c r="QCL52" s="4"/>
      <c r="QCM52" s="4"/>
      <c r="QCN52" s="4"/>
      <c r="QCO52" s="4"/>
      <c r="QCP52" s="4"/>
      <c r="QCQ52" s="4"/>
      <c r="QCR52" s="4"/>
      <c r="QCS52" s="4"/>
      <c r="QCT52" s="4"/>
      <c r="QCU52" s="4"/>
      <c r="QCV52" s="4"/>
      <c r="QCW52" s="4"/>
      <c r="QCX52" s="4"/>
      <c r="QCY52" s="4"/>
      <c r="QCZ52" s="4"/>
      <c r="QDA52" s="4"/>
      <c r="QDB52" s="4"/>
      <c r="QDC52" s="4"/>
      <c r="QDD52" s="4"/>
      <c r="QDE52" s="4"/>
      <c r="QDF52" s="4"/>
      <c r="QDG52" s="4"/>
      <c r="QDH52" s="4"/>
      <c r="QDI52" s="4"/>
      <c r="QDJ52" s="4"/>
      <c r="QDK52" s="4"/>
      <c r="QDL52" s="4"/>
      <c r="QDM52" s="4"/>
      <c r="QDN52" s="4"/>
      <c r="QDO52" s="4"/>
      <c r="QDP52" s="4"/>
      <c r="QDQ52" s="4"/>
      <c r="QDR52" s="4"/>
      <c r="QDS52" s="4"/>
      <c r="QDT52" s="4"/>
      <c r="QDU52" s="4"/>
      <c r="QDV52" s="4"/>
      <c r="QDW52" s="4"/>
      <c r="QDX52" s="4"/>
      <c r="QDY52" s="4"/>
      <c r="QDZ52" s="4"/>
      <c r="QEA52" s="4"/>
      <c r="QEB52" s="4"/>
      <c r="QEC52" s="4"/>
      <c r="QED52" s="4"/>
      <c r="QEE52" s="4"/>
      <c r="QEF52" s="4"/>
      <c r="QEG52" s="4"/>
      <c r="QEH52" s="4"/>
      <c r="QEI52" s="4"/>
      <c r="QEJ52" s="4"/>
      <c r="QEK52" s="4"/>
      <c r="QEL52" s="4"/>
      <c r="QEM52" s="4"/>
      <c r="QEN52" s="4"/>
      <c r="QEO52" s="4"/>
      <c r="QEP52" s="4"/>
      <c r="QEQ52" s="4"/>
      <c r="QER52" s="4"/>
      <c r="QES52" s="4"/>
      <c r="QET52" s="4"/>
      <c r="QEU52" s="4"/>
      <c r="QEV52" s="4"/>
      <c r="QEW52" s="4"/>
      <c r="QEX52" s="4"/>
      <c r="QEY52" s="4"/>
      <c r="QEZ52" s="4"/>
      <c r="QFA52" s="4"/>
      <c r="QFB52" s="4"/>
      <c r="QFC52" s="4"/>
      <c r="QFD52" s="4"/>
      <c r="QFE52" s="4"/>
      <c r="QFF52" s="4"/>
      <c r="QFG52" s="4"/>
      <c r="QFH52" s="4"/>
      <c r="QFI52" s="4"/>
      <c r="QFJ52" s="4"/>
      <c r="QFK52" s="4"/>
      <c r="QFL52" s="4"/>
      <c r="QFM52" s="4"/>
      <c r="QFN52" s="4"/>
      <c r="QFO52" s="4"/>
      <c r="QFP52" s="4"/>
      <c r="QFQ52" s="4"/>
      <c r="QFR52" s="4"/>
      <c r="QFS52" s="4"/>
      <c r="QFT52" s="4"/>
      <c r="QFU52" s="4"/>
      <c r="QFV52" s="4"/>
      <c r="QFW52" s="4"/>
      <c r="QFX52" s="4"/>
      <c r="QFY52" s="4"/>
      <c r="QFZ52" s="4"/>
      <c r="QGA52" s="4"/>
      <c r="QGB52" s="4"/>
      <c r="QGC52" s="4"/>
      <c r="QGD52" s="4"/>
      <c r="QGE52" s="4"/>
      <c r="QGF52" s="4"/>
      <c r="QGG52" s="4"/>
      <c r="QGH52" s="4"/>
      <c r="QGI52" s="4"/>
      <c r="QGJ52" s="4"/>
      <c r="QGK52" s="4"/>
      <c r="QGL52" s="4"/>
      <c r="QGM52" s="4"/>
      <c r="QGN52" s="4"/>
      <c r="QGO52" s="4"/>
      <c r="QGP52" s="4"/>
      <c r="QGQ52" s="4"/>
      <c r="QGR52" s="4"/>
      <c r="QGS52" s="4"/>
      <c r="QGT52" s="4"/>
      <c r="QGU52" s="4"/>
      <c r="QGV52" s="4"/>
      <c r="QGW52" s="4"/>
      <c r="QGX52" s="4"/>
      <c r="QGY52" s="4"/>
      <c r="QGZ52" s="4"/>
      <c r="QHA52" s="4"/>
      <c r="QHB52" s="4"/>
      <c r="QHC52" s="4"/>
      <c r="QHD52" s="4"/>
      <c r="QHE52" s="4"/>
      <c r="QHF52" s="4"/>
      <c r="QHG52" s="4"/>
      <c r="QHH52" s="4"/>
      <c r="QHI52" s="4"/>
      <c r="QHJ52" s="4"/>
      <c r="QHK52" s="4"/>
      <c r="QHL52" s="4"/>
      <c r="QHM52" s="4"/>
      <c r="QHN52" s="4"/>
      <c r="QHO52" s="4"/>
      <c r="QHP52" s="4"/>
      <c r="QHQ52" s="4"/>
      <c r="QHR52" s="4"/>
      <c r="QHS52" s="4"/>
      <c r="QHT52" s="4"/>
      <c r="QHU52" s="4"/>
      <c r="QHV52" s="4"/>
      <c r="QHW52" s="4"/>
      <c r="QHX52" s="4"/>
      <c r="QHY52" s="4"/>
      <c r="QHZ52" s="4"/>
      <c r="QIA52" s="4"/>
      <c r="QIB52" s="4"/>
      <c r="QIC52" s="4"/>
      <c r="QID52" s="4"/>
      <c r="QIE52" s="4"/>
      <c r="QIF52" s="4"/>
      <c r="QIG52" s="4"/>
      <c r="QIH52" s="4"/>
      <c r="QII52" s="4"/>
      <c r="QIJ52" s="4"/>
      <c r="QIK52" s="4"/>
      <c r="QIL52" s="4"/>
      <c r="QIM52" s="4"/>
      <c r="QIN52" s="4"/>
      <c r="QIO52" s="4"/>
      <c r="QIP52" s="4"/>
      <c r="QIQ52" s="4"/>
      <c r="QIR52" s="4"/>
      <c r="QIS52" s="4"/>
      <c r="QIT52" s="4"/>
      <c r="QIU52" s="4"/>
      <c r="QIV52" s="4"/>
      <c r="QIW52" s="4"/>
      <c r="QIX52" s="4"/>
      <c r="QIY52" s="4"/>
      <c r="QIZ52" s="4"/>
      <c r="QJA52" s="4"/>
      <c r="QJB52" s="4"/>
      <c r="QJC52" s="4"/>
      <c r="QJD52" s="4"/>
      <c r="QJE52" s="4"/>
      <c r="QJF52" s="4"/>
      <c r="QJG52" s="4"/>
      <c r="QJH52" s="4"/>
      <c r="QJI52" s="4"/>
      <c r="QJJ52" s="4"/>
      <c r="QJK52" s="4"/>
      <c r="QJL52" s="4"/>
      <c r="QJM52" s="4"/>
      <c r="QJN52" s="4"/>
      <c r="QJO52" s="4"/>
      <c r="QJP52" s="4"/>
      <c r="QJQ52" s="4"/>
      <c r="QJR52" s="4"/>
      <c r="QJS52" s="4"/>
      <c r="QJT52" s="4"/>
      <c r="QJU52" s="4"/>
      <c r="QJV52" s="4"/>
      <c r="QJW52" s="4"/>
      <c r="QJX52" s="4"/>
      <c r="QJY52" s="4"/>
      <c r="QJZ52" s="4"/>
      <c r="QKA52" s="4"/>
      <c r="QKB52" s="4"/>
      <c r="QKC52" s="4"/>
      <c r="QKD52" s="4"/>
      <c r="QKE52" s="4"/>
      <c r="QKF52" s="4"/>
      <c r="QKG52" s="4"/>
      <c r="QKH52" s="4"/>
      <c r="QKI52" s="4"/>
      <c r="QKJ52" s="4"/>
      <c r="QKK52" s="4"/>
      <c r="QKL52" s="4"/>
      <c r="QKM52" s="4"/>
      <c r="QKN52" s="4"/>
      <c r="QKO52" s="4"/>
      <c r="QKP52" s="4"/>
      <c r="QKQ52" s="4"/>
      <c r="QKR52" s="4"/>
      <c r="QKS52" s="4"/>
      <c r="QKT52" s="4"/>
      <c r="QKU52" s="4"/>
      <c r="QKV52" s="4"/>
      <c r="QKW52" s="4"/>
      <c r="QKX52" s="4"/>
      <c r="QKY52" s="4"/>
      <c r="QKZ52" s="4"/>
      <c r="QLA52" s="4"/>
      <c r="QLB52" s="4"/>
      <c r="QLC52" s="4"/>
      <c r="QLD52" s="4"/>
      <c r="QLE52" s="4"/>
      <c r="QLF52" s="4"/>
      <c r="QLG52" s="4"/>
      <c r="QLH52" s="4"/>
      <c r="QLI52" s="4"/>
      <c r="QLJ52" s="4"/>
      <c r="QLK52" s="4"/>
      <c r="QLL52" s="4"/>
      <c r="QLM52" s="4"/>
      <c r="QLN52" s="4"/>
      <c r="QLO52" s="4"/>
      <c r="QLP52" s="4"/>
      <c r="QLQ52" s="4"/>
      <c r="QLR52" s="4"/>
      <c r="QLS52" s="4"/>
      <c r="QLT52" s="4"/>
      <c r="QLU52" s="4"/>
      <c r="QLV52" s="4"/>
      <c r="QLW52" s="4"/>
      <c r="QLX52" s="4"/>
      <c r="QLY52" s="4"/>
      <c r="QLZ52" s="4"/>
      <c r="QMA52" s="4"/>
      <c r="QMB52" s="4"/>
      <c r="QMC52" s="4"/>
      <c r="QMD52" s="4"/>
      <c r="QME52" s="4"/>
      <c r="QMF52" s="4"/>
      <c r="QMG52" s="4"/>
      <c r="QMH52" s="4"/>
      <c r="QMI52" s="4"/>
      <c r="QMJ52" s="4"/>
      <c r="QMK52" s="4"/>
      <c r="QML52" s="4"/>
      <c r="QMM52" s="4"/>
      <c r="QMN52" s="4"/>
      <c r="QMO52" s="4"/>
      <c r="QMP52" s="4"/>
      <c r="QMQ52" s="4"/>
      <c r="QMR52" s="4"/>
      <c r="QMS52" s="4"/>
      <c r="QMT52" s="4"/>
      <c r="QMU52" s="4"/>
      <c r="QMV52" s="4"/>
      <c r="QMW52" s="4"/>
      <c r="QMX52" s="4"/>
      <c r="QMY52" s="4"/>
      <c r="QMZ52" s="4"/>
      <c r="QNA52" s="4"/>
      <c r="QNB52" s="4"/>
      <c r="QNC52" s="4"/>
      <c r="QND52" s="4"/>
      <c r="QNE52" s="4"/>
      <c r="QNF52" s="4"/>
      <c r="QNG52" s="4"/>
      <c r="QNH52" s="4"/>
      <c r="QNI52" s="4"/>
      <c r="QNJ52" s="4"/>
      <c r="QNK52" s="4"/>
      <c r="QNL52" s="4"/>
      <c r="QNM52" s="4"/>
      <c r="QNN52" s="4"/>
      <c r="QNO52" s="4"/>
      <c r="QNP52" s="4"/>
      <c r="QNQ52" s="4"/>
      <c r="QNR52" s="4"/>
      <c r="QNS52" s="4"/>
      <c r="QNT52" s="4"/>
      <c r="QNU52" s="4"/>
      <c r="QNV52" s="4"/>
      <c r="QNW52" s="4"/>
      <c r="QNX52" s="4"/>
      <c r="QNY52" s="4"/>
      <c r="QNZ52" s="4"/>
      <c r="QOA52" s="4"/>
      <c r="QOB52" s="4"/>
      <c r="QOC52" s="4"/>
      <c r="QOD52" s="4"/>
      <c r="QOE52" s="4"/>
      <c r="QOF52" s="4"/>
      <c r="QOG52" s="4"/>
      <c r="QOH52" s="4"/>
      <c r="QOI52" s="4"/>
      <c r="QOJ52" s="4"/>
      <c r="QOK52" s="4"/>
      <c r="QOL52" s="4"/>
      <c r="QOM52" s="4"/>
      <c r="QON52" s="4"/>
      <c r="QOO52" s="4"/>
      <c r="QOP52" s="4"/>
      <c r="QOQ52" s="4"/>
      <c r="QOR52" s="4"/>
      <c r="QOS52" s="4"/>
      <c r="QOT52" s="4"/>
      <c r="QOU52" s="4"/>
      <c r="QOV52" s="4"/>
      <c r="QOW52" s="4"/>
      <c r="QOX52" s="4"/>
      <c r="QOY52" s="4"/>
      <c r="QOZ52" s="4"/>
      <c r="QPA52" s="4"/>
      <c r="QPB52" s="4"/>
      <c r="QPC52" s="4"/>
      <c r="QPD52" s="4"/>
      <c r="QPE52" s="4"/>
      <c r="QPF52" s="4"/>
      <c r="QPG52" s="4"/>
      <c r="QPH52" s="4"/>
      <c r="QPI52" s="4"/>
      <c r="QPJ52" s="4"/>
      <c r="QPK52" s="4"/>
      <c r="QPL52" s="4"/>
      <c r="QPM52" s="4"/>
      <c r="QPN52" s="4"/>
      <c r="QPO52" s="4"/>
      <c r="QPP52" s="4"/>
      <c r="QPQ52" s="4"/>
      <c r="QPR52" s="4"/>
      <c r="QPS52" s="4"/>
      <c r="QPT52" s="4"/>
      <c r="QPU52" s="4"/>
      <c r="QPV52" s="4"/>
      <c r="QPW52" s="4"/>
      <c r="QPX52" s="4"/>
      <c r="QPY52" s="4"/>
      <c r="QPZ52" s="4"/>
      <c r="QQA52" s="4"/>
      <c r="QQB52" s="4"/>
      <c r="QQC52" s="4"/>
      <c r="QQD52" s="4"/>
      <c r="QQE52" s="4"/>
      <c r="QQF52" s="4"/>
      <c r="QQG52" s="4"/>
      <c r="QQH52" s="4"/>
      <c r="QQI52" s="4"/>
      <c r="QQJ52" s="4"/>
      <c r="QQK52" s="4"/>
      <c r="QQL52" s="4"/>
      <c r="QQM52" s="4"/>
      <c r="QQN52" s="4"/>
      <c r="QQO52" s="4"/>
      <c r="QQP52" s="4"/>
      <c r="QQQ52" s="4"/>
      <c r="QQR52" s="4"/>
      <c r="QQS52" s="4"/>
      <c r="QQT52" s="4"/>
      <c r="QQU52" s="4"/>
      <c r="QQV52" s="4"/>
      <c r="QQW52" s="4"/>
      <c r="QQX52" s="4"/>
      <c r="QQY52" s="4"/>
      <c r="QQZ52" s="4"/>
      <c r="QRA52" s="4"/>
      <c r="QRB52" s="4"/>
      <c r="QRC52" s="4"/>
      <c r="QRD52" s="4"/>
      <c r="QRE52" s="4"/>
      <c r="QRF52" s="4"/>
      <c r="QRG52" s="4"/>
      <c r="QRH52" s="4"/>
      <c r="QRI52" s="4"/>
      <c r="QRJ52" s="4"/>
      <c r="QRK52" s="4"/>
      <c r="QRL52" s="4"/>
      <c r="QRM52" s="4"/>
      <c r="QRN52" s="4"/>
      <c r="QRO52" s="4"/>
      <c r="QRP52" s="4"/>
      <c r="QRQ52" s="4"/>
      <c r="QRR52" s="4"/>
      <c r="QRS52" s="4"/>
      <c r="QRT52" s="4"/>
      <c r="QRU52" s="4"/>
      <c r="QRV52" s="4"/>
      <c r="QRW52" s="4"/>
      <c r="QRX52" s="4"/>
      <c r="QRY52" s="4"/>
      <c r="QRZ52" s="4"/>
      <c r="QSA52" s="4"/>
      <c r="QSB52" s="4"/>
      <c r="QSC52" s="4"/>
      <c r="QSD52" s="4"/>
      <c r="QSE52" s="4"/>
      <c r="QSF52" s="4"/>
      <c r="QSG52" s="4"/>
      <c r="QSH52" s="4"/>
      <c r="QSI52" s="4"/>
      <c r="QSJ52" s="4"/>
      <c r="QSK52" s="4"/>
      <c r="QSL52" s="4"/>
      <c r="QSM52" s="4"/>
      <c r="QSN52" s="4"/>
      <c r="QSO52" s="4"/>
      <c r="QSP52" s="4"/>
      <c r="QSQ52" s="4"/>
      <c r="QSR52" s="4"/>
      <c r="QSS52" s="4"/>
      <c r="QST52" s="4"/>
      <c r="QSU52" s="4"/>
      <c r="QSV52" s="4"/>
      <c r="QSW52" s="4"/>
      <c r="QSX52" s="4"/>
      <c r="QSY52" s="4"/>
      <c r="QSZ52" s="4"/>
      <c r="QTA52" s="4"/>
      <c r="QTB52" s="4"/>
      <c r="QTC52" s="4"/>
      <c r="QTD52" s="4"/>
      <c r="QTE52" s="4"/>
      <c r="QTF52" s="4"/>
      <c r="QTG52" s="4"/>
      <c r="QTH52" s="4"/>
      <c r="QTI52" s="4"/>
      <c r="QTJ52" s="4"/>
      <c r="QTK52" s="4"/>
      <c r="QTL52" s="4"/>
      <c r="QTM52" s="4"/>
      <c r="QTN52" s="4"/>
      <c r="QTO52" s="4"/>
      <c r="QTP52" s="4"/>
      <c r="QTQ52" s="4"/>
      <c r="QTR52" s="4"/>
      <c r="QTS52" s="4"/>
      <c r="QTT52" s="4"/>
      <c r="QTU52" s="4"/>
      <c r="QTV52" s="4"/>
      <c r="QTW52" s="4"/>
      <c r="QTX52" s="4"/>
      <c r="QTY52" s="4"/>
      <c r="QTZ52" s="4"/>
      <c r="QUA52" s="4"/>
      <c r="QUB52" s="4"/>
      <c r="QUC52" s="4"/>
      <c r="QUD52" s="4"/>
      <c r="QUE52" s="4"/>
      <c r="QUF52" s="4"/>
      <c r="QUG52" s="4"/>
      <c r="QUH52" s="4"/>
      <c r="QUI52" s="4"/>
      <c r="QUJ52" s="4"/>
      <c r="QUK52" s="4"/>
      <c r="QUL52" s="4"/>
      <c r="QUM52" s="4"/>
      <c r="QUN52" s="4"/>
      <c r="QUO52" s="4"/>
      <c r="QUP52" s="4"/>
      <c r="QUQ52" s="4"/>
      <c r="QUR52" s="4"/>
      <c r="QUS52" s="4"/>
      <c r="QUT52" s="4"/>
      <c r="QUU52" s="4"/>
      <c r="QUV52" s="4"/>
      <c r="QUW52" s="4"/>
      <c r="QUX52" s="4"/>
      <c r="QUY52" s="4"/>
      <c r="QUZ52" s="4"/>
      <c r="QVA52" s="4"/>
      <c r="QVB52" s="4"/>
      <c r="QVC52" s="4"/>
      <c r="QVD52" s="4"/>
      <c r="QVE52" s="4"/>
      <c r="QVF52" s="4"/>
      <c r="QVG52" s="4"/>
      <c r="QVH52" s="4"/>
      <c r="QVI52" s="4"/>
      <c r="QVJ52" s="4"/>
      <c r="QVK52" s="4"/>
      <c r="QVL52" s="4"/>
      <c r="QVM52" s="4"/>
      <c r="QVN52" s="4"/>
      <c r="QVO52" s="4"/>
      <c r="QVP52" s="4"/>
      <c r="QVQ52" s="4"/>
      <c r="QVR52" s="4"/>
      <c r="QVS52" s="4"/>
      <c r="QVT52" s="4"/>
      <c r="QVU52" s="4"/>
      <c r="QVV52" s="4"/>
      <c r="QVW52" s="4"/>
      <c r="QVX52" s="4"/>
      <c r="QVY52" s="4"/>
      <c r="QVZ52" s="4"/>
      <c r="QWA52" s="4"/>
      <c r="QWB52" s="4"/>
      <c r="QWC52" s="4"/>
      <c r="QWD52" s="4"/>
      <c r="QWE52" s="4"/>
      <c r="QWF52" s="4"/>
      <c r="QWG52" s="4"/>
      <c r="QWH52" s="4"/>
      <c r="QWI52" s="4"/>
      <c r="QWJ52" s="4"/>
      <c r="QWK52" s="4"/>
      <c r="QWL52" s="4"/>
      <c r="QWM52" s="4"/>
      <c r="QWN52" s="4"/>
      <c r="QWO52" s="4"/>
      <c r="QWP52" s="4"/>
      <c r="QWQ52" s="4"/>
      <c r="QWR52" s="4"/>
      <c r="QWS52" s="4"/>
      <c r="QWT52" s="4"/>
      <c r="QWU52" s="4"/>
      <c r="QWV52" s="4"/>
      <c r="QWW52" s="4"/>
      <c r="QWX52" s="4"/>
      <c r="QWY52" s="4"/>
      <c r="QWZ52" s="4"/>
      <c r="QXA52" s="4"/>
      <c r="QXB52" s="4"/>
      <c r="QXC52" s="4"/>
      <c r="QXD52" s="4"/>
      <c r="QXE52" s="4"/>
      <c r="QXF52" s="4"/>
      <c r="QXG52" s="4"/>
      <c r="QXH52" s="4"/>
      <c r="QXI52" s="4"/>
      <c r="QXJ52" s="4"/>
      <c r="QXK52" s="4"/>
      <c r="QXL52" s="4"/>
      <c r="QXM52" s="4"/>
      <c r="QXN52" s="4"/>
      <c r="QXO52" s="4"/>
      <c r="QXP52" s="4"/>
      <c r="QXQ52" s="4"/>
      <c r="QXR52" s="4"/>
      <c r="QXS52" s="4"/>
      <c r="QXT52" s="4"/>
      <c r="QXU52" s="4"/>
      <c r="QXV52" s="4"/>
      <c r="QXW52" s="4"/>
      <c r="QXX52" s="4"/>
      <c r="QXY52" s="4"/>
      <c r="QXZ52" s="4"/>
      <c r="QYA52" s="4"/>
      <c r="QYB52" s="4"/>
      <c r="QYC52" s="4"/>
      <c r="QYD52" s="4"/>
      <c r="QYE52" s="4"/>
      <c r="QYF52" s="4"/>
      <c r="QYG52" s="4"/>
      <c r="QYH52" s="4"/>
      <c r="QYI52" s="4"/>
      <c r="QYJ52" s="4"/>
      <c r="QYK52" s="4"/>
      <c r="QYL52" s="4"/>
      <c r="QYM52" s="4"/>
      <c r="QYN52" s="4"/>
      <c r="QYO52" s="4"/>
      <c r="QYP52" s="4"/>
      <c r="QYQ52" s="4"/>
      <c r="QYR52" s="4"/>
      <c r="QYS52" s="4"/>
      <c r="QYT52" s="4"/>
      <c r="QYU52" s="4"/>
      <c r="QYV52" s="4"/>
      <c r="QYW52" s="4"/>
      <c r="QYX52" s="4"/>
      <c r="QYY52" s="4"/>
      <c r="QYZ52" s="4"/>
      <c r="QZA52" s="4"/>
      <c r="QZB52" s="4"/>
      <c r="QZC52" s="4"/>
      <c r="QZD52" s="4"/>
      <c r="QZE52" s="4"/>
      <c r="QZF52" s="4"/>
      <c r="QZG52" s="4"/>
      <c r="QZH52" s="4"/>
      <c r="QZI52" s="4"/>
      <c r="QZJ52" s="4"/>
      <c r="QZK52" s="4"/>
      <c r="QZL52" s="4"/>
      <c r="QZM52" s="4"/>
      <c r="QZN52" s="4"/>
      <c r="QZO52" s="4"/>
      <c r="QZP52" s="4"/>
      <c r="QZQ52" s="4"/>
      <c r="QZR52" s="4"/>
      <c r="QZS52" s="4"/>
      <c r="QZT52" s="4"/>
      <c r="QZU52" s="4"/>
      <c r="QZV52" s="4"/>
      <c r="QZW52" s="4"/>
      <c r="QZX52" s="4"/>
      <c r="QZY52" s="4"/>
      <c r="QZZ52" s="4"/>
      <c r="RAA52" s="4"/>
      <c r="RAB52" s="4"/>
      <c r="RAC52" s="4"/>
      <c r="RAD52" s="4"/>
      <c r="RAE52" s="4"/>
      <c r="RAF52" s="4"/>
      <c r="RAG52" s="4"/>
      <c r="RAH52" s="4"/>
      <c r="RAI52" s="4"/>
      <c r="RAJ52" s="4"/>
      <c r="RAK52" s="4"/>
      <c r="RAL52" s="4"/>
      <c r="RAM52" s="4"/>
      <c r="RAN52" s="4"/>
      <c r="RAO52" s="4"/>
      <c r="RAP52" s="4"/>
      <c r="RAQ52" s="4"/>
      <c r="RAR52" s="4"/>
      <c r="RAS52" s="4"/>
      <c r="RAT52" s="4"/>
      <c r="RAU52" s="4"/>
      <c r="RAV52" s="4"/>
      <c r="RAW52" s="4"/>
      <c r="RAX52" s="4"/>
      <c r="RAY52" s="4"/>
      <c r="RAZ52" s="4"/>
      <c r="RBA52" s="4"/>
      <c r="RBB52" s="4"/>
      <c r="RBC52" s="4"/>
      <c r="RBD52" s="4"/>
      <c r="RBE52" s="4"/>
      <c r="RBF52" s="4"/>
      <c r="RBG52" s="4"/>
      <c r="RBH52" s="4"/>
      <c r="RBI52" s="4"/>
      <c r="RBJ52" s="4"/>
      <c r="RBK52" s="4"/>
      <c r="RBL52" s="4"/>
      <c r="RBM52" s="4"/>
      <c r="RBN52" s="4"/>
      <c r="RBO52" s="4"/>
      <c r="RBP52" s="4"/>
      <c r="RBQ52" s="4"/>
      <c r="RBR52" s="4"/>
      <c r="RBS52" s="4"/>
      <c r="RBT52" s="4"/>
      <c r="RBU52" s="4"/>
      <c r="RBV52" s="4"/>
      <c r="RBW52" s="4"/>
      <c r="RBX52" s="4"/>
      <c r="RBY52" s="4"/>
      <c r="RBZ52" s="4"/>
      <c r="RCA52" s="4"/>
      <c r="RCB52" s="4"/>
      <c r="RCC52" s="4"/>
      <c r="RCD52" s="4"/>
      <c r="RCE52" s="4"/>
      <c r="RCF52" s="4"/>
      <c r="RCG52" s="4"/>
      <c r="RCH52" s="4"/>
      <c r="RCI52" s="4"/>
      <c r="RCJ52" s="4"/>
      <c r="RCK52" s="4"/>
      <c r="RCL52" s="4"/>
      <c r="RCM52" s="4"/>
      <c r="RCN52" s="4"/>
      <c r="RCO52" s="4"/>
      <c r="RCP52" s="4"/>
      <c r="RCQ52" s="4"/>
      <c r="RCR52" s="4"/>
      <c r="RCS52" s="4"/>
      <c r="RCT52" s="4"/>
      <c r="RCU52" s="4"/>
      <c r="RCV52" s="4"/>
      <c r="RCW52" s="4"/>
      <c r="RCX52" s="4"/>
      <c r="RCY52" s="4"/>
      <c r="RCZ52" s="4"/>
      <c r="RDA52" s="4"/>
      <c r="RDB52" s="4"/>
      <c r="RDC52" s="4"/>
      <c r="RDD52" s="4"/>
      <c r="RDE52" s="4"/>
      <c r="RDF52" s="4"/>
      <c r="RDG52" s="4"/>
      <c r="RDH52" s="4"/>
      <c r="RDI52" s="4"/>
      <c r="RDJ52" s="4"/>
      <c r="RDK52" s="4"/>
      <c r="RDL52" s="4"/>
      <c r="RDM52" s="4"/>
      <c r="RDN52" s="4"/>
      <c r="RDO52" s="4"/>
      <c r="RDP52" s="4"/>
      <c r="RDQ52" s="4"/>
      <c r="RDR52" s="4"/>
      <c r="RDS52" s="4"/>
      <c r="RDT52" s="4"/>
      <c r="RDU52" s="4"/>
      <c r="RDV52" s="4"/>
      <c r="RDW52" s="4"/>
      <c r="RDX52" s="4"/>
      <c r="RDY52" s="4"/>
      <c r="RDZ52" s="4"/>
      <c r="REA52" s="4"/>
      <c r="REB52" s="4"/>
      <c r="REC52" s="4"/>
      <c r="RED52" s="4"/>
      <c r="REE52" s="4"/>
      <c r="REF52" s="4"/>
      <c r="REG52" s="4"/>
      <c r="REH52" s="4"/>
      <c r="REI52" s="4"/>
      <c r="REJ52" s="4"/>
      <c r="REK52" s="4"/>
      <c r="REL52" s="4"/>
      <c r="REM52" s="4"/>
      <c r="REN52" s="4"/>
      <c r="REO52" s="4"/>
      <c r="REP52" s="4"/>
      <c r="REQ52" s="4"/>
      <c r="RER52" s="4"/>
      <c r="RES52" s="4"/>
      <c r="RET52" s="4"/>
      <c r="REU52" s="4"/>
      <c r="REV52" s="4"/>
      <c r="REW52" s="4"/>
      <c r="REX52" s="4"/>
      <c r="REY52" s="4"/>
      <c r="REZ52" s="4"/>
      <c r="RFA52" s="4"/>
      <c r="RFB52" s="4"/>
      <c r="RFC52" s="4"/>
      <c r="RFD52" s="4"/>
      <c r="RFE52" s="4"/>
      <c r="RFF52" s="4"/>
      <c r="RFG52" s="4"/>
      <c r="RFH52" s="4"/>
      <c r="RFI52" s="4"/>
      <c r="RFJ52" s="4"/>
      <c r="RFK52" s="4"/>
      <c r="RFL52" s="4"/>
      <c r="RFM52" s="4"/>
      <c r="RFN52" s="4"/>
      <c r="RFO52" s="4"/>
      <c r="RFP52" s="4"/>
      <c r="RFQ52" s="4"/>
      <c r="RFR52" s="4"/>
      <c r="RFS52" s="4"/>
      <c r="RFT52" s="4"/>
      <c r="RFU52" s="4"/>
      <c r="RFV52" s="4"/>
      <c r="RFW52" s="4"/>
      <c r="RFX52" s="4"/>
      <c r="RFY52" s="4"/>
      <c r="RFZ52" s="4"/>
      <c r="RGA52" s="4"/>
      <c r="RGB52" s="4"/>
      <c r="RGC52" s="4"/>
      <c r="RGD52" s="4"/>
      <c r="RGE52" s="4"/>
      <c r="RGF52" s="4"/>
      <c r="RGG52" s="4"/>
      <c r="RGH52" s="4"/>
      <c r="RGI52" s="4"/>
      <c r="RGJ52" s="4"/>
      <c r="RGK52" s="4"/>
      <c r="RGL52" s="4"/>
      <c r="RGM52" s="4"/>
      <c r="RGN52" s="4"/>
      <c r="RGO52" s="4"/>
      <c r="RGP52" s="4"/>
      <c r="RGQ52" s="4"/>
      <c r="RGR52" s="4"/>
      <c r="RGS52" s="4"/>
      <c r="RGT52" s="4"/>
      <c r="RGU52" s="4"/>
      <c r="RGV52" s="4"/>
      <c r="RGW52" s="4"/>
      <c r="RGX52" s="4"/>
      <c r="RGY52" s="4"/>
      <c r="RGZ52" s="4"/>
      <c r="RHA52" s="4"/>
      <c r="RHB52" s="4"/>
      <c r="RHC52" s="4"/>
      <c r="RHD52" s="4"/>
      <c r="RHE52" s="4"/>
      <c r="RHF52" s="4"/>
      <c r="RHG52" s="4"/>
      <c r="RHH52" s="4"/>
      <c r="RHI52" s="4"/>
      <c r="RHJ52" s="4"/>
      <c r="RHK52" s="4"/>
      <c r="RHL52" s="4"/>
      <c r="RHM52" s="4"/>
      <c r="RHN52" s="4"/>
      <c r="RHO52" s="4"/>
      <c r="RHP52" s="4"/>
      <c r="RHQ52" s="4"/>
      <c r="RHR52" s="4"/>
      <c r="RHS52" s="4"/>
      <c r="RHT52" s="4"/>
      <c r="RHU52" s="4"/>
      <c r="RHV52" s="4"/>
      <c r="RHW52" s="4"/>
      <c r="RHX52" s="4"/>
      <c r="RHY52" s="4"/>
      <c r="RHZ52" s="4"/>
      <c r="RIA52" s="4"/>
      <c r="RIB52" s="4"/>
      <c r="RIC52" s="4"/>
      <c r="RID52" s="4"/>
      <c r="RIE52" s="4"/>
      <c r="RIF52" s="4"/>
      <c r="RIG52" s="4"/>
      <c r="RIH52" s="4"/>
      <c r="RII52" s="4"/>
      <c r="RIJ52" s="4"/>
      <c r="RIK52" s="4"/>
      <c r="RIL52" s="4"/>
      <c r="RIM52" s="4"/>
      <c r="RIN52" s="4"/>
      <c r="RIO52" s="4"/>
      <c r="RIP52" s="4"/>
      <c r="RIQ52" s="4"/>
      <c r="RIR52" s="4"/>
      <c r="RIS52" s="4"/>
      <c r="RIT52" s="4"/>
      <c r="RIU52" s="4"/>
      <c r="RIV52" s="4"/>
      <c r="RIW52" s="4"/>
      <c r="RIX52" s="4"/>
      <c r="RIY52" s="4"/>
      <c r="RIZ52" s="4"/>
      <c r="RJA52" s="4"/>
      <c r="RJB52" s="4"/>
      <c r="RJC52" s="4"/>
      <c r="RJD52" s="4"/>
      <c r="RJE52" s="4"/>
      <c r="RJF52" s="4"/>
      <c r="RJG52" s="4"/>
      <c r="RJH52" s="4"/>
      <c r="RJI52" s="4"/>
      <c r="RJJ52" s="4"/>
      <c r="RJK52" s="4"/>
      <c r="RJL52" s="4"/>
      <c r="RJM52" s="4"/>
      <c r="RJN52" s="4"/>
      <c r="RJO52" s="4"/>
      <c r="RJP52" s="4"/>
      <c r="RJQ52" s="4"/>
      <c r="RJR52" s="4"/>
      <c r="RJS52" s="4"/>
      <c r="RJT52" s="4"/>
      <c r="RJU52" s="4"/>
      <c r="RJV52" s="4"/>
      <c r="RJW52" s="4"/>
      <c r="RJX52" s="4"/>
      <c r="RJY52" s="4"/>
      <c r="RJZ52" s="4"/>
      <c r="RKA52" s="4"/>
      <c r="RKB52" s="4"/>
      <c r="RKC52" s="4"/>
      <c r="RKD52" s="4"/>
      <c r="RKE52" s="4"/>
      <c r="RKF52" s="4"/>
      <c r="RKG52" s="4"/>
      <c r="RKH52" s="4"/>
      <c r="RKI52" s="4"/>
      <c r="RKJ52" s="4"/>
      <c r="RKK52" s="4"/>
      <c r="RKL52" s="4"/>
      <c r="RKM52" s="4"/>
      <c r="RKN52" s="4"/>
      <c r="RKO52" s="4"/>
      <c r="RKP52" s="4"/>
      <c r="RKQ52" s="4"/>
      <c r="RKR52" s="4"/>
      <c r="RKS52" s="4"/>
      <c r="RKT52" s="4"/>
      <c r="RKU52" s="4"/>
      <c r="RKV52" s="4"/>
      <c r="RKW52" s="4"/>
      <c r="RKX52" s="4"/>
      <c r="RKY52" s="4"/>
      <c r="RKZ52" s="4"/>
      <c r="RLA52" s="4"/>
      <c r="RLB52" s="4"/>
      <c r="RLC52" s="4"/>
      <c r="RLD52" s="4"/>
      <c r="RLE52" s="4"/>
      <c r="RLF52" s="4"/>
      <c r="RLG52" s="4"/>
      <c r="RLH52" s="4"/>
      <c r="RLI52" s="4"/>
      <c r="RLJ52" s="4"/>
      <c r="RLK52" s="4"/>
      <c r="RLL52" s="4"/>
      <c r="RLM52" s="4"/>
      <c r="RLN52" s="4"/>
      <c r="RLO52" s="4"/>
      <c r="RLP52" s="4"/>
      <c r="RLQ52" s="4"/>
      <c r="RLR52" s="4"/>
      <c r="RLS52" s="4"/>
      <c r="RLT52" s="4"/>
      <c r="RLU52" s="4"/>
      <c r="RLV52" s="4"/>
      <c r="RLW52" s="4"/>
      <c r="RLX52" s="4"/>
      <c r="RLY52" s="4"/>
      <c r="RLZ52" s="4"/>
      <c r="RMA52" s="4"/>
      <c r="RMB52" s="4"/>
      <c r="RMC52" s="4"/>
      <c r="RMD52" s="4"/>
      <c r="RME52" s="4"/>
      <c r="RMF52" s="4"/>
      <c r="RMG52" s="4"/>
      <c r="RMH52" s="4"/>
      <c r="RMI52" s="4"/>
      <c r="RMJ52" s="4"/>
      <c r="RMK52" s="4"/>
      <c r="RML52" s="4"/>
      <c r="RMM52" s="4"/>
      <c r="RMN52" s="4"/>
      <c r="RMO52" s="4"/>
      <c r="RMP52" s="4"/>
      <c r="RMQ52" s="4"/>
      <c r="RMR52" s="4"/>
      <c r="RMS52" s="4"/>
      <c r="RMT52" s="4"/>
      <c r="RMU52" s="4"/>
      <c r="RMV52" s="4"/>
      <c r="RMW52" s="4"/>
      <c r="RMX52" s="4"/>
      <c r="RMY52" s="4"/>
      <c r="RMZ52" s="4"/>
      <c r="RNA52" s="4"/>
      <c r="RNB52" s="4"/>
      <c r="RNC52" s="4"/>
      <c r="RND52" s="4"/>
      <c r="RNE52" s="4"/>
      <c r="RNF52" s="4"/>
      <c r="RNG52" s="4"/>
      <c r="RNH52" s="4"/>
      <c r="RNI52" s="4"/>
      <c r="RNJ52" s="4"/>
      <c r="RNK52" s="4"/>
      <c r="RNL52" s="4"/>
      <c r="RNM52" s="4"/>
      <c r="RNN52" s="4"/>
      <c r="RNO52" s="4"/>
      <c r="RNP52" s="4"/>
      <c r="RNQ52" s="4"/>
      <c r="RNR52" s="4"/>
      <c r="RNS52" s="4"/>
      <c r="RNT52" s="4"/>
      <c r="RNU52" s="4"/>
      <c r="RNV52" s="4"/>
      <c r="RNW52" s="4"/>
      <c r="RNX52" s="4"/>
      <c r="RNY52" s="4"/>
      <c r="RNZ52" s="4"/>
      <c r="ROA52" s="4"/>
      <c r="ROB52" s="4"/>
      <c r="ROC52" s="4"/>
      <c r="ROD52" s="4"/>
      <c r="ROE52" s="4"/>
      <c r="ROF52" s="4"/>
      <c r="ROG52" s="4"/>
      <c r="ROH52" s="4"/>
      <c r="ROI52" s="4"/>
      <c r="ROJ52" s="4"/>
      <c r="ROK52" s="4"/>
      <c r="ROL52" s="4"/>
      <c r="ROM52" s="4"/>
      <c r="RON52" s="4"/>
      <c r="ROO52" s="4"/>
      <c r="ROP52" s="4"/>
      <c r="ROQ52" s="4"/>
      <c r="ROR52" s="4"/>
      <c r="ROS52" s="4"/>
      <c r="ROT52" s="4"/>
      <c r="ROU52" s="4"/>
      <c r="ROV52" s="4"/>
      <c r="ROW52" s="4"/>
      <c r="ROX52" s="4"/>
      <c r="ROY52" s="4"/>
      <c r="ROZ52" s="4"/>
      <c r="RPA52" s="4"/>
      <c r="RPB52" s="4"/>
      <c r="RPC52" s="4"/>
      <c r="RPD52" s="4"/>
      <c r="RPE52" s="4"/>
      <c r="RPF52" s="4"/>
      <c r="RPG52" s="4"/>
      <c r="RPH52" s="4"/>
      <c r="RPI52" s="4"/>
      <c r="RPJ52" s="4"/>
      <c r="RPK52" s="4"/>
      <c r="RPL52" s="4"/>
      <c r="RPM52" s="4"/>
      <c r="RPN52" s="4"/>
      <c r="RPO52" s="4"/>
      <c r="RPP52" s="4"/>
      <c r="RPQ52" s="4"/>
      <c r="RPR52" s="4"/>
      <c r="RPS52" s="4"/>
      <c r="RPT52" s="4"/>
      <c r="RPU52" s="4"/>
      <c r="RPV52" s="4"/>
      <c r="RPW52" s="4"/>
      <c r="RPX52" s="4"/>
      <c r="RPY52" s="4"/>
      <c r="RPZ52" s="4"/>
      <c r="RQA52" s="4"/>
      <c r="RQB52" s="4"/>
      <c r="RQC52" s="4"/>
      <c r="RQD52" s="4"/>
      <c r="RQE52" s="4"/>
      <c r="RQF52" s="4"/>
      <c r="RQG52" s="4"/>
      <c r="RQH52" s="4"/>
      <c r="RQI52" s="4"/>
      <c r="RQJ52" s="4"/>
      <c r="RQK52" s="4"/>
      <c r="RQL52" s="4"/>
      <c r="RQM52" s="4"/>
      <c r="RQN52" s="4"/>
      <c r="RQO52" s="4"/>
      <c r="RQP52" s="4"/>
      <c r="RQQ52" s="4"/>
      <c r="RQR52" s="4"/>
      <c r="RQS52" s="4"/>
      <c r="RQT52" s="4"/>
      <c r="RQU52" s="4"/>
      <c r="RQV52" s="4"/>
      <c r="RQW52" s="4"/>
      <c r="RQX52" s="4"/>
      <c r="RQY52" s="4"/>
      <c r="RQZ52" s="4"/>
      <c r="RRA52" s="4"/>
      <c r="RRB52" s="4"/>
      <c r="RRC52" s="4"/>
      <c r="RRD52" s="4"/>
      <c r="RRE52" s="4"/>
      <c r="RRF52" s="4"/>
      <c r="RRG52" s="4"/>
      <c r="RRH52" s="4"/>
      <c r="RRI52" s="4"/>
      <c r="RRJ52" s="4"/>
      <c r="RRK52" s="4"/>
      <c r="RRL52" s="4"/>
      <c r="RRM52" s="4"/>
      <c r="RRN52" s="4"/>
      <c r="RRO52" s="4"/>
      <c r="RRP52" s="4"/>
      <c r="RRQ52" s="4"/>
      <c r="RRR52" s="4"/>
      <c r="RRS52" s="4"/>
      <c r="RRT52" s="4"/>
      <c r="RRU52" s="4"/>
      <c r="RRV52" s="4"/>
      <c r="RRW52" s="4"/>
      <c r="RRX52" s="4"/>
      <c r="RRY52" s="4"/>
      <c r="RRZ52" s="4"/>
      <c r="RSA52" s="4"/>
      <c r="RSB52" s="4"/>
      <c r="RSC52" s="4"/>
      <c r="RSD52" s="4"/>
      <c r="RSE52" s="4"/>
      <c r="RSF52" s="4"/>
      <c r="RSG52" s="4"/>
      <c r="RSH52" s="4"/>
      <c r="RSI52" s="4"/>
      <c r="RSJ52" s="4"/>
      <c r="RSK52" s="4"/>
      <c r="RSL52" s="4"/>
      <c r="RSM52" s="4"/>
      <c r="RSN52" s="4"/>
      <c r="RSO52" s="4"/>
      <c r="RSP52" s="4"/>
      <c r="RSQ52" s="4"/>
      <c r="RSR52" s="4"/>
      <c r="RSS52" s="4"/>
      <c r="RST52" s="4"/>
      <c r="RSU52" s="4"/>
      <c r="RSV52" s="4"/>
      <c r="RSW52" s="4"/>
      <c r="RSX52" s="4"/>
      <c r="RSY52" s="4"/>
      <c r="RSZ52" s="4"/>
      <c r="RTA52" s="4"/>
      <c r="RTB52" s="4"/>
      <c r="RTC52" s="4"/>
      <c r="RTD52" s="4"/>
      <c r="RTE52" s="4"/>
      <c r="RTF52" s="4"/>
      <c r="RTG52" s="4"/>
      <c r="RTH52" s="4"/>
      <c r="RTI52" s="4"/>
      <c r="RTJ52" s="4"/>
      <c r="RTK52" s="4"/>
      <c r="RTL52" s="4"/>
      <c r="RTM52" s="4"/>
      <c r="RTN52" s="4"/>
      <c r="RTO52" s="4"/>
      <c r="RTP52" s="4"/>
      <c r="RTQ52" s="4"/>
      <c r="RTR52" s="4"/>
      <c r="RTS52" s="4"/>
      <c r="RTT52" s="4"/>
      <c r="RTU52" s="4"/>
      <c r="RTV52" s="4"/>
      <c r="RTW52" s="4"/>
      <c r="RTX52" s="4"/>
      <c r="RTY52" s="4"/>
      <c r="RTZ52" s="4"/>
      <c r="RUA52" s="4"/>
      <c r="RUB52" s="4"/>
      <c r="RUC52" s="4"/>
      <c r="RUD52" s="4"/>
      <c r="RUE52" s="4"/>
      <c r="RUF52" s="4"/>
      <c r="RUG52" s="4"/>
      <c r="RUH52" s="4"/>
      <c r="RUI52" s="4"/>
      <c r="RUJ52" s="4"/>
      <c r="RUK52" s="4"/>
      <c r="RUL52" s="4"/>
      <c r="RUM52" s="4"/>
      <c r="RUN52" s="4"/>
      <c r="RUO52" s="4"/>
      <c r="RUP52" s="4"/>
      <c r="RUQ52" s="4"/>
      <c r="RUR52" s="4"/>
      <c r="RUS52" s="4"/>
      <c r="RUT52" s="4"/>
      <c r="RUU52" s="4"/>
      <c r="RUV52" s="4"/>
      <c r="RUW52" s="4"/>
      <c r="RUX52" s="4"/>
      <c r="RUY52" s="4"/>
      <c r="RUZ52" s="4"/>
      <c r="RVA52" s="4"/>
      <c r="RVB52" s="4"/>
      <c r="RVC52" s="4"/>
      <c r="RVD52" s="4"/>
      <c r="RVE52" s="4"/>
      <c r="RVF52" s="4"/>
      <c r="RVG52" s="4"/>
      <c r="RVH52" s="4"/>
      <c r="RVI52" s="4"/>
      <c r="RVJ52" s="4"/>
      <c r="RVK52" s="4"/>
      <c r="RVL52" s="4"/>
      <c r="RVM52" s="4"/>
      <c r="RVN52" s="4"/>
      <c r="RVO52" s="4"/>
      <c r="RVP52" s="4"/>
      <c r="RVQ52" s="4"/>
      <c r="RVR52" s="4"/>
      <c r="RVS52" s="4"/>
      <c r="RVT52" s="4"/>
      <c r="RVU52" s="4"/>
      <c r="RVV52" s="4"/>
      <c r="RVW52" s="4"/>
      <c r="RVX52" s="4"/>
      <c r="RVY52" s="4"/>
      <c r="RVZ52" s="4"/>
      <c r="RWA52" s="4"/>
      <c r="RWB52" s="4"/>
      <c r="RWC52" s="4"/>
      <c r="RWD52" s="4"/>
      <c r="RWE52" s="4"/>
      <c r="RWF52" s="4"/>
      <c r="RWG52" s="4"/>
      <c r="RWH52" s="4"/>
      <c r="RWI52" s="4"/>
      <c r="RWJ52" s="4"/>
      <c r="RWK52" s="4"/>
      <c r="RWL52" s="4"/>
      <c r="RWM52" s="4"/>
      <c r="RWN52" s="4"/>
      <c r="RWO52" s="4"/>
      <c r="RWP52" s="4"/>
      <c r="RWQ52" s="4"/>
      <c r="RWR52" s="4"/>
      <c r="RWS52" s="4"/>
      <c r="RWT52" s="4"/>
      <c r="RWU52" s="4"/>
      <c r="RWV52" s="4"/>
      <c r="RWW52" s="4"/>
      <c r="RWX52" s="4"/>
      <c r="RWY52" s="4"/>
      <c r="RWZ52" s="4"/>
      <c r="RXA52" s="4"/>
      <c r="RXB52" s="4"/>
      <c r="RXC52" s="4"/>
      <c r="RXD52" s="4"/>
      <c r="RXE52" s="4"/>
      <c r="RXF52" s="4"/>
      <c r="RXG52" s="4"/>
      <c r="RXH52" s="4"/>
      <c r="RXI52" s="4"/>
      <c r="RXJ52" s="4"/>
      <c r="RXK52" s="4"/>
      <c r="RXL52" s="4"/>
      <c r="RXM52" s="4"/>
      <c r="RXN52" s="4"/>
      <c r="RXO52" s="4"/>
      <c r="RXP52" s="4"/>
      <c r="RXQ52" s="4"/>
      <c r="RXR52" s="4"/>
      <c r="RXS52" s="4"/>
      <c r="RXT52" s="4"/>
      <c r="RXU52" s="4"/>
      <c r="RXV52" s="4"/>
      <c r="RXW52" s="4"/>
      <c r="RXX52" s="4"/>
      <c r="RXY52" s="4"/>
      <c r="RXZ52" s="4"/>
      <c r="RYA52" s="4"/>
      <c r="RYB52" s="4"/>
      <c r="RYC52" s="4"/>
      <c r="RYD52" s="4"/>
      <c r="RYE52" s="4"/>
      <c r="RYF52" s="4"/>
      <c r="RYG52" s="4"/>
      <c r="RYH52" s="4"/>
      <c r="RYI52" s="4"/>
      <c r="RYJ52" s="4"/>
      <c r="RYK52" s="4"/>
      <c r="RYL52" s="4"/>
      <c r="RYM52" s="4"/>
      <c r="RYN52" s="4"/>
      <c r="RYO52" s="4"/>
      <c r="RYP52" s="4"/>
      <c r="RYQ52" s="4"/>
      <c r="RYR52" s="4"/>
      <c r="RYS52" s="4"/>
      <c r="RYT52" s="4"/>
      <c r="RYU52" s="4"/>
      <c r="RYV52" s="4"/>
      <c r="RYW52" s="4"/>
      <c r="RYX52" s="4"/>
      <c r="RYY52" s="4"/>
      <c r="RYZ52" s="4"/>
      <c r="RZA52" s="4"/>
      <c r="RZB52" s="4"/>
      <c r="RZC52" s="4"/>
      <c r="RZD52" s="4"/>
      <c r="RZE52" s="4"/>
      <c r="RZF52" s="4"/>
      <c r="RZG52" s="4"/>
      <c r="RZH52" s="4"/>
      <c r="RZI52" s="4"/>
      <c r="RZJ52" s="4"/>
      <c r="RZK52" s="4"/>
      <c r="RZL52" s="4"/>
      <c r="RZM52" s="4"/>
      <c r="RZN52" s="4"/>
      <c r="RZO52" s="4"/>
      <c r="RZP52" s="4"/>
      <c r="RZQ52" s="4"/>
      <c r="RZR52" s="4"/>
      <c r="RZS52" s="4"/>
      <c r="RZT52" s="4"/>
      <c r="RZU52" s="4"/>
      <c r="RZV52" s="4"/>
      <c r="RZW52" s="4"/>
      <c r="RZX52" s="4"/>
      <c r="RZY52" s="4"/>
      <c r="RZZ52" s="4"/>
      <c r="SAA52" s="4"/>
      <c r="SAB52" s="4"/>
      <c r="SAC52" s="4"/>
      <c r="SAD52" s="4"/>
      <c r="SAE52" s="4"/>
      <c r="SAF52" s="4"/>
      <c r="SAG52" s="4"/>
      <c r="SAH52" s="4"/>
      <c r="SAI52" s="4"/>
      <c r="SAJ52" s="4"/>
      <c r="SAK52" s="4"/>
      <c r="SAL52" s="4"/>
      <c r="SAM52" s="4"/>
      <c r="SAN52" s="4"/>
      <c r="SAO52" s="4"/>
      <c r="SAP52" s="4"/>
      <c r="SAQ52" s="4"/>
      <c r="SAR52" s="4"/>
      <c r="SAS52" s="4"/>
      <c r="SAT52" s="4"/>
      <c r="SAU52" s="4"/>
      <c r="SAV52" s="4"/>
      <c r="SAW52" s="4"/>
      <c r="SAX52" s="4"/>
      <c r="SAY52" s="4"/>
      <c r="SAZ52" s="4"/>
      <c r="SBA52" s="4"/>
      <c r="SBB52" s="4"/>
      <c r="SBC52" s="4"/>
      <c r="SBD52" s="4"/>
      <c r="SBE52" s="4"/>
      <c r="SBF52" s="4"/>
      <c r="SBG52" s="4"/>
      <c r="SBH52" s="4"/>
      <c r="SBI52" s="4"/>
      <c r="SBJ52" s="4"/>
      <c r="SBK52" s="4"/>
      <c r="SBL52" s="4"/>
      <c r="SBM52" s="4"/>
      <c r="SBN52" s="4"/>
      <c r="SBO52" s="4"/>
      <c r="SBP52" s="4"/>
      <c r="SBQ52" s="4"/>
      <c r="SBR52" s="4"/>
      <c r="SBS52" s="4"/>
      <c r="SBT52" s="4"/>
      <c r="SBU52" s="4"/>
      <c r="SBV52" s="4"/>
      <c r="SBW52" s="4"/>
      <c r="SBX52" s="4"/>
      <c r="SBY52" s="4"/>
      <c r="SBZ52" s="4"/>
      <c r="SCA52" s="4"/>
      <c r="SCB52" s="4"/>
      <c r="SCC52" s="4"/>
      <c r="SCD52" s="4"/>
      <c r="SCE52" s="4"/>
      <c r="SCF52" s="4"/>
      <c r="SCG52" s="4"/>
      <c r="SCH52" s="4"/>
      <c r="SCI52" s="4"/>
      <c r="SCJ52" s="4"/>
      <c r="SCK52" s="4"/>
      <c r="SCL52" s="4"/>
      <c r="SCM52" s="4"/>
      <c r="SCN52" s="4"/>
      <c r="SCO52" s="4"/>
      <c r="SCP52" s="4"/>
      <c r="SCQ52" s="4"/>
      <c r="SCR52" s="4"/>
      <c r="SCS52" s="4"/>
      <c r="SCT52" s="4"/>
      <c r="SCU52" s="4"/>
      <c r="SCV52" s="4"/>
      <c r="SCW52" s="4"/>
      <c r="SCX52" s="4"/>
      <c r="SCY52" s="4"/>
      <c r="SCZ52" s="4"/>
      <c r="SDA52" s="4"/>
      <c r="SDB52" s="4"/>
      <c r="SDC52" s="4"/>
      <c r="SDD52" s="4"/>
      <c r="SDE52" s="4"/>
      <c r="SDF52" s="4"/>
      <c r="SDG52" s="4"/>
      <c r="SDH52" s="4"/>
      <c r="SDI52" s="4"/>
      <c r="SDJ52" s="4"/>
      <c r="SDK52" s="4"/>
      <c r="SDL52" s="4"/>
      <c r="SDM52" s="4"/>
      <c r="SDN52" s="4"/>
      <c r="SDO52" s="4"/>
      <c r="SDP52" s="4"/>
      <c r="SDQ52" s="4"/>
      <c r="SDR52" s="4"/>
      <c r="SDS52" s="4"/>
      <c r="SDT52" s="4"/>
      <c r="SDU52" s="4"/>
      <c r="SDV52" s="4"/>
      <c r="SDW52" s="4"/>
      <c r="SDX52" s="4"/>
      <c r="SDY52" s="4"/>
      <c r="SDZ52" s="4"/>
      <c r="SEA52" s="4"/>
      <c r="SEB52" s="4"/>
      <c r="SEC52" s="4"/>
      <c r="SED52" s="4"/>
      <c r="SEE52" s="4"/>
      <c r="SEF52" s="4"/>
      <c r="SEG52" s="4"/>
      <c r="SEH52" s="4"/>
      <c r="SEI52" s="4"/>
      <c r="SEJ52" s="4"/>
      <c r="SEK52" s="4"/>
      <c r="SEL52" s="4"/>
      <c r="SEM52" s="4"/>
      <c r="SEN52" s="4"/>
      <c r="SEO52" s="4"/>
      <c r="SEP52" s="4"/>
      <c r="SEQ52" s="4"/>
      <c r="SER52" s="4"/>
      <c r="SES52" s="4"/>
      <c r="SET52" s="4"/>
      <c r="SEU52" s="4"/>
      <c r="SEV52" s="4"/>
      <c r="SEW52" s="4"/>
      <c r="SEX52" s="4"/>
      <c r="SEY52" s="4"/>
      <c r="SEZ52" s="4"/>
      <c r="SFA52" s="4"/>
      <c r="SFB52" s="4"/>
      <c r="SFC52" s="4"/>
      <c r="SFD52" s="4"/>
      <c r="SFE52" s="4"/>
      <c r="SFF52" s="4"/>
      <c r="SFG52" s="4"/>
      <c r="SFH52" s="4"/>
      <c r="SFI52" s="4"/>
      <c r="SFJ52" s="4"/>
      <c r="SFK52" s="4"/>
      <c r="SFL52" s="4"/>
      <c r="SFM52" s="4"/>
      <c r="SFN52" s="4"/>
      <c r="SFO52" s="4"/>
      <c r="SFP52" s="4"/>
      <c r="SFQ52" s="4"/>
      <c r="SFR52" s="4"/>
      <c r="SFS52" s="4"/>
      <c r="SFT52" s="4"/>
      <c r="SFU52" s="4"/>
      <c r="SFV52" s="4"/>
      <c r="SFW52" s="4"/>
      <c r="SFX52" s="4"/>
      <c r="SFY52" s="4"/>
      <c r="SFZ52" s="4"/>
      <c r="SGA52" s="4"/>
      <c r="SGB52" s="4"/>
      <c r="SGC52" s="4"/>
      <c r="SGD52" s="4"/>
      <c r="SGE52" s="4"/>
      <c r="SGF52" s="4"/>
      <c r="SGG52" s="4"/>
      <c r="SGH52" s="4"/>
      <c r="SGI52" s="4"/>
      <c r="SGJ52" s="4"/>
      <c r="SGK52" s="4"/>
      <c r="SGL52" s="4"/>
      <c r="SGM52" s="4"/>
      <c r="SGN52" s="4"/>
      <c r="SGO52" s="4"/>
      <c r="SGP52" s="4"/>
      <c r="SGQ52" s="4"/>
      <c r="SGR52" s="4"/>
      <c r="SGS52" s="4"/>
      <c r="SGT52" s="4"/>
      <c r="SGU52" s="4"/>
      <c r="SGV52" s="4"/>
      <c r="SGW52" s="4"/>
      <c r="SGX52" s="4"/>
      <c r="SGY52" s="4"/>
      <c r="SGZ52" s="4"/>
      <c r="SHA52" s="4"/>
      <c r="SHB52" s="4"/>
      <c r="SHC52" s="4"/>
      <c r="SHD52" s="4"/>
      <c r="SHE52" s="4"/>
      <c r="SHF52" s="4"/>
      <c r="SHG52" s="4"/>
      <c r="SHH52" s="4"/>
      <c r="SHI52" s="4"/>
      <c r="SHJ52" s="4"/>
      <c r="SHK52" s="4"/>
      <c r="SHL52" s="4"/>
      <c r="SHM52" s="4"/>
      <c r="SHN52" s="4"/>
      <c r="SHO52" s="4"/>
      <c r="SHP52" s="4"/>
      <c r="SHQ52" s="4"/>
      <c r="SHR52" s="4"/>
      <c r="SHS52" s="4"/>
      <c r="SHT52" s="4"/>
      <c r="SHU52" s="4"/>
      <c r="SHV52" s="4"/>
      <c r="SHW52" s="4"/>
      <c r="SHX52" s="4"/>
      <c r="SHY52" s="4"/>
      <c r="SHZ52" s="4"/>
      <c r="SIA52" s="4"/>
      <c r="SIB52" s="4"/>
      <c r="SIC52" s="4"/>
      <c r="SID52" s="4"/>
      <c r="SIE52" s="4"/>
      <c r="SIF52" s="4"/>
      <c r="SIG52" s="4"/>
      <c r="SIH52" s="4"/>
      <c r="SII52" s="4"/>
      <c r="SIJ52" s="4"/>
      <c r="SIK52" s="4"/>
      <c r="SIL52" s="4"/>
      <c r="SIM52" s="4"/>
      <c r="SIN52" s="4"/>
      <c r="SIO52" s="4"/>
      <c r="SIP52" s="4"/>
      <c r="SIQ52" s="4"/>
      <c r="SIR52" s="4"/>
      <c r="SIS52" s="4"/>
      <c r="SIT52" s="4"/>
      <c r="SIU52" s="4"/>
      <c r="SIV52" s="4"/>
      <c r="SIW52" s="4"/>
      <c r="SIX52" s="4"/>
      <c r="SIY52" s="4"/>
      <c r="SIZ52" s="4"/>
      <c r="SJA52" s="4"/>
      <c r="SJB52" s="4"/>
      <c r="SJC52" s="4"/>
      <c r="SJD52" s="4"/>
      <c r="SJE52" s="4"/>
      <c r="SJF52" s="4"/>
      <c r="SJG52" s="4"/>
      <c r="SJH52" s="4"/>
      <c r="SJI52" s="4"/>
      <c r="SJJ52" s="4"/>
      <c r="SJK52" s="4"/>
      <c r="SJL52" s="4"/>
      <c r="SJM52" s="4"/>
      <c r="SJN52" s="4"/>
      <c r="SJO52" s="4"/>
      <c r="SJP52" s="4"/>
      <c r="SJQ52" s="4"/>
      <c r="SJR52" s="4"/>
      <c r="SJS52" s="4"/>
      <c r="SJT52" s="4"/>
      <c r="SJU52" s="4"/>
      <c r="SJV52" s="4"/>
      <c r="SJW52" s="4"/>
      <c r="SJX52" s="4"/>
      <c r="SJY52" s="4"/>
      <c r="SJZ52" s="4"/>
      <c r="SKA52" s="4"/>
      <c r="SKB52" s="4"/>
      <c r="SKC52" s="4"/>
      <c r="SKD52" s="4"/>
      <c r="SKE52" s="4"/>
      <c r="SKF52" s="4"/>
      <c r="SKG52" s="4"/>
      <c r="SKH52" s="4"/>
      <c r="SKI52" s="4"/>
      <c r="SKJ52" s="4"/>
      <c r="SKK52" s="4"/>
      <c r="SKL52" s="4"/>
      <c r="SKM52" s="4"/>
      <c r="SKN52" s="4"/>
      <c r="SKO52" s="4"/>
      <c r="SKP52" s="4"/>
      <c r="SKQ52" s="4"/>
      <c r="SKR52" s="4"/>
      <c r="SKS52" s="4"/>
      <c r="SKT52" s="4"/>
      <c r="SKU52" s="4"/>
      <c r="SKV52" s="4"/>
      <c r="SKW52" s="4"/>
      <c r="SKX52" s="4"/>
      <c r="SKY52" s="4"/>
      <c r="SKZ52" s="4"/>
      <c r="SLA52" s="4"/>
      <c r="SLB52" s="4"/>
      <c r="SLC52" s="4"/>
      <c r="SLD52" s="4"/>
      <c r="SLE52" s="4"/>
      <c r="SLF52" s="4"/>
      <c r="SLG52" s="4"/>
      <c r="SLH52" s="4"/>
      <c r="SLI52" s="4"/>
      <c r="SLJ52" s="4"/>
      <c r="SLK52" s="4"/>
      <c r="SLL52" s="4"/>
      <c r="SLM52" s="4"/>
      <c r="SLN52" s="4"/>
      <c r="SLO52" s="4"/>
      <c r="SLP52" s="4"/>
      <c r="SLQ52" s="4"/>
      <c r="SLR52" s="4"/>
      <c r="SLS52" s="4"/>
      <c r="SLT52" s="4"/>
      <c r="SLU52" s="4"/>
      <c r="SLV52" s="4"/>
      <c r="SLW52" s="4"/>
      <c r="SLX52" s="4"/>
      <c r="SLY52" s="4"/>
      <c r="SLZ52" s="4"/>
      <c r="SMA52" s="4"/>
      <c r="SMB52" s="4"/>
      <c r="SMC52" s="4"/>
      <c r="SMD52" s="4"/>
      <c r="SME52" s="4"/>
      <c r="SMF52" s="4"/>
      <c r="SMG52" s="4"/>
      <c r="SMH52" s="4"/>
      <c r="SMI52" s="4"/>
      <c r="SMJ52" s="4"/>
      <c r="SMK52" s="4"/>
      <c r="SML52" s="4"/>
      <c r="SMM52" s="4"/>
      <c r="SMN52" s="4"/>
      <c r="SMO52" s="4"/>
      <c r="SMP52" s="4"/>
      <c r="SMQ52" s="4"/>
      <c r="SMR52" s="4"/>
      <c r="SMS52" s="4"/>
      <c r="SMT52" s="4"/>
      <c r="SMU52" s="4"/>
      <c r="SMV52" s="4"/>
      <c r="SMW52" s="4"/>
      <c r="SMX52" s="4"/>
      <c r="SMY52" s="4"/>
      <c r="SMZ52" s="4"/>
      <c r="SNA52" s="4"/>
      <c r="SNB52" s="4"/>
      <c r="SNC52" s="4"/>
      <c r="SND52" s="4"/>
      <c r="SNE52" s="4"/>
      <c r="SNF52" s="4"/>
      <c r="SNG52" s="4"/>
      <c r="SNH52" s="4"/>
      <c r="SNI52" s="4"/>
      <c r="SNJ52" s="4"/>
      <c r="SNK52" s="4"/>
      <c r="SNL52" s="4"/>
      <c r="SNM52" s="4"/>
      <c r="SNN52" s="4"/>
      <c r="SNO52" s="4"/>
      <c r="SNP52" s="4"/>
      <c r="SNQ52" s="4"/>
      <c r="SNR52" s="4"/>
      <c r="SNS52" s="4"/>
      <c r="SNT52" s="4"/>
      <c r="SNU52" s="4"/>
      <c r="SNV52" s="4"/>
      <c r="SNW52" s="4"/>
      <c r="SNX52" s="4"/>
      <c r="SNY52" s="4"/>
      <c r="SNZ52" s="4"/>
      <c r="SOA52" s="4"/>
      <c r="SOB52" s="4"/>
      <c r="SOC52" s="4"/>
      <c r="SOD52" s="4"/>
      <c r="SOE52" s="4"/>
      <c r="SOF52" s="4"/>
      <c r="SOG52" s="4"/>
      <c r="SOH52" s="4"/>
      <c r="SOI52" s="4"/>
      <c r="SOJ52" s="4"/>
      <c r="SOK52" s="4"/>
      <c r="SOL52" s="4"/>
      <c r="SOM52" s="4"/>
      <c r="SON52" s="4"/>
      <c r="SOO52" s="4"/>
      <c r="SOP52" s="4"/>
      <c r="SOQ52" s="4"/>
      <c r="SOR52" s="4"/>
      <c r="SOS52" s="4"/>
      <c r="SOT52" s="4"/>
      <c r="SOU52" s="4"/>
      <c r="SOV52" s="4"/>
      <c r="SOW52" s="4"/>
      <c r="SOX52" s="4"/>
      <c r="SOY52" s="4"/>
      <c r="SOZ52" s="4"/>
      <c r="SPA52" s="4"/>
      <c r="SPB52" s="4"/>
      <c r="SPC52" s="4"/>
      <c r="SPD52" s="4"/>
      <c r="SPE52" s="4"/>
      <c r="SPF52" s="4"/>
      <c r="SPG52" s="4"/>
      <c r="SPH52" s="4"/>
      <c r="SPI52" s="4"/>
      <c r="SPJ52" s="4"/>
      <c r="SPK52" s="4"/>
      <c r="SPL52" s="4"/>
      <c r="SPM52" s="4"/>
      <c r="SPN52" s="4"/>
      <c r="SPO52" s="4"/>
      <c r="SPP52" s="4"/>
      <c r="SPQ52" s="4"/>
      <c r="SPR52" s="4"/>
      <c r="SPS52" s="4"/>
      <c r="SPT52" s="4"/>
      <c r="SPU52" s="4"/>
      <c r="SPV52" s="4"/>
      <c r="SPW52" s="4"/>
      <c r="SPX52" s="4"/>
      <c r="SPY52" s="4"/>
      <c r="SPZ52" s="4"/>
      <c r="SQA52" s="4"/>
      <c r="SQB52" s="4"/>
      <c r="SQC52" s="4"/>
      <c r="SQD52" s="4"/>
      <c r="SQE52" s="4"/>
      <c r="SQF52" s="4"/>
      <c r="SQG52" s="4"/>
      <c r="SQH52" s="4"/>
      <c r="SQI52" s="4"/>
      <c r="SQJ52" s="4"/>
      <c r="SQK52" s="4"/>
      <c r="SQL52" s="4"/>
      <c r="SQM52" s="4"/>
      <c r="SQN52" s="4"/>
      <c r="SQO52" s="4"/>
      <c r="SQP52" s="4"/>
      <c r="SQQ52" s="4"/>
      <c r="SQR52" s="4"/>
      <c r="SQS52" s="4"/>
      <c r="SQT52" s="4"/>
      <c r="SQU52" s="4"/>
      <c r="SQV52" s="4"/>
      <c r="SQW52" s="4"/>
      <c r="SQX52" s="4"/>
      <c r="SQY52" s="4"/>
      <c r="SQZ52" s="4"/>
      <c r="SRA52" s="4"/>
      <c r="SRB52" s="4"/>
      <c r="SRC52" s="4"/>
      <c r="SRD52" s="4"/>
      <c r="SRE52" s="4"/>
      <c r="SRF52" s="4"/>
      <c r="SRG52" s="4"/>
      <c r="SRH52" s="4"/>
      <c r="SRI52" s="4"/>
      <c r="SRJ52" s="4"/>
      <c r="SRK52" s="4"/>
      <c r="SRL52" s="4"/>
      <c r="SRM52" s="4"/>
      <c r="SRN52" s="4"/>
      <c r="SRO52" s="4"/>
      <c r="SRP52" s="4"/>
      <c r="SRQ52" s="4"/>
      <c r="SRR52" s="4"/>
      <c r="SRS52" s="4"/>
      <c r="SRT52" s="4"/>
      <c r="SRU52" s="4"/>
      <c r="SRV52" s="4"/>
      <c r="SRW52" s="4"/>
      <c r="SRX52" s="4"/>
      <c r="SRY52" s="4"/>
      <c r="SRZ52" s="4"/>
      <c r="SSA52" s="4"/>
      <c r="SSB52" s="4"/>
      <c r="SSC52" s="4"/>
      <c r="SSD52" s="4"/>
      <c r="SSE52" s="4"/>
      <c r="SSF52" s="4"/>
      <c r="SSG52" s="4"/>
      <c r="SSH52" s="4"/>
      <c r="SSI52" s="4"/>
      <c r="SSJ52" s="4"/>
      <c r="SSK52" s="4"/>
      <c r="SSL52" s="4"/>
      <c r="SSM52" s="4"/>
      <c r="SSN52" s="4"/>
      <c r="SSO52" s="4"/>
      <c r="SSP52" s="4"/>
      <c r="SSQ52" s="4"/>
      <c r="SSR52" s="4"/>
      <c r="SSS52" s="4"/>
      <c r="SST52" s="4"/>
      <c r="SSU52" s="4"/>
      <c r="SSV52" s="4"/>
      <c r="SSW52" s="4"/>
      <c r="SSX52" s="4"/>
      <c r="SSY52" s="4"/>
      <c r="SSZ52" s="4"/>
      <c r="STA52" s="4"/>
      <c r="STB52" s="4"/>
      <c r="STC52" s="4"/>
      <c r="STD52" s="4"/>
      <c r="STE52" s="4"/>
      <c r="STF52" s="4"/>
      <c r="STG52" s="4"/>
      <c r="STH52" s="4"/>
      <c r="STI52" s="4"/>
      <c r="STJ52" s="4"/>
      <c r="STK52" s="4"/>
      <c r="STL52" s="4"/>
      <c r="STM52" s="4"/>
      <c r="STN52" s="4"/>
      <c r="STO52" s="4"/>
      <c r="STP52" s="4"/>
      <c r="STQ52" s="4"/>
      <c r="STR52" s="4"/>
      <c r="STS52" s="4"/>
      <c r="STT52" s="4"/>
      <c r="STU52" s="4"/>
      <c r="STV52" s="4"/>
      <c r="STW52" s="4"/>
      <c r="STX52" s="4"/>
      <c r="STY52" s="4"/>
      <c r="STZ52" s="4"/>
      <c r="SUA52" s="4"/>
      <c r="SUB52" s="4"/>
      <c r="SUC52" s="4"/>
      <c r="SUD52" s="4"/>
      <c r="SUE52" s="4"/>
      <c r="SUF52" s="4"/>
      <c r="SUG52" s="4"/>
      <c r="SUH52" s="4"/>
      <c r="SUI52" s="4"/>
      <c r="SUJ52" s="4"/>
      <c r="SUK52" s="4"/>
      <c r="SUL52" s="4"/>
      <c r="SUM52" s="4"/>
      <c r="SUN52" s="4"/>
      <c r="SUO52" s="4"/>
      <c r="SUP52" s="4"/>
      <c r="SUQ52" s="4"/>
      <c r="SUR52" s="4"/>
      <c r="SUS52" s="4"/>
      <c r="SUT52" s="4"/>
      <c r="SUU52" s="4"/>
      <c r="SUV52" s="4"/>
      <c r="SUW52" s="4"/>
      <c r="SUX52" s="4"/>
      <c r="SUY52" s="4"/>
      <c r="SUZ52" s="4"/>
      <c r="SVA52" s="4"/>
      <c r="SVB52" s="4"/>
      <c r="SVC52" s="4"/>
      <c r="SVD52" s="4"/>
      <c r="SVE52" s="4"/>
      <c r="SVF52" s="4"/>
      <c r="SVG52" s="4"/>
      <c r="SVH52" s="4"/>
      <c r="SVI52" s="4"/>
      <c r="SVJ52" s="4"/>
      <c r="SVK52" s="4"/>
      <c r="SVL52" s="4"/>
      <c r="SVM52" s="4"/>
      <c r="SVN52" s="4"/>
      <c r="SVO52" s="4"/>
      <c r="SVP52" s="4"/>
      <c r="SVQ52" s="4"/>
      <c r="SVR52" s="4"/>
      <c r="SVS52" s="4"/>
      <c r="SVT52" s="4"/>
      <c r="SVU52" s="4"/>
      <c r="SVV52" s="4"/>
      <c r="SVW52" s="4"/>
      <c r="SVX52" s="4"/>
      <c r="SVY52" s="4"/>
      <c r="SVZ52" s="4"/>
      <c r="SWA52" s="4"/>
      <c r="SWB52" s="4"/>
      <c r="SWC52" s="4"/>
      <c r="SWD52" s="4"/>
      <c r="SWE52" s="4"/>
      <c r="SWF52" s="4"/>
      <c r="SWG52" s="4"/>
      <c r="SWH52" s="4"/>
      <c r="SWI52" s="4"/>
      <c r="SWJ52" s="4"/>
      <c r="SWK52" s="4"/>
      <c r="SWL52" s="4"/>
      <c r="SWM52" s="4"/>
      <c r="SWN52" s="4"/>
      <c r="SWO52" s="4"/>
      <c r="SWP52" s="4"/>
      <c r="SWQ52" s="4"/>
      <c r="SWR52" s="4"/>
      <c r="SWS52" s="4"/>
      <c r="SWT52" s="4"/>
      <c r="SWU52" s="4"/>
      <c r="SWV52" s="4"/>
      <c r="SWW52" s="4"/>
      <c r="SWX52" s="4"/>
      <c r="SWY52" s="4"/>
      <c r="SWZ52" s="4"/>
      <c r="SXA52" s="4"/>
      <c r="SXB52" s="4"/>
      <c r="SXC52" s="4"/>
      <c r="SXD52" s="4"/>
      <c r="SXE52" s="4"/>
      <c r="SXF52" s="4"/>
      <c r="SXG52" s="4"/>
      <c r="SXH52" s="4"/>
      <c r="SXI52" s="4"/>
      <c r="SXJ52" s="4"/>
      <c r="SXK52" s="4"/>
      <c r="SXL52" s="4"/>
      <c r="SXM52" s="4"/>
      <c r="SXN52" s="4"/>
      <c r="SXO52" s="4"/>
      <c r="SXP52" s="4"/>
      <c r="SXQ52" s="4"/>
      <c r="SXR52" s="4"/>
      <c r="SXS52" s="4"/>
      <c r="SXT52" s="4"/>
      <c r="SXU52" s="4"/>
      <c r="SXV52" s="4"/>
      <c r="SXW52" s="4"/>
      <c r="SXX52" s="4"/>
      <c r="SXY52" s="4"/>
      <c r="SXZ52" s="4"/>
      <c r="SYA52" s="4"/>
      <c r="SYB52" s="4"/>
      <c r="SYC52" s="4"/>
      <c r="SYD52" s="4"/>
      <c r="SYE52" s="4"/>
      <c r="SYF52" s="4"/>
      <c r="SYG52" s="4"/>
      <c r="SYH52" s="4"/>
      <c r="SYI52" s="4"/>
      <c r="SYJ52" s="4"/>
      <c r="SYK52" s="4"/>
      <c r="SYL52" s="4"/>
      <c r="SYM52" s="4"/>
      <c r="SYN52" s="4"/>
      <c r="SYO52" s="4"/>
      <c r="SYP52" s="4"/>
      <c r="SYQ52" s="4"/>
      <c r="SYR52" s="4"/>
      <c r="SYS52" s="4"/>
      <c r="SYT52" s="4"/>
      <c r="SYU52" s="4"/>
      <c r="SYV52" s="4"/>
      <c r="SYW52" s="4"/>
      <c r="SYX52" s="4"/>
      <c r="SYY52" s="4"/>
      <c r="SYZ52" s="4"/>
      <c r="SZA52" s="4"/>
      <c r="SZB52" s="4"/>
      <c r="SZC52" s="4"/>
      <c r="SZD52" s="4"/>
      <c r="SZE52" s="4"/>
      <c r="SZF52" s="4"/>
      <c r="SZG52" s="4"/>
      <c r="SZH52" s="4"/>
      <c r="SZI52" s="4"/>
      <c r="SZJ52" s="4"/>
      <c r="SZK52" s="4"/>
      <c r="SZL52" s="4"/>
      <c r="SZM52" s="4"/>
      <c r="SZN52" s="4"/>
      <c r="SZO52" s="4"/>
      <c r="SZP52" s="4"/>
      <c r="SZQ52" s="4"/>
      <c r="SZR52" s="4"/>
      <c r="SZS52" s="4"/>
      <c r="SZT52" s="4"/>
      <c r="SZU52" s="4"/>
      <c r="SZV52" s="4"/>
      <c r="SZW52" s="4"/>
      <c r="SZX52" s="4"/>
      <c r="SZY52" s="4"/>
      <c r="SZZ52" s="4"/>
      <c r="TAA52" s="4"/>
      <c r="TAB52" s="4"/>
      <c r="TAC52" s="4"/>
      <c r="TAD52" s="4"/>
      <c r="TAE52" s="4"/>
      <c r="TAF52" s="4"/>
      <c r="TAG52" s="4"/>
      <c r="TAH52" s="4"/>
      <c r="TAI52" s="4"/>
      <c r="TAJ52" s="4"/>
      <c r="TAK52" s="4"/>
      <c r="TAL52" s="4"/>
      <c r="TAM52" s="4"/>
      <c r="TAN52" s="4"/>
      <c r="TAO52" s="4"/>
      <c r="TAP52" s="4"/>
      <c r="TAQ52" s="4"/>
      <c r="TAR52" s="4"/>
      <c r="TAS52" s="4"/>
      <c r="TAT52" s="4"/>
      <c r="TAU52" s="4"/>
      <c r="TAV52" s="4"/>
      <c r="TAW52" s="4"/>
      <c r="TAX52" s="4"/>
      <c r="TAY52" s="4"/>
      <c r="TAZ52" s="4"/>
      <c r="TBA52" s="4"/>
      <c r="TBB52" s="4"/>
      <c r="TBC52" s="4"/>
      <c r="TBD52" s="4"/>
      <c r="TBE52" s="4"/>
      <c r="TBF52" s="4"/>
      <c r="TBG52" s="4"/>
      <c r="TBH52" s="4"/>
      <c r="TBI52" s="4"/>
      <c r="TBJ52" s="4"/>
      <c r="TBK52" s="4"/>
      <c r="TBL52" s="4"/>
      <c r="TBM52" s="4"/>
      <c r="TBN52" s="4"/>
      <c r="TBO52" s="4"/>
      <c r="TBP52" s="4"/>
      <c r="TBQ52" s="4"/>
      <c r="TBR52" s="4"/>
      <c r="TBS52" s="4"/>
      <c r="TBT52" s="4"/>
      <c r="TBU52" s="4"/>
      <c r="TBV52" s="4"/>
      <c r="TBW52" s="4"/>
      <c r="TBX52" s="4"/>
      <c r="TBY52" s="4"/>
      <c r="TBZ52" s="4"/>
      <c r="TCA52" s="4"/>
      <c r="TCB52" s="4"/>
      <c r="TCC52" s="4"/>
      <c r="TCD52" s="4"/>
      <c r="TCE52" s="4"/>
      <c r="TCF52" s="4"/>
      <c r="TCG52" s="4"/>
      <c r="TCH52" s="4"/>
      <c r="TCI52" s="4"/>
      <c r="TCJ52" s="4"/>
      <c r="TCK52" s="4"/>
      <c r="TCL52" s="4"/>
      <c r="TCM52" s="4"/>
      <c r="TCN52" s="4"/>
      <c r="TCO52" s="4"/>
      <c r="TCP52" s="4"/>
      <c r="TCQ52" s="4"/>
      <c r="TCR52" s="4"/>
      <c r="TCS52" s="4"/>
      <c r="TCT52" s="4"/>
      <c r="TCU52" s="4"/>
      <c r="TCV52" s="4"/>
      <c r="TCW52" s="4"/>
      <c r="TCX52" s="4"/>
      <c r="TCY52" s="4"/>
      <c r="TCZ52" s="4"/>
      <c r="TDA52" s="4"/>
      <c r="TDB52" s="4"/>
      <c r="TDC52" s="4"/>
      <c r="TDD52" s="4"/>
      <c r="TDE52" s="4"/>
      <c r="TDF52" s="4"/>
      <c r="TDG52" s="4"/>
      <c r="TDH52" s="4"/>
      <c r="TDI52" s="4"/>
      <c r="TDJ52" s="4"/>
      <c r="TDK52" s="4"/>
      <c r="TDL52" s="4"/>
      <c r="TDM52" s="4"/>
      <c r="TDN52" s="4"/>
      <c r="TDO52" s="4"/>
      <c r="TDP52" s="4"/>
      <c r="TDQ52" s="4"/>
      <c r="TDR52" s="4"/>
      <c r="TDS52" s="4"/>
      <c r="TDT52" s="4"/>
      <c r="TDU52" s="4"/>
      <c r="TDV52" s="4"/>
      <c r="TDW52" s="4"/>
      <c r="TDX52" s="4"/>
      <c r="TDY52" s="4"/>
      <c r="TDZ52" s="4"/>
      <c r="TEA52" s="4"/>
      <c r="TEB52" s="4"/>
      <c r="TEC52" s="4"/>
      <c r="TED52" s="4"/>
      <c r="TEE52" s="4"/>
      <c r="TEF52" s="4"/>
      <c r="TEG52" s="4"/>
      <c r="TEH52" s="4"/>
      <c r="TEI52" s="4"/>
      <c r="TEJ52" s="4"/>
      <c r="TEK52" s="4"/>
      <c r="TEL52" s="4"/>
      <c r="TEM52" s="4"/>
      <c r="TEN52" s="4"/>
      <c r="TEO52" s="4"/>
      <c r="TEP52" s="4"/>
      <c r="TEQ52" s="4"/>
      <c r="TER52" s="4"/>
      <c r="TES52" s="4"/>
      <c r="TET52" s="4"/>
      <c r="TEU52" s="4"/>
      <c r="TEV52" s="4"/>
      <c r="TEW52" s="4"/>
      <c r="TEX52" s="4"/>
      <c r="TEY52" s="4"/>
      <c r="TEZ52" s="4"/>
      <c r="TFA52" s="4"/>
      <c r="TFB52" s="4"/>
      <c r="TFC52" s="4"/>
      <c r="TFD52" s="4"/>
      <c r="TFE52" s="4"/>
      <c r="TFF52" s="4"/>
      <c r="TFG52" s="4"/>
      <c r="TFH52" s="4"/>
      <c r="TFI52" s="4"/>
      <c r="TFJ52" s="4"/>
      <c r="TFK52" s="4"/>
      <c r="TFL52" s="4"/>
      <c r="TFM52" s="4"/>
      <c r="TFN52" s="4"/>
      <c r="TFO52" s="4"/>
      <c r="TFP52" s="4"/>
      <c r="TFQ52" s="4"/>
      <c r="TFR52" s="4"/>
      <c r="TFS52" s="4"/>
      <c r="TFT52" s="4"/>
      <c r="TFU52" s="4"/>
      <c r="TFV52" s="4"/>
      <c r="TFW52" s="4"/>
      <c r="TFX52" s="4"/>
      <c r="TFY52" s="4"/>
      <c r="TFZ52" s="4"/>
      <c r="TGA52" s="4"/>
      <c r="TGB52" s="4"/>
      <c r="TGC52" s="4"/>
      <c r="TGD52" s="4"/>
      <c r="TGE52" s="4"/>
      <c r="TGF52" s="4"/>
      <c r="TGG52" s="4"/>
      <c r="TGH52" s="4"/>
      <c r="TGI52" s="4"/>
      <c r="TGJ52" s="4"/>
      <c r="TGK52" s="4"/>
      <c r="TGL52" s="4"/>
      <c r="TGM52" s="4"/>
      <c r="TGN52" s="4"/>
      <c r="TGO52" s="4"/>
      <c r="TGP52" s="4"/>
      <c r="TGQ52" s="4"/>
      <c r="TGR52" s="4"/>
      <c r="TGS52" s="4"/>
      <c r="TGT52" s="4"/>
      <c r="TGU52" s="4"/>
      <c r="TGV52" s="4"/>
      <c r="TGW52" s="4"/>
      <c r="TGX52" s="4"/>
      <c r="TGY52" s="4"/>
      <c r="TGZ52" s="4"/>
      <c r="THA52" s="4"/>
      <c r="THB52" s="4"/>
      <c r="THC52" s="4"/>
      <c r="THD52" s="4"/>
      <c r="THE52" s="4"/>
      <c r="THF52" s="4"/>
      <c r="THG52" s="4"/>
      <c r="THH52" s="4"/>
      <c r="THI52" s="4"/>
      <c r="THJ52" s="4"/>
      <c r="THK52" s="4"/>
      <c r="THL52" s="4"/>
      <c r="THM52" s="4"/>
      <c r="THN52" s="4"/>
      <c r="THO52" s="4"/>
      <c r="THP52" s="4"/>
      <c r="THQ52" s="4"/>
      <c r="THR52" s="4"/>
      <c r="THS52" s="4"/>
      <c r="THT52" s="4"/>
      <c r="THU52" s="4"/>
      <c r="THV52" s="4"/>
      <c r="THW52" s="4"/>
      <c r="THX52" s="4"/>
      <c r="THY52" s="4"/>
      <c r="THZ52" s="4"/>
      <c r="TIA52" s="4"/>
      <c r="TIB52" s="4"/>
      <c r="TIC52" s="4"/>
      <c r="TID52" s="4"/>
      <c r="TIE52" s="4"/>
      <c r="TIF52" s="4"/>
      <c r="TIG52" s="4"/>
      <c r="TIH52" s="4"/>
      <c r="TII52" s="4"/>
      <c r="TIJ52" s="4"/>
      <c r="TIK52" s="4"/>
      <c r="TIL52" s="4"/>
      <c r="TIM52" s="4"/>
      <c r="TIN52" s="4"/>
      <c r="TIO52" s="4"/>
      <c r="TIP52" s="4"/>
      <c r="TIQ52" s="4"/>
      <c r="TIR52" s="4"/>
      <c r="TIS52" s="4"/>
      <c r="TIT52" s="4"/>
      <c r="TIU52" s="4"/>
      <c r="TIV52" s="4"/>
      <c r="TIW52" s="4"/>
      <c r="TIX52" s="4"/>
      <c r="TIY52" s="4"/>
      <c r="TIZ52" s="4"/>
      <c r="TJA52" s="4"/>
      <c r="TJB52" s="4"/>
      <c r="TJC52" s="4"/>
      <c r="TJD52" s="4"/>
      <c r="TJE52" s="4"/>
      <c r="TJF52" s="4"/>
      <c r="TJG52" s="4"/>
      <c r="TJH52" s="4"/>
      <c r="TJI52" s="4"/>
      <c r="TJJ52" s="4"/>
      <c r="TJK52" s="4"/>
      <c r="TJL52" s="4"/>
      <c r="TJM52" s="4"/>
      <c r="TJN52" s="4"/>
      <c r="TJO52" s="4"/>
      <c r="TJP52" s="4"/>
      <c r="TJQ52" s="4"/>
      <c r="TJR52" s="4"/>
      <c r="TJS52" s="4"/>
      <c r="TJT52" s="4"/>
      <c r="TJU52" s="4"/>
      <c r="TJV52" s="4"/>
      <c r="TJW52" s="4"/>
      <c r="TJX52" s="4"/>
      <c r="TJY52" s="4"/>
      <c r="TJZ52" s="4"/>
      <c r="TKA52" s="4"/>
      <c r="TKB52" s="4"/>
      <c r="TKC52" s="4"/>
      <c r="TKD52" s="4"/>
      <c r="TKE52" s="4"/>
      <c r="TKF52" s="4"/>
      <c r="TKG52" s="4"/>
      <c r="TKH52" s="4"/>
      <c r="TKI52" s="4"/>
      <c r="TKJ52" s="4"/>
      <c r="TKK52" s="4"/>
      <c r="TKL52" s="4"/>
      <c r="TKM52" s="4"/>
      <c r="TKN52" s="4"/>
      <c r="TKO52" s="4"/>
      <c r="TKP52" s="4"/>
      <c r="TKQ52" s="4"/>
      <c r="TKR52" s="4"/>
      <c r="TKS52" s="4"/>
      <c r="TKT52" s="4"/>
      <c r="TKU52" s="4"/>
      <c r="TKV52" s="4"/>
      <c r="TKW52" s="4"/>
      <c r="TKX52" s="4"/>
      <c r="TKY52" s="4"/>
      <c r="TKZ52" s="4"/>
      <c r="TLA52" s="4"/>
      <c r="TLB52" s="4"/>
      <c r="TLC52" s="4"/>
      <c r="TLD52" s="4"/>
      <c r="TLE52" s="4"/>
      <c r="TLF52" s="4"/>
      <c r="TLG52" s="4"/>
      <c r="TLH52" s="4"/>
      <c r="TLI52" s="4"/>
      <c r="TLJ52" s="4"/>
      <c r="TLK52" s="4"/>
      <c r="TLL52" s="4"/>
      <c r="TLM52" s="4"/>
      <c r="TLN52" s="4"/>
      <c r="TLO52" s="4"/>
      <c r="TLP52" s="4"/>
      <c r="TLQ52" s="4"/>
      <c r="TLR52" s="4"/>
      <c r="TLS52" s="4"/>
      <c r="TLT52" s="4"/>
      <c r="TLU52" s="4"/>
      <c r="TLV52" s="4"/>
      <c r="TLW52" s="4"/>
      <c r="TLX52" s="4"/>
      <c r="TLY52" s="4"/>
      <c r="TLZ52" s="4"/>
      <c r="TMA52" s="4"/>
      <c r="TMB52" s="4"/>
      <c r="TMC52" s="4"/>
      <c r="TMD52" s="4"/>
      <c r="TME52" s="4"/>
      <c r="TMF52" s="4"/>
      <c r="TMG52" s="4"/>
      <c r="TMH52" s="4"/>
      <c r="TMI52" s="4"/>
      <c r="TMJ52" s="4"/>
      <c r="TMK52" s="4"/>
      <c r="TML52" s="4"/>
      <c r="TMM52" s="4"/>
      <c r="TMN52" s="4"/>
      <c r="TMO52" s="4"/>
      <c r="TMP52" s="4"/>
      <c r="TMQ52" s="4"/>
      <c r="TMR52" s="4"/>
      <c r="TMS52" s="4"/>
      <c r="TMT52" s="4"/>
      <c r="TMU52" s="4"/>
      <c r="TMV52" s="4"/>
      <c r="TMW52" s="4"/>
      <c r="TMX52" s="4"/>
      <c r="TMY52" s="4"/>
      <c r="TMZ52" s="4"/>
      <c r="TNA52" s="4"/>
      <c r="TNB52" s="4"/>
      <c r="TNC52" s="4"/>
      <c r="TND52" s="4"/>
      <c r="TNE52" s="4"/>
      <c r="TNF52" s="4"/>
      <c r="TNG52" s="4"/>
      <c r="TNH52" s="4"/>
      <c r="TNI52" s="4"/>
      <c r="TNJ52" s="4"/>
      <c r="TNK52" s="4"/>
      <c r="TNL52" s="4"/>
      <c r="TNM52" s="4"/>
      <c r="TNN52" s="4"/>
      <c r="TNO52" s="4"/>
      <c r="TNP52" s="4"/>
      <c r="TNQ52" s="4"/>
      <c r="TNR52" s="4"/>
      <c r="TNS52" s="4"/>
      <c r="TNT52" s="4"/>
      <c r="TNU52" s="4"/>
      <c r="TNV52" s="4"/>
      <c r="TNW52" s="4"/>
      <c r="TNX52" s="4"/>
      <c r="TNY52" s="4"/>
      <c r="TNZ52" s="4"/>
      <c r="TOA52" s="4"/>
      <c r="TOB52" s="4"/>
      <c r="TOC52" s="4"/>
      <c r="TOD52" s="4"/>
      <c r="TOE52" s="4"/>
      <c r="TOF52" s="4"/>
      <c r="TOG52" s="4"/>
      <c r="TOH52" s="4"/>
      <c r="TOI52" s="4"/>
      <c r="TOJ52" s="4"/>
      <c r="TOK52" s="4"/>
      <c r="TOL52" s="4"/>
      <c r="TOM52" s="4"/>
      <c r="TON52" s="4"/>
      <c r="TOO52" s="4"/>
      <c r="TOP52" s="4"/>
      <c r="TOQ52" s="4"/>
      <c r="TOR52" s="4"/>
      <c r="TOS52" s="4"/>
      <c r="TOT52" s="4"/>
      <c r="TOU52" s="4"/>
      <c r="TOV52" s="4"/>
      <c r="TOW52" s="4"/>
      <c r="TOX52" s="4"/>
      <c r="TOY52" s="4"/>
      <c r="TOZ52" s="4"/>
      <c r="TPA52" s="4"/>
      <c r="TPB52" s="4"/>
      <c r="TPC52" s="4"/>
      <c r="TPD52" s="4"/>
      <c r="TPE52" s="4"/>
      <c r="TPF52" s="4"/>
      <c r="TPG52" s="4"/>
      <c r="TPH52" s="4"/>
      <c r="TPI52" s="4"/>
      <c r="TPJ52" s="4"/>
      <c r="TPK52" s="4"/>
      <c r="TPL52" s="4"/>
      <c r="TPM52" s="4"/>
      <c r="TPN52" s="4"/>
      <c r="TPO52" s="4"/>
      <c r="TPP52" s="4"/>
      <c r="TPQ52" s="4"/>
      <c r="TPR52" s="4"/>
      <c r="TPS52" s="4"/>
      <c r="TPT52" s="4"/>
      <c r="TPU52" s="4"/>
      <c r="TPV52" s="4"/>
      <c r="TPW52" s="4"/>
      <c r="TPX52" s="4"/>
      <c r="TPY52" s="4"/>
      <c r="TPZ52" s="4"/>
      <c r="TQA52" s="4"/>
      <c r="TQB52" s="4"/>
      <c r="TQC52" s="4"/>
      <c r="TQD52" s="4"/>
      <c r="TQE52" s="4"/>
      <c r="TQF52" s="4"/>
      <c r="TQG52" s="4"/>
      <c r="TQH52" s="4"/>
      <c r="TQI52" s="4"/>
      <c r="TQJ52" s="4"/>
      <c r="TQK52" s="4"/>
      <c r="TQL52" s="4"/>
      <c r="TQM52" s="4"/>
      <c r="TQN52" s="4"/>
      <c r="TQO52" s="4"/>
      <c r="TQP52" s="4"/>
      <c r="TQQ52" s="4"/>
      <c r="TQR52" s="4"/>
      <c r="TQS52" s="4"/>
      <c r="TQT52" s="4"/>
      <c r="TQU52" s="4"/>
      <c r="TQV52" s="4"/>
      <c r="TQW52" s="4"/>
      <c r="TQX52" s="4"/>
      <c r="TQY52" s="4"/>
      <c r="TQZ52" s="4"/>
      <c r="TRA52" s="4"/>
      <c r="TRB52" s="4"/>
      <c r="TRC52" s="4"/>
      <c r="TRD52" s="4"/>
      <c r="TRE52" s="4"/>
      <c r="TRF52" s="4"/>
      <c r="TRG52" s="4"/>
      <c r="TRH52" s="4"/>
      <c r="TRI52" s="4"/>
      <c r="TRJ52" s="4"/>
      <c r="TRK52" s="4"/>
      <c r="TRL52" s="4"/>
      <c r="TRM52" s="4"/>
      <c r="TRN52" s="4"/>
      <c r="TRO52" s="4"/>
      <c r="TRP52" s="4"/>
      <c r="TRQ52" s="4"/>
      <c r="TRR52" s="4"/>
      <c r="TRS52" s="4"/>
      <c r="TRT52" s="4"/>
      <c r="TRU52" s="4"/>
      <c r="TRV52" s="4"/>
      <c r="TRW52" s="4"/>
      <c r="TRX52" s="4"/>
      <c r="TRY52" s="4"/>
      <c r="TRZ52" s="4"/>
      <c r="TSA52" s="4"/>
      <c r="TSB52" s="4"/>
      <c r="TSC52" s="4"/>
      <c r="TSD52" s="4"/>
      <c r="TSE52" s="4"/>
      <c r="TSF52" s="4"/>
      <c r="TSG52" s="4"/>
      <c r="TSH52" s="4"/>
      <c r="TSI52" s="4"/>
      <c r="TSJ52" s="4"/>
      <c r="TSK52" s="4"/>
      <c r="TSL52" s="4"/>
      <c r="TSM52" s="4"/>
      <c r="TSN52" s="4"/>
      <c r="TSO52" s="4"/>
      <c r="TSP52" s="4"/>
      <c r="TSQ52" s="4"/>
      <c r="TSR52" s="4"/>
      <c r="TSS52" s="4"/>
      <c r="TST52" s="4"/>
      <c r="TSU52" s="4"/>
      <c r="TSV52" s="4"/>
      <c r="TSW52" s="4"/>
      <c r="TSX52" s="4"/>
      <c r="TSY52" s="4"/>
      <c r="TSZ52" s="4"/>
      <c r="TTA52" s="4"/>
      <c r="TTB52" s="4"/>
      <c r="TTC52" s="4"/>
      <c r="TTD52" s="4"/>
      <c r="TTE52" s="4"/>
      <c r="TTF52" s="4"/>
      <c r="TTG52" s="4"/>
      <c r="TTH52" s="4"/>
      <c r="TTI52" s="4"/>
      <c r="TTJ52" s="4"/>
      <c r="TTK52" s="4"/>
      <c r="TTL52" s="4"/>
      <c r="TTM52" s="4"/>
      <c r="TTN52" s="4"/>
      <c r="TTO52" s="4"/>
      <c r="TTP52" s="4"/>
      <c r="TTQ52" s="4"/>
      <c r="TTR52" s="4"/>
      <c r="TTS52" s="4"/>
      <c r="TTT52" s="4"/>
      <c r="TTU52" s="4"/>
      <c r="TTV52" s="4"/>
      <c r="TTW52" s="4"/>
      <c r="TTX52" s="4"/>
      <c r="TTY52" s="4"/>
      <c r="TTZ52" s="4"/>
      <c r="TUA52" s="4"/>
      <c r="TUB52" s="4"/>
      <c r="TUC52" s="4"/>
      <c r="TUD52" s="4"/>
      <c r="TUE52" s="4"/>
      <c r="TUF52" s="4"/>
      <c r="TUG52" s="4"/>
      <c r="TUH52" s="4"/>
      <c r="TUI52" s="4"/>
      <c r="TUJ52" s="4"/>
      <c r="TUK52" s="4"/>
      <c r="TUL52" s="4"/>
      <c r="TUM52" s="4"/>
      <c r="TUN52" s="4"/>
      <c r="TUO52" s="4"/>
      <c r="TUP52" s="4"/>
      <c r="TUQ52" s="4"/>
      <c r="TUR52" s="4"/>
      <c r="TUS52" s="4"/>
      <c r="TUT52" s="4"/>
      <c r="TUU52" s="4"/>
      <c r="TUV52" s="4"/>
      <c r="TUW52" s="4"/>
      <c r="TUX52" s="4"/>
      <c r="TUY52" s="4"/>
      <c r="TUZ52" s="4"/>
      <c r="TVA52" s="4"/>
      <c r="TVB52" s="4"/>
      <c r="TVC52" s="4"/>
      <c r="TVD52" s="4"/>
      <c r="TVE52" s="4"/>
      <c r="TVF52" s="4"/>
      <c r="TVG52" s="4"/>
      <c r="TVH52" s="4"/>
      <c r="TVI52" s="4"/>
      <c r="TVJ52" s="4"/>
      <c r="TVK52" s="4"/>
      <c r="TVL52" s="4"/>
      <c r="TVM52" s="4"/>
      <c r="TVN52" s="4"/>
      <c r="TVO52" s="4"/>
      <c r="TVP52" s="4"/>
      <c r="TVQ52" s="4"/>
      <c r="TVR52" s="4"/>
      <c r="TVS52" s="4"/>
      <c r="TVT52" s="4"/>
      <c r="TVU52" s="4"/>
      <c r="TVV52" s="4"/>
      <c r="TVW52" s="4"/>
      <c r="TVX52" s="4"/>
      <c r="TVY52" s="4"/>
      <c r="TVZ52" s="4"/>
      <c r="TWA52" s="4"/>
      <c r="TWB52" s="4"/>
      <c r="TWC52" s="4"/>
      <c r="TWD52" s="4"/>
      <c r="TWE52" s="4"/>
      <c r="TWF52" s="4"/>
      <c r="TWG52" s="4"/>
      <c r="TWH52" s="4"/>
      <c r="TWI52" s="4"/>
      <c r="TWJ52" s="4"/>
      <c r="TWK52" s="4"/>
      <c r="TWL52" s="4"/>
      <c r="TWM52" s="4"/>
      <c r="TWN52" s="4"/>
      <c r="TWO52" s="4"/>
      <c r="TWP52" s="4"/>
      <c r="TWQ52" s="4"/>
      <c r="TWR52" s="4"/>
      <c r="TWS52" s="4"/>
      <c r="TWT52" s="4"/>
      <c r="TWU52" s="4"/>
      <c r="TWV52" s="4"/>
      <c r="TWW52" s="4"/>
      <c r="TWX52" s="4"/>
      <c r="TWY52" s="4"/>
      <c r="TWZ52" s="4"/>
      <c r="TXA52" s="4"/>
      <c r="TXB52" s="4"/>
      <c r="TXC52" s="4"/>
      <c r="TXD52" s="4"/>
      <c r="TXE52" s="4"/>
      <c r="TXF52" s="4"/>
      <c r="TXG52" s="4"/>
      <c r="TXH52" s="4"/>
      <c r="TXI52" s="4"/>
      <c r="TXJ52" s="4"/>
      <c r="TXK52" s="4"/>
      <c r="TXL52" s="4"/>
      <c r="TXM52" s="4"/>
      <c r="TXN52" s="4"/>
      <c r="TXO52" s="4"/>
      <c r="TXP52" s="4"/>
      <c r="TXQ52" s="4"/>
      <c r="TXR52" s="4"/>
      <c r="TXS52" s="4"/>
      <c r="TXT52" s="4"/>
      <c r="TXU52" s="4"/>
      <c r="TXV52" s="4"/>
      <c r="TXW52" s="4"/>
      <c r="TXX52" s="4"/>
      <c r="TXY52" s="4"/>
      <c r="TXZ52" s="4"/>
      <c r="TYA52" s="4"/>
      <c r="TYB52" s="4"/>
      <c r="TYC52" s="4"/>
      <c r="TYD52" s="4"/>
      <c r="TYE52" s="4"/>
      <c r="TYF52" s="4"/>
      <c r="TYG52" s="4"/>
      <c r="TYH52" s="4"/>
      <c r="TYI52" s="4"/>
      <c r="TYJ52" s="4"/>
      <c r="TYK52" s="4"/>
      <c r="TYL52" s="4"/>
      <c r="TYM52" s="4"/>
      <c r="TYN52" s="4"/>
      <c r="TYO52" s="4"/>
      <c r="TYP52" s="4"/>
      <c r="TYQ52" s="4"/>
      <c r="TYR52" s="4"/>
      <c r="TYS52" s="4"/>
      <c r="TYT52" s="4"/>
      <c r="TYU52" s="4"/>
      <c r="TYV52" s="4"/>
      <c r="TYW52" s="4"/>
      <c r="TYX52" s="4"/>
      <c r="TYY52" s="4"/>
      <c r="TYZ52" s="4"/>
      <c r="TZA52" s="4"/>
      <c r="TZB52" s="4"/>
      <c r="TZC52" s="4"/>
      <c r="TZD52" s="4"/>
      <c r="TZE52" s="4"/>
      <c r="TZF52" s="4"/>
      <c r="TZG52" s="4"/>
      <c r="TZH52" s="4"/>
      <c r="TZI52" s="4"/>
      <c r="TZJ52" s="4"/>
      <c r="TZK52" s="4"/>
      <c r="TZL52" s="4"/>
      <c r="TZM52" s="4"/>
      <c r="TZN52" s="4"/>
      <c r="TZO52" s="4"/>
      <c r="TZP52" s="4"/>
      <c r="TZQ52" s="4"/>
      <c r="TZR52" s="4"/>
      <c r="TZS52" s="4"/>
      <c r="TZT52" s="4"/>
      <c r="TZU52" s="4"/>
      <c r="TZV52" s="4"/>
      <c r="TZW52" s="4"/>
      <c r="TZX52" s="4"/>
      <c r="TZY52" s="4"/>
      <c r="TZZ52" s="4"/>
      <c r="UAA52" s="4"/>
      <c r="UAB52" s="4"/>
      <c r="UAC52" s="4"/>
      <c r="UAD52" s="4"/>
      <c r="UAE52" s="4"/>
      <c r="UAF52" s="4"/>
      <c r="UAG52" s="4"/>
      <c r="UAH52" s="4"/>
      <c r="UAI52" s="4"/>
      <c r="UAJ52" s="4"/>
      <c r="UAK52" s="4"/>
      <c r="UAL52" s="4"/>
      <c r="UAM52" s="4"/>
      <c r="UAN52" s="4"/>
      <c r="UAO52" s="4"/>
      <c r="UAP52" s="4"/>
      <c r="UAQ52" s="4"/>
      <c r="UAR52" s="4"/>
      <c r="UAS52" s="4"/>
      <c r="UAT52" s="4"/>
      <c r="UAU52" s="4"/>
      <c r="UAV52" s="4"/>
      <c r="UAW52" s="4"/>
      <c r="UAX52" s="4"/>
      <c r="UAY52" s="4"/>
      <c r="UAZ52" s="4"/>
      <c r="UBA52" s="4"/>
      <c r="UBB52" s="4"/>
      <c r="UBC52" s="4"/>
      <c r="UBD52" s="4"/>
      <c r="UBE52" s="4"/>
      <c r="UBF52" s="4"/>
      <c r="UBG52" s="4"/>
      <c r="UBH52" s="4"/>
      <c r="UBI52" s="4"/>
      <c r="UBJ52" s="4"/>
      <c r="UBK52" s="4"/>
      <c r="UBL52" s="4"/>
      <c r="UBM52" s="4"/>
      <c r="UBN52" s="4"/>
      <c r="UBO52" s="4"/>
      <c r="UBP52" s="4"/>
      <c r="UBQ52" s="4"/>
      <c r="UBR52" s="4"/>
      <c r="UBS52" s="4"/>
      <c r="UBT52" s="4"/>
      <c r="UBU52" s="4"/>
      <c r="UBV52" s="4"/>
      <c r="UBW52" s="4"/>
      <c r="UBX52" s="4"/>
      <c r="UBY52" s="4"/>
      <c r="UBZ52" s="4"/>
      <c r="UCA52" s="4"/>
      <c r="UCB52" s="4"/>
      <c r="UCC52" s="4"/>
      <c r="UCD52" s="4"/>
      <c r="UCE52" s="4"/>
      <c r="UCF52" s="4"/>
      <c r="UCG52" s="4"/>
      <c r="UCH52" s="4"/>
      <c r="UCI52" s="4"/>
      <c r="UCJ52" s="4"/>
      <c r="UCK52" s="4"/>
      <c r="UCL52" s="4"/>
      <c r="UCM52" s="4"/>
      <c r="UCN52" s="4"/>
      <c r="UCO52" s="4"/>
      <c r="UCP52" s="4"/>
      <c r="UCQ52" s="4"/>
      <c r="UCR52" s="4"/>
      <c r="UCS52" s="4"/>
      <c r="UCT52" s="4"/>
      <c r="UCU52" s="4"/>
      <c r="UCV52" s="4"/>
      <c r="UCW52" s="4"/>
      <c r="UCX52" s="4"/>
      <c r="UCY52" s="4"/>
      <c r="UCZ52" s="4"/>
      <c r="UDA52" s="4"/>
      <c r="UDB52" s="4"/>
      <c r="UDC52" s="4"/>
      <c r="UDD52" s="4"/>
      <c r="UDE52" s="4"/>
      <c r="UDF52" s="4"/>
      <c r="UDG52" s="4"/>
      <c r="UDH52" s="4"/>
      <c r="UDI52" s="4"/>
      <c r="UDJ52" s="4"/>
      <c r="UDK52" s="4"/>
      <c r="UDL52" s="4"/>
      <c r="UDM52" s="4"/>
      <c r="UDN52" s="4"/>
      <c r="UDO52" s="4"/>
      <c r="UDP52" s="4"/>
      <c r="UDQ52" s="4"/>
      <c r="UDR52" s="4"/>
      <c r="UDS52" s="4"/>
      <c r="UDT52" s="4"/>
      <c r="UDU52" s="4"/>
      <c r="UDV52" s="4"/>
      <c r="UDW52" s="4"/>
      <c r="UDX52" s="4"/>
      <c r="UDY52" s="4"/>
      <c r="UDZ52" s="4"/>
      <c r="UEA52" s="4"/>
      <c r="UEB52" s="4"/>
      <c r="UEC52" s="4"/>
      <c r="UED52" s="4"/>
      <c r="UEE52" s="4"/>
      <c r="UEF52" s="4"/>
      <c r="UEG52" s="4"/>
      <c r="UEH52" s="4"/>
      <c r="UEI52" s="4"/>
      <c r="UEJ52" s="4"/>
      <c r="UEK52" s="4"/>
      <c r="UEL52" s="4"/>
      <c r="UEM52" s="4"/>
      <c r="UEN52" s="4"/>
      <c r="UEO52" s="4"/>
      <c r="UEP52" s="4"/>
      <c r="UEQ52" s="4"/>
      <c r="UER52" s="4"/>
      <c r="UES52" s="4"/>
      <c r="UET52" s="4"/>
      <c r="UEU52" s="4"/>
      <c r="UEV52" s="4"/>
      <c r="UEW52" s="4"/>
      <c r="UEX52" s="4"/>
      <c r="UEY52" s="4"/>
      <c r="UEZ52" s="4"/>
      <c r="UFA52" s="4"/>
      <c r="UFB52" s="4"/>
      <c r="UFC52" s="4"/>
      <c r="UFD52" s="4"/>
      <c r="UFE52" s="4"/>
      <c r="UFF52" s="4"/>
      <c r="UFG52" s="4"/>
      <c r="UFH52" s="4"/>
      <c r="UFI52" s="4"/>
      <c r="UFJ52" s="4"/>
      <c r="UFK52" s="4"/>
      <c r="UFL52" s="4"/>
      <c r="UFM52" s="4"/>
      <c r="UFN52" s="4"/>
      <c r="UFO52" s="4"/>
      <c r="UFP52" s="4"/>
      <c r="UFQ52" s="4"/>
      <c r="UFR52" s="4"/>
      <c r="UFS52" s="4"/>
      <c r="UFT52" s="4"/>
      <c r="UFU52" s="4"/>
      <c r="UFV52" s="4"/>
      <c r="UFW52" s="4"/>
      <c r="UFX52" s="4"/>
      <c r="UFY52" s="4"/>
      <c r="UFZ52" s="4"/>
      <c r="UGA52" s="4"/>
      <c r="UGB52" s="4"/>
      <c r="UGC52" s="4"/>
      <c r="UGD52" s="4"/>
      <c r="UGE52" s="4"/>
      <c r="UGF52" s="4"/>
      <c r="UGG52" s="4"/>
      <c r="UGH52" s="4"/>
      <c r="UGI52" s="4"/>
      <c r="UGJ52" s="4"/>
      <c r="UGK52" s="4"/>
      <c r="UGL52" s="4"/>
      <c r="UGM52" s="4"/>
      <c r="UGN52" s="4"/>
      <c r="UGO52" s="4"/>
      <c r="UGP52" s="4"/>
      <c r="UGQ52" s="4"/>
      <c r="UGR52" s="4"/>
      <c r="UGS52" s="4"/>
      <c r="UGT52" s="4"/>
      <c r="UGU52" s="4"/>
      <c r="UGV52" s="4"/>
      <c r="UGW52" s="4"/>
      <c r="UGX52" s="4"/>
      <c r="UGY52" s="4"/>
      <c r="UGZ52" s="4"/>
      <c r="UHA52" s="4"/>
      <c r="UHB52" s="4"/>
      <c r="UHC52" s="4"/>
      <c r="UHD52" s="4"/>
      <c r="UHE52" s="4"/>
      <c r="UHF52" s="4"/>
      <c r="UHG52" s="4"/>
      <c r="UHH52" s="4"/>
      <c r="UHI52" s="4"/>
      <c r="UHJ52" s="4"/>
      <c r="UHK52" s="4"/>
      <c r="UHL52" s="4"/>
      <c r="UHM52" s="4"/>
      <c r="UHN52" s="4"/>
      <c r="UHO52" s="4"/>
      <c r="UHP52" s="4"/>
      <c r="UHQ52" s="4"/>
      <c r="UHR52" s="4"/>
      <c r="UHS52" s="4"/>
      <c r="UHT52" s="4"/>
      <c r="UHU52" s="4"/>
      <c r="UHV52" s="4"/>
      <c r="UHW52" s="4"/>
      <c r="UHX52" s="4"/>
      <c r="UHY52" s="4"/>
      <c r="UHZ52" s="4"/>
      <c r="UIA52" s="4"/>
      <c r="UIB52" s="4"/>
      <c r="UIC52" s="4"/>
      <c r="UID52" s="4"/>
      <c r="UIE52" s="4"/>
      <c r="UIF52" s="4"/>
      <c r="UIG52" s="4"/>
      <c r="UIH52" s="4"/>
      <c r="UII52" s="4"/>
      <c r="UIJ52" s="4"/>
      <c r="UIK52" s="4"/>
      <c r="UIL52" s="4"/>
      <c r="UIM52" s="4"/>
      <c r="UIN52" s="4"/>
      <c r="UIO52" s="4"/>
      <c r="UIP52" s="4"/>
      <c r="UIQ52" s="4"/>
      <c r="UIR52" s="4"/>
      <c r="UIS52" s="4"/>
      <c r="UIT52" s="4"/>
      <c r="UIU52" s="4"/>
      <c r="UIV52" s="4"/>
      <c r="UIW52" s="4"/>
      <c r="UIX52" s="4"/>
      <c r="UIY52" s="4"/>
      <c r="UIZ52" s="4"/>
      <c r="UJA52" s="4"/>
      <c r="UJB52" s="4"/>
      <c r="UJC52" s="4"/>
      <c r="UJD52" s="4"/>
      <c r="UJE52" s="4"/>
      <c r="UJF52" s="4"/>
      <c r="UJG52" s="4"/>
      <c r="UJH52" s="4"/>
      <c r="UJI52" s="4"/>
      <c r="UJJ52" s="4"/>
      <c r="UJK52" s="4"/>
      <c r="UJL52" s="4"/>
      <c r="UJM52" s="4"/>
      <c r="UJN52" s="4"/>
      <c r="UJO52" s="4"/>
      <c r="UJP52" s="4"/>
      <c r="UJQ52" s="4"/>
      <c r="UJR52" s="4"/>
      <c r="UJS52" s="4"/>
      <c r="UJT52" s="4"/>
      <c r="UJU52" s="4"/>
      <c r="UJV52" s="4"/>
      <c r="UJW52" s="4"/>
      <c r="UJX52" s="4"/>
      <c r="UJY52" s="4"/>
      <c r="UJZ52" s="4"/>
      <c r="UKA52" s="4"/>
      <c r="UKB52" s="4"/>
      <c r="UKC52" s="4"/>
      <c r="UKD52" s="4"/>
      <c r="UKE52" s="4"/>
      <c r="UKF52" s="4"/>
      <c r="UKG52" s="4"/>
      <c r="UKH52" s="4"/>
      <c r="UKI52" s="4"/>
      <c r="UKJ52" s="4"/>
      <c r="UKK52" s="4"/>
      <c r="UKL52" s="4"/>
      <c r="UKM52" s="4"/>
      <c r="UKN52" s="4"/>
      <c r="UKO52" s="4"/>
      <c r="UKP52" s="4"/>
      <c r="UKQ52" s="4"/>
      <c r="UKR52" s="4"/>
      <c r="UKS52" s="4"/>
      <c r="UKT52" s="4"/>
      <c r="UKU52" s="4"/>
      <c r="UKV52" s="4"/>
      <c r="UKW52" s="4"/>
      <c r="UKX52" s="4"/>
      <c r="UKY52" s="4"/>
      <c r="UKZ52" s="4"/>
      <c r="ULA52" s="4"/>
      <c r="ULB52" s="4"/>
      <c r="ULC52" s="4"/>
      <c r="ULD52" s="4"/>
      <c r="ULE52" s="4"/>
      <c r="ULF52" s="4"/>
      <c r="ULG52" s="4"/>
      <c r="ULH52" s="4"/>
      <c r="ULI52" s="4"/>
      <c r="ULJ52" s="4"/>
      <c r="ULK52" s="4"/>
      <c r="ULL52" s="4"/>
      <c r="ULM52" s="4"/>
      <c r="ULN52" s="4"/>
      <c r="ULO52" s="4"/>
      <c r="ULP52" s="4"/>
      <c r="ULQ52" s="4"/>
      <c r="ULR52" s="4"/>
      <c r="ULS52" s="4"/>
      <c r="ULT52" s="4"/>
      <c r="ULU52" s="4"/>
      <c r="ULV52" s="4"/>
      <c r="ULW52" s="4"/>
      <c r="ULX52" s="4"/>
      <c r="ULY52" s="4"/>
      <c r="ULZ52" s="4"/>
      <c r="UMA52" s="4"/>
      <c r="UMB52" s="4"/>
      <c r="UMC52" s="4"/>
      <c r="UMD52" s="4"/>
      <c r="UME52" s="4"/>
      <c r="UMF52" s="4"/>
      <c r="UMG52" s="4"/>
      <c r="UMH52" s="4"/>
      <c r="UMI52" s="4"/>
      <c r="UMJ52" s="4"/>
      <c r="UMK52" s="4"/>
      <c r="UML52" s="4"/>
      <c r="UMM52" s="4"/>
      <c r="UMN52" s="4"/>
      <c r="UMO52" s="4"/>
      <c r="UMP52" s="4"/>
      <c r="UMQ52" s="4"/>
      <c r="UMR52" s="4"/>
      <c r="UMS52" s="4"/>
      <c r="UMT52" s="4"/>
      <c r="UMU52" s="4"/>
      <c r="UMV52" s="4"/>
      <c r="UMW52" s="4"/>
      <c r="UMX52" s="4"/>
      <c r="UMY52" s="4"/>
      <c r="UMZ52" s="4"/>
      <c r="UNA52" s="4"/>
      <c r="UNB52" s="4"/>
      <c r="UNC52" s="4"/>
      <c r="UND52" s="4"/>
      <c r="UNE52" s="4"/>
      <c r="UNF52" s="4"/>
      <c r="UNG52" s="4"/>
      <c r="UNH52" s="4"/>
      <c r="UNI52" s="4"/>
      <c r="UNJ52" s="4"/>
      <c r="UNK52" s="4"/>
      <c r="UNL52" s="4"/>
      <c r="UNM52" s="4"/>
      <c r="UNN52" s="4"/>
      <c r="UNO52" s="4"/>
      <c r="UNP52" s="4"/>
      <c r="UNQ52" s="4"/>
      <c r="UNR52" s="4"/>
      <c r="UNS52" s="4"/>
      <c r="UNT52" s="4"/>
      <c r="UNU52" s="4"/>
      <c r="UNV52" s="4"/>
      <c r="UNW52" s="4"/>
      <c r="UNX52" s="4"/>
      <c r="UNY52" s="4"/>
      <c r="UNZ52" s="4"/>
      <c r="UOA52" s="4"/>
      <c r="UOB52" s="4"/>
      <c r="UOC52" s="4"/>
      <c r="UOD52" s="4"/>
      <c r="UOE52" s="4"/>
      <c r="UOF52" s="4"/>
      <c r="UOG52" s="4"/>
      <c r="UOH52" s="4"/>
      <c r="UOI52" s="4"/>
      <c r="UOJ52" s="4"/>
      <c r="UOK52" s="4"/>
      <c r="UOL52" s="4"/>
      <c r="UOM52" s="4"/>
      <c r="UON52" s="4"/>
      <c r="UOO52" s="4"/>
      <c r="UOP52" s="4"/>
      <c r="UOQ52" s="4"/>
      <c r="UOR52" s="4"/>
      <c r="UOS52" s="4"/>
      <c r="UOT52" s="4"/>
      <c r="UOU52" s="4"/>
      <c r="UOV52" s="4"/>
      <c r="UOW52" s="4"/>
      <c r="UOX52" s="4"/>
      <c r="UOY52" s="4"/>
      <c r="UOZ52" s="4"/>
      <c r="UPA52" s="4"/>
      <c r="UPB52" s="4"/>
      <c r="UPC52" s="4"/>
      <c r="UPD52" s="4"/>
      <c r="UPE52" s="4"/>
      <c r="UPF52" s="4"/>
      <c r="UPG52" s="4"/>
      <c r="UPH52" s="4"/>
      <c r="UPI52" s="4"/>
      <c r="UPJ52" s="4"/>
      <c r="UPK52" s="4"/>
      <c r="UPL52" s="4"/>
      <c r="UPM52" s="4"/>
      <c r="UPN52" s="4"/>
      <c r="UPO52" s="4"/>
      <c r="UPP52" s="4"/>
      <c r="UPQ52" s="4"/>
      <c r="UPR52" s="4"/>
      <c r="UPS52" s="4"/>
      <c r="UPT52" s="4"/>
      <c r="UPU52" s="4"/>
      <c r="UPV52" s="4"/>
      <c r="UPW52" s="4"/>
      <c r="UPX52" s="4"/>
      <c r="UPY52" s="4"/>
      <c r="UPZ52" s="4"/>
      <c r="UQA52" s="4"/>
      <c r="UQB52" s="4"/>
      <c r="UQC52" s="4"/>
      <c r="UQD52" s="4"/>
      <c r="UQE52" s="4"/>
      <c r="UQF52" s="4"/>
      <c r="UQG52" s="4"/>
      <c r="UQH52" s="4"/>
      <c r="UQI52" s="4"/>
      <c r="UQJ52" s="4"/>
      <c r="UQK52" s="4"/>
      <c r="UQL52" s="4"/>
      <c r="UQM52" s="4"/>
      <c r="UQN52" s="4"/>
      <c r="UQO52" s="4"/>
      <c r="UQP52" s="4"/>
      <c r="UQQ52" s="4"/>
      <c r="UQR52" s="4"/>
      <c r="UQS52" s="4"/>
      <c r="UQT52" s="4"/>
      <c r="UQU52" s="4"/>
      <c r="UQV52" s="4"/>
      <c r="UQW52" s="4"/>
      <c r="UQX52" s="4"/>
      <c r="UQY52" s="4"/>
      <c r="UQZ52" s="4"/>
      <c r="URA52" s="4"/>
      <c r="URB52" s="4"/>
      <c r="URC52" s="4"/>
      <c r="URD52" s="4"/>
      <c r="URE52" s="4"/>
      <c r="URF52" s="4"/>
      <c r="URG52" s="4"/>
      <c r="URH52" s="4"/>
      <c r="URI52" s="4"/>
      <c r="URJ52" s="4"/>
      <c r="URK52" s="4"/>
      <c r="URL52" s="4"/>
      <c r="URM52" s="4"/>
      <c r="URN52" s="4"/>
      <c r="URO52" s="4"/>
      <c r="URP52" s="4"/>
      <c r="URQ52" s="4"/>
      <c r="URR52" s="4"/>
      <c r="URS52" s="4"/>
      <c r="URT52" s="4"/>
      <c r="URU52" s="4"/>
      <c r="URV52" s="4"/>
      <c r="URW52" s="4"/>
      <c r="URX52" s="4"/>
      <c r="URY52" s="4"/>
      <c r="URZ52" s="4"/>
      <c r="USA52" s="4"/>
      <c r="USB52" s="4"/>
      <c r="USC52" s="4"/>
      <c r="USD52" s="4"/>
      <c r="USE52" s="4"/>
      <c r="USF52" s="4"/>
      <c r="USG52" s="4"/>
      <c r="USH52" s="4"/>
      <c r="USI52" s="4"/>
      <c r="USJ52" s="4"/>
      <c r="USK52" s="4"/>
      <c r="USL52" s="4"/>
      <c r="USM52" s="4"/>
      <c r="USN52" s="4"/>
      <c r="USO52" s="4"/>
      <c r="USP52" s="4"/>
      <c r="USQ52" s="4"/>
      <c r="USR52" s="4"/>
      <c r="USS52" s="4"/>
      <c r="UST52" s="4"/>
      <c r="USU52" s="4"/>
      <c r="USV52" s="4"/>
      <c r="USW52" s="4"/>
      <c r="USX52" s="4"/>
      <c r="USY52" s="4"/>
      <c r="USZ52" s="4"/>
      <c r="UTA52" s="4"/>
      <c r="UTB52" s="4"/>
      <c r="UTC52" s="4"/>
      <c r="UTD52" s="4"/>
      <c r="UTE52" s="4"/>
      <c r="UTF52" s="4"/>
      <c r="UTG52" s="4"/>
      <c r="UTH52" s="4"/>
      <c r="UTI52" s="4"/>
      <c r="UTJ52" s="4"/>
      <c r="UTK52" s="4"/>
      <c r="UTL52" s="4"/>
      <c r="UTM52" s="4"/>
      <c r="UTN52" s="4"/>
      <c r="UTO52" s="4"/>
      <c r="UTP52" s="4"/>
      <c r="UTQ52" s="4"/>
      <c r="UTR52" s="4"/>
      <c r="UTS52" s="4"/>
      <c r="UTT52" s="4"/>
      <c r="UTU52" s="4"/>
      <c r="UTV52" s="4"/>
      <c r="UTW52" s="4"/>
      <c r="UTX52" s="4"/>
      <c r="UTY52" s="4"/>
      <c r="UTZ52" s="4"/>
      <c r="UUA52" s="4"/>
      <c r="UUB52" s="4"/>
      <c r="UUC52" s="4"/>
      <c r="UUD52" s="4"/>
      <c r="UUE52" s="4"/>
      <c r="UUF52" s="4"/>
      <c r="UUG52" s="4"/>
      <c r="UUH52" s="4"/>
      <c r="UUI52" s="4"/>
      <c r="UUJ52" s="4"/>
      <c r="UUK52" s="4"/>
      <c r="UUL52" s="4"/>
      <c r="UUM52" s="4"/>
      <c r="UUN52" s="4"/>
      <c r="UUO52" s="4"/>
      <c r="UUP52" s="4"/>
      <c r="UUQ52" s="4"/>
      <c r="UUR52" s="4"/>
      <c r="UUS52" s="4"/>
      <c r="UUT52" s="4"/>
      <c r="UUU52" s="4"/>
      <c r="UUV52" s="4"/>
      <c r="UUW52" s="4"/>
      <c r="UUX52" s="4"/>
      <c r="UUY52" s="4"/>
      <c r="UUZ52" s="4"/>
      <c r="UVA52" s="4"/>
      <c r="UVB52" s="4"/>
      <c r="UVC52" s="4"/>
      <c r="UVD52" s="4"/>
      <c r="UVE52" s="4"/>
      <c r="UVF52" s="4"/>
      <c r="UVG52" s="4"/>
      <c r="UVH52" s="4"/>
      <c r="UVI52" s="4"/>
      <c r="UVJ52" s="4"/>
      <c r="UVK52" s="4"/>
      <c r="UVL52" s="4"/>
      <c r="UVM52" s="4"/>
      <c r="UVN52" s="4"/>
      <c r="UVO52" s="4"/>
      <c r="UVP52" s="4"/>
      <c r="UVQ52" s="4"/>
      <c r="UVR52" s="4"/>
      <c r="UVS52" s="4"/>
      <c r="UVT52" s="4"/>
      <c r="UVU52" s="4"/>
      <c r="UVV52" s="4"/>
      <c r="UVW52" s="4"/>
      <c r="UVX52" s="4"/>
      <c r="UVY52" s="4"/>
      <c r="UVZ52" s="4"/>
      <c r="UWA52" s="4"/>
      <c r="UWB52" s="4"/>
      <c r="UWC52" s="4"/>
      <c r="UWD52" s="4"/>
      <c r="UWE52" s="4"/>
      <c r="UWF52" s="4"/>
      <c r="UWG52" s="4"/>
      <c r="UWH52" s="4"/>
      <c r="UWI52" s="4"/>
      <c r="UWJ52" s="4"/>
      <c r="UWK52" s="4"/>
      <c r="UWL52" s="4"/>
      <c r="UWM52" s="4"/>
      <c r="UWN52" s="4"/>
      <c r="UWO52" s="4"/>
      <c r="UWP52" s="4"/>
      <c r="UWQ52" s="4"/>
      <c r="UWR52" s="4"/>
      <c r="UWS52" s="4"/>
      <c r="UWT52" s="4"/>
      <c r="UWU52" s="4"/>
      <c r="UWV52" s="4"/>
      <c r="UWW52" s="4"/>
      <c r="UWX52" s="4"/>
      <c r="UWY52" s="4"/>
      <c r="UWZ52" s="4"/>
      <c r="UXA52" s="4"/>
      <c r="UXB52" s="4"/>
      <c r="UXC52" s="4"/>
      <c r="UXD52" s="4"/>
      <c r="UXE52" s="4"/>
      <c r="UXF52" s="4"/>
      <c r="UXG52" s="4"/>
      <c r="UXH52" s="4"/>
      <c r="UXI52" s="4"/>
      <c r="UXJ52" s="4"/>
      <c r="UXK52" s="4"/>
      <c r="UXL52" s="4"/>
      <c r="UXM52" s="4"/>
      <c r="UXN52" s="4"/>
      <c r="UXO52" s="4"/>
      <c r="UXP52" s="4"/>
      <c r="UXQ52" s="4"/>
      <c r="UXR52" s="4"/>
      <c r="UXS52" s="4"/>
      <c r="UXT52" s="4"/>
      <c r="UXU52" s="4"/>
      <c r="UXV52" s="4"/>
      <c r="UXW52" s="4"/>
      <c r="UXX52" s="4"/>
      <c r="UXY52" s="4"/>
      <c r="UXZ52" s="4"/>
      <c r="UYA52" s="4"/>
      <c r="UYB52" s="4"/>
      <c r="UYC52" s="4"/>
      <c r="UYD52" s="4"/>
      <c r="UYE52" s="4"/>
      <c r="UYF52" s="4"/>
      <c r="UYG52" s="4"/>
      <c r="UYH52" s="4"/>
      <c r="UYI52" s="4"/>
      <c r="UYJ52" s="4"/>
      <c r="UYK52" s="4"/>
      <c r="UYL52" s="4"/>
      <c r="UYM52" s="4"/>
      <c r="UYN52" s="4"/>
      <c r="UYO52" s="4"/>
      <c r="UYP52" s="4"/>
      <c r="UYQ52" s="4"/>
      <c r="UYR52" s="4"/>
      <c r="UYS52" s="4"/>
      <c r="UYT52" s="4"/>
      <c r="UYU52" s="4"/>
      <c r="UYV52" s="4"/>
      <c r="UYW52" s="4"/>
      <c r="UYX52" s="4"/>
      <c r="UYY52" s="4"/>
      <c r="UYZ52" s="4"/>
      <c r="UZA52" s="4"/>
      <c r="UZB52" s="4"/>
      <c r="UZC52" s="4"/>
      <c r="UZD52" s="4"/>
      <c r="UZE52" s="4"/>
      <c r="UZF52" s="4"/>
      <c r="UZG52" s="4"/>
      <c r="UZH52" s="4"/>
      <c r="UZI52" s="4"/>
      <c r="UZJ52" s="4"/>
      <c r="UZK52" s="4"/>
      <c r="UZL52" s="4"/>
      <c r="UZM52" s="4"/>
      <c r="UZN52" s="4"/>
      <c r="UZO52" s="4"/>
      <c r="UZP52" s="4"/>
      <c r="UZQ52" s="4"/>
      <c r="UZR52" s="4"/>
      <c r="UZS52" s="4"/>
      <c r="UZT52" s="4"/>
      <c r="UZU52" s="4"/>
      <c r="UZV52" s="4"/>
      <c r="UZW52" s="4"/>
      <c r="UZX52" s="4"/>
      <c r="UZY52" s="4"/>
      <c r="UZZ52" s="4"/>
      <c r="VAA52" s="4"/>
      <c r="VAB52" s="4"/>
      <c r="VAC52" s="4"/>
      <c r="VAD52" s="4"/>
      <c r="VAE52" s="4"/>
      <c r="VAF52" s="4"/>
      <c r="VAG52" s="4"/>
      <c r="VAH52" s="4"/>
      <c r="VAI52" s="4"/>
      <c r="VAJ52" s="4"/>
      <c r="VAK52" s="4"/>
      <c r="VAL52" s="4"/>
      <c r="VAM52" s="4"/>
      <c r="VAN52" s="4"/>
      <c r="VAO52" s="4"/>
      <c r="VAP52" s="4"/>
      <c r="VAQ52" s="4"/>
      <c r="VAR52" s="4"/>
      <c r="VAS52" s="4"/>
      <c r="VAT52" s="4"/>
      <c r="VAU52" s="4"/>
      <c r="VAV52" s="4"/>
      <c r="VAW52" s="4"/>
      <c r="VAX52" s="4"/>
      <c r="VAY52" s="4"/>
      <c r="VAZ52" s="4"/>
      <c r="VBA52" s="4"/>
      <c r="VBB52" s="4"/>
      <c r="VBC52" s="4"/>
      <c r="VBD52" s="4"/>
      <c r="VBE52" s="4"/>
      <c r="VBF52" s="4"/>
      <c r="VBG52" s="4"/>
      <c r="VBH52" s="4"/>
      <c r="VBI52" s="4"/>
      <c r="VBJ52" s="4"/>
      <c r="VBK52" s="4"/>
      <c r="VBL52" s="4"/>
      <c r="VBM52" s="4"/>
      <c r="VBN52" s="4"/>
      <c r="VBO52" s="4"/>
      <c r="VBP52" s="4"/>
      <c r="VBQ52" s="4"/>
      <c r="VBR52" s="4"/>
      <c r="VBS52" s="4"/>
      <c r="VBT52" s="4"/>
      <c r="VBU52" s="4"/>
      <c r="VBV52" s="4"/>
      <c r="VBW52" s="4"/>
      <c r="VBX52" s="4"/>
      <c r="VBY52" s="4"/>
      <c r="VBZ52" s="4"/>
      <c r="VCA52" s="4"/>
      <c r="VCB52" s="4"/>
      <c r="VCC52" s="4"/>
      <c r="VCD52" s="4"/>
      <c r="VCE52" s="4"/>
      <c r="VCF52" s="4"/>
      <c r="VCG52" s="4"/>
      <c r="VCH52" s="4"/>
      <c r="VCI52" s="4"/>
      <c r="VCJ52" s="4"/>
      <c r="VCK52" s="4"/>
      <c r="VCL52" s="4"/>
      <c r="VCM52" s="4"/>
      <c r="VCN52" s="4"/>
      <c r="VCO52" s="4"/>
      <c r="VCP52" s="4"/>
      <c r="VCQ52" s="4"/>
      <c r="VCR52" s="4"/>
      <c r="VCS52" s="4"/>
      <c r="VCT52" s="4"/>
      <c r="VCU52" s="4"/>
      <c r="VCV52" s="4"/>
      <c r="VCW52" s="4"/>
      <c r="VCX52" s="4"/>
      <c r="VCY52" s="4"/>
      <c r="VCZ52" s="4"/>
      <c r="VDA52" s="4"/>
      <c r="VDB52" s="4"/>
      <c r="VDC52" s="4"/>
      <c r="VDD52" s="4"/>
      <c r="VDE52" s="4"/>
      <c r="VDF52" s="4"/>
      <c r="VDG52" s="4"/>
      <c r="VDH52" s="4"/>
      <c r="VDI52" s="4"/>
      <c r="VDJ52" s="4"/>
      <c r="VDK52" s="4"/>
      <c r="VDL52" s="4"/>
      <c r="VDM52" s="4"/>
      <c r="VDN52" s="4"/>
      <c r="VDO52" s="4"/>
      <c r="VDP52" s="4"/>
      <c r="VDQ52" s="4"/>
      <c r="VDR52" s="4"/>
      <c r="VDS52" s="4"/>
      <c r="VDT52" s="4"/>
      <c r="VDU52" s="4"/>
      <c r="VDV52" s="4"/>
      <c r="VDW52" s="4"/>
      <c r="VDX52" s="4"/>
      <c r="VDY52" s="4"/>
      <c r="VDZ52" s="4"/>
      <c r="VEA52" s="4"/>
      <c r="VEB52" s="4"/>
      <c r="VEC52" s="4"/>
      <c r="VED52" s="4"/>
      <c r="VEE52" s="4"/>
      <c r="VEF52" s="4"/>
      <c r="VEG52" s="4"/>
      <c r="VEH52" s="4"/>
      <c r="VEI52" s="4"/>
      <c r="VEJ52" s="4"/>
      <c r="VEK52" s="4"/>
      <c r="VEL52" s="4"/>
      <c r="VEM52" s="4"/>
      <c r="VEN52" s="4"/>
      <c r="VEO52" s="4"/>
      <c r="VEP52" s="4"/>
      <c r="VEQ52" s="4"/>
      <c r="VER52" s="4"/>
      <c r="VES52" s="4"/>
      <c r="VET52" s="4"/>
      <c r="VEU52" s="4"/>
      <c r="VEV52" s="4"/>
      <c r="VEW52" s="4"/>
      <c r="VEX52" s="4"/>
      <c r="VEY52" s="4"/>
      <c r="VEZ52" s="4"/>
      <c r="VFA52" s="4"/>
      <c r="VFB52" s="4"/>
      <c r="VFC52" s="4"/>
      <c r="VFD52" s="4"/>
      <c r="VFE52" s="4"/>
      <c r="VFF52" s="4"/>
      <c r="VFG52" s="4"/>
      <c r="VFH52" s="4"/>
      <c r="VFI52" s="4"/>
      <c r="VFJ52" s="4"/>
      <c r="VFK52" s="4"/>
      <c r="VFL52" s="4"/>
      <c r="VFM52" s="4"/>
      <c r="VFN52" s="4"/>
      <c r="VFO52" s="4"/>
      <c r="VFP52" s="4"/>
      <c r="VFQ52" s="4"/>
      <c r="VFR52" s="4"/>
      <c r="VFS52" s="4"/>
      <c r="VFT52" s="4"/>
      <c r="VFU52" s="4"/>
      <c r="VFV52" s="4"/>
      <c r="VFW52" s="4"/>
      <c r="VFX52" s="4"/>
      <c r="VFY52" s="4"/>
      <c r="VFZ52" s="4"/>
      <c r="VGA52" s="4"/>
      <c r="VGB52" s="4"/>
      <c r="VGC52" s="4"/>
      <c r="VGD52" s="4"/>
      <c r="VGE52" s="4"/>
      <c r="VGF52" s="4"/>
      <c r="VGG52" s="4"/>
      <c r="VGH52" s="4"/>
      <c r="VGI52" s="4"/>
      <c r="VGJ52" s="4"/>
      <c r="VGK52" s="4"/>
      <c r="VGL52" s="4"/>
      <c r="VGM52" s="4"/>
      <c r="VGN52" s="4"/>
      <c r="VGO52" s="4"/>
      <c r="VGP52" s="4"/>
      <c r="VGQ52" s="4"/>
      <c r="VGR52" s="4"/>
      <c r="VGS52" s="4"/>
      <c r="VGT52" s="4"/>
      <c r="VGU52" s="4"/>
      <c r="VGV52" s="4"/>
      <c r="VGW52" s="4"/>
      <c r="VGX52" s="4"/>
      <c r="VGY52" s="4"/>
      <c r="VGZ52" s="4"/>
      <c r="VHA52" s="4"/>
      <c r="VHB52" s="4"/>
      <c r="VHC52" s="4"/>
      <c r="VHD52" s="4"/>
      <c r="VHE52" s="4"/>
      <c r="VHF52" s="4"/>
      <c r="VHG52" s="4"/>
      <c r="VHH52" s="4"/>
      <c r="VHI52" s="4"/>
      <c r="VHJ52" s="4"/>
      <c r="VHK52" s="4"/>
      <c r="VHL52" s="4"/>
      <c r="VHM52" s="4"/>
      <c r="VHN52" s="4"/>
      <c r="VHO52" s="4"/>
      <c r="VHP52" s="4"/>
      <c r="VHQ52" s="4"/>
      <c r="VHR52" s="4"/>
      <c r="VHS52" s="4"/>
      <c r="VHT52" s="4"/>
      <c r="VHU52" s="4"/>
      <c r="VHV52" s="4"/>
      <c r="VHW52" s="4"/>
      <c r="VHX52" s="4"/>
      <c r="VHY52" s="4"/>
      <c r="VHZ52" s="4"/>
      <c r="VIA52" s="4"/>
      <c r="VIB52" s="4"/>
      <c r="VIC52" s="4"/>
      <c r="VID52" s="4"/>
      <c r="VIE52" s="4"/>
      <c r="VIF52" s="4"/>
      <c r="VIG52" s="4"/>
      <c r="VIH52" s="4"/>
      <c r="VII52" s="4"/>
      <c r="VIJ52" s="4"/>
      <c r="VIK52" s="4"/>
      <c r="VIL52" s="4"/>
      <c r="VIM52" s="4"/>
      <c r="VIN52" s="4"/>
      <c r="VIO52" s="4"/>
      <c r="VIP52" s="4"/>
      <c r="VIQ52" s="4"/>
      <c r="VIR52" s="4"/>
      <c r="VIS52" s="4"/>
      <c r="VIT52" s="4"/>
      <c r="VIU52" s="4"/>
      <c r="VIV52" s="4"/>
      <c r="VIW52" s="4"/>
      <c r="VIX52" s="4"/>
      <c r="VIY52" s="4"/>
      <c r="VIZ52" s="4"/>
      <c r="VJA52" s="4"/>
      <c r="VJB52" s="4"/>
      <c r="VJC52" s="4"/>
      <c r="VJD52" s="4"/>
      <c r="VJE52" s="4"/>
      <c r="VJF52" s="4"/>
      <c r="VJG52" s="4"/>
      <c r="VJH52" s="4"/>
      <c r="VJI52" s="4"/>
      <c r="VJJ52" s="4"/>
      <c r="VJK52" s="4"/>
      <c r="VJL52" s="4"/>
      <c r="VJM52" s="4"/>
      <c r="VJN52" s="4"/>
      <c r="VJO52" s="4"/>
      <c r="VJP52" s="4"/>
      <c r="VJQ52" s="4"/>
      <c r="VJR52" s="4"/>
      <c r="VJS52" s="4"/>
      <c r="VJT52" s="4"/>
      <c r="VJU52" s="4"/>
      <c r="VJV52" s="4"/>
      <c r="VJW52" s="4"/>
      <c r="VJX52" s="4"/>
      <c r="VJY52" s="4"/>
      <c r="VJZ52" s="4"/>
      <c r="VKA52" s="4"/>
      <c r="VKB52" s="4"/>
      <c r="VKC52" s="4"/>
      <c r="VKD52" s="4"/>
      <c r="VKE52" s="4"/>
      <c r="VKF52" s="4"/>
      <c r="VKG52" s="4"/>
      <c r="VKH52" s="4"/>
      <c r="VKI52" s="4"/>
      <c r="VKJ52" s="4"/>
      <c r="VKK52" s="4"/>
      <c r="VKL52" s="4"/>
      <c r="VKM52" s="4"/>
      <c r="VKN52" s="4"/>
      <c r="VKO52" s="4"/>
      <c r="VKP52" s="4"/>
      <c r="VKQ52" s="4"/>
      <c r="VKR52" s="4"/>
      <c r="VKS52" s="4"/>
      <c r="VKT52" s="4"/>
      <c r="VKU52" s="4"/>
      <c r="VKV52" s="4"/>
      <c r="VKW52" s="4"/>
      <c r="VKX52" s="4"/>
      <c r="VKY52" s="4"/>
      <c r="VKZ52" s="4"/>
      <c r="VLA52" s="4"/>
      <c r="VLB52" s="4"/>
      <c r="VLC52" s="4"/>
      <c r="VLD52" s="4"/>
      <c r="VLE52" s="4"/>
      <c r="VLF52" s="4"/>
      <c r="VLG52" s="4"/>
      <c r="VLH52" s="4"/>
      <c r="VLI52" s="4"/>
      <c r="VLJ52" s="4"/>
      <c r="VLK52" s="4"/>
      <c r="VLL52" s="4"/>
      <c r="VLM52" s="4"/>
      <c r="VLN52" s="4"/>
      <c r="VLO52" s="4"/>
      <c r="VLP52" s="4"/>
      <c r="VLQ52" s="4"/>
      <c r="VLR52" s="4"/>
      <c r="VLS52" s="4"/>
      <c r="VLT52" s="4"/>
      <c r="VLU52" s="4"/>
      <c r="VLV52" s="4"/>
      <c r="VLW52" s="4"/>
      <c r="VLX52" s="4"/>
      <c r="VLY52" s="4"/>
      <c r="VLZ52" s="4"/>
      <c r="VMA52" s="4"/>
      <c r="VMB52" s="4"/>
      <c r="VMC52" s="4"/>
      <c r="VMD52" s="4"/>
      <c r="VME52" s="4"/>
      <c r="VMF52" s="4"/>
      <c r="VMG52" s="4"/>
      <c r="VMH52" s="4"/>
      <c r="VMI52" s="4"/>
      <c r="VMJ52" s="4"/>
      <c r="VMK52" s="4"/>
      <c r="VML52" s="4"/>
      <c r="VMM52" s="4"/>
      <c r="VMN52" s="4"/>
      <c r="VMO52" s="4"/>
      <c r="VMP52" s="4"/>
      <c r="VMQ52" s="4"/>
      <c r="VMR52" s="4"/>
      <c r="VMS52" s="4"/>
      <c r="VMT52" s="4"/>
      <c r="VMU52" s="4"/>
      <c r="VMV52" s="4"/>
      <c r="VMW52" s="4"/>
      <c r="VMX52" s="4"/>
      <c r="VMY52" s="4"/>
      <c r="VMZ52" s="4"/>
      <c r="VNA52" s="4"/>
      <c r="VNB52" s="4"/>
      <c r="VNC52" s="4"/>
      <c r="VND52" s="4"/>
      <c r="VNE52" s="4"/>
      <c r="VNF52" s="4"/>
      <c r="VNG52" s="4"/>
      <c r="VNH52" s="4"/>
      <c r="VNI52" s="4"/>
      <c r="VNJ52" s="4"/>
      <c r="VNK52" s="4"/>
      <c r="VNL52" s="4"/>
      <c r="VNM52" s="4"/>
      <c r="VNN52" s="4"/>
      <c r="VNO52" s="4"/>
      <c r="VNP52" s="4"/>
      <c r="VNQ52" s="4"/>
      <c r="VNR52" s="4"/>
      <c r="VNS52" s="4"/>
      <c r="VNT52" s="4"/>
      <c r="VNU52" s="4"/>
      <c r="VNV52" s="4"/>
      <c r="VNW52" s="4"/>
      <c r="VNX52" s="4"/>
      <c r="VNY52" s="4"/>
      <c r="VNZ52" s="4"/>
      <c r="VOA52" s="4"/>
      <c r="VOB52" s="4"/>
      <c r="VOC52" s="4"/>
      <c r="VOD52" s="4"/>
      <c r="VOE52" s="4"/>
      <c r="VOF52" s="4"/>
      <c r="VOG52" s="4"/>
      <c r="VOH52" s="4"/>
      <c r="VOI52" s="4"/>
      <c r="VOJ52" s="4"/>
      <c r="VOK52" s="4"/>
      <c r="VOL52" s="4"/>
      <c r="VOM52" s="4"/>
      <c r="VON52" s="4"/>
      <c r="VOO52" s="4"/>
      <c r="VOP52" s="4"/>
      <c r="VOQ52" s="4"/>
      <c r="VOR52" s="4"/>
      <c r="VOS52" s="4"/>
      <c r="VOT52" s="4"/>
      <c r="VOU52" s="4"/>
      <c r="VOV52" s="4"/>
      <c r="VOW52" s="4"/>
      <c r="VOX52" s="4"/>
      <c r="VOY52" s="4"/>
      <c r="VOZ52" s="4"/>
      <c r="VPA52" s="4"/>
      <c r="VPB52" s="4"/>
      <c r="VPC52" s="4"/>
      <c r="VPD52" s="4"/>
      <c r="VPE52" s="4"/>
      <c r="VPF52" s="4"/>
      <c r="VPG52" s="4"/>
      <c r="VPH52" s="4"/>
      <c r="VPI52" s="4"/>
      <c r="VPJ52" s="4"/>
      <c r="VPK52" s="4"/>
      <c r="VPL52" s="4"/>
      <c r="VPM52" s="4"/>
      <c r="VPN52" s="4"/>
      <c r="VPO52" s="4"/>
      <c r="VPP52" s="4"/>
      <c r="VPQ52" s="4"/>
      <c r="VPR52" s="4"/>
      <c r="VPS52" s="4"/>
      <c r="VPT52" s="4"/>
      <c r="VPU52" s="4"/>
      <c r="VPV52" s="4"/>
      <c r="VPW52" s="4"/>
      <c r="VPX52" s="4"/>
      <c r="VPY52" s="4"/>
      <c r="VPZ52" s="4"/>
      <c r="VQA52" s="4"/>
      <c r="VQB52" s="4"/>
      <c r="VQC52" s="4"/>
      <c r="VQD52" s="4"/>
      <c r="VQE52" s="4"/>
      <c r="VQF52" s="4"/>
      <c r="VQG52" s="4"/>
      <c r="VQH52" s="4"/>
      <c r="VQI52" s="4"/>
      <c r="VQJ52" s="4"/>
      <c r="VQK52" s="4"/>
      <c r="VQL52" s="4"/>
      <c r="VQM52" s="4"/>
      <c r="VQN52" s="4"/>
      <c r="VQO52" s="4"/>
      <c r="VQP52" s="4"/>
      <c r="VQQ52" s="4"/>
      <c r="VQR52" s="4"/>
      <c r="VQS52" s="4"/>
      <c r="VQT52" s="4"/>
      <c r="VQU52" s="4"/>
      <c r="VQV52" s="4"/>
      <c r="VQW52" s="4"/>
      <c r="VQX52" s="4"/>
      <c r="VQY52" s="4"/>
      <c r="VQZ52" s="4"/>
      <c r="VRA52" s="4"/>
      <c r="VRB52" s="4"/>
      <c r="VRC52" s="4"/>
      <c r="VRD52" s="4"/>
      <c r="VRE52" s="4"/>
      <c r="VRF52" s="4"/>
      <c r="VRG52" s="4"/>
      <c r="VRH52" s="4"/>
      <c r="VRI52" s="4"/>
      <c r="VRJ52" s="4"/>
      <c r="VRK52" s="4"/>
      <c r="VRL52" s="4"/>
      <c r="VRM52" s="4"/>
      <c r="VRN52" s="4"/>
      <c r="VRO52" s="4"/>
      <c r="VRP52" s="4"/>
      <c r="VRQ52" s="4"/>
      <c r="VRR52" s="4"/>
      <c r="VRS52" s="4"/>
      <c r="VRT52" s="4"/>
      <c r="VRU52" s="4"/>
      <c r="VRV52" s="4"/>
      <c r="VRW52" s="4"/>
      <c r="VRX52" s="4"/>
      <c r="VRY52" s="4"/>
      <c r="VRZ52" s="4"/>
      <c r="VSA52" s="4"/>
      <c r="VSB52" s="4"/>
      <c r="VSC52" s="4"/>
      <c r="VSD52" s="4"/>
      <c r="VSE52" s="4"/>
      <c r="VSF52" s="4"/>
      <c r="VSG52" s="4"/>
      <c r="VSH52" s="4"/>
      <c r="VSI52" s="4"/>
      <c r="VSJ52" s="4"/>
      <c r="VSK52" s="4"/>
      <c r="VSL52" s="4"/>
      <c r="VSM52" s="4"/>
      <c r="VSN52" s="4"/>
      <c r="VSO52" s="4"/>
      <c r="VSP52" s="4"/>
      <c r="VSQ52" s="4"/>
      <c r="VSR52" s="4"/>
      <c r="VSS52" s="4"/>
      <c r="VST52" s="4"/>
      <c r="VSU52" s="4"/>
      <c r="VSV52" s="4"/>
      <c r="VSW52" s="4"/>
      <c r="VSX52" s="4"/>
      <c r="VSY52" s="4"/>
      <c r="VSZ52" s="4"/>
      <c r="VTA52" s="4"/>
      <c r="VTB52" s="4"/>
      <c r="VTC52" s="4"/>
      <c r="VTD52" s="4"/>
      <c r="VTE52" s="4"/>
      <c r="VTF52" s="4"/>
      <c r="VTG52" s="4"/>
      <c r="VTH52" s="4"/>
      <c r="VTI52" s="4"/>
      <c r="VTJ52" s="4"/>
      <c r="VTK52" s="4"/>
      <c r="VTL52" s="4"/>
      <c r="VTM52" s="4"/>
      <c r="VTN52" s="4"/>
      <c r="VTO52" s="4"/>
      <c r="VTP52" s="4"/>
      <c r="VTQ52" s="4"/>
      <c r="VTR52" s="4"/>
      <c r="VTS52" s="4"/>
      <c r="VTT52" s="4"/>
      <c r="VTU52" s="4"/>
      <c r="VTV52" s="4"/>
      <c r="VTW52" s="4"/>
      <c r="VTX52" s="4"/>
      <c r="VTY52" s="4"/>
      <c r="VTZ52" s="4"/>
      <c r="VUA52" s="4"/>
      <c r="VUB52" s="4"/>
      <c r="VUC52" s="4"/>
      <c r="VUD52" s="4"/>
      <c r="VUE52" s="4"/>
      <c r="VUF52" s="4"/>
      <c r="VUG52" s="4"/>
      <c r="VUH52" s="4"/>
      <c r="VUI52" s="4"/>
      <c r="VUJ52" s="4"/>
      <c r="VUK52" s="4"/>
      <c r="VUL52" s="4"/>
      <c r="VUM52" s="4"/>
      <c r="VUN52" s="4"/>
      <c r="VUO52" s="4"/>
      <c r="VUP52" s="4"/>
      <c r="VUQ52" s="4"/>
      <c r="VUR52" s="4"/>
      <c r="VUS52" s="4"/>
      <c r="VUT52" s="4"/>
      <c r="VUU52" s="4"/>
      <c r="VUV52" s="4"/>
      <c r="VUW52" s="4"/>
      <c r="VUX52" s="4"/>
      <c r="VUY52" s="4"/>
      <c r="VUZ52" s="4"/>
      <c r="VVA52" s="4"/>
      <c r="VVB52" s="4"/>
      <c r="VVC52" s="4"/>
      <c r="VVD52" s="4"/>
      <c r="VVE52" s="4"/>
      <c r="VVF52" s="4"/>
      <c r="VVG52" s="4"/>
      <c r="VVH52" s="4"/>
      <c r="VVI52" s="4"/>
      <c r="VVJ52" s="4"/>
      <c r="VVK52" s="4"/>
      <c r="VVL52" s="4"/>
      <c r="VVM52" s="4"/>
      <c r="VVN52" s="4"/>
      <c r="VVO52" s="4"/>
      <c r="VVP52" s="4"/>
      <c r="VVQ52" s="4"/>
      <c r="VVR52" s="4"/>
      <c r="VVS52" s="4"/>
      <c r="VVT52" s="4"/>
      <c r="VVU52" s="4"/>
      <c r="VVV52" s="4"/>
      <c r="VVW52" s="4"/>
      <c r="VVX52" s="4"/>
      <c r="VVY52" s="4"/>
      <c r="VVZ52" s="4"/>
      <c r="VWA52" s="4"/>
      <c r="VWB52" s="4"/>
      <c r="VWC52" s="4"/>
      <c r="VWD52" s="4"/>
      <c r="VWE52" s="4"/>
      <c r="VWF52" s="4"/>
      <c r="VWG52" s="4"/>
      <c r="VWH52" s="4"/>
      <c r="VWI52" s="4"/>
      <c r="VWJ52" s="4"/>
      <c r="VWK52" s="4"/>
      <c r="VWL52" s="4"/>
      <c r="VWM52" s="4"/>
      <c r="VWN52" s="4"/>
      <c r="VWO52" s="4"/>
      <c r="VWP52" s="4"/>
      <c r="VWQ52" s="4"/>
      <c r="VWR52" s="4"/>
      <c r="VWS52" s="4"/>
      <c r="VWT52" s="4"/>
      <c r="VWU52" s="4"/>
      <c r="VWV52" s="4"/>
      <c r="VWW52" s="4"/>
      <c r="VWX52" s="4"/>
      <c r="VWY52" s="4"/>
      <c r="VWZ52" s="4"/>
      <c r="VXA52" s="4"/>
      <c r="VXB52" s="4"/>
      <c r="VXC52" s="4"/>
      <c r="VXD52" s="4"/>
      <c r="VXE52" s="4"/>
      <c r="VXF52" s="4"/>
      <c r="VXG52" s="4"/>
      <c r="VXH52" s="4"/>
      <c r="VXI52" s="4"/>
      <c r="VXJ52" s="4"/>
      <c r="VXK52" s="4"/>
      <c r="VXL52" s="4"/>
      <c r="VXM52" s="4"/>
      <c r="VXN52" s="4"/>
      <c r="VXO52" s="4"/>
      <c r="VXP52" s="4"/>
      <c r="VXQ52" s="4"/>
      <c r="VXR52" s="4"/>
      <c r="VXS52" s="4"/>
      <c r="VXT52" s="4"/>
      <c r="VXU52" s="4"/>
      <c r="VXV52" s="4"/>
      <c r="VXW52" s="4"/>
      <c r="VXX52" s="4"/>
      <c r="VXY52" s="4"/>
      <c r="VXZ52" s="4"/>
      <c r="VYA52" s="4"/>
      <c r="VYB52" s="4"/>
      <c r="VYC52" s="4"/>
      <c r="VYD52" s="4"/>
      <c r="VYE52" s="4"/>
      <c r="VYF52" s="4"/>
      <c r="VYG52" s="4"/>
      <c r="VYH52" s="4"/>
      <c r="VYI52" s="4"/>
      <c r="VYJ52" s="4"/>
      <c r="VYK52" s="4"/>
      <c r="VYL52" s="4"/>
      <c r="VYM52" s="4"/>
      <c r="VYN52" s="4"/>
      <c r="VYO52" s="4"/>
      <c r="VYP52" s="4"/>
      <c r="VYQ52" s="4"/>
      <c r="VYR52" s="4"/>
      <c r="VYS52" s="4"/>
      <c r="VYT52" s="4"/>
      <c r="VYU52" s="4"/>
      <c r="VYV52" s="4"/>
      <c r="VYW52" s="4"/>
      <c r="VYX52" s="4"/>
      <c r="VYY52" s="4"/>
      <c r="VYZ52" s="4"/>
      <c r="VZA52" s="4"/>
      <c r="VZB52" s="4"/>
      <c r="VZC52" s="4"/>
      <c r="VZD52" s="4"/>
      <c r="VZE52" s="4"/>
      <c r="VZF52" s="4"/>
      <c r="VZG52" s="4"/>
      <c r="VZH52" s="4"/>
      <c r="VZI52" s="4"/>
      <c r="VZJ52" s="4"/>
      <c r="VZK52" s="4"/>
      <c r="VZL52" s="4"/>
      <c r="VZM52" s="4"/>
      <c r="VZN52" s="4"/>
      <c r="VZO52" s="4"/>
      <c r="VZP52" s="4"/>
      <c r="VZQ52" s="4"/>
      <c r="VZR52" s="4"/>
      <c r="VZS52" s="4"/>
      <c r="VZT52" s="4"/>
      <c r="VZU52" s="4"/>
      <c r="VZV52" s="4"/>
      <c r="VZW52" s="4"/>
      <c r="VZX52" s="4"/>
      <c r="VZY52" s="4"/>
      <c r="VZZ52" s="4"/>
      <c r="WAA52" s="4"/>
      <c r="WAB52" s="4"/>
      <c r="WAC52" s="4"/>
      <c r="WAD52" s="4"/>
      <c r="WAE52" s="4"/>
      <c r="WAF52" s="4"/>
      <c r="WAG52" s="4"/>
      <c r="WAH52" s="4"/>
      <c r="WAI52" s="4"/>
      <c r="WAJ52" s="4"/>
      <c r="WAK52" s="4"/>
      <c r="WAL52" s="4"/>
      <c r="WAM52" s="4"/>
      <c r="WAN52" s="4"/>
      <c r="WAO52" s="4"/>
      <c r="WAP52" s="4"/>
      <c r="WAQ52" s="4"/>
      <c r="WAR52" s="4"/>
      <c r="WAS52" s="4"/>
      <c r="WAT52" s="4"/>
      <c r="WAU52" s="4"/>
      <c r="WAV52" s="4"/>
      <c r="WAW52" s="4"/>
      <c r="WAX52" s="4"/>
      <c r="WAY52" s="4"/>
      <c r="WAZ52" s="4"/>
      <c r="WBA52" s="4"/>
      <c r="WBB52" s="4"/>
      <c r="WBC52" s="4"/>
      <c r="WBD52" s="4"/>
      <c r="WBE52" s="4"/>
      <c r="WBF52" s="4"/>
      <c r="WBG52" s="4"/>
      <c r="WBH52" s="4"/>
      <c r="WBI52" s="4"/>
      <c r="WBJ52" s="4"/>
      <c r="WBK52" s="4"/>
      <c r="WBL52" s="4"/>
      <c r="WBM52" s="4"/>
      <c r="WBN52" s="4"/>
      <c r="WBO52" s="4"/>
      <c r="WBP52" s="4"/>
      <c r="WBQ52" s="4"/>
      <c r="WBR52" s="4"/>
      <c r="WBS52" s="4"/>
      <c r="WBT52" s="4"/>
      <c r="WBU52" s="4"/>
      <c r="WBV52" s="4"/>
      <c r="WBW52" s="4"/>
      <c r="WBX52" s="4"/>
      <c r="WBY52" s="4"/>
      <c r="WBZ52" s="4"/>
      <c r="WCA52" s="4"/>
      <c r="WCB52" s="4"/>
      <c r="WCC52" s="4"/>
      <c r="WCD52" s="4"/>
      <c r="WCE52" s="4"/>
      <c r="WCF52" s="4"/>
      <c r="WCG52" s="4"/>
      <c r="WCH52" s="4"/>
      <c r="WCI52" s="4"/>
      <c r="WCJ52" s="4"/>
      <c r="WCK52" s="4"/>
      <c r="WCL52" s="4"/>
      <c r="WCM52" s="4"/>
      <c r="WCN52" s="4"/>
      <c r="WCO52" s="4"/>
      <c r="WCP52" s="4"/>
      <c r="WCQ52" s="4"/>
      <c r="WCR52" s="4"/>
      <c r="WCS52" s="4"/>
      <c r="WCT52" s="4"/>
      <c r="WCU52" s="4"/>
      <c r="WCV52" s="4"/>
      <c r="WCW52" s="4"/>
      <c r="WCX52" s="4"/>
      <c r="WCY52" s="4"/>
      <c r="WCZ52" s="4"/>
      <c r="WDA52" s="4"/>
      <c r="WDB52" s="4"/>
      <c r="WDC52" s="4"/>
      <c r="WDD52" s="4"/>
      <c r="WDE52" s="4"/>
      <c r="WDF52" s="4"/>
      <c r="WDG52" s="4"/>
      <c r="WDH52" s="4"/>
      <c r="WDI52" s="4"/>
      <c r="WDJ52" s="4"/>
      <c r="WDK52" s="4"/>
      <c r="WDL52" s="4"/>
      <c r="WDM52" s="4"/>
      <c r="WDN52" s="4"/>
      <c r="WDO52" s="4"/>
      <c r="WDP52" s="4"/>
      <c r="WDQ52" s="4"/>
      <c r="WDR52" s="4"/>
      <c r="WDS52" s="4"/>
      <c r="WDT52" s="4"/>
      <c r="WDU52" s="4"/>
      <c r="WDV52" s="4"/>
      <c r="WDW52" s="4"/>
      <c r="WDX52" s="4"/>
      <c r="WDY52" s="4"/>
      <c r="WDZ52" s="4"/>
      <c r="WEA52" s="4"/>
      <c r="WEB52" s="4"/>
      <c r="WEC52" s="4"/>
      <c r="WED52" s="4"/>
      <c r="WEE52" s="4"/>
      <c r="WEF52" s="4"/>
      <c r="WEG52" s="4"/>
      <c r="WEH52" s="4"/>
      <c r="WEI52" s="4"/>
      <c r="WEJ52" s="4"/>
      <c r="WEK52" s="4"/>
      <c r="WEL52" s="4"/>
      <c r="WEM52" s="4"/>
      <c r="WEN52" s="4"/>
      <c r="WEO52" s="4"/>
      <c r="WEP52" s="4"/>
      <c r="WEQ52" s="4"/>
      <c r="WER52" s="4"/>
      <c r="WES52" s="4"/>
      <c r="WET52" s="4"/>
      <c r="WEU52" s="4"/>
      <c r="WEV52" s="4"/>
      <c r="WEW52" s="4"/>
      <c r="WEX52" s="4"/>
      <c r="WEY52" s="4"/>
      <c r="WEZ52" s="4"/>
      <c r="WFA52" s="4"/>
      <c r="WFB52" s="4"/>
      <c r="WFC52" s="4"/>
      <c r="WFD52" s="4"/>
      <c r="WFE52" s="4"/>
      <c r="WFF52" s="4"/>
      <c r="WFG52" s="4"/>
      <c r="WFH52" s="4"/>
      <c r="WFI52" s="4"/>
      <c r="WFJ52" s="4"/>
      <c r="WFK52" s="4"/>
      <c r="WFL52" s="4"/>
      <c r="WFM52" s="4"/>
      <c r="WFN52" s="4"/>
      <c r="WFO52" s="4"/>
      <c r="WFP52" s="4"/>
      <c r="WFQ52" s="4"/>
      <c r="WFR52" s="4"/>
      <c r="WFS52" s="4"/>
      <c r="WFT52" s="4"/>
      <c r="WFU52" s="4"/>
      <c r="WFV52" s="4"/>
      <c r="WFW52" s="4"/>
      <c r="WFX52" s="4"/>
      <c r="WFY52" s="4"/>
      <c r="WFZ52" s="4"/>
      <c r="WGA52" s="4"/>
      <c r="WGB52" s="4"/>
      <c r="WGC52" s="4"/>
      <c r="WGD52" s="4"/>
      <c r="WGE52" s="4"/>
      <c r="WGF52" s="4"/>
      <c r="WGG52" s="4"/>
      <c r="WGH52" s="4"/>
      <c r="WGI52" s="4"/>
      <c r="WGJ52" s="4"/>
      <c r="WGK52" s="4"/>
      <c r="WGL52" s="4"/>
      <c r="WGM52" s="4"/>
      <c r="WGN52" s="4"/>
      <c r="WGO52" s="4"/>
      <c r="WGP52" s="4"/>
      <c r="WGQ52" s="4"/>
      <c r="WGR52" s="4"/>
      <c r="WGS52" s="4"/>
      <c r="WGT52" s="4"/>
      <c r="WGU52" s="4"/>
      <c r="WGV52" s="4"/>
      <c r="WGW52" s="4"/>
      <c r="WGX52" s="4"/>
      <c r="WGY52" s="4"/>
      <c r="WGZ52" s="4"/>
      <c r="WHA52" s="4"/>
      <c r="WHB52" s="4"/>
      <c r="WHC52" s="4"/>
      <c r="WHD52" s="4"/>
      <c r="WHE52" s="4"/>
      <c r="WHF52" s="4"/>
      <c r="WHG52" s="4"/>
      <c r="WHH52" s="4"/>
      <c r="WHI52" s="4"/>
      <c r="WHJ52" s="4"/>
      <c r="WHK52" s="4"/>
      <c r="WHL52" s="4"/>
      <c r="WHM52" s="4"/>
      <c r="WHN52" s="4"/>
      <c r="WHO52" s="4"/>
      <c r="WHP52" s="4"/>
      <c r="WHQ52" s="4"/>
      <c r="WHR52" s="4"/>
      <c r="WHS52" s="4"/>
      <c r="WHT52" s="4"/>
      <c r="WHU52" s="4"/>
      <c r="WHV52" s="4"/>
      <c r="WHW52" s="4"/>
      <c r="WHX52" s="4"/>
      <c r="WHY52" s="4"/>
      <c r="WHZ52" s="4"/>
      <c r="WIA52" s="4"/>
      <c r="WIB52" s="4"/>
      <c r="WIC52" s="4"/>
      <c r="WID52" s="4"/>
      <c r="WIE52" s="4"/>
      <c r="WIF52" s="4"/>
      <c r="WIG52" s="4"/>
      <c r="WIH52" s="4"/>
      <c r="WII52" s="4"/>
      <c r="WIJ52" s="4"/>
      <c r="WIK52" s="4"/>
      <c r="WIL52" s="4"/>
      <c r="WIM52" s="4"/>
      <c r="WIN52" s="4"/>
      <c r="WIO52" s="4"/>
      <c r="WIP52" s="4"/>
      <c r="WIQ52" s="4"/>
      <c r="WIR52" s="4"/>
      <c r="WIS52" s="4"/>
      <c r="WIT52" s="4"/>
      <c r="WIU52" s="4"/>
      <c r="WIV52" s="4"/>
      <c r="WIW52" s="4"/>
      <c r="WIX52" s="4"/>
      <c r="WIY52" s="4"/>
      <c r="WIZ52" s="4"/>
      <c r="WJA52" s="4"/>
      <c r="WJB52" s="4"/>
      <c r="WJC52" s="4"/>
      <c r="WJD52" s="4"/>
      <c r="WJE52" s="4"/>
      <c r="WJF52" s="4"/>
      <c r="WJG52" s="4"/>
      <c r="WJH52" s="4"/>
      <c r="WJI52" s="4"/>
      <c r="WJJ52" s="4"/>
      <c r="WJK52" s="4"/>
      <c r="WJL52" s="4"/>
      <c r="WJM52" s="4"/>
      <c r="WJN52" s="4"/>
      <c r="WJO52" s="4"/>
      <c r="WJP52" s="4"/>
      <c r="WJQ52" s="4"/>
      <c r="WJR52" s="4"/>
      <c r="WJS52" s="4"/>
      <c r="WJT52" s="4"/>
      <c r="WJU52" s="4"/>
      <c r="WJV52" s="4"/>
      <c r="WJW52" s="4"/>
      <c r="WJX52" s="4"/>
      <c r="WJY52" s="4"/>
      <c r="WJZ52" s="4"/>
      <c r="WKA52" s="4"/>
      <c r="WKB52" s="4"/>
      <c r="WKC52" s="4"/>
      <c r="WKD52" s="4"/>
      <c r="WKE52" s="4"/>
      <c r="WKF52" s="4"/>
      <c r="WKG52" s="4"/>
      <c r="WKH52" s="4"/>
      <c r="WKI52" s="4"/>
      <c r="WKJ52" s="4"/>
      <c r="WKK52" s="4"/>
      <c r="WKL52" s="4"/>
      <c r="WKM52" s="4"/>
      <c r="WKN52" s="4"/>
      <c r="WKO52" s="4"/>
      <c r="WKP52" s="4"/>
      <c r="WKQ52" s="4"/>
      <c r="WKR52" s="4"/>
      <c r="WKS52" s="4"/>
      <c r="WKT52" s="4"/>
      <c r="WKU52" s="4"/>
      <c r="WKV52" s="4"/>
      <c r="WKW52" s="4"/>
      <c r="WKX52" s="4"/>
      <c r="WKY52" s="4"/>
      <c r="WKZ52" s="4"/>
      <c r="WLA52" s="4"/>
      <c r="WLB52" s="4"/>
      <c r="WLC52" s="4"/>
      <c r="WLD52" s="4"/>
      <c r="WLE52" s="4"/>
      <c r="WLF52" s="4"/>
      <c r="WLG52" s="4"/>
      <c r="WLH52" s="4"/>
      <c r="WLI52" s="4"/>
      <c r="WLJ52" s="4"/>
      <c r="WLK52" s="4"/>
      <c r="WLL52" s="4"/>
      <c r="WLM52" s="4"/>
      <c r="WLN52" s="4"/>
      <c r="WLO52" s="4"/>
      <c r="WLP52" s="4"/>
      <c r="WLQ52" s="4"/>
      <c r="WLR52" s="4"/>
      <c r="WLS52" s="4"/>
      <c r="WLT52" s="4"/>
      <c r="WLU52" s="4"/>
      <c r="WLV52" s="4"/>
      <c r="WLW52" s="4"/>
      <c r="WLX52" s="4"/>
      <c r="WLY52" s="4"/>
      <c r="WLZ52" s="4"/>
      <c r="WMA52" s="4"/>
      <c r="WMB52" s="4"/>
      <c r="WMC52" s="4"/>
      <c r="WMD52" s="4"/>
      <c r="WME52" s="4"/>
      <c r="WMF52" s="4"/>
      <c r="WMG52" s="4"/>
      <c r="WMH52" s="4"/>
      <c r="WMI52" s="4"/>
      <c r="WMJ52" s="4"/>
      <c r="WMK52" s="4"/>
      <c r="WML52" s="4"/>
      <c r="WMM52" s="4"/>
      <c r="WMN52" s="4"/>
      <c r="WMO52" s="4"/>
      <c r="WMP52" s="4"/>
      <c r="WMQ52" s="4"/>
      <c r="WMR52" s="4"/>
      <c r="WMS52" s="4"/>
      <c r="WMT52" s="4"/>
      <c r="WMU52" s="4"/>
      <c r="WMV52" s="4"/>
      <c r="WMW52" s="4"/>
      <c r="WMX52" s="4"/>
      <c r="WMY52" s="4"/>
      <c r="WMZ52" s="4"/>
      <c r="WNA52" s="4"/>
      <c r="WNB52" s="4"/>
      <c r="WNC52" s="4"/>
      <c r="WND52" s="4"/>
      <c r="WNE52" s="4"/>
      <c r="WNF52" s="4"/>
      <c r="WNG52" s="4"/>
      <c r="WNH52" s="4"/>
      <c r="WNI52" s="4"/>
      <c r="WNJ52" s="4"/>
      <c r="WNK52" s="4"/>
      <c r="WNL52" s="4"/>
      <c r="WNM52" s="4"/>
      <c r="WNN52" s="4"/>
      <c r="WNO52" s="4"/>
      <c r="WNP52" s="4"/>
      <c r="WNQ52" s="4"/>
      <c r="WNR52" s="4"/>
      <c r="WNS52" s="4"/>
      <c r="WNT52" s="4"/>
      <c r="WNU52" s="4"/>
      <c r="WNV52" s="4"/>
      <c r="WNW52" s="4"/>
      <c r="WNX52" s="4"/>
      <c r="WNY52" s="4"/>
      <c r="WNZ52" s="4"/>
      <c r="WOA52" s="4"/>
      <c r="WOB52" s="4"/>
      <c r="WOC52" s="4"/>
      <c r="WOD52" s="4"/>
      <c r="WOE52" s="4"/>
      <c r="WOF52" s="4"/>
      <c r="WOG52" s="4"/>
      <c r="WOH52" s="4"/>
      <c r="WOI52" s="4"/>
      <c r="WOJ52" s="4"/>
      <c r="WOK52" s="4"/>
      <c r="WOL52" s="4"/>
      <c r="WOM52" s="4"/>
      <c r="WON52" s="4"/>
      <c r="WOO52" s="4"/>
      <c r="WOP52" s="4"/>
      <c r="WOQ52" s="4"/>
      <c r="WOR52" s="4"/>
      <c r="WOS52" s="4"/>
      <c r="WOT52" s="4"/>
      <c r="WOU52" s="4"/>
      <c r="WOV52" s="4"/>
      <c r="WOW52" s="4"/>
      <c r="WOX52" s="4"/>
      <c r="WOY52" s="4"/>
      <c r="WOZ52" s="4"/>
      <c r="WPA52" s="4"/>
      <c r="WPB52" s="4"/>
      <c r="WPC52" s="4"/>
      <c r="WPD52" s="4"/>
      <c r="WPE52" s="4"/>
      <c r="WPF52" s="4"/>
      <c r="WPG52" s="4"/>
      <c r="WPH52" s="4"/>
      <c r="WPI52" s="4"/>
      <c r="WPJ52" s="4"/>
      <c r="WPK52" s="4"/>
      <c r="WPL52" s="4"/>
      <c r="WPM52" s="4"/>
      <c r="WPN52" s="4"/>
      <c r="WPO52" s="4"/>
      <c r="WPP52" s="4"/>
      <c r="WPQ52" s="4"/>
      <c r="WPR52" s="4"/>
      <c r="WPS52" s="4"/>
      <c r="WPT52" s="4"/>
      <c r="WPU52" s="4"/>
      <c r="WPV52" s="4"/>
      <c r="WPW52" s="4"/>
      <c r="WPX52" s="4"/>
      <c r="WPY52" s="4"/>
      <c r="WPZ52" s="4"/>
      <c r="WQA52" s="4"/>
      <c r="WQB52" s="4"/>
      <c r="WQC52" s="4"/>
      <c r="WQD52" s="4"/>
      <c r="WQE52" s="4"/>
      <c r="WQF52" s="4"/>
      <c r="WQG52" s="4"/>
      <c r="WQH52" s="4"/>
      <c r="WQI52" s="4"/>
      <c r="WQJ52" s="4"/>
      <c r="WQK52" s="4"/>
      <c r="WQL52" s="4"/>
      <c r="WQM52" s="4"/>
      <c r="WQN52" s="4"/>
      <c r="WQO52" s="4"/>
      <c r="WQP52" s="4"/>
      <c r="WQQ52" s="4"/>
      <c r="WQR52" s="4"/>
      <c r="WQS52" s="4"/>
      <c r="WQT52" s="4"/>
      <c r="WQU52" s="4"/>
      <c r="WQV52" s="4"/>
      <c r="WQW52" s="4"/>
      <c r="WQX52" s="4"/>
      <c r="WQY52" s="4"/>
      <c r="WQZ52" s="4"/>
      <c r="WRA52" s="4"/>
      <c r="WRB52" s="4"/>
      <c r="WRC52" s="4"/>
      <c r="WRD52" s="4"/>
      <c r="WRE52" s="4"/>
      <c r="WRF52" s="4"/>
      <c r="WRG52" s="4"/>
      <c r="WRH52" s="4"/>
      <c r="WRI52" s="4"/>
      <c r="WRJ52" s="4"/>
      <c r="WRK52" s="4"/>
      <c r="WRL52" s="4"/>
      <c r="WRM52" s="4"/>
      <c r="WRN52" s="4"/>
      <c r="WRO52" s="4"/>
      <c r="WRP52" s="4"/>
      <c r="WRQ52" s="4"/>
      <c r="WRR52" s="4"/>
      <c r="WRS52" s="4"/>
      <c r="WRT52" s="4"/>
      <c r="WRU52" s="4"/>
      <c r="WRV52" s="4"/>
      <c r="WRW52" s="4"/>
      <c r="WRX52" s="4"/>
      <c r="WRY52" s="4"/>
      <c r="WRZ52" s="4"/>
      <c r="WSA52" s="4"/>
      <c r="WSB52" s="4"/>
      <c r="WSC52" s="4"/>
      <c r="WSD52" s="4"/>
      <c r="WSE52" s="4"/>
      <c r="WSF52" s="4"/>
      <c r="WSG52" s="4"/>
      <c r="WSH52" s="4"/>
      <c r="WSI52" s="4"/>
      <c r="WSJ52" s="4"/>
      <c r="WSK52" s="4"/>
      <c r="WSL52" s="4"/>
      <c r="WSM52" s="4"/>
      <c r="WSN52" s="4"/>
      <c r="WSO52" s="4"/>
      <c r="WSP52" s="4"/>
      <c r="WSQ52" s="4"/>
      <c r="WSR52" s="4"/>
      <c r="WSS52" s="4"/>
      <c r="WST52" s="4"/>
      <c r="WSU52" s="4"/>
      <c r="WSV52" s="4"/>
      <c r="WSW52" s="4"/>
      <c r="WSX52" s="4"/>
      <c r="WSY52" s="4"/>
      <c r="WSZ52" s="4"/>
      <c r="WTA52" s="4"/>
      <c r="WTB52" s="4"/>
      <c r="WTC52" s="4"/>
      <c r="WTD52" s="4"/>
      <c r="WTE52" s="4"/>
      <c r="WTF52" s="4"/>
      <c r="WTG52" s="4"/>
      <c r="WTH52" s="4"/>
      <c r="WTI52" s="4"/>
      <c r="WTJ52" s="4"/>
      <c r="WTK52" s="4"/>
      <c r="WTL52" s="4"/>
      <c r="WTM52" s="4"/>
      <c r="WTN52" s="4"/>
      <c r="WTO52" s="4"/>
      <c r="WTP52" s="4"/>
      <c r="WTQ52" s="4"/>
      <c r="WTR52" s="4"/>
      <c r="WTS52" s="4"/>
      <c r="WTT52" s="4"/>
      <c r="WTU52" s="4"/>
      <c r="WTV52" s="4"/>
      <c r="WTW52" s="4"/>
      <c r="WTX52" s="4"/>
      <c r="WTY52" s="4"/>
      <c r="WTZ52" s="4"/>
      <c r="WUA52" s="4"/>
      <c r="WUB52" s="4"/>
      <c r="WUC52" s="4"/>
      <c r="WUD52" s="4"/>
      <c r="WUE52" s="4"/>
      <c r="WUF52" s="4"/>
      <c r="WUG52" s="4"/>
      <c r="WUH52" s="4"/>
      <c r="WUI52" s="4"/>
      <c r="WUJ52" s="4"/>
      <c r="WUK52" s="4"/>
      <c r="WUL52" s="4"/>
      <c r="WUM52" s="4"/>
      <c r="WUN52" s="4"/>
      <c r="WUO52" s="4"/>
      <c r="WUP52" s="4"/>
      <c r="WUQ52" s="4"/>
      <c r="WUR52" s="4"/>
      <c r="WUS52" s="4"/>
      <c r="WUT52" s="4"/>
      <c r="WUU52" s="4"/>
      <c r="WUV52" s="4"/>
      <c r="WUW52" s="4"/>
      <c r="WUX52" s="4"/>
      <c r="WUY52" s="4"/>
      <c r="WUZ52" s="4"/>
      <c r="WVA52" s="4"/>
      <c r="WVB52" s="4"/>
      <c r="WVC52" s="4"/>
      <c r="WVD52" s="4"/>
      <c r="WVE52" s="4"/>
      <c r="WVF52" s="4"/>
      <c r="WVG52" s="4"/>
      <c r="WVH52" s="4"/>
      <c r="WVI52" s="4"/>
      <c r="WVJ52" s="4"/>
      <c r="WVK52" s="4"/>
      <c r="WVL52" s="4"/>
      <c r="WVM52" s="4"/>
      <c r="WVN52" s="4"/>
      <c r="WVO52" s="4"/>
      <c r="WVP52" s="4"/>
      <c r="WVQ52" s="4"/>
      <c r="WVR52" s="4"/>
      <c r="WVS52" s="4"/>
      <c r="WVT52" s="4"/>
      <c r="WVU52" s="4"/>
      <c r="WVV52" s="4"/>
      <c r="WVW52" s="4"/>
      <c r="WVX52" s="4"/>
      <c r="WVY52" s="4"/>
      <c r="WVZ52" s="4"/>
      <c r="WWA52" s="4"/>
      <c r="WWB52" s="4"/>
      <c r="WWC52" s="4"/>
      <c r="WWD52" s="4"/>
      <c r="WWE52" s="4"/>
      <c r="WWF52" s="4"/>
      <c r="WWG52" s="4"/>
      <c r="WWH52" s="4"/>
      <c r="WWI52" s="4"/>
      <c r="WWJ52" s="4"/>
      <c r="WWK52" s="4"/>
      <c r="WWL52" s="4"/>
      <c r="WWM52" s="4"/>
      <c r="WWN52" s="4"/>
      <c r="WWO52" s="4"/>
      <c r="WWP52" s="4"/>
      <c r="WWQ52" s="4"/>
      <c r="WWR52" s="4"/>
      <c r="WWS52" s="4"/>
      <c r="WWT52" s="4"/>
      <c r="WWU52" s="4"/>
      <c r="WWV52" s="4"/>
      <c r="WWW52" s="4"/>
      <c r="WWX52" s="4"/>
      <c r="WWY52" s="4"/>
      <c r="WWZ52" s="4"/>
      <c r="WXA52" s="4"/>
      <c r="WXB52" s="4"/>
      <c r="WXC52" s="4"/>
      <c r="WXD52" s="4"/>
      <c r="WXE52" s="4"/>
      <c r="WXF52" s="4"/>
      <c r="WXG52" s="4"/>
      <c r="WXH52" s="4"/>
      <c r="WXI52" s="4"/>
      <c r="WXJ52" s="4"/>
      <c r="WXK52" s="4"/>
      <c r="WXL52" s="4"/>
      <c r="WXM52" s="4"/>
      <c r="WXN52" s="4"/>
      <c r="WXO52" s="4"/>
      <c r="WXP52" s="4"/>
      <c r="WXQ52" s="4"/>
      <c r="WXR52" s="4"/>
      <c r="WXS52" s="4"/>
      <c r="WXT52" s="4"/>
      <c r="WXU52" s="4"/>
      <c r="WXV52" s="4"/>
      <c r="WXW52" s="4"/>
      <c r="WXX52" s="4"/>
      <c r="WXY52" s="4"/>
      <c r="WXZ52" s="4"/>
      <c r="WYA52" s="4"/>
      <c r="WYB52" s="4"/>
      <c r="WYC52" s="4"/>
      <c r="WYD52" s="4"/>
      <c r="WYE52" s="4"/>
      <c r="WYF52" s="4"/>
      <c r="WYG52" s="4"/>
      <c r="WYH52" s="4"/>
      <c r="WYI52" s="4"/>
      <c r="WYJ52" s="4"/>
      <c r="WYK52" s="4"/>
      <c r="WYL52" s="4"/>
      <c r="WYM52" s="4"/>
      <c r="WYN52" s="4"/>
      <c r="WYO52" s="4"/>
      <c r="WYP52" s="4"/>
      <c r="WYQ52" s="4"/>
      <c r="WYR52" s="4"/>
      <c r="WYS52" s="4"/>
      <c r="WYT52" s="4"/>
      <c r="WYU52" s="4"/>
      <c r="WYV52" s="4"/>
      <c r="WYW52" s="4"/>
      <c r="WYX52" s="4"/>
      <c r="WYY52" s="4"/>
      <c r="WYZ52" s="4"/>
      <c r="WZA52" s="4"/>
      <c r="WZB52" s="4"/>
      <c r="WZC52" s="4"/>
      <c r="WZD52" s="4"/>
      <c r="WZE52" s="4"/>
      <c r="WZF52" s="4"/>
      <c r="WZG52" s="4"/>
      <c r="WZH52" s="4"/>
      <c r="WZI52" s="4"/>
      <c r="WZJ52" s="4"/>
      <c r="WZK52" s="4"/>
      <c r="WZL52" s="4"/>
      <c r="WZM52" s="4"/>
      <c r="WZN52" s="4"/>
      <c r="WZO52" s="4"/>
      <c r="WZP52" s="4"/>
      <c r="WZQ52" s="4"/>
      <c r="WZR52" s="4"/>
      <c r="WZS52" s="4"/>
      <c r="WZT52" s="4"/>
      <c r="WZU52" s="4"/>
      <c r="WZV52" s="4"/>
      <c r="WZW52" s="4"/>
      <c r="WZX52" s="4"/>
      <c r="WZY52" s="4"/>
      <c r="WZZ52" s="4"/>
      <c r="XAA52" s="4"/>
      <c r="XAB52" s="4"/>
      <c r="XAC52" s="4"/>
      <c r="XAD52" s="4"/>
      <c r="XAE52" s="4"/>
      <c r="XAF52" s="4"/>
      <c r="XAG52" s="4"/>
      <c r="XAH52" s="4"/>
      <c r="XAI52" s="4"/>
      <c r="XAJ52" s="4"/>
      <c r="XAK52" s="4"/>
      <c r="XAL52" s="4"/>
      <c r="XAM52" s="4"/>
      <c r="XAN52" s="4"/>
      <c r="XAO52" s="4"/>
      <c r="XAP52" s="4"/>
      <c r="XAQ52" s="4"/>
      <c r="XAR52" s="4"/>
      <c r="XAS52" s="4"/>
      <c r="XAT52" s="4"/>
      <c r="XAU52" s="4"/>
      <c r="XAV52" s="4"/>
      <c r="XAW52" s="4"/>
      <c r="XAX52" s="4"/>
      <c r="XAY52" s="4"/>
      <c r="XAZ52" s="4"/>
      <c r="XBA52" s="4"/>
      <c r="XBB52" s="4"/>
      <c r="XBC52" s="4"/>
      <c r="XBD52" s="4"/>
      <c r="XBE52" s="4"/>
      <c r="XBF52" s="4"/>
      <c r="XBG52" s="4"/>
      <c r="XBH52" s="4"/>
      <c r="XBI52" s="4"/>
      <c r="XBJ52" s="4"/>
      <c r="XBK52" s="4"/>
      <c r="XBL52" s="4"/>
      <c r="XBM52" s="4"/>
      <c r="XBN52" s="4"/>
      <c r="XBO52" s="4"/>
      <c r="XBP52" s="4"/>
      <c r="XBQ52" s="4"/>
      <c r="XBR52" s="4"/>
      <c r="XBS52" s="4"/>
      <c r="XBT52" s="4"/>
      <c r="XBU52" s="4"/>
      <c r="XBV52" s="4"/>
      <c r="XBW52" s="4"/>
      <c r="XBX52" s="4"/>
      <c r="XBY52" s="4"/>
      <c r="XBZ52" s="4"/>
      <c r="XCA52" s="4"/>
      <c r="XCB52" s="4"/>
      <c r="XCC52" s="4"/>
      <c r="XCD52" s="4"/>
      <c r="XCE52" s="4"/>
      <c r="XCF52" s="4"/>
      <c r="XCG52" s="4"/>
      <c r="XCH52" s="4"/>
      <c r="XCI52" s="4"/>
      <c r="XCJ52" s="4"/>
      <c r="XCK52" s="4"/>
      <c r="XCL52" s="4"/>
      <c r="XCM52" s="4"/>
      <c r="XCN52" s="4"/>
      <c r="XCO52" s="4"/>
      <c r="XCP52" s="4"/>
      <c r="XCQ52" s="4"/>
      <c r="XCR52" s="4"/>
      <c r="XCS52" s="4"/>
      <c r="XCT52" s="4"/>
      <c r="XCU52" s="4"/>
      <c r="XCV52" s="4"/>
      <c r="XCW52" s="4"/>
      <c r="XCX52" s="4"/>
      <c r="XCY52" s="4"/>
      <c r="XCZ52" s="4"/>
      <c r="XDA52" s="4"/>
      <c r="XDB52" s="4"/>
      <c r="XDC52" s="4"/>
      <c r="XDD52" s="4"/>
      <c r="XDE52" s="4"/>
      <c r="XDF52" s="4"/>
      <c r="XDG52" s="4"/>
      <c r="XDH52" s="4"/>
      <c r="XDI52" s="4"/>
      <c r="XDJ52" s="4"/>
      <c r="XDK52" s="4"/>
      <c r="XDL52" s="4"/>
      <c r="XDM52" s="4"/>
      <c r="XDN52" s="4"/>
      <c r="XDO52" s="4"/>
      <c r="XDP52" s="4"/>
      <c r="XDQ52" s="4"/>
      <c r="XDR52" s="4"/>
      <c r="XDS52" s="4"/>
      <c r="XDT52" s="4"/>
      <c r="XDU52" s="4"/>
      <c r="XDV52" s="4"/>
      <c r="XDW52" s="4"/>
      <c r="XDX52" s="4"/>
      <c r="XDY52" s="4"/>
      <c r="XDZ52" s="4"/>
      <c r="XEA52" s="4"/>
      <c r="XEB52" s="4"/>
      <c r="XEC52" s="4"/>
      <c r="XED52" s="4"/>
      <c r="XEE52" s="4"/>
      <c r="XEF52" s="4"/>
      <c r="XEG52" s="4"/>
      <c r="XEH52" s="4"/>
      <c r="XEI52" s="4"/>
      <c r="XEJ52" s="4"/>
      <c r="XEK52" s="4"/>
      <c r="XEL52" s="4"/>
      <c r="XEM52" s="4"/>
      <c r="XEN52" s="4"/>
      <c r="XEO52" s="4"/>
      <c r="XEP52" s="4"/>
      <c r="XEQ52" s="4"/>
      <c r="XER52" s="4"/>
      <c r="XES52" s="4"/>
      <c r="XET52" s="4"/>
      <c r="XEU52" s="4"/>
      <c r="XEV52" s="4"/>
      <c r="XEW52" s="4"/>
      <c r="XEX52" s="4"/>
      <c r="XEY52" s="4"/>
      <c r="XEZ52" s="4"/>
      <c r="XFA52" s="4"/>
      <c r="XFB52" s="4"/>
      <c r="XFC52" s="4"/>
      <c r="XFD52" s="4"/>
    </row>
    <row r="53" spans="1:13 1026:16384" x14ac:dyDescent="0.3">
      <c r="A53" s="36" t="s">
        <v>53</v>
      </c>
      <c r="B53" s="37"/>
      <c r="D53" s="38" t="s">
        <v>54</v>
      </c>
      <c r="E53" s="39"/>
      <c r="F53" s="4"/>
      <c r="AML53" s="4"/>
      <c r="AMM53" s="4"/>
      <c r="AMN53" s="4"/>
      <c r="AMO53" s="4"/>
      <c r="AMP53" s="4"/>
      <c r="AMQ53" s="4"/>
      <c r="AMR53" s="4"/>
      <c r="AMS53" s="4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  <c r="ASV53" s="4"/>
      <c r="ASW53" s="4"/>
      <c r="ASX53" s="4"/>
      <c r="ASY53" s="4"/>
      <c r="ASZ53" s="4"/>
      <c r="ATA53" s="4"/>
      <c r="ATB53" s="4"/>
      <c r="ATC53" s="4"/>
      <c r="ATD53" s="4"/>
      <c r="ATE53" s="4"/>
      <c r="ATF53" s="4"/>
      <c r="ATG53" s="4"/>
      <c r="ATH53" s="4"/>
      <c r="ATI53" s="4"/>
      <c r="ATJ53" s="4"/>
      <c r="ATK53" s="4"/>
      <c r="ATL53" s="4"/>
      <c r="ATM53" s="4"/>
      <c r="ATN53" s="4"/>
      <c r="ATO53" s="4"/>
      <c r="ATP53" s="4"/>
      <c r="ATQ53" s="4"/>
      <c r="ATR53" s="4"/>
      <c r="ATS53" s="4"/>
      <c r="ATT53" s="4"/>
      <c r="ATU53" s="4"/>
      <c r="ATV53" s="4"/>
      <c r="ATW53" s="4"/>
      <c r="ATX53" s="4"/>
      <c r="ATY53" s="4"/>
      <c r="ATZ53" s="4"/>
      <c r="AUA53" s="4"/>
      <c r="AUB53" s="4"/>
      <c r="AUC53" s="4"/>
      <c r="AUD53" s="4"/>
      <c r="AUE53" s="4"/>
      <c r="AUF53" s="4"/>
      <c r="AUG53" s="4"/>
      <c r="AUH53" s="4"/>
      <c r="AUI53" s="4"/>
      <c r="AUJ53" s="4"/>
      <c r="AUK53" s="4"/>
      <c r="AUL53" s="4"/>
      <c r="AUM53" s="4"/>
      <c r="AUN53" s="4"/>
      <c r="AUO53" s="4"/>
      <c r="AUP53" s="4"/>
      <c r="AUQ53" s="4"/>
      <c r="AUR53" s="4"/>
      <c r="AUS53" s="4"/>
      <c r="AUT53" s="4"/>
      <c r="AUU53" s="4"/>
      <c r="AUV53" s="4"/>
      <c r="AUW53" s="4"/>
      <c r="AUX53" s="4"/>
      <c r="AUY53" s="4"/>
      <c r="AUZ53" s="4"/>
      <c r="AVA53" s="4"/>
      <c r="AVB53" s="4"/>
      <c r="AVC53" s="4"/>
      <c r="AVD53" s="4"/>
      <c r="AVE53" s="4"/>
      <c r="AVF53" s="4"/>
      <c r="AVG53" s="4"/>
      <c r="AVH53" s="4"/>
      <c r="AVI53" s="4"/>
      <c r="AVJ53" s="4"/>
      <c r="AVK53" s="4"/>
      <c r="AVL53" s="4"/>
      <c r="AVM53" s="4"/>
      <c r="AVN53" s="4"/>
      <c r="AVO53" s="4"/>
      <c r="AVP53" s="4"/>
      <c r="AVQ53" s="4"/>
      <c r="AVR53" s="4"/>
      <c r="AVS53" s="4"/>
      <c r="AVT53" s="4"/>
      <c r="AVU53" s="4"/>
      <c r="AVV53" s="4"/>
      <c r="AVW53" s="4"/>
      <c r="AVX53" s="4"/>
      <c r="AVY53" s="4"/>
      <c r="AVZ53" s="4"/>
      <c r="AWA53" s="4"/>
      <c r="AWB53" s="4"/>
      <c r="AWC53" s="4"/>
      <c r="AWD53" s="4"/>
      <c r="AWE53" s="4"/>
      <c r="AWF53" s="4"/>
      <c r="AWG53" s="4"/>
      <c r="AWH53" s="4"/>
      <c r="AWI53" s="4"/>
      <c r="AWJ53" s="4"/>
      <c r="AWK53" s="4"/>
      <c r="AWL53" s="4"/>
      <c r="AWM53" s="4"/>
      <c r="AWN53" s="4"/>
      <c r="AWO53" s="4"/>
      <c r="AWP53" s="4"/>
      <c r="AWQ53" s="4"/>
      <c r="AWR53" s="4"/>
      <c r="AWS53" s="4"/>
      <c r="AWT53" s="4"/>
      <c r="AWU53" s="4"/>
      <c r="AWV53" s="4"/>
      <c r="AWW53" s="4"/>
      <c r="AWX53" s="4"/>
      <c r="AWY53" s="4"/>
      <c r="AWZ53" s="4"/>
      <c r="AXA53" s="4"/>
      <c r="AXB53" s="4"/>
      <c r="AXC53" s="4"/>
      <c r="AXD53" s="4"/>
      <c r="AXE53" s="4"/>
      <c r="AXF53" s="4"/>
      <c r="AXG53" s="4"/>
      <c r="AXH53" s="4"/>
      <c r="AXI53" s="4"/>
      <c r="AXJ53" s="4"/>
      <c r="AXK53" s="4"/>
      <c r="AXL53" s="4"/>
      <c r="AXM53" s="4"/>
      <c r="AXN53" s="4"/>
      <c r="AXO53" s="4"/>
      <c r="AXP53" s="4"/>
      <c r="AXQ53" s="4"/>
      <c r="AXR53" s="4"/>
      <c r="AXS53" s="4"/>
      <c r="AXT53" s="4"/>
      <c r="AXU53" s="4"/>
      <c r="AXV53" s="4"/>
      <c r="AXW53" s="4"/>
      <c r="AXX53" s="4"/>
      <c r="AXY53" s="4"/>
      <c r="AXZ53" s="4"/>
      <c r="AYA53" s="4"/>
      <c r="AYB53" s="4"/>
      <c r="AYC53" s="4"/>
      <c r="AYD53" s="4"/>
      <c r="AYE53" s="4"/>
      <c r="AYF53" s="4"/>
      <c r="AYG53" s="4"/>
      <c r="AYH53" s="4"/>
      <c r="AYI53" s="4"/>
      <c r="AYJ53" s="4"/>
      <c r="AYK53" s="4"/>
      <c r="AYL53" s="4"/>
      <c r="AYM53" s="4"/>
      <c r="AYN53" s="4"/>
      <c r="AYO53" s="4"/>
      <c r="AYP53" s="4"/>
      <c r="AYQ53" s="4"/>
      <c r="AYR53" s="4"/>
      <c r="AYS53" s="4"/>
      <c r="AYT53" s="4"/>
      <c r="AYU53" s="4"/>
      <c r="AYV53" s="4"/>
      <c r="AYW53" s="4"/>
      <c r="AYX53" s="4"/>
      <c r="AYY53" s="4"/>
      <c r="AYZ53" s="4"/>
      <c r="AZA53" s="4"/>
      <c r="AZB53" s="4"/>
      <c r="AZC53" s="4"/>
      <c r="AZD53" s="4"/>
      <c r="AZE53" s="4"/>
      <c r="AZF53" s="4"/>
      <c r="AZG53" s="4"/>
      <c r="AZH53" s="4"/>
      <c r="AZI53" s="4"/>
      <c r="AZJ53" s="4"/>
      <c r="AZK53" s="4"/>
      <c r="AZL53" s="4"/>
      <c r="AZM53" s="4"/>
      <c r="AZN53" s="4"/>
      <c r="AZO53" s="4"/>
      <c r="AZP53" s="4"/>
      <c r="AZQ53" s="4"/>
      <c r="AZR53" s="4"/>
      <c r="AZS53" s="4"/>
      <c r="AZT53" s="4"/>
      <c r="AZU53" s="4"/>
      <c r="AZV53" s="4"/>
      <c r="AZW53" s="4"/>
      <c r="AZX53" s="4"/>
      <c r="AZY53" s="4"/>
      <c r="AZZ53" s="4"/>
      <c r="BAA53" s="4"/>
      <c r="BAB53" s="4"/>
      <c r="BAC53" s="4"/>
      <c r="BAD53" s="4"/>
      <c r="BAE53" s="4"/>
      <c r="BAF53" s="4"/>
      <c r="BAG53" s="4"/>
      <c r="BAH53" s="4"/>
      <c r="BAI53" s="4"/>
      <c r="BAJ53" s="4"/>
      <c r="BAK53" s="4"/>
      <c r="BAL53" s="4"/>
      <c r="BAM53" s="4"/>
      <c r="BAN53" s="4"/>
      <c r="BAO53" s="4"/>
      <c r="BAP53" s="4"/>
      <c r="BAQ53" s="4"/>
      <c r="BAR53" s="4"/>
      <c r="BAS53" s="4"/>
      <c r="BAT53" s="4"/>
      <c r="BAU53" s="4"/>
      <c r="BAV53" s="4"/>
      <c r="BAW53" s="4"/>
      <c r="BAX53" s="4"/>
      <c r="BAY53" s="4"/>
      <c r="BAZ53" s="4"/>
      <c r="BBA53" s="4"/>
      <c r="BBB53" s="4"/>
      <c r="BBC53" s="4"/>
      <c r="BBD53" s="4"/>
      <c r="BBE53" s="4"/>
      <c r="BBF53" s="4"/>
      <c r="BBG53" s="4"/>
      <c r="BBH53" s="4"/>
      <c r="BBI53" s="4"/>
      <c r="BBJ53" s="4"/>
      <c r="BBK53" s="4"/>
      <c r="BBL53" s="4"/>
      <c r="BBM53" s="4"/>
      <c r="BBN53" s="4"/>
      <c r="BBO53" s="4"/>
      <c r="BBP53" s="4"/>
      <c r="BBQ53" s="4"/>
      <c r="BBR53" s="4"/>
      <c r="BBS53" s="4"/>
      <c r="BBT53" s="4"/>
      <c r="BBU53" s="4"/>
      <c r="BBV53" s="4"/>
      <c r="BBW53" s="4"/>
      <c r="BBX53" s="4"/>
      <c r="BBY53" s="4"/>
      <c r="BBZ53" s="4"/>
      <c r="BCA53" s="4"/>
      <c r="BCB53" s="4"/>
      <c r="BCC53" s="4"/>
      <c r="BCD53" s="4"/>
      <c r="BCE53" s="4"/>
      <c r="BCF53" s="4"/>
      <c r="BCG53" s="4"/>
      <c r="BCH53" s="4"/>
      <c r="BCI53" s="4"/>
      <c r="BCJ53" s="4"/>
      <c r="BCK53" s="4"/>
      <c r="BCL53" s="4"/>
      <c r="BCM53" s="4"/>
      <c r="BCN53" s="4"/>
      <c r="BCO53" s="4"/>
      <c r="BCP53" s="4"/>
      <c r="BCQ53" s="4"/>
      <c r="BCR53" s="4"/>
      <c r="BCS53" s="4"/>
      <c r="BCT53" s="4"/>
      <c r="BCU53" s="4"/>
      <c r="BCV53" s="4"/>
      <c r="BCW53" s="4"/>
      <c r="BCX53" s="4"/>
      <c r="BCY53" s="4"/>
      <c r="BCZ53" s="4"/>
      <c r="BDA53" s="4"/>
      <c r="BDB53" s="4"/>
      <c r="BDC53" s="4"/>
      <c r="BDD53" s="4"/>
      <c r="BDE53" s="4"/>
      <c r="BDF53" s="4"/>
      <c r="BDG53" s="4"/>
      <c r="BDH53" s="4"/>
      <c r="BDI53" s="4"/>
      <c r="BDJ53" s="4"/>
      <c r="BDK53" s="4"/>
      <c r="BDL53" s="4"/>
      <c r="BDM53" s="4"/>
      <c r="BDN53" s="4"/>
      <c r="BDO53" s="4"/>
      <c r="BDP53" s="4"/>
      <c r="BDQ53" s="4"/>
      <c r="BDR53" s="4"/>
      <c r="BDS53" s="4"/>
      <c r="BDT53" s="4"/>
      <c r="BDU53" s="4"/>
      <c r="BDV53" s="4"/>
      <c r="BDW53" s="4"/>
      <c r="BDX53" s="4"/>
      <c r="BDY53" s="4"/>
      <c r="BDZ53" s="4"/>
      <c r="BEA53" s="4"/>
      <c r="BEB53" s="4"/>
      <c r="BEC53" s="4"/>
      <c r="BED53" s="4"/>
      <c r="BEE53" s="4"/>
      <c r="BEF53" s="4"/>
      <c r="BEG53" s="4"/>
      <c r="BEH53" s="4"/>
      <c r="BEI53" s="4"/>
      <c r="BEJ53" s="4"/>
      <c r="BEK53" s="4"/>
      <c r="BEL53" s="4"/>
      <c r="BEM53" s="4"/>
      <c r="BEN53" s="4"/>
      <c r="BEO53" s="4"/>
      <c r="BEP53" s="4"/>
      <c r="BEQ53" s="4"/>
      <c r="BER53" s="4"/>
      <c r="BES53" s="4"/>
      <c r="BET53" s="4"/>
      <c r="BEU53" s="4"/>
      <c r="BEV53" s="4"/>
      <c r="BEW53" s="4"/>
      <c r="BEX53" s="4"/>
      <c r="BEY53" s="4"/>
      <c r="BEZ53" s="4"/>
      <c r="BFA53" s="4"/>
      <c r="BFB53" s="4"/>
      <c r="BFC53" s="4"/>
      <c r="BFD53" s="4"/>
      <c r="BFE53" s="4"/>
      <c r="BFF53" s="4"/>
      <c r="BFG53" s="4"/>
      <c r="BFH53" s="4"/>
      <c r="BFI53" s="4"/>
      <c r="BFJ53" s="4"/>
      <c r="BFK53" s="4"/>
      <c r="BFL53" s="4"/>
      <c r="BFM53" s="4"/>
      <c r="BFN53" s="4"/>
      <c r="BFO53" s="4"/>
      <c r="BFP53" s="4"/>
      <c r="BFQ53" s="4"/>
      <c r="BFR53" s="4"/>
      <c r="BFS53" s="4"/>
      <c r="BFT53" s="4"/>
      <c r="BFU53" s="4"/>
      <c r="BFV53" s="4"/>
      <c r="BFW53" s="4"/>
      <c r="BFX53" s="4"/>
      <c r="BFY53" s="4"/>
      <c r="BFZ53" s="4"/>
      <c r="BGA53" s="4"/>
      <c r="BGB53" s="4"/>
      <c r="BGC53" s="4"/>
      <c r="BGD53" s="4"/>
      <c r="BGE53" s="4"/>
      <c r="BGF53" s="4"/>
      <c r="BGG53" s="4"/>
      <c r="BGH53" s="4"/>
      <c r="BGI53" s="4"/>
      <c r="BGJ53" s="4"/>
      <c r="BGK53" s="4"/>
      <c r="BGL53" s="4"/>
      <c r="BGM53" s="4"/>
      <c r="BGN53" s="4"/>
      <c r="BGO53" s="4"/>
      <c r="BGP53" s="4"/>
      <c r="BGQ53" s="4"/>
      <c r="BGR53" s="4"/>
      <c r="BGS53" s="4"/>
      <c r="BGT53" s="4"/>
      <c r="BGU53" s="4"/>
      <c r="BGV53" s="4"/>
      <c r="BGW53" s="4"/>
      <c r="BGX53" s="4"/>
      <c r="BGY53" s="4"/>
      <c r="BGZ53" s="4"/>
      <c r="BHA53" s="4"/>
      <c r="BHB53" s="4"/>
      <c r="BHC53" s="4"/>
      <c r="BHD53" s="4"/>
      <c r="BHE53" s="4"/>
      <c r="BHF53" s="4"/>
      <c r="BHG53" s="4"/>
      <c r="BHH53" s="4"/>
      <c r="BHI53" s="4"/>
      <c r="BHJ53" s="4"/>
      <c r="BHK53" s="4"/>
      <c r="BHL53" s="4"/>
      <c r="BHM53" s="4"/>
      <c r="BHN53" s="4"/>
      <c r="BHO53" s="4"/>
      <c r="BHP53" s="4"/>
      <c r="BHQ53" s="4"/>
      <c r="BHR53" s="4"/>
      <c r="BHS53" s="4"/>
      <c r="BHT53" s="4"/>
      <c r="BHU53" s="4"/>
      <c r="BHV53" s="4"/>
      <c r="BHW53" s="4"/>
      <c r="BHX53" s="4"/>
      <c r="BHY53" s="4"/>
      <c r="BHZ53" s="4"/>
      <c r="BIA53" s="4"/>
      <c r="BIB53" s="4"/>
      <c r="BIC53" s="4"/>
      <c r="BID53" s="4"/>
      <c r="BIE53" s="4"/>
      <c r="BIF53" s="4"/>
      <c r="BIG53" s="4"/>
      <c r="BIH53" s="4"/>
      <c r="BII53" s="4"/>
      <c r="BIJ53" s="4"/>
      <c r="BIK53" s="4"/>
      <c r="BIL53" s="4"/>
      <c r="BIM53" s="4"/>
      <c r="BIN53" s="4"/>
      <c r="BIO53" s="4"/>
      <c r="BIP53" s="4"/>
      <c r="BIQ53" s="4"/>
      <c r="BIR53" s="4"/>
      <c r="BIS53" s="4"/>
      <c r="BIT53" s="4"/>
      <c r="BIU53" s="4"/>
      <c r="BIV53" s="4"/>
      <c r="BIW53" s="4"/>
      <c r="BIX53" s="4"/>
      <c r="BIY53" s="4"/>
      <c r="BIZ53" s="4"/>
      <c r="BJA53" s="4"/>
      <c r="BJB53" s="4"/>
      <c r="BJC53" s="4"/>
      <c r="BJD53" s="4"/>
      <c r="BJE53" s="4"/>
      <c r="BJF53" s="4"/>
      <c r="BJG53" s="4"/>
      <c r="BJH53" s="4"/>
      <c r="BJI53" s="4"/>
      <c r="BJJ53" s="4"/>
      <c r="BJK53" s="4"/>
      <c r="BJL53" s="4"/>
      <c r="BJM53" s="4"/>
      <c r="BJN53" s="4"/>
      <c r="BJO53" s="4"/>
      <c r="BJP53" s="4"/>
      <c r="BJQ53" s="4"/>
      <c r="BJR53" s="4"/>
      <c r="BJS53" s="4"/>
      <c r="BJT53" s="4"/>
      <c r="BJU53" s="4"/>
      <c r="BJV53" s="4"/>
      <c r="BJW53" s="4"/>
      <c r="BJX53" s="4"/>
      <c r="BJY53" s="4"/>
      <c r="BJZ53" s="4"/>
      <c r="BKA53" s="4"/>
      <c r="BKB53" s="4"/>
      <c r="BKC53" s="4"/>
      <c r="BKD53" s="4"/>
      <c r="BKE53" s="4"/>
      <c r="BKF53" s="4"/>
      <c r="BKG53" s="4"/>
      <c r="BKH53" s="4"/>
      <c r="BKI53" s="4"/>
      <c r="BKJ53" s="4"/>
      <c r="BKK53" s="4"/>
      <c r="BKL53" s="4"/>
      <c r="BKM53" s="4"/>
      <c r="BKN53" s="4"/>
      <c r="BKO53" s="4"/>
      <c r="BKP53" s="4"/>
      <c r="BKQ53" s="4"/>
      <c r="BKR53" s="4"/>
      <c r="BKS53" s="4"/>
      <c r="BKT53" s="4"/>
      <c r="BKU53" s="4"/>
      <c r="BKV53" s="4"/>
      <c r="BKW53" s="4"/>
      <c r="BKX53" s="4"/>
      <c r="BKY53" s="4"/>
      <c r="BKZ53" s="4"/>
      <c r="BLA53" s="4"/>
      <c r="BLB53" s="4"/>
      <c r="BLC53" s="4"/>
      <c r="BLD53" s="4"/>
      <c r="BLE53" s="4"/>
      <c r="BLF53" s="4"/>
      <c r="BLG53" s="4"/>
      <c r="BLH53" s="4"/>
      <c r="BLI53" s="4"/>
      <c r="BLJ53" s="4"/>
      <c r="BLK53" s="4"/>
      <c r="BLL53" s="4"/>
      <c r="BLM53" s="4"/>
      <c r="BLN53" s="4"/>
      <c r="BLO53" s="4"/>
      <c r="BLP53" s="4"/>
      <c r="BLQ53" s="4"/>
      <c r="BLR53" s="4"/>
      <c r="BLS53" s="4"/>
      <c r="BLT53" s="4"/>
      <c r="BLU53" s="4"/>
      <c r="BLV53" s="4"/>
      <c r="BLW53" s="4"/>
      <c r="BLX53" s="4"/>
      <c r="BLY53" s="4"/>
      <c r="BLZ53" s="4"/>
      <c r="BMA53" s="4"/>
      <c r="BMB53" s="4"/>
      <c r="BMC53" s="4"/>
      <c r="BMD53" s="4"/>
      <c r="BME53" s="4"/>
      <c r="BMF53" s="4"/>
      <c r="BMG53" s="4"/>
      <c r="BMH53" s="4"/>
      <c r="BMI53" s="4"/>
      <c r="BMJ53" s="4"/>
      <c r="BMK53" s="4"/>
      <c r="BML53" s="4"/>
      <c r="BMM53" s="4"/>
      <c r="BMN53" s="4"/>
      <c r="BMO53" s="4"/>
      <c r="BMP53" s="4"/>
      <c r="BMQ53" s="4"/>
      <c r="BMR53" s="4"/>
      <c r="BMS53" s="4"/>
      <c r="BMT53" s="4"/>
      <c r="BMU53" s="4"/>
      <c r="BMV53" s="4"/>
      <c r="BMW53" s="4"/>
      <c r="BMX53" s="4"/>
      <c r="BMY53" s="4"/>
      <c r="BMZ53" s="4"/>
      <c r="BNA53" s="4"/>
      <c r="BNB53" s="4"/>
      <c r="BNC53" s="4"/>
      <c r="BND53" s="4"/>
      <c r="BNE53" s="4"/>
      <c r="BNF53" s="4"/>
      <c r="BNG53" s="4"/>
      <c r="BNH53" s="4"/>
      <c r="BNI53" s="4"/>
      <c r="BNJ53" s="4"/>
      <c r="BNK53" s="4"/>
      <c r="BNL53" s="4"/>
      <c r="BNM53" s="4"/>
      <c r="BNN53" s="4"/>
      <c r="BNO53" s="4"/>
      <c r="BNP53" s="4"/>
      <c r="BNQ53" s="4"/>
      <c r="BNR53" s="4"/>
      <c r="BNS53" s="4"/>
      <c r="BNT53" s="4"/>
      <c r="BNU53" s="4"/>
      <c r="BNV53" s="4"/>
      <c r="BNW53" s="4"/>
      <c r="BNX53" s="4"/>
      <c r="BNY53" s="4"/>
      <c r="BNZ53" s="4"/>
      <c r="BOA53" s="4"/>
      <c r="BOB53" s="4"/>
      <c r="BOC53" s="4"/>
      <c r="BOD53" s="4"/>
      <c r="BOE53" s="4"/>
      <c r="BOF53" s="4"/>
      <c r="BOG53" s="4"/>
      <c r="BOH53" s="4"/>
      <c r="BOI53" s="4"/>
      <c r="BOJ53" s="4"/>
      <c r="BOK53" s="4"/>
      <c r="BOL53" s="4"/>
      <c r="BOM53" s="4"/>
      <c r="BON53" s="4"/>
      <c r="BOO53" s="4"/>
      <c r="BOP53" s="4"/>
      <c r="BOQ53" s="4"/>
      <c r="BOR53" s="4"/>
      <c r="BOS53" s="4"/>
      <c r="BOT53" s="4"/>
      <c r="BOU53" s="4"/>
      <c r="BOV53" s="4"/>
      <c r="BOW53" s="4"/>
      <c r="BOX53" s="4"/>
      <c r="BOY53" s="4"/>
      <c r="BOZ53" s="4"/>
      <c r="BPA53" s="4"/>
      <c r="BPB53" s="4"/>
      <c r="BPC53" s="4"/>
      <c r="BPD53" s="4"/>
      <c r="BPE53" s="4"/>
      <c r="BPF53" s="4"/>
      <c r="BPG53" s="4"/>
      <c r="BPH53" s="4"/>
      <c r="BPI53" s="4"/>
      <c r="BPJ53" s="4"/>
      <c r="BPK53" s="4"/>
      <c r="BPL53" s="4"/>
      <c r="BPM53" s="4"/>
      <c r="BPN53" s="4"/>
      <c r="BPO53" s="4"/>
      <c r="BPP53" s="4"/>
      <c r="BPQ53" s="4"/>
      <c r="BPR53" s="4"/>
      <c r="BPS53" s="4"/>
      <c r="BPT53" s="4"/>
      <c r="BPU53" s="4"/>
      <c r="BPV53" s="4"/>
      <c r="BPW53" s="4"/>
      <c r="BPX53" s="4"/>
      <c r="BPY53" s="4"/>
      <c r="BPZ53" s="4"/>
      <c r="BQA53" s="4"/>
      <c r="BQB53" s="4"/>
      <c r="BQC53" s="4"/>
      <c r="BQD53" s="4"/>
      <c r="BQE53" s="4"/>
      <c r="BQF53" s="4"/>
      <c r="BQG53" s="4"/>
      <c r="BQH53" s="4"/>
      <c r="BQI53" s="4"/>
      <c r="BQJ53" s="4"/>
      <c r="BQK53" s="4"/>
      <c r="BQL53" s="4"/>
      <c r="BQM53" s="4"/>
      <c r="BQN53" s="4"/>
      <c r="BQO53" s="4"/>
      <c r="BQP53" s="4"/>
      <c r="BQQ53" s="4"/>
      <c r="BQR53" s="4"/>
      <c r="BQS53" s="4"/>
      <c r="BQT53" s="4"/>
      <c r="BQU53" s="4"/>
      <c r="BQV53" s="4"/>
      <c r="BQW53" s="4"/>
      <c r="BQX53" s="4"/>
      <c r="BQY53" s="4"/>
      <c r="BQZ53" s="4"/>
      <c r="BRA53" s="4"/>
      <c r="BRB53" s="4"/>
      <c r="BRC53" s="4"/>
      <c r="BRD53" s="4"/>
      <c r="BRE53" s="4"/>
      <c r="BRF53" s="4"/>
      <c r="BRG53" s="4"/>
      <c r="BRH53" s="4"/>
      <c r="BRI53" s="4"/>
      <c r="BRJ53" s="4"/>
      <c r="BRK53" s="4"/>
      <c r="BRL53" s="4"/>
      <c r="BRM53" s="4"/>
      <c r="BRN53" s="4"/>
      <c r="BRO53" s="4"/>
      <c r="BRP53" s="4"/>
      <c r="BRQ53" s="4"/>
      <c r="BRR53" s="4"/>
      <c r="BRS53" s="4"/>
      <c r="BRT53" s="4"/>
      <c r="BRU53" s="4"/>
      <c r="BRV53" s="4"/>
      <c r="BRW53" s="4"/>
      <c r="BRX53" s="4"/>
      <c r="BRY53" s="4"/>
      <c r="BRZ53" s="4"/>
      <c r="BSA53" s="4"/>
      <c r="BSB53" s="4"/>
      <c r="BSC53" s="4"/>
      <c r="BSD53" s="4"/>
      <c r="BSE53" s="4"/>
      <c r="BSF53" s="4"/>
      <c r="BSG53" s="4"/>
      <c r="BSH53" s="4"/>
      <c r="BSI53" s="4"/>
      <c r="BSJ53" s="4"/>
      <c r="BSK53" s="4"/>
      <c r="BSL53" s="4"/>
      <c r="BSM53" s="4"/>
      <c r="BSN53" s="4"/>
      <c r="BSO53" s="4"/>
      <c r="BSP53" s="4"/>
      <c r="BSQ53" s="4"/>
      <c r="BSR53" s="4"/>
      <c r="BSS53" s="4"/>
      <c r="BST53" s="4"/>
      <c r="BSU53" s="4"/>
      <c r="BSV53" s="4"/>
      <c r="BSW53" s="4"/>
      <c r="BSX53" s="4"/>
      <c r="BSY53" s="4"/>
      <c r="BSZ53" s="4"/>
      <c r="BTA53" s="4"/>
      <c r="BTB53" s="4"/>
      <c r="BTC53" s="4"/>
      <c r="BTD53" s="4"/>
      <c r="BTE53" s="4"/>
      <c r="BTF53" s="4"/>
      <c r="BTG53" s="4"/>
      <c r="BTH53" s="4"/>
      <c r="BTI53" s="4"/>
      <c r="BTJ53" s="4"/>
      <c r="BTK53" s="4"/>
      <c r="BTL53" s="4"/>
      <c r="BTM53" s="4"/>
      <c r="BTN53" s="4"/>
      <c r="BTO53" s="4"/>
      <c r="BTP53" s="4"/>
      <c r="BTQ53" s="4"/>
      <c r="BTR53" s="4"/>
      <c r="BTS53" s="4"/>
      <c r="BTT53" s="4"/>
      <c r="BTU53" s="4"/>
      <c r="BTV53" s="4"/>
      <c r="BTW53" s="4"/>
      <c r="BTX53" s="4"/>
      <c r="BTY53" s="4"/>
      <c r="BTZ53" s="4"/>
      <c r="BUA53" s="4"/>
      <c r="BUB53" s="4"/>
      <c r="BUC53" s="4"/>
      <c r="BUD53" s="4"/>
      <c r="BUE53" s="4"/>
      <c r="BUF53" s="4"/>
      <c r="BUG53" s="4"/>
      <c r="BUH53" s="4"/>
      <c r="BUI53" s="4"/>
      <c r="BUJ53" s="4"/>
      <c r="BUK53" s="4"/>
      <c r="BUL53" s="4"/>
      <c r="BUM53" s="4"/>
      <c r="BUN53" s="4"/>
      <c r="BUO53" s="4"/>
      <c r="BUP53" s="4"/>
      <c r="BUQ53" s="4"/>
      <c r="BUR53" s="4"/>
      <c r="BUS53" s="4"/>
      <c r="BUT53" s="4"/>
      <c r="BUU53" s="4"/>
      <c r="BUV53" s="4"/>
      <c r="BUW53" s="4"/>
      <c r="BUX53" s="4"/>
      <c r="BUY53" s="4"/>
      <c r="BUZ53" s="4"/>
      <c r="BVA53" s="4"/>
      <c r="BVB53" s="4"/>
      <c r="BVC53" s="4"/>
      <c r="BVD53" s="4"/>
      <c r="BVE53" s="4"/>
      <c r="BVF53" s="4"/>
      <c r="BVG53" s="4"/>
      <c r="BVH53" s="4"/>
      <c r="BVI53" s="4"/>
      <c r="BVJ53" s="4"/>
      <c r="BVK53" s="4"/>
      <c r="BVL53" s="4"/>
      <c r="BVM53" s="4"/>
      <c r="BVN53" s="4"/>
      <c r="BVO53" s="4"/>
      <c r="BVP53" s="4"/>
      <c r="BVQ53" s="4"/>
      <c r="BVR53" s="4"/>
      <c r="BVS53" s="4"/>
      <c r="BVT53" s="4"/>
      <c r="BVU53" s="4"/>
      <c r="BVV53" s="4"/>
      <c r="BVW53" s="4"/>
      <c r="BVX53" s="4"/>
      <c r="BVY53" s="4"/>
      <c r="BVZ53" s="4"/>
      <c r="BWA53" s="4"/>
      <c r="BWB53" s="4"/>
      <c r="BWC53" s="4"/>
      <c r="BWD53" s="4"/>
      <c r="BWE53" s="4"/>
      <c r="BWF53" s="4"/>
      <c r="BWG53" s="4"/>
      <c r="BWH53" s="4"/>
      <c r="BWI53" s="4"/>
      <c r="BWJ53" s="4"/>
      <c r="BWK53" s="4"/>
      <c r="BWL53" s="4"/>
      <c r="BWM53" s="4"/>
      <c r="BWN53" s="4"/>
      <c r="BWO53" s="4"/>
      <c r="BWP53" s="4"/>
      <c r="BWQ53" s="4"/>
      <c r="BWR53" s="4"/>
      <c r="BWS53" s="4"/>
      <c r="BWT53" s="4"/>
      <c r="BWU53" s="4"/>
      <c r="BWV53" s="4"/>
      <c r="BWW53" s="4"/>
      <c r="BWX53" s="4"/>
      <c r="BWY53" s="4"/>
      <c r="BWZ53" s="4"/>
      <c r="BXA53" s="4"/>
      <c r="BXB53" s="4"/>
      <c r="BXC53" s="4"/>
      <c r="BXD53" s="4"/>
      <c r="BXE53" s="4"/>
      <c r="BXF53" s="4"/>
      <c r="BXG53" s="4"/>
      <c r="BXH53" s="4"/>
      <c r="BXI53" s="4"/>
      <c r="BXJ53" s="4"/>
      <c r="BXK53" s="4"/>
      <c r="BXL53" s="4"/>
      <c r="BXM53" s="4"/>
      <c r="BXN53" s="4"/>
      <c r="BXO53" s="4"/>
      <c r="BXP53" s="4"/>
      <c r="BXQ53" s="4"/>
      <c r="BXR53" s="4"/>
      <c r="BXS53" s="4"/>
      <c r="BXT53" s="4"/>
      <c r="BXU53" s="4"/>
      <c r="BXV53" s="4"/>
      <c r="BXW53" s="4"/>
      <c r="BXX53" s="4"/>
      <c r="BXY53" s="4"/>
      <c r="BXZ53" s="4"/>
      <c r="BYA53" s="4"/>
      <c r="BYB53" s="4"/>
      <c r="BYC53" s="4"/>
      <c r="BYD53" s="4"/>
      <c r="BYE53" s="4"/>
      <c r="BYF53" s="4"/>
      <c r="BYG53" s="4"/>
      <c r="BYH53" s="4"/>
      <c r="BYI53" s="4"/>
      <c r="BYJ53" s="4"/>
      <c r="BYK53" s="4"/>
      <c r="BYL53" s="4"/>
      <c r="BYM53" s="4"/>
      <c r="BYN53" s="4"/>
      <c r="BYO53" s="4"/>
      <c r="BYP53" s="4"/>
      <c r="BYQ53" s="4"/>
      <c r="BYR53" s="4"/>
      <c r="BYS53" s="4"/>
      <c r="BYT53" s="4"/>
      <c r="BYU53" s="4"/>
      <c r="BYV53" s="4"/>
      <c r="BYW53" s="4"/>
      <c r="BYX53" s="4"/>
      <c r="BYY53" s="4"/>
      <c r="BYZ53" s="4"/>
      <c r="BZA53" s="4"/>
      <c r="BZB53" s="4"/>
      <c r="BZC53" s="4"/>
      <c r="BZD53" s="4"/>
      <c r="BZE53" s="4"/>
      <c r="BZF53" s="4"/>
      <c r="BZG53" s="4"/>
      <c r="BZH53" s="4"/>
      <c r="BZI53" s="4"/>
      <c r="BZJ53" s="4"/>
      <c r="BZK53" s="4"/>
      <c r="BZL53" s="4"/>
      <c r="BZM53" s="4"/>
      <c r="BZN53" s="4"/>
      <c r="BZO53" s="4"/>
      <c r="BZP53" s="4"/>
      <c r="BZQ53" s="4"/>
      <c r="BZR53" s="4"/>
      <c r="BZS53" s="4"/>
      <c r="BZT53" s="4"/>
      <c r="BZU53" s="4"/>
      <c r="BZV53" s="4"/>
      <c r="BZW53" s="4"/>
      <c r="BZX53" s="4"/>
      <c r="BZY53" s="4"/>
      <c r="BZZ53" s="4"/>
      <c r="CAA53" s="4"/>
      <c r="CAB53" s="4"/>
      <c r="CAC53" s="4"/>
      <c r="CAD53" s="4"/>
      <c r="CAE53" s="4"/>
      <c r="CAF53" s="4"/>
      <c r="CAG53" s="4"/>
      <c r="CAH53" s="4"/>
      <c r="CAI53" s="4"/>
      <c r="CAJ53" s="4"/>
      <c r="CAK53" s="4"/>
      <c r="CAL53" s="4"/>
      <c r="CAM53" s="4"/>
      <c r="CAN53" s="4"/>
      <c r="CAO53" s="4"/>
      <c r="CAP53" s="4"/>
      <c r="CAQ53" s="4"/>
      <c r="CAR53" s="4"/>
      <c r="CAS53" s="4"/>
      <c r="CAT53" s="4"/>
      <c r="CAU53" s="4"/>
      <c r="CAV53" s="4"/>
      <c r="CAW53" s="4"/>
      <c r="CAX53" s="4"/>
      <c r="CAY53" s="4"/>
      <c r="CAZ53" s="4"/>
      <c r="CBA53" s="4"/>
      <c r="CBB53" s="4"/>
      <c r="CBC53" s="4"/>
      <c r="CBD53" s="4"/>
      <c r="CBE53" s="4"/>
      <c r="CBF53" s="4"/>
      <c r="CBG53" s="4"/>
      <c r="CBH53" s="4"/>
      <c r="CBI53" s="4"/>
      <c r="CBJ53" s="4"/>
      <c r="CBK53" s="4"/>
      <c r="CBL53" s="4"/>
      <c r="CBM53" s="4"/>
      <c r="CBN53" s="4"/>
      <c r="CBO53" s="4"/>
      <c r="CBP53" s="4"/>
      <c r="CBQ53" s="4"/>
      <c r="CBR53" s="4"/>
      <c r="CBS53" s="4"/>
      <c r="CBT53" s="4"/>
      <c r="CBU53" s="4"/>
      <c r="CBV53" s="4"/>
      <c r="CBW53" s="4"/>
      <c r="CBX53" s="4"/>
      <c r="CBY53" s="4"/>
      <c r="CBZ53" s="4"/>
      <c r="CCA53" s="4"/>
      <c r="CCB53" s="4"/>
      <c r="CCC53" s="4"/>
      <c r="CCD53" s="4"/>
      <c r="CCE53" s="4"/>
      <c r="CCF53" s="4"/>
      <c r="CCG53" s="4"/>
      <c r="CCH53" s="4"/>
      <c r="CCI53" s="4"/>
      <c r="CCJ53" s="4"/>
      <c r="CCK53" s="4"/>
      <c r="CCL53" s="4"/>
      <c r="CCM53" s="4"/>
      <c r="CCN53" s="4"/>
      <c r="CCO53" s="4"/>
      <c r="CCP53" s="4"/>
      <c r="CCQ53" s="4"/>
      <c r="CCR53" s="4"/>
      <c r="CCS53" s="4"/>
      <c r="CCT53" s="4"/>
      <c r="CCU53" s="4"/>
      <c r="CCV53" s="4"/>
      <c r="CCW53" s="4"/>
      <c r="CCX53" s="4"/>
      <c r="CCY53" s="4"/>
      <c r="CCZ53" s="4"/>
      <c r="CDA53" s="4"/>
      <c r="CDB53" s="4"/>
      <c r="CDC53" s="4"/>
      <c r="CDD53" s="4"/>
      <c r="CDE53" s="4"/>
      <c r="CDF53" s="4"/>
      <c r="CDG53" s="4"/>
      <c r="CDH53" s="4"/>
      <c r="CDI53" s="4"/>
      <c r="CDJ53" s="4"/>
      <c r="CDK53" s="4"/>
      <c r="CDL53" s="4"/>
      <c r="CDM53" s="4"/>
      <c r="CDN53" s="4"/>
      <c r="CDO53" s="4"/>
      <c r="CDP53" s="4"/>
      <c r="CDQ53" s="4"/>
      <c r="CDR53" s="4"/>
      <c r="CDS53" s="4"/>
      <c r="CDT53" s="4"/>
      <c r="CDU53" s="4"/>
      <c r="CDV53" s="4"/>
      <c r="CDW53" s="4"/>
      <c r="CDX53" s="4"/>
      <c r="CDY53" s="4"/>
      <c r="CDZ53" s="4"/>
      <c r="CEA53" s="4"/>
      <c r="CEB53" s="4"/>
      <c r="CEC53" s="4"/>
      <c r="CED53" s="4"/>
      <c r="CEE53" s="4"/>
      <c r="CEF53" s="4"/>
      <c r="CEG53" s="4"/>
      <c r="CEH53" s="4"/>
      <c r="CEI53" s="4"/>
      <c r="CEJ53" s="4"/>
      <c r="CEK53" s="4"/>
      <c r="CEL53" s="4"/>
      <c r="CEM53" s="4"/>
      <c r="CEN53" s="4"/>
      <c r="CEO53" s="4"/>
      <c r="CEP53" s="4"/>
      <c r="CEQ53" s="4"/>
      <c r="CER53" s="4"/>
      <c r="CES53" s="4"/>
      <c r="CET53" s="4"/>
      <c r="CEU53" s="4"/>
      <c r="CEV53" s="4"/>
      <c r="CEW53" s="4"/>
      <c r="CEX53" s="4"/>
      <c r="CEY53" s="4"/>
      <c r="CEZ53" s="4"/>
      <c r="CFA53" s="4"/>
      <c r="CFB53" s="4"/>
      <c r="CFC53" s="4"/>
      <c r="CFD53" s="4"/>
      <c r="CFE53" s="4"/>
      <c r="CFF53" s="4"/>
      <c r="CFG53" s="4"/>
      <c r="CFH53" s="4"/>
      <c r="CFI53" s="4"/>
      <c r="CFJ53" s="4"/>
      <c r="CFK53" s="4"/>
      <c r="CFL53" s="4"/>
      <c r="CFM53" s="4"/>
      <c r="CFN53" s="4"/>
      <c r="CFO53" s="4"/>
      <c r="CFP53" s="4"/>
      <c r="CFQ53" s="4"/>
      <c r="CFR53" s="4"/>
      <c r="CFS53" s="4"/>
      <c r="CFT53" s="4"/>
      <c r="CFU53" s="4"/>
      <c r="CFV53" s="4"/>
      <c r="CFW53" s="4"/>
      <c r="CFX53" s="4"/>
      <c r="CFY53" s="4"/>
      <c r="CFZ53" s="4"/>
      <c r="CGA53" s="4"/>
      <c r="CGB53" s="4"/>
      <c r="CGC53" s="4"/>
      <c r="CGD53" s="4"/>
      <c r="CGE53" s="4"/>
      <c r="CGF53" s="4"/>
      <c r="CGG53" s="4"/>
      <c r="CGH53" s="4"/>
      <c r="CGI53" s="4"/>
      <c r="CGJ53" s="4"/>
      <c r="CGK53" s="4"/>
      <c r="CGL53" s="4"/>
      <c r="CGM53" s="4"/>
      <c r="CGN53" s="4"/>
      <c r="CGO53" s="4"/>
      <c r="CGP53" s="4"/>
      <c r="CGQ53" s="4"/>
      <c r="CGR53" s="4"/>
      <c r="CGS53" s="4"/>
      <c r="CGT53" s="4"/>
      <c r="CGU53" s="4"/>
      <c r="CGV53" s="4"/>
      <c r="CGW53" s="4"/>
      <c r="CGX53" s="4"/>
      <c r="CGY53" s="4"/>
      <c r="CGZ53" s="4"/>
      <c r="CHA53" s="4"/>
      <c r="CHB53" s="4"/>
      <c r="CHC53" s="4"/>
      <c r="CHD53" s="4"/>
      <c r="CHE53" s="4"/>
      <c r="CHF53" s="4"/>
      <c r="CHG53" s="4"/>
      <c r="CHH53" s="4"/>
      <c r="CHI53" s="4"/>
      <c r="CHJ53" s="4"/>
      <c r="CHK53" s="4"/>
      <c r="CHL53" s="4"/>
      <c r="CHM53" s="4"/>
      <c r="CHN53" s="4"/>
      <c r="CHO53" s="4"/>
      <c r="CHP53" s="4"/>
      <c r="CHQ53" s="4"/>
      <c r="CHR53" s="4"/>
      <c r="CHS53" s="4"/>
      <c r="CHT53" s="4"/>
      <c r="CHU53" s="4"/>
      <c r="CHV53" s="4"/>
      <c r="CHW53" s="4"/>
      <c r="CHX53" s="4"/>
      <c r="CHY53" s="4"/>
      <c r="CHZ53" s="4"/>
      <c r="CIA53" s="4"/>
      <c r="CIB53" s="4"/>
      <c r="CIC53" s="4"/>
      <c r="CID53" s="4"/>
      <c r="CIE53" s="4"/>
      <c r="CIF53" s="4"/>
      <c r="CIG53" s="4"/>
      <c r="CIH53" s="4"/>
      <c r="CII53" s="4"/>
      <c r="CIJ53" s="4"/>
      <c r="CIK53" s="4"/>
      <c r="CIL53" s="4"/>
      <c r="CIM53" s="4"/>
      <c r="CIN53" s="4"/>
      <c r="CIO53" s="4"/>
      <c r="CIP53" s="4"/>
      <c r="CIQ53" s="4"/>
      <c r="CIR53" s="4"/>
      <c r="CIS53" s="4"/>
      <c r="CIT53" s="4"/>
      <c r="CIU53" s="4"/>
      <c r="CIV53" s="4"/>
      <c r="CIW53" s="4"/>
      <c r="CIX53" s="4"/>
      <c r="CIY53" s="4"/>
      <c r="CIZ53" s="4"/>
      <c r="CJA53" s="4"/>
      <c r="CJB53" s="4"/>
      <c r="CJC53" s="4"/>
      <c r="CJD53" s="4"/>
      <c r="CJE53" s="4"/>
      <c r="CJF53" s="4"/>
      <c r="CJG53" s="4"/>
      <c r="CJH53" s="4"/>
      <c r="CJI53" s="4"/>
      <c r="CJJ53" s="4"/>
      <c r="CJK53" s="4"/>
      <c r="CJL53" s="4"/>
      <c r="CJM53" s="4"/>
      <c r="CJN53" s="4"/>
      <c r="CJO53" s="4"/>
      <c r="CJP53" s="4"/>
      <c r="CJQ53" s="4"/>
      <c r="CJR53" s="4"/>
      <c r="CJS53" s="4"/>
      <c r="CJT53" s="4"/>
      <c r="CJU53" s="4"/>
      <c r="CJV53" s="4"/>
      <c r="CJW53" s="4"/>
      <c r="CJX53" s="4"/>
      <c r="CJY53" s="4"/>
      <c r="CJZ53" s="4"/>
      <c r="CKA53" s="4"/>
      <c r="CKB53" s="4"/>
      <c r="CKC53" s="4"/>
      <c r="CKD53" s="4"/>
      <c r="CKE53" s="4"/>
      <c r="CKF53" s="4"/>
      <c r="CKG53" s="4"/>
      <c r="CKH53" s="4"/>
      <c r="CKI53" s="4"/>
      <c r="CKJ53" s="4"/>
      <c r="CKK53" s="4"/>
      <c r="CKL53" s="4"/>
      <c r="CKM53" s="4"/>
      <c r="CKN53" s="4"/>
      <c r="CKO53" s="4"/>
      <c r="CKP53" s="4"/>
      <c r="CKQ53" s="4"/>
      <c r="CKR53" s="4"/>
      <c r="CKS53" s="4"/>
      <c r="CKT53" s="4"/>
      <c r="CKU53" s="4"/>
      <c r="CKV53" s="4"/>
      <c r="CKW53" s="4"/>
      <c r="CKX53" s="4"/>
      <c r="CKY53" s="4"/>
      <c r="CKZ53" s="4"/>
      <c r="CLA53" s="4"/>
      <c r="CLB53" s="4"/>
      <c r="CLC53" s="4"/>
      <c r="CLD53" s="4"/>
      <c r="CLE53" s="4"/>
      <c r="CLF53" s="4"/>
      <c r="CLG53" s="4"/>
      <c r="CLH53" s="4"/>
      <c r="CLI53" s="4"/>
      <c r="CLJ53" s="4"/>
      <c r="CLK53" s="4"/>
      <c r="CLL53" s="4"/>
      <c r="CLM53" s="4"/>
      <c r="CLN53" s="4"/>
      <c r="CLO53" s="4"/>
      <c r="CLP53" s="4"/>
      <c r="CLQ53" s="4"/>
      <c r="CLR53" s="4"/>
      <c r="CLS53" s="4"/>
      <c r="CLT53" s="4"/>
      <c r="CLU53" s="4"/>
      <c r="CLV53" s="4"/>
      <c r="CLW53" s="4"/>
      <c r="CLX53" s="4"/>
      <c r="CLY53" s="4"/>
      <c r="CLZ53" s="4"/>
      <c r="CMA53" s="4"/>
      <c r="CMB53" s="4"/>
      <c r="CMC53" s="4"/>
      <c r="CMD53" s="4"/>
      <c r="CME53" s="4"/>
      <c r="CMF53" s="4"/>
      <c r="CMG53" s="4"/>
      <c r="CMH53" s="4"/>
      <c r="CMI53" s="4"/>
      <c r="CMJ53" s="4"/>
      <c r="CMK53" s="4"/>
      <c r="CML53" s="4"/>
      <c r="CMM53" s="4"/>
      <c r="CMN53" s="4"/>
      <c r="CMO53" s="4"/>
      <c r="CMP53" s="4"/>
      <c r="CMQ53" s="4"/>
      <c r="CMR53" s="4"/>
      <c r="CMS53" s="4"/>
      <c r="CMT53" s="4"/>
      <c r="CMU53" s="4"/>
      <c r="CMV53" s="4"/>
      <c r="CMW53" s="4"/>
      <c r="CMX53" s="4"/>
      <c r="CMY53" s="4"/>
      <c r="CMZ53" s="4"/>
      <c r="CNA53" s="4"/>
      <c r="CNB53" s="4"/>
      <c r="CNC53" s="4"/>
      <c r="CND53" s="4"/>
      <c r="CNE53" s="4"/>
      <c r="CNF53" s="4"/>
      <c r="CNG53" s="4"/>
      <c r="CNH53" s="4"/>
      <c r="CNI53" s="4"/>
      <c r="CNJ53" s="4"/>
      <c r="CNK53" s="4"/>
      <c r="CNL53" s="4"/>
      <c r="CNM53" s="4"/>
      <c r="CNN53" s="4"/>
      <c r="CNO53" s="4"/>
      <c r="CNP53" s="4"/>
      <c r="CNQ53" s="4"/>
      <c r="CNR53" s="4"/>
      <c r="CNS53" s="4"/>
      <c r="CNT53" s="4"/>
      <c r="CNU53" s="4"/>
      <c r="CNV53" s="4"/>
      <c r="CNW53" s="4"/>
      <c r="CNX53" s="4"/>
      <c r="CNY53" s="4"/>
      <c r="CNZ53" s="4"/>
      <c r="COA53" s="4"/>
      <c r="COB53" s="4"/>
      <c r="COC53" s="4"/>
      <c r="COD53" s="4"/>
      <c r="COE53" s="4"/>
      <c r="COF53" s="4"/>
      <c r="COG53" s="4"/>
      <c r="COH53" s="4"/>
      <c r="COI53" s="4"/>
      <c r="COJ53" s="4"/>
      <c r="COK53" s="4"/>
      <c r="COL53" s="4"/>
      <c r="COM53" s="4"/>
      <c r="CON53" s="4"/>
      <c r="COO53" s="4"/>
      <c r="COP53" s="4"/>
      <c r="COQ53" s="4"/>
      <c r="COR53" s="4"/>
      <c r="COS53" s="4"/>
      <c r="COT53" s="4"/>
      <c r="COU53" s="4"/>
      <c r="COV53" s="4"/>
      <c r="COW53" s="4"/>
      <c r="COX53" s="4"/>
      <c r="COY53" s="4"/>
      <c r="COZ53" s="4"/>
      <c r="CPA53" s="4"/>
      <c r="CPB53" s="4"/>
      <c r="CPC53" s="4"/>
      <c r="CPD53" s="4"/>
      <c r="CPE53" s="4"/>
      <c r="CPF53" s="4"/>
      <c r="CPG53" s="4"/>
      <c r="CPH53" s="4"/>
      <c r="CPI53" s="4"/>
      <c r="CPJ53" s="4"/>
      <c r="CPK53" s="4"/>
      <c r="CPL53" s="4"/>
      <c r="CPM53" s="4"/>
      <c r="CPN53" s="4"/>
      <c r="CPO53" s="4"/>
      <c r="CPP53" s="4"/>
      <c r="CPQ53" s="4"/>
      <c r="CPR53" s="4"/>
      <c r="CPS53" s="4"/>
      <c r="CPT53" s="4"/>
      <c r="CPU53" s="4"/>
      <c r="CPV53" s="4"/>
      <c r="CPW53" s="4"/>
      <c r="CPX53" s="4"/>
      <c r="CPY53" s="4"/>
      <c r="CPZ53" s="4"/>
      <c r="CQA53" s="4"/>
      <c r="CQB53" s="4"/>
      <c r="CQC53" s="4"/>
      <c r="CQD53" s="4"/>
      <c r="CQE53" s="4"/>
      <c r="CQF53" s="4"/>
      <c r="CQG53" s="4"/>
      <c r="CQH53" s="4"/>
      <c r="CQI53" s="4"/>
      <c r="CQJ53" s="4"/>
      <c r="CQK53" s="4"/>
      <c r="CQL53" s="4"/>
      <c r="CQM53" s="4"/>
      <c r="CQN53" s="4"/>
      <c r="CQO53" s="4"/>
      <c r="CQP53" s="4"/>
      <c r="CQQ53" s="4"/>
      <c r="CQR53" s="4"/>
      <c r="CQS53" s="4"/>
      <c r="CQT53" s="4"/>
      <c r="CQU53" s="4"/>
      <c r="CQV53" s="4"/>
      <c r="CQW53" s="4"/>
      <c r="CQX53" s="4"/>
      <c r="CQY53" s="4"/>
      <c r="CQZ53" s="4"/>
      <c r="CRA53" s="4"/>
      <c r="CRB53" s="4"/>
      <c r="CRC53" s="4"/>
      <c r="CRD53" s="4"/>
      <c r="CRE53" s="4"/>
      <c r="CRF53" s="4"/>
      <c r="CRG53" s="4"/>
      <c r="CRH53" s="4"/>
      <c r="CRI53" s="4"/>
      <c r="CRJ53" s="4"/>
      <c r="CRK53" s="4"/>
      <c r="CRL53" s="4"/>
      <c r="CRM53" s="4"/>
      <c r="CRN53" s="4"/>
      <c r="CRO53" s="4"/>
      <c r="CRP53" s="4"/>
      <c r="CRQ53" s="4"/>
      <c r="CRR53" s="4"/>
      <c r="CRS53" s="4"/>
      <c r="CRT53" s="4"/>
      <c r="CRU53" s="4"/>
      <c r="CRV53" s="4"/>
      <c r="CRW53" s="4"/>
      <c r="CRX53" s="4"/>
      <c r="CRY53" s="4"/>
      <c r="CRZ53" s="4"/>
      <c r="CSA53" s="4"/>
      <c r="CSB53" s="4"/>
      <c r="CSC53" s="4"/>
      <c r="CSD53" s="4"/>
      <c r="CSE53" s="4"/>
      <c r="CSF53" s="4"/>
      <c r="CSG53" s="4"/>
      <c r="CSH53" s="4"/>
      <c r="CSI53" s="4"/>
      <c r="CSJ53" s="4"/>
      <c r="CSK53" s="4"/>
      <c r="CSL53" s="4"/>
      <c r="CSM53" s="4"/>
      <c r="CSN53" s="4"/>
      <c r="CSO53" s="4"/>
      <c r="CSP53" s="4"/>
      <c r="CSQ53" s="4"/>
      <c r="CSR53" s="4"/>
      <c r="CSS53" s="4"/>
      <c r="CST53" s="4"/>
      <c r="CSU53" s="4"/>
      <c r="CSV53" s="4"/>
      <c r="CSW53" s="4"/>
      <c r="CSX53" s="4"/>
      <c r="CSY53" s="4"/>
      <c r="CSZ53" s="4"/>
      <c r="CTA53" s="4"/>
      <c r="CTB53" s="4"/>
      <c r="CTC53" s="4"/>
      <c r="CTD53" s="4"/>
      <c r="CTE53" s="4"/>
      <c r="CTF53" s="4"/>
      <c r="CTG53" s="4"/>
      <c r="CTH53" s="4"/>
      <c r="CTI53" s="4"/>
      <c r="CTJ53" s="4"/>
      <c r="CTK53" s="4"/>
      <c r="CTL53" s="4"/>
      <c r="CTM53" s="4"/>
      <c r="CTN53" s="4"/>
      <c r="CTO53" s="4"/>
      <c r="CTP53" s="4"/>
      <c r="CTQ53" s="4"/>
      <c r="CTR53" s="4"/>
      <c r="CTS53" s="4"/>
      <c r="CTT53" s="4"/>
      <c r="CTU53" s="4"/>
      <c r="CTV53" s="4"/>
      <c r="CTW53" s="4"/>
      <c r="CTX53" s="4"/>
      <c r="CTY53" s="4"/>
      <c r="CTZ53" s="4"/>
      <c r="CUA53" s="4"/>
      <c r="CUB53" s="4"/>
      <c r="CUC53" s="4"/>
      <c r="CUD53" s="4"/>
      <c r="CUE53" s="4"/>
      <c r="CUF53" s="4"/>
      <c r="CUG53" s="4"/>
      <c r="CUH53" s="4"/>
      <c r="CUI53" s="4"/>
      <c r="CUJ53" s="4"/>
      <c r="CUK53" s="4"/>
      <c r="CUL53" s="4"/>
      <c r="CUM53" s="4"/>
      <c r="CUN53" s="4"/>
      <c r="CUO53" s="4"/>
      <c r="CUP53" s="4"/>
      <c r="CUQ53" s="4"/>
      <c r="CUR53" s="4"/>
      <c r="CUS53" s="4"/>
      <c r="CUT53" s="4"/>
      <c r="CUU53" s="4"/>
      <c r="CUV53" s="4"/>
      <c r="CUW53" s="4"/>
      <c r="CUX53" s="4"/>
      <c r="CUY53" s="4"/>
      <c r="CUZ53" s="4"/>
      <c r="CVA53" s="4"/>
      <c r="CVB53" s="4"/>
      <c r="CVC53" s="4"/>
      <c r="CVD53" s="4"/>
      <c r="CVE53" s="4"/>
      <c r="CVF53" s="4"/>
      <c r="CVG53" s="4"/>
      <c r="CVH53" s="4"/>
      <c r="CVI53" s="4"/>
      <c r="CVJ53" s="4"/>
      <c r="CVK53" s="4"/>
      <c r="CVL53" s="4"/>
      <c r="CVM53" s="4"/>
      <c r="CVN53" s="4"/>
      <c r="CVO53" s="4"/>
      <c r="CVP53" s="4"/>
      <c r="CVQ53" s="4"/>
      <c r="CVR53" s="4"/>
      <c r="CVS53" s="4"/>
      <c r="CVT53" s="4"/>
      <c r="CVU53" s="4"/>
      <c r="CVV53" s="4"/>
      <c r="CVW53" s="4"/>
      <c r="CVX53" s="4"/>
      <c r="CVY53" s="4"/>
      <c r="CVZ53" s="4"/>
      <c r="CWA53" s="4"/>
      <c r="CWB53" s="4"/>
      <c r="CWC53" s="4"/>
      <c r="CWD53" s="4"/>
      <c r="CWE53" s="4"/>
      <c r="CWF53" s="4"/>
      <c r="CWG53" s="4"/>
      <c r="CWH53" s="4"/>
      <c r="CWI53" s="4"/>
      <c r="CWJ53" s="4"/>
      <c r="CWK53" s="4"/>
      <c r="CWL53" s="4"/>
      <c r="CWM53" s="4"/>
      <c r="CWN53" s="4"/>
      <c r="CWO53" s="4"/>
      <c r="CWP53" s="4"/>
      <c r="CWQ53" s="4"/>
      <c r="CWR53" s="4"/>
      <c r="CWS53" s="4"/>
      <c r="CWT53" s="4"/>
      <c r="CWU53" s="4"/>
      <c r="CWV53" s="4"/>
      <c r="CWW53" s="4"/>
      <c r="CWX53" s="4"/>
      <c r="CWY53" s="4"/>
      <c r="CWZ53" s="4"/>
      <c r="CXA53" s="4"/>
      <c r="CXB53" s="4"/>
      <c r="CXC53" s="4"/>
      <c r="CXD53" s="4"/>
      <c r="CXE53" s="4"/>
      <c r="CXF53" s="4"/>
      <c r="CXG53" s="4"/>
      <c r="CXH53" s="4"/>
      <c r="CXI53" s="4"/>
      <c r="CXJ53" s="4"/>
      <c r="CXK53" s="4"/>
      <c r="CXL53" s="4"/>
      <c r="CXM53" s="4"/>
      <c r="CXN53" s="4"/>
      <c r="CXO53" s="4"/>
      <c r="CXP53" s="4"/>
      <c r="CXQ53" s="4"/>
      <c r="CXR53" s="4"/>
      <c r="CXS53" s="4"/>
      <c r="CXT53" s="4"/>
      <c r="CXU53" s="4"/>
      <c r="CXV53" s="4"/>
      <c r="CXW53" s="4"/>
      <c r="CXX53" s="4"/>
      <c r="CXY53" s="4"/>
      <c r="CXZ53" s="4"/>
      <c r="CYA53" s="4"/>
      <c r="CYB53" s="4"/>
      <c r="CYC53" s="4"/>
      <c r="CYD53" s="4"/>
      <c r="CYE53" s="4"/>
      <c r="CYF53" s="4"/>
      <c r="CYG53" s="4"/>
      <c r="CYH53" s="4"/>
      <c r="CYI53" s="4"/>
      <c r="CYJ53" s="4"/>
      <c r="CYK53" s="4"/>
      <c r="CYL53" s="4"/>
      <c r="CYM53" s="4"/>
      <c r="CYN53" s="4"/>
      <c r="CYO53" s="4"/>
      <c r="CYP53" s="4"/>
      <c r="CYQ53" s="4"/>
      <c r="CYR53" s="4"/>
      <c r="CYS53" s="4"/>
      <c r="CYT53" s="4"/>
      <c r="CYU53" s="4"/>
      <c r="CYV53" s="4"/>
      <c r="CYW53" s="4"/>
      <c r="CYX53" s="4"/>
      <c r="CYY53" s="4"/>
      <c r="CYZ53" s="4"/>
      <c r="CZA53" s="4"/>
      <c r="CZB53" s="4"/>
      <c r="CZC53" s="4"/>
      <c r="CZD53" s="4"/>
      <c r="CZE53" s="4"/>
      <c r="CZF53" s="4"/>
      <c r="CZG53" s="4"/>
      <c r="CZH53" s="4"/>
      <c r="CZI53" s="4"/>
      <c r="CZJ53" s="4"/>
      <c r="CZK53" s="4"/>
      <c r="CZL53" s="4"/>
      <c r="CZM53" s="4"/>
      <c r="CZN53" s="4"/>
      <c r="CZO53" s="4"/>
      <c r="CZP53" s="4"/>
      <c r="CZQ53" s="4"/>
      <c r="CZR53" s="4"/>
      <c r="CZS53" s="4"/>
      <c r="CZT53" s="4"/>
      <c r="CZU53" s="4"/>
      <c r="CZV53" s="4"/>
      <c r="CZW53" s="4"/>
      <c r="CZX53" s="4"/>
      <c r="CZY53" s="4"/>
      <c r="CZZ53" s="4"/>
      <c r="DAA53" s="4"/>
      <c r="DAB53" s="4"/>
      <c r="DAC53" s="4"/>
      <c r="DAD53" s="4"/>
      <c r="DAE53" s="4"/>
      <c r="DAF53" s="4"/>
      <c r="DAG53" s="4"/>
      <c r="DAH53" s="4"/>
      <c r="DAI53" s="4"/>
      <c r="DAJ53" s="4"/>
      <c r="DAK53" s="4"/>
      <c r="DAL53" s="4"/>
      <c r="DAM53" s="4"/>
      <c r="DAN53" s="4"/>
      <c r="DAO53" s="4"/>
      <c r="DAP53" s="4"/>
      <c r="DAQ53" s="4"/>
      <c r="DAR53" s="4"/>
      <c r="DAS53" s="4"/>
      <c r="DAT53" s="4"/>
      <c r="DAU53" s="4"/>
      <c r="DAV53" s="4"/>
      <c r="DAW53" s="4"/>
      <c r="DAX53" s="4"/>
      <c r="DAY53" s="4"/>
      <c r="DAZ53" s="4"/>
      <c r="DBA53" s="4"/>
      <c r="DBB53" s="4"/>
      <c r="DBC53" s="4"/>
      <c r="DBD53" s="4"/>
      <c r="DBE53" s="4"/>
      <c r="DBF53" s="4"/>
      <c r="DBG53" s="4"/>
      <c r="DBH53" s="4"/>
      <c r="DBI53" s="4"/>
      <c r="DBJ53" s="4"/>
      <c r="DBK53" s="4"/>
      <c r="DBL53" s="4"/>
      <c r="DBM53" s="4"/>
      <c r="DBN53" s="4"/>
      <c r="DBO53" s="4"/>
      <c r="DBP53" s="4"/>
      <c r="DBQ53" s="4"/>
      <c r="DBR53" s="4"/>
      <c r="DBS53" s="4"/>
      <c r="DBT53" s="4"/>
      <c r="DBU53" s="4"/>
      <c r="DBV53" s="4"/>
      <c r="DBW53" s="4"/>
      <c r="DBX53" s="4"/>
      <c r="DBY53" s="4"/>
      <c r="DBZ53" s="4"/>
      <c r="DCA53" s="4"/>
      <c r="DCB53" s="4"/>
      <c r="DCC53" s="4"/>
      <c r="DCD53" s="4"/>
      <c r="DCE53" s="4"/>
      <c r="DCF53" s="4"/>
      <c r="DCG53" s="4"/>
      <c r="DCH53" s="4"/>
      <c r="DCI53" s="4"/>
      <c r="DCJ53" s="4"/>
      <c r="DCK53" s="4"/>
      <c r="DCL53" s="4"/>
      <c r="DCM53" s="4"/>
      <c r="DCN53" s="4"/>
      <c r="DCO53" s="4"/>
      <c r="DCP53" s="4"/>
      <c r="DCQ53" s="4"/>
      <c r="DCR53" s="4"/>
      <c r="DCS53" s="4"/>
      <c r="DCT53" s="4"/>
      <c r="DCU53" s="4"/>
      <c r="DCV53" s="4"/>
      <c r="DCW53" s="4"/>
      <c r="DCX53" s="4"/>
      <c r="DCY53" s="4"/>
      <c r="DCZ53" s="4"/>
      <c r="DDA53" s="4"/>
      <c r="DDB53" s="4"/>
      <c r="DDC53" s="4"/>
      <c r="DDD53" s="4"/>
      <c r="DDE53" s="4"/>
      <c r="DDF53" s="4"/>
      <c r="DDG53" s="4"/>
      <c r="DDH53" s="4"/>
      <c r="DDI53" s="4"/>
      <c r="DDJ53" s="4"/>
      <c r="DDK53" s="4"/>
      <c r="DDL53" s="4"/>
      <c r="DDM53" s="4"/>
      <c r="DDN53" s="4"/>
      <c r="DDO53" s="4"/>
      <c r="DDP53" s="4"/>
      <c r="DDQ53" s="4"/>
      <c r="DDR53" s="4"/>
      <c r="DDS53" s="4"/>
      <c r="DDT53" s="4"/>
      <c r="DDU53" s="4"/>
      <c r="DDV53" s="4"/>
      <c r="DDW53" s="4"/>
      <c r="DDX53" s="4"/>
      <c r="DDY53" s="4"/>
      <c r="DDZ53" s="4"/>
      <c r="DEA53" s="4"/>
      <c r="DEB53" s="4"/>
      <c r="DEC53" s="4"/>
      <c r="DED53" s="4"/>
      <c r="DEE53" s="4"/>
      <c r="DEF53" s="4"/>
      <c r="DEG53" s="4"/>
      <c r="DEH53" s="4"/>
      <c r="DEI53" s="4"/>
      <c r="DEJ53" s="4"/>
      <c r="DEK53" s="4"/>
      <c r="DEL53" s="4"/>
      <c r="DEM53" s="4"/>
      <c r="DEN53" s="4"/>
      <c r="DEO53" s="4"/>
      <c r="DEP53" s="4"/>
      <c r="DEQ53" s="4"/>
      <c r="DER53" s="4"/>
      <c r="DES53" s="4"/>
      <c r="DET53" s="4"/>
      <c r="DEU53" s="4"/>
      <c r="DEV53" s="4"/>
      <c r="DEW53" s="4"/>
      <c r="DEX53" s="4"/>
      <c r="DEY53" s="4"/>
      <c r="DEZ53" s="4"/>
      <c r="DFA53" s="4"/>
      <c r="DFB53" s="4"/>
      <c r="DFC53" s="4"/>
      <c r="DFD53" s="4"/>
      <c r="DFE53" s="4"/>
      <c r="DFF53" s="4"/>
      <c r="DFG53" s="4"/>
      <c r="DFH53" s="4"/>
      <c r="DFI53" s="4"/>
      <c r="DFJ53" s="4"/>
      <c r="DFK53" s="4"/>
      <c r="DFL53" s="4"/>
      <c r="DFM53" s="4"/>
      <c r="DFN53" s="4"/>
      <c r="DFO53" s="4"/>
      <c r="DFP53" s="4"/>
      <c r="DFQ53" s="4"/>
      <c r="DFR53" s="4"/>
      <c r="DFS53" s="4"/>
      <c r="DFT53" s="4"/>
      <c r="DFU53" s="4"/>
      <c r="DFV53" s="4"/>
      <c r="DFW53" s="4"/>
      <c r="DFX53" s="4"/>
      <c r="DFY53" s="4"/>
      <c r="DFZ53" s="4"/>
      <c r="DGA53" s="4"/>
      <c r="DGB53" s="4"/>
      <c r="DGC53" s="4"/>
      <c r="DGD53" s="4"/>
      <c r="DGE53" s="4"/>
      <c r="DGF53" s="4"/>
      <c r="DGG53" s="4"/>
      <c r="DGH53" s="4"/>
      <c r="DGI53" s="4"/>
      <c r="DGJ53" s="4"/>
      <c r="DGK53" s="4"/>
      <c r="DGL53" s="4"/>
      <c r="DGM53" s="4"/>
      <c r="DGN53" s="4"/>
      <c r="DGO53" s="4"/>
      <c r="DGP53" s="4"/>
      <c r="DGQ53" s="4"/>
      <c r="DGR53" s="4"/>
      <c r="DGS53" s="4"/>
      <c r="DGT53" s="4"/>
      <c r="DGU53" s="4"/>
      <c r="DGV53" s="4"/>
      <c r="DGW53" s="4"/>
      <c r="DGX53" s="4"/>
      <c r="DGY53" s="4"/>
      <c r="DGZ53" s="4"/>
      <c r="DHA53" s="4"/>
      <c r="DHB53" s="4"/>
      <c r="DHC53" s="4"/>
      <c r="DHD53" s="4"/>
      <c r="DHE53" s="4"/>
      <c r="DHF53" s="4"/>
      <c r="DHG53" s="4"/>
      <c r="DHH53" s="4"/>
      <c r="DHI53" s="4"/>
      <c r="DHJ53" s="4"/>
      <c r="DHK53" s="4"/>
      <c r="DHL53" s="4"/>
      <c r="DHM53" s="4"/>
      <c r="DHN53" s="4"/>
      <c r="DHO53" s="4"/>
      <c r="DHP53" s="4"/>
      <c r="DHQ53" s="4"/>
      <c r="DHR53" s="4"/>
      <c r="DHS53" s="4"/>
      <c r="DHT53" s="4"/>
      <c r="DHU53" s="4"/>
      <c r="DHV53" s="4"/>
      <c r="DHW53" s="4"/>
      <c r="DHX53" s="4"/>
      <c r="DHY53" s="4"/>
      <c r="DHZ53" s="4"/>
      <c r="DIA53" s="4"/>
      <c r="DIB53" s="4"/>
      <c r="DIC53" s="4"/>
      <c r="DID53" s="4"/>
      <c r="DIE53" s="4"/>
      <c r="DIF53" s="4"/>
      <c r="DIG53" s="4"/>
      <c r="DIH53" s="4"/>
      <c r="DII53" s="4"/>
      <c r="DIJ53" s="4"/>
      <c r="DIK53" s="4"/>
      <c r="DIL53" s="4"/>
      <c r="DIM53" s="4"/>
      <c r="DIN53" s="4"/>
      <c r="DIO53" s="4"/>
      <c r="DIP53" s="4"/>
      <c r="DIQ53" s="4"/>
      <c r="DIR53" s="4"/>
      <c r="DIS53" s="4"/>
      <c r="DIT53" s="4"/>
      <c r="DIU53" s="4"/>
      <c r="DIV53" s="4"/>
      <c r="DIW53" s="4"/>
      <c r="DIX53" s="4"/>
      <c r="DIY53" s="4"/>
      <c r="DIZ53" s="4"/>
      <c r="DJA53" s="4"/>
      <c r="DJB53" s="4"/>
      <c r="DJC53" s="4"/>
      <c r="DJD53" s="4"/>
      <c r="DJE53" s="4"/>
      <c r="DJF53" s="4"/>
      <c r="DJG53" s="4"/>
      <c r="DJH53" s="4"/>
      <c r="DJI53" s="4"/>
      <c r="DJJ53" s="4"/>
      <c r="DJK53" s="4"/>
      <c r="DJL53" s="4"/>
      <c r="DJM53" s="4"/>
      <c r="DJN53" s="4"/>
      <c r="DJO53" s="4"/>
      <c r="DJP53" s="4"/>
      <c r="DJQ53" s="4"/>
      <c r="DJR53" s="4"/>
      <c r="DJS53" s="4"/>
      <c r="DJT53" s="4"/>
      <c r="DJU53" s="4"/>
      <c r="DJV53" s="4"/>
      <c r="DJW53" s="4"/>
      <c r="DJX53" s="4"/>
      <c r="DJY53" s="4"/>
      <c r="DJZ53" s="4"/>
      <c r="DKA53" s="4"/>
      <c r="DKB53" s="4"/>
      <c r="DKC53" s="4"/>
      <c r="DKD53" s="4"/>
      <c r="DKE53" s="4"/>
      <c r="DKF53" s="4"/>
      <c r="DKG53" s="4"/>
      <c r="DKH53" s="4"/>
      <c r="DKI53" s="4"/>
      <c r="DKJ53" s="4"/>
      <c r="DKK53" s="4"/>
      <c r="DKL53" s="4"/>
      <c r="DKM53" s="4"/>
      <c r="DKN53" s="4"/>
      <c r="DKO53" s="4"/>
      <c r="DKP53" s="4"/>
      <c r="DKQ53" s="4"/>
      <c r="DKR53" s="4"/>
      <c r="DKS53" s="4"/>
      <c r="DKT53" s="4"/>
      <c r="DKU53" s="4"/>
      <c r="DKV53" s="4"/>
      <c r="DKW53" s="4"/>
      <c r="DKX53" s="4"/>
      <c r="DKY53" s="4"/>
      <c r="DKZ53" s="4"/>
      <c r="DLA53" s="4"/>
      <c r="DLB53" s="4"/>
      <c r="DLC53" s="4"/>
      <c r="DLD53" s="4"/>
      <c r="DLE53" s="4"/>
      <c r="DLF53" s="4"/>
      <c r="DLG53" s="4"/>
      <c r="DLH53" s="4"/>
      <c r="DLI53" s="4"/>
      <c r="DLJ53" s="4"/>
      <c r="DLK53" s="4"/>
      <c r="DLL53" s="4"/>
      <c r="DLM53" s="4"/>
      <c r="DLN53" s="4"/>
      <c r="DLO53" s="4"/>
      <c r="DLP53" s="4"/>
      <c r="DLQ53" s="4"/>
      <c r="DLR53" s="4"/>
      <c r="DLS53" s="4"/>
      <c r="DLT53" s="4"/>
      <c r="DLU53" s="4"/>
      <c r="DLV53" s="4"/>
      <c r="DLW53" s="4"/>
      <c r="DLX53" s="4"/>
      <c r="DLY53" s="4"/>
      <c r="DLZ53" s="4"/>
      <c r="DMA53" s="4"/>
      <c r="DMB53" s="4"/>
      <c r="DMC53" s="4"/>
      <c r="DMD53" s="4"/>
      <c r="DME53" s="4"/>
      <c r="DMF53" s="4"/>
      <c r="DMG53" s="4"/>
      <c r="DMH53" s="4"/>
      <c r="DMI53" s="4"/>
      <c r="DMJ53" s="4"/>
      <c r="DMK53" s="4"/>
      <c r="DML53" s="4"/>
      <c r="DMM53" s="4"/>
      <c r="DMN53" s="4"/>
      <c r="DMO53" s="4"/>
      <c r="DMP53" s="4"/>
      <c r="DMQ53" s="4"/>
      <c r="DMR53" s="4"/>
      <c r="DMS53" s="4"/>
      <c r="DMT53" s="4"/>
      <c r="DMU53" s="4"/>
      <c r="DMV53" s="4"/>
      <c r="DMW53" s="4"/>
      <c r="DMX53" s="4"/>
      <c r="DMY53" s="4"/>
      <c r="DMZ53" s="4"/>
      <c r="DNA53" s="4"/>
      <c r="DNB53" s="4"/>
      <c r="DNC53" s="4"/>
      <c r="DND53" s="4"/>
      <c r="DNE53" s="4"/>
      <c r="DNF53" s="4"/>
      <c r="DNG53" s="4"/>
      <c r="DNH53" s="4"/>
      <c r="DNI53" s="4"/>
      <c r="DNJ53" s="4"/>
      <c r="DNK53" s="4"/>
      <c r="DNL53" s="4"/>
      <c r="DNM53" s="4"/>
      <c r="DNN53" s="4"/>
      <c r="DNO53" s="4"/>
      <c r="DNP53" s="4"/>
      <c r="DNQ53" s="4"/>
      <c r="DNR53" s="4"/>
      <c r="DNS53" s="4"/>
      <c r="DNT53" s="4"/>
      <c r="DNU53" s="4"/>
      <c r="DNV53" s="4"/>
      <c r="DNW53" s="4"/>
      <c r="DNX53" s="4"/>
      <c r="DNY53" s="4"/>
      <c r="DNZ53" s="4"/>
      <c r="DOA53" s="4"/>
      <c r="DOB53" s="4"/>
      <c r="DOC53" s="4"/>
      <c r="DOD53" s="4"/>
      <c r="DOE53" s="4"/>
      <c r="DOF53" s="4"/>
      <c r="DOG53" s="4"/>
      <c r="DOH53" s="4"/>
      <c r="DOI53" s="4"/>
      <c r="DOJ53" s="4"/>
      <c r="DOK53" s="4"/>
      <c r="DOL53" s="4"/>
      <c r="DOM53" s="4"/>
      <c r="DON53" s="4"/>
      <c r="DOO53" s="4"/>
      <c r="DOP53" s="4"/>
      <c r="DOQ53" s="4"/>
      <c r="DOR53" s="4"/>
      <c r="DOS53" s="4"/>
      <c r="DOT53" s="4"/>
      <c r="DOU53" s="4"/>
      <c r="DOV53" s="4"/>
      <c r="DOW53" s="4"/>
      <c r="DOX53" s="4"/>
      <c r="DOY53" s="4"/>
      <c r="DOZ53" s="4"/>
      <c r="DPA53" s="4"/>
      <c r="DPB53" s="4"/>
      <c r="DPC53" s="4"/>
      <c r="DPD53" s="4"/>
      <c r="DPE53" s="4"/>
      <c r="DPF53" s="4"/>
      <c r="DPG53" s="4"/>
      <c r="DPH53" s="4"/>
      <c r="DPI53" s="4"/>
      <c r="DPJ53" s="4"/>
      <c r="DPK53" s="4"/>
      <c r="DPL53" s="4"/>
      <c r="DPM53" s="4"/>
      <c r="DPN53" s="4"/>
      <c r="DPO53" s="4"/>
      <c r="DPP53" s="4"/>
      <c r="DPQ53" s="4"/>
      <c r="DPR53" s="4"/>
      <c r="DPS53" s="4"/>
      <c r="DPT53" s="4"/>
      <c r="DPU53" s="4"/>
      <c r="DPV53" s="4"/>
      <c r="DPW53" s="4"/>
      <c r="DPX53" s="4"/>
      <c r="DPY53" s="4"/>
      <c r="DPZ53" s="4"/>
      <c r="DQA53" s="4"/>
      <c r="DQB53" s="4"/>
      <c r="DQC53" s="4"/>
      <c r="DQD53" s="4"/>
      <c r="DQE53" s="4"/>
      <c r="DQF53" s="4"/>
      <c r="DQG53" s="4"/>
      <c r="DQH53" s="4"/>
      <c r="DQI53" s="4"/>
      <c r="DQJ53" s="4"/>
      <c r="DQK53" s="4"/>
      <c r="DQL53" s="4"/>
      <c r="DQM53" s="4"/>
      <c r="DQN53" s="4"/>
      <c r="DQO53" s="4"/>
      <c r="DQP53" s="4"/>
      <c r="DQQ53" s="4"/>
      <c r="DQR53" s="4"/>
      <c r="DQS53" s="4"/>
      <c r="DQT53" s="4"/>
      <c r="DQU53" s="4"/>
      <c r="DQV53" s="4"/>
      <c r="DQW53" s="4"/>
      <c r="DQX53" s="4"/>
      <c r="DQY53" s="4"/>
      <c r="DQZ53" s="4"/>
      <c r="DRA53" s="4"/>
      <c r="DRB53" s="4"/>
      <c r="DRC53" s="4"/>
      <c r="DRD53" s="4"/>
      <c r="DRE53" s="4"/>
      <c r="DRF53" s="4"/>
      <c r="DRG53" s="4"/>
      <c r="DRH53" s="4"/>
      <c r="DRI53" s="4"/>
      <c r="DRJ53" s="4"/>
      <c r="DRK53" s="4"/>
      <c r="DRL53" s="4"/>
      <c r="DRM53" s="4"/>
      <c r="DRN53" s="4"/>
      <c r="DRO53" s="4"/>
      <c r="DRP53" s="4"/>
      <c r="DRQ53" s="4"/>
      <c r="DRR53" s="4"/>
      <c r="DRS53" s="4"/>
      <c r="DRT53" s="4"/>
      <c r="DRU53" s="4"/>
      <c r="DRV53" s="4"/>
      <c r="DRW53" s="4"/>
      <c r="DRX53" s="4"/>
      <c r="DRY53" s="4"/>
      <c r="DRZ53" s="4"/>
      <c r="DSA53" s="4"/>
      <c r="DSB53" s="4"/>
      <c r="DSC53" s="4"/>
      <c r="DSD53" s="4"/>
      <c r="DSE53" s="4"/>
      <c r="DSF53" s="4"/>
      <c r="DSG53" s="4"/>
      <c r="DSH53" s="4"/>
      <c r="DSI53" s="4"/>
      <c r="DSJ53" s="4"/>
      <c r="DSK53" s="4"/>
      <c r="DSL53" s="4"/>
      <c r="DSM53" s="4"/>
      <c r="DSN53" s="4"/>
      <c r="DSO53" s="4"/>
      <c r="DSP53" s="4"/>
      <c r="DSQ53" s="4"/>
      <c r="DSR53" s="4"/>
      <c r="DSS53" s="4"/>
      <c r="DST53" s="4"/>
      <c r="DSU53" s="4"/>
      <c r="DSV53" s="4"/>
      <c r="DSW53" s="4"/>
      <c r="DSX53" s="4"/>
      <c r="DSY53" s="4"/>
      <c r="DSZ53" s="4"/>
      <c r="DTA53" s="4"/>
      <c r="DTB53" s="4"/>
      <c r="DTC53" s="4"/>
      <c r="DTD53" s="4"/>
      <c r="DTE53" s="4"/>
      <c r="DTF53" s="4"/>
      <c r="DTG53" s="4"/>
      <c r="DTH53" s="4"/>
      <c r="DTI53" s="4"/>
      <c r="DTJ53" s="4"/>
      <c r="DTK53" s="4"/>
      <c r="DTL53" s="4"/>
      <c r="DTM53" s="4"/>
      <c r="DTN53" s="4"/>
      <c r="DTO53" s="4"/>
      <c r="DTP53" s="4"/>
      <c r="DTQ53" s="4"/>
      <c r="DTR53" s="4"/>
      <c r="DTS53" s="4"/>
      <c r="DTT53" s="4"/>
      <c r="DTU53" s="4"/>
      <c r="DTV53" s="4"/>
      <c r="DTW53" s="4"/>
      <c r="DTX53" s="4"/>
      <c r="DTY53" s="4"/>
      <c r="DTZ53" s="4"/>
      <c r="DUA53" s="4"/>
      <c r="DUB53" s="4"/>
      <c r="DUC53" s="4"/>
      <c r="DUD53" s="4"/>
      <c r="DUE53" s="4"/>
      <c r="DUF53" s="4"/>
      <c r="DUG53" s="4"/>
      <c r="DUH53" s="4"/>
      <c r="DUI53" s="4"/>
      <c r="DUJ53" s="4"/>
      <c r="DUK53" s="4"/>
      <c r="DUL53" s="4"/>
      <c r="DUM53" s="4"/>
      <c r="DUN53" s="4"/>
      <c r="DUO53" s="4"/>
      <c r="DUP53" s="4"/>
      <c r="DUQ53" s="4"/>
      <c r="DUR53" s="4"/>
      <c r="DUS53" s="4"/>
      <c r="DUT53" s="4"/>
      <c r="DUU53" s="4"/>
      <c r="DUV53" s="4"/>
      <c r="DUW53" s="4"/>
      <c r="DUX53" s="4"/>
      <c r="DUY53" s="4"/>
      <c r="DUZ53" s="4"/>
      <c r="DVA53" s="4"/>
      <c r="DVB53" s="4"/>
      <c r="DVC53" s="4"/>
      <c r="DVD53" s="4"/>
      <c r="DVE53" s="4"/>
      <c r="DVF53" s="4"/>
      <c r="DVG53" s="4"/>
      <c r="DVH53" s="4"/>
      <c r="DVI53" s="4"/>
      <c r="DVJ53" s="4"/>
      <c r="DVK53" s="4"/>
      <c r="DVL53" s="4"/>
      <c r="DVM53" s="4"/>
      <c r="DVN53" s="4"/>
      <c r="DVO53" s="4"/>
      <c r="DVP53" s="4"/>
      <c r="DVQ53" s="4"/>
      <c r="DVR53" s="4"/>
      <c r="DVS53" s="4"/>
      <c r="DVT53" s="4"/>
      <c r="DVU53" s="4"/>
      <c r="DVV53" s="4"/>
      <c r="DVW53" s="4"/>
      <c r="DVX53" s="4"/>
      <c r="DVY53" s="4"/>
      <c r="DVZ53" s="4"/>
      <c r="DWA53" s="4"/>
      <c r="DWB53" s="4"/>
      <c r="DWC53" s="4"/>
      <c r="DWD53" s="4"/>
      <c r="DWE53" s="4"/>
      <c r="DWF53" s="4"/>
      <c r="DWG53" s="4"/>
      <c r="DWH53" s="4"/>
      <c r="DWI53" s="4"/>
      <c r="DWJ53" s="4"/>
      <c r="DWK53" s="4"/>
      <c r="DWL53" s="4"/>
      <c r="DWM53" s="4"/>
      <c r="DWN53" s="4"/>
      <c r="DWO53" s="4"/>
      <c r="DWP53" s="4"/>
      <c r="DWQ53" s="4"/>
      <c r="DWR53" s="4"/>
      <c r="DWS53" s="4"/>
      <c r="DWT53" s="4"/>
      <c r="DWU53" s="4"/>
      <c r="DWV53" s="4"/>
      <c r="DWW53" s="4"/>
      <c r="DWX53" s="4"/>
      <c r="DWY53" s="4"/>
      <c r="DWZ53" s="4"/>
      <c r="DXA53" s="4"/>
      <c r="DXB53" s="4"/>
      <c r="DXC53" s="4"/>
      <c r="DXD53" s="4"/>
      <c r="DXE53" s="4"/>
      <c r="DXF53" s="4"/>
      <c r="DXG53" s="4"/>
      <c r="DXH53" s="4"/>
      <c r="DXI53" s="4"/>
      <c r="DXJ53" s="4"/>
      <c r="DXK53" s="4"/>
      <c r="DXL53" s="4"/>
      <c r="DXM53" s="4"/>
      <c r="DXN53" s="4"/>
      <c r="DXO53" s="4"/>
      <c r="DXP53" s="4"/>
      <c r="DXQ53" s="4"/>
      <c r="DXR53" s="4"/>
      <c r="DXS53" s="4"/>
      <c r="DXT53" s="4"/>
      <c r="DXU53" s="4"/>
      <c r="DXV53" s="4"/>
      <c r="DXW53" s="4"/>
      <c r="DXX53" s="4"/>
      <c r="DXY53" s="4"/>
      <c r="DXZ53" s="4"/>
      <c r="DYA53" s="4"/>
      <c r="DYB53" s="4"/>
      <c r="DYC53" s="4"/>
      <c r="DYD53" s="4"/>
      <c r="DYE53" s="4"/>
      <c r="DYF53" s="4"/>
      <c r="DYG53" s="4"/>
      <c r="DYH53" s="4"/>
      <c r="DYI53" s="4"/>
      <c r="DYJ53" s="4"/>
      <c r="DYK53" s="4"/>
      <c r="DYL53" s="4"/>
      <c r="DYM53" s="4"/>
      <c r="DYN53" s="4"/>
      <c r="DYO53" s="4"/>
      <c r="DYP53" s="4"/>
      <c r="DYQ53" s="4"/>
      <c r="DYR53" s="4"/>
      <c r="DYS53" s="4"/>
      <c r="DYT53" s="4"/>
      <c r="DYU53" s="4"/>
      <c r="DYV53" s="4"/>
      <c r="DYW53" s="4"/>
      <c r="DYX53" s="4"/>
      <c r="DYY53" s="4"/>
      <c r="DYZ53" s="4"/>
      <c r="DZA53" s="4"/>
      <c r="DZB53" s="4"/>
      <c r="DZC53" s="4"/>
      <c r="DZD53" s="4"/>
      <c r="DZE53" s="4"/>
      <c r="DZF53" s="4"/>
      <c r="DZG53" s="4"/>
      <c r="DZH53" s="4"/>
      <c r="DZI53" s="4"/>
      <c r="DZJ53" s="4"/>
      <c r="DZK53" s="4"/>
      <c r="DZL53" s="4"/>
      <c r="DZM53" s="4"/>
      <c r="DZN53" s="4"/>
      <c r="DZO53" s="4"/>
      <c r="DZP53" s="4"/>
      <c r="DZQ53" s="4"/>
      <c r="DZR53" s="4"/>
      <c r="DZS53" s="4"/>
      <c r="DZT53" s="4"/>
      <c r="DZU53" s="4"/>
      <c r="DZV53" s="4"/>
      <c r="DZW53" s="4"/>
      <c r="DZX53" s="4"/>
      <c r="DZY53" s="4"/>
      <c r="DZZ53" s="4"/>
      <c r="EAA53" s="4"/>
      <c r="EAB53" s="4"/>
      <c r="EAC53" s="4"/>
      <c r="EAD53" s="4"/>
      <c r="EAE53" s="4"/>
      <c r="EAF53" s="4"/>
      <c r="EAG53" s="4"/>
      <c r="EAH53" s="4"/>
      <c r="EAI53" s="4"/>
      <c r="EAJ53" s="4"/>
      <c r="EAK53" s="4"/>
      <c r="EAL53" s="4"/>
      <c r="EAM53" s="4"/>
      <c r="EAN53" s="4"/>
      <c r="EAO53" s="4"/>
      <c r="EAP53" s="4"/>
      <c r="EAQ53" s="4"/>
      <c r="EAR53" s="4"/>
      <c r="EAS53" s="4"/>
      <c r="EAT53" s="4"/>
      <c r="EAU53" s="4"/>
      <c r="EAV53" s="4"/>
      <c r="EAW53" s="4"/>
      <c r="EAX53" s="4"/>
      <c r="EAY53" s="4"/>
      <c r="EAZ53" s="4"/>
      <c r="EBA53" s="4"/>
      <c r="EBB53" s="4"/>
      <c r="EBC53" s="4"/>
      <c r="EBD53" s="4"/>
      <c r="EBE53" s="4"/>
      <c r="EBF53" s="4"/>
      <c r="EBG53" s="4"/>
      <c r="EBH53" s="4"/>
      <c r="EBI53" s="4"/>
      <c r="EBJ53" s="4"/>
      <c r="EBK53" s="4"/>
      <c r="EBL53" s="4"/>
      <c r="EBM53" s="4"/>
      <c r="EBN53" s="4"/>
      <c r="EBO53" s="4"/>
      <c r="EBP53" s="4"/>
      <c r="EBQ53" s="4"/>
      <c r="EBR53" s="4"/>
      <c r="EBS53" s="4"/>
      <c r="EBT53" s="4"/>
      <c r="EBU53" s="4"/>
      <c r="EBV53" s="4"/>
      <c r="EBW53" s="4"/>
      <c r="EBX53" s="4"/>
      <c r="EBY53" s="4"/>
      <c r="EBZ53" s="4"/>
      <c r="ECA53" s="4"/>
      <c r="ECB53" s="4"/>
      <c r="ECC53" s="4"/>
      <c r="ECD53" s="4"/>
      <c r="ECE53" s="4"/>
      <c r="ECF53" s="4"/>
      <c r="ECG53" s="4"/>
      <c r="ECH53" s="4"/>
      <c r="ECI53" s="4"/>
      <c r="ECJ53" s="4"/>
      <c r="ECK53" s="4"/>
      <c r="ECL53" s="4"/>
      <c r="ECM53" s="4"/>
      <c r="ECN53" s="4"/>
      <c r="ECO53" s="4"/>
      <c r="ECP53" s="4"/>
      <c r="ECQ53" s="4"/>
      <c r="ECR53" s="4"/>
      <c r="ECS53" s="4"/>
      <c r="ECT53" s="4"/>
      <c r="ECU53" s="4"/>
      <c r="ECV53" s="4"/>
      <c r="ECW53" s="4"/>
      <c r="ECX53" s="4"/>
      <c r="ECY53" s="4"/>
      <c r="ECZ53" s="4"/>
      <c r="EDA53" s="4"/>
      <c r="EDB53" s="4"/>
      <c r="EDC53" s="4"/>
      <c r="EDD53" s="4"/>
      <c r="EDE53" s="4"/>
      <c r="EDF53" s="4"/>
      <c r="EDG53" s="4"/>
      <c r="EDH53" s="4"/>
      <c r="EDI53" s="4"/>
      <c r="EDJ53" s="4"/>
      <c r="EDK53" s="4"/>
      <c r="EDL53" s="4"/>
      <c r="EDM53" s="4"/>
      <c r="EDN53" s="4"/>
      <c r="EDO53" s="4"/>
      <c r="EDP53" s="4"/>
      <c r="EDQ53" s="4"/>
      <c r="EDR53" s="4"/>
      <c r="EDS53" s="4"/>
      <c r="EDT53" s="4"/>
      <c r="EDU53" s="4"/>
      <c r="EDV53" s="4"/>
      <c r="EDW53" s="4"/>
      <c r="EDX53" s="4"/>
      <c r="EDY53" s="4"/>
      <c r="EDZ53" s="4"/>
      <c r="EEA53" s="4"/>
      <c r="EEB53" s="4"/>
      <c r="EEC53" s="4"/>
      <c r="EED53" s="4"/>
      <c r="EEE53" s="4"/>
      <c r="EEF53" s="4"/>
      <c r="EEG53" s="4"/>
      <c r="EEH53" s="4"/>
      <c r="EEI53" s="4"/>
      <c r="EEJ53" s="4"/>
      <c r="EEK53" s="4"/>
      <c r="EEL53" s="4"/>
      <c r="EEM53" s="4"/>
      <c r="EEN53" s="4"/>
      <c r="EEO53" s="4"/>
      <c r="EEP53" s="4"/>
      <c r="EEQ53" s="4"/>
      <c r="EER53" s="4"/>
      <c r="EES53" s="4"/>
      <c r="EET53" s="4"/>
      <c r="EEU53" s="4"/>
      <c r="EEV53" s="4"/>
      <c r="EEW53" s="4"/>
      <c r="EEX53" s="4"/>
      <c r="EEY53" s="4"/>
      <c r="EEZ53" s="4"/>
      <c r="EFA53" s="4"/>
      <c r="EFB53" s="4"/>
      <c r="EFC53" s="4"/>
      <c r="EFD53" s="4"/>
      <c r="EFE53" s="4"/>
      <c r="EFF53" s="4"/>
      <c r="EFG53" s="4"/>
      <c r="EFH53" s="4"/>
      <c r="EFI53" s="4"/>
      <c r="EFJ53" s="4"/>
      <c r="EFK53" s="4"/>
      <c r="EFL53" s="4"/>
      <c r="EFM53" s="4"/>
      <c r="EFN53" s="4"/>
      <c r="EFO53" s="4"/>
      <c r="EFP53" s="4"/>
      <c r="EFQ53" s="4"/>
      <c r="EFR53" s="4"/>
      <c r="EFS53" s="4"/>
      <c r="EFT53" s="4"/>
      <c r="EFU53" s="4"/>
      <c r="EFV53" s="4"/>
      <c r="EFW53" s="4"/>
      <c r="EFX53" s="4"/>
      <c r="EFY53" s="4"/>
      <c r="EFZ53" s="4"/>
      <c r="EGA53" s="4"/>
      <c r="EGB53" s="4"/>
      <c r="EGC53" s="4"/>
      <c r="EGD53" s="4"/>
      <c r="EGE53" s="4"/>
      <c r="EGF53" s="4"/>
      <c r="EGG53" s="4"/>
      <c r="EGH53" s="4"/>
      <c r="EGI53" s="4"/>
      <c r="EGJ53" s="4"/>
      <c r="EGK53" s="4"/>
      <c r="EGL53" s="4"/>
      <c r="EGM53" s="4"/>
      <c r="EGN53" s="4"/>
      <c r="EGO53" s="4"/>
      <c r="EGP53" s="4"/>
      <c r="EGQ53" s="4"/>
      <c r="EGR53" s="4"/>
      <c r="EGS53" s="4"/>
      <c r="EGT53" s="4"/>
      <c r="EGU53" s="4"/>
      <c r="EGV53" s="4"/>
      <c r="EGW53" s="4"/>
      <c r="EGX53" s="4"/>
      <c r="EGY53" s="4"/>
      <c r="EGZ53" s="4"/>
      <c r="EHA53" s="4"/>
      <c r="EHB53" s="4"/>
      <c r="EHC53" s="4"/>
      <c r="EHD53" s="4"/>
      <c r="EHE53" s="4"/>
      <c r="EHF53" s="4"/>
      <c r="EHG53" s="4"/>
      <c r="EHH53" s="4"/>
      <c r="EHI53" s="4"/>
      <c r="EHJ53" s="4"/>
      <c r="EHK53" s="4"/>
      <c r="EHL53" s="4"/>
      <c r="EHM53" s="4"/>
      <c r="EHN53" s="4"/>
      <c r="EHO53" s="4"/>
      <c r="EHP53" s="4"/>
      <c r="EHQ53" s="4"/>
      <c r="EHR53" s="4"/>
      <c r="EHS53" s="4"/>
      <c r="EHT53" s="4"/>
      <c r="EHU53" s="4"/>
      <c r="EHV53" s="4"/>
      <c r="EHW53" s="4"/>
      <c r="EHX53" s="4"/>
      <c r="EHY53" s="4"/>
      <c r="EHZ53" s="4"/>
      <c r="EIA53" s="4"/>
      <c r="EIB53" s="4"/>
      <c r="EIC53" s="4"/>
      <c r="EID53" s="4"/>
      <c r="EIE53" s="4"/>
      <c r="EIF53" s="4"/>
      <c r="EIG53" s="4"/>
      <c r="EIH53" s="4"/>
      <c r="EII53" s="4"/>
      <c r="EIJ53" s="4"/>
      <c r="EIK53" s="4"/>
      <c r="EIL53" s="4"/>
      <c r="EIM53" s="4"/>
      <c r="EIN53" s="4"/>
      <c r="EIO53" s="4"/>
      <c r="EIP53" s="4"/>
      <c r="EIQ53" s="4"/>
      <c r="EIR53" s="4"/>
      <c r="EIS53" s="4"/>
      <c r="EIT53" s="4"/>
      <c r="EIU53" s="4"/>
      <c r="EIV53" s="4"/>
      <c r="EIW53" s="4"/>
      <c r="EIX53" s="4"/>
      <c r="EIY53" s="4"/>
      <c r="EIZ53" s="4"/>
      <c r="EJA53" s="4"/>
      <c r="EJB53" s="4"/>
      <c r="EJC53" s="4"/>
      <c r="EJD53" s="4"/>
      <c r="EJE53" s="4"/>
      <c r="EJF53" s="4"/>
      <c r="EJG53" s="4"/>
      <c r="EJH53" s="4"/>
      <c r="EJI53" s="4"/>
      <c r="EJJ53" s="4"/>
      <c r="EJK53" s="4"/>
      <c r="EJL53" s="4"/>
      <c r="EJM53" s="4"/>
      <c r="EJN53" s="4"/>
      <c r="EJO53" s="4"/>
      <c r="EJP53" s="4"/>
      <c r="EJQ53" s="4"/>
      <c r="EJR53" s="4"/>
      <c r="EJS53" s="4"/>
      <c r="EJT53" s="4"/>
      <c r="EJU53" s="4"/>
      <c r="EJV53" s="4"/>
      <c r="EJW53" s="4"/>
      <c r="EJX53" s="4"/>
      <c r="EJY53" s="4"/>
      <c r="EJZ53" s="4"/>
      <c r="EKA53" s="4"/>
      <c r="EKB53" s="4"/>
      <c r="EKC53" s="4"/>
      <c r="EKD53" s="4"/>
      <c r="EKE53" s="4"/>
      <c r="EKF53" s="4"/>
      <c r="EKG53" s="4"/>
      <c r="EKH53" s="4"/>
      <c r="EKI53" s="4"/>
      <c r="EKJ53" s="4"/>
      <c r="EKK53" s="4"/>
      <c r="EKL53" s="4"/>
      <c r="EKM53" s="4"/>
      <c r="EKN53" s="4"/>
      <c r="EKO53" s="4"/>
      <c r="EKP53" s="4"/>
      <c r="EKQ53" s="4"/>
      <c r="EKR53" s="4"/>
      <c r="EKS53" s="4"/>
      <c r="EKT53" s="4"/>
      <c r="EKU53" s="4"/>
      <c r="EKV53" s="4"/>
      <c r="EKW53" s="4"/>
      <c r="EKX53" s="4"/>
      <c r="EKY53" s="4"/>
      <c r="EKZ53" s="4"/>
      <c r="ELA53" s="4"/>
      <c r="ELB53" s="4"/>
      <c r="ELC53" s="4"/>
      <c r="ELD53" s="4"/>
      <c r="ELE53" s="4"/>
      <c r="ELF53" s="4"/>
      <c r="ELG53" s="4"/>
      <c r="ELH53" s="4"/>
      <c r="ELI53" s="4"/>
      <c r="ELJ53" s="4"/>
      <c r="ELK53" s="4"/>
      <c r="ELL53" s="4"/>
      <c r="ELM53" s="4"/>
      <c r="ELN53" s="4"/>
      <c r="ELO53" s="4"/>
      <c r="ELP53" s="4"/>
      <c r="ELQ53" s="4"/>
      <c r="ELR53" s="4"/>
      <c r="ELS53" s="4"/>
      <c r="ELT53" s="4"/>
      <c r="ELU53" s="4"/>
      <c r="ELV53" s="4"/>
      <c r="ELW53" s="4"/>
      <c r="ELX53" s="4"/>
      <c r="ELY53" s="4"/>
      <c r="ELZ53" s="4"/>
      <c r="EMA53" s="4"/>
      <c r="EMB53" s="4"/>
      <c r="EMC53" s="4"/>
      <c r="EMD53" s="4"/>
      <c r="EME53" s="4"/>
      <c r="EMF53" s="4"/>
      <c r="EMG53" s="4"/>
      <c r="EMH53" s="4"/>
      <c r="EMI53" s="4"/>
      <c r="EMJ53" s="4"/>
      <c r="EMK53" s="4"/>
      <c r="EML53" s="4"/>
      <c r="EMM53" s="4"/>
      <c r="EMN53" s="4"/>
      <c r="EMO53" s="4"/>
      <c r="EMP53" s="4"/>
      <c r="EMQ53" s="4"/>
      <c r="EMR53" s="4"/>
      <c r="EMS53" s="4"/>
      <c r="EMT53" s="4"/>
      <c r="EMU53" s="4"/>
      <c r="EMV53" s="4"/>
      <c r="EMW53" s="4"/>
      <c r="EMX53" s="4"/>
      <c r="EMY53" s="4"/>
      <c r="EMZ53" s="4"/>
      <c r="ENA53" s="4"/>
      <c r="ENB53" s="4"/>
      <c r="ENC53" s="4"/>
      <c r="END53" s="4"/>
      <c r="ENE53" s="4"/>
      <c r="ENF53" s="4"/>
      <c r="ENG53" s="4"/>
      <c r="ENH53" s="4"/>
      <c r="ENI53" s="4"/>
      <c r="ENJ53" s="4"/>
      <c r="ENK53" s="4"/>
      <c r="ENL53" s="4"/>
      <c r="ENM53" s="4"/>
      <c r="ENN53" s="4"/>
      <c r="ENO53" s="4"/>
      <c r="ENP53" s="4"/>
      <c r="ENQ53" s="4"/>
      <c r="ENR53" s="4"/>
      <c r="ENS53" s="4"/>
      <c r="ENT53" s="4"/>
      <c r="ENU53" s="4"/>
      <c r="ENV53" s="4"/>
      <c r="ENW53" s="4"/>
      <c r="ENX53" s="4"/>
      <c r="ENY53" s="4"/>
      <c r="ENZ53" s="4"/>
      <c r="EOA53" s="4"/>
      <c r="EOB53" s="4"/>
      <c r="EOC53" s="4"/>
      <c r="EOD53" s="4"/>
      <c r="EOE53" s="4"/>
      <c r="EOF53" s="4"/>
      <c r="EOG53" s="4"/>
      <c r="EOH53" s="4"/>
      <c r="EOI53" s="4"/>
      <c r="EOJ53" s="4"/>
      <c r="EOK53" s="4"/>
      <c r="EOL53" s="4"/>
      <c r="EOM53" s="4"/>
      <c r="EON53" s="4"/>
      <c r="EOO53" s="4"/>
      <c r="EOP53" s="4"/>
      <c r="EOQ53" s="4"/>
      <c r="EOR53" s="4"/>
      <c r="EOS53" s="4"/>
      <c r="EOT53" s="4"/>
      <c r="EOU53" s="4"/>
      <c r="EOV53" s="4"/>
      <c r="EOW53" s="4"/>
      <c r="EOX53" s="4"/>
      <c r="EOY53" s="4"/>
      <c r="EOZ53" s="4"/>
      <c r="EPA53" s="4"/>
      <c r="EPB53" s="4"/>
      <c r="EPC53" s="4"/>
      <c r="EPD53" s="4"/>
      <c r="EPE53" s="4"/>
      <c r="EPF53" s="4"/>
      <c r="EPG53" s="4"/>
      <c r="EPH53" s="4"/>
      <c r="EPI53" s="4"/>
      <c r="EPJ53" s="4"/>
      <c r="EPK53" s="4"/>
      <c r="EPL53" s="4"/>
      <c r="EPM53" s="4"/>
      <c r="EPN53" s="4"/>
      <c r="EPO53" s="4"/>
      <c r="EPP53" s="4"/>
      <c r="EPQ53" s="4"/>
      <c r="EPR53" s="4"/>
      <c r="EPS53" s="4"/>
      <c r="EPT53" s="4"/>
      <c r="EPU53" s="4"/>
      <c r="EPV53" s="4"/>
      <c r="EPW53" s="4"/>
      <c r="EPX53" s="4"/>
      <c r="EPY53" s="4"/>
      <c r="EPZ53" s="4"/>
      <c r="EQA53" s="4"/>
      <c r="EQB53" s="4"/>
      <c r="EQC53" s="4"/>
      <c r="EQD53" s="4"/>
      <c r="EQE53" s="4"/>
      <c r="EQF53" s="4"/>
      <c r="EQG53" s="4"/>
      <c r="EQH53" s="4"/>
      <c r="EQI53" s="4"/>
      <c r="EQJ53" s="4"/>
      <c r="EQK53" s="4"/>
      <c r="EQL53" s="4"/>
      <c r="EQM53" s="4"/>
      <c r="EQN53" s="4"/>
      <c r="EQO53" s="4"/>
      <c r="EQP53" s="4"/>
      <c r="EQQ53" s="4"/>
      <c r="EQR53" s="4"/>
      <c r="EQS53" s="4"/>
      <c r="EQT53" s="4"/>
      <c r="EQU53" s="4"/>
      <c r="EQV53" s="4"/>
      <c r="EQW53" s="4"/>
      <c r="EQX53" s="4"/>
      <c r="EQY53" s="4"/>
      <c r="EQZ53" s="4"/>
      <c r="ERA53" s="4"/>
      <c r="ERB53" s="4"/>
      <c r="ERC53" s="4"/>
      <c r="ERD53" s="4"/>
      <c r="ERE53" s="4"/>
      <c r="ERF53" s="4"/>
      <c r="ERG53" s="4"/>
      <c r="ERH53" s="4"/>
      <c r="ERI53" s="4"/>
      <c r="ERJ53" s="4"/>
      <c r="ERK53" s="4"/>
      <c r="ERL53" s="4"/>
      <c r="ERM53" s="4"/>
      <c r="ERN53" s="4"/>
      <c r="ERO53" s="4"/>
      <c r="ERP53" s="4"/>
      <c r="ERQ53" s="4"/>
      <c r="ERR53" s="4"/>
      <c r="ERS53" s="4"/>
      <c r="ERT53" s="4"/>
      <c r="ERU53" s="4"/>
      <c r="ERV53" s="4"/>
      <c r="ERW53" s="4"/>
      <c r="ERX53" s="4"/>
      <c r="ERY53" s="4"/>
      <c r="ERZ53" s="4"/>
      <c r="ESA53" s="4"/>
      <c r="ESB53" s="4"/>
      <c r="ESC53" s="4"/>
      <c r="ESD53" s="4"/>
      <c r="ESE53" s="4"/>
      <c r="ESF53" s="4"/>
      <c r="ESG53" s="4"/>
      <c r="ESH53" s="4"/>
      <c r="ESI53" s="4"/>
      <c r="ESJ53" s="4"/>
      <c r="ESK53" s="4"/>
      <c r="ESL53" s="4"/>
      <c r="ESM53" s="4"/>
      <c r="ESN53" s="4"/>
      <c r="ESO53" s="4"/>
      <c r="ESP53" s="4"/>
      <c r="ESQ53" s="4"/>
      <c r="ESR53" s="4"/>
      <c r="ESS53" s="4"/>
      <c r="EST53" s="4"/>
      <c r="ESU53" s="4"/>
      <c r="ESV53" s="4"/>
      <c r="ESW53" s="4"/>
      <c r="ESX53" s="4"/>
      <c r="ESY53" s="4"/>
      <c r="ESZ53" s="4"/>
      <c r="ETA53" s="4"/>
      <c r="ETB53" s="4"/>
      <c r="ETC53" s="4"/>
      <c r="ETD53" s="4"/>
      <c r="ETE53" s="4"/>
      <c r="ETF53" s="4"/>
      <c r="ETG53" s="4"/>
      <c r="ETH53" s="4"/>
      <c r="ETI53" s="4"/>
      <c r="ETJ53" s="4"/>
      <c r="ETK53" s="4"/>
      <c r="ETL53" s="4"/>
      <c r="ETM53" s="4"/>
      <c r="ETN53" s="4"/>
      <c r="ETO53" s="4"/>
      <c r="ETP53" s="4"/>
      <c r="ETQ53" s="4"/>
      <c r="ETR53" s="4"/>
      <c r="ETS53" s="4"/>
      <c r="ETT53" s="4"/>
      <c r="ETU53" s="4"/>
      <c r="ETV53" s="4"/>
      <c r="ETW53" s="4"/>
      <c r="ETX53" s="4"/>
      <c r="ETY53" s="4"/>
      <c r="ETZ53" s="4"/>
      <c r="EUA53" s="4"/>
      <c r="EUB53" s="4"/>
      <c r="EUC53" s="4"/>
      <c r="EUD53" s="4"/>
      <c r="EUE53" s="4"/>
      <c r="EUF53" s="4"/>
      <c r="EUG53" s="4"/>
      <c r="EUH53" s="4"/>
      <c r="EUI53" s="4"/>
      <c r="EUJ53" s="4"/>
      <c r="EUK53" s="4"/>
      <c r="EUL53" s="4"/>
      <c r="EUM53" s="4"/>
      <c r="EUN53" s="4"/>
      <c r="EUO53" s="4"/>
      <c r="EUP53" s="4"/>
      <c r="EUQ53" s="4"/>
      <c r="EUR53" s="4"/>
      <c r="EUS53" s="4"/>
      <c r="EUT53" s="4"/>
      <c r="EUU53" s="4"/>
      <c r="EUV53" s="4"/>
      <c r="EUW53" s="4"/>
      <c r="EUX53" s="4"/>
      <c r="EUY53" s="4"/>
      <c r="EUZ53" s="4"/>
      <c r="EVA53" s="4"/>
      <c r="EVB53" s="4"/>
      <c r="EVC53" s="4"/>
      <c r="EVD53" s="4"/>
      <c r="EVE53" s="4"/>
      <c r="EVF53" s="4"/>
      <c r="EVG53" s="4"/>
      <c r="EVH53" s="4"/>
      <c r="EVI53" s="4"/>
      <c r="EVJ53" s="4"/>
      <c r="EVK53" s="4"/>
      <c r="EVL53" s="4"/>
      <c r="EVM53" s="4"/>
      <c r="EVN53" s="4"/>
      <c r="EVO53" s="4"/>
      <c r="EVP53" s="4"/>
      <c r="EVQ53" s="4"/>
      <c r="EVR53" s="4"/>
      <c r="EVS53" s="4"/>
      <c r="EVT53" s="4"/>
      <c r="EVU53" s="4"/>
      <c r="EVV53" s="4"/>
      <c r="EVW53" s="4"/>
      <c r="EVX53" s="4"/>
      <c r="EVY53" s="4"/>
      <c r="EVZ53" s="4"/>
      <c r="EWA53" s="4"/>
      <c r="EWB53" s="4"/>
      <c r="EWC53" s="4"/>
      <c r="EWD53" s="4"/>
      <c r="EWE53" s="4"/>
      <c r="EWF53" s="4"/>
      <c r="EWG53" s="4"/>
      <c r="EWH53" s="4"/>
      <c r="EWI53" s="4"/>
      <c r="EWJ53" s="4"/>
      <c r="EWK53" s="4"/>
      <c r="EWL53" s="4"/>
      <c r="EWM53" s="4"/>
      <c r="EWN53" s="4"/>
      <c r="EWO53" s="4"/>
      <c r="EWP53" s="4"/>
      <c r="EWQ53" s="4"/>
      <c r="EWR53" s="4"/>
      <c r="EWS53" s="4"/>
      <c r="EWT53" s="4"/>
      <c r="EWU53" s="4"/>
      <c r="EWV53" s="4"/>
      <c r="EWW53" s="4"/>
      <c r="EWX53" s="4"/>
      <c r="EWY53" s="4"/>
      <c r="EWZ53" s="4"/>
      <c r="EXA53" s="4"/>
      <c r="EXB53" s="4"/>
      <c r="EXC53" s="4"/>
      <c r="EXD53" s="4"/>
      <c r="EXE53" s="4"/>
      <c r="EXF53" s="4"/>
      <c r="EXG53" s="4"/>
      <c r="EXH53" s="4"/>
      <c r="EXI53" s="4"/>
      <c r="EXJ53" s="4"/>
      <c r="EXK53" s="4"/>
      <c r="EXL53" s="4"/>
      <c r="EXM53" s="4"/>
      <c r="EXN53" s="4"/>
      <c r="EXO53" s="4"/>
      <c r="EXP53" s="4"/>
      <c r="EXQ53" s="4"/>
      <c r="EXR53" s="4"/>
      <c r="EXS53" s="4"/>
      <c r="EXT53" s="4"/>
      <c r="EXU53" s="4"/>
      <c r="EXV53" s="4"/>
      <c r="EXW53" s="4"/>
      <c r="EXX53" s="4"/>
      <c r="EXY53" s="4"/>
      <c r="EXZ53" s="4"/>
      <c r="EYA53" s="4"/>
      <c r="EYB53" s="4"/>
      <c r="EYC53" s="4"/>
      <c r="EYD53" s="4"/>
      <c r="EYE53" s="4"/>
      <c r="EYF53" s="4"/>
      <c r="EYG53" s="4"/>
      <c r="EYH53" s="4"/>
      <c r="EYI53" s="4"/>
      <c r="EYJ53" s="4"/>
      <c r="EYK53" s="4"/>
      <c r="EYL53" s="4"/>
      <c r="EYM53" s="4"/>
      <c r="EYN53" s="4"/>
      <c r="EYO53" s="4"/>
      <c r="EYP53" s="4"/>
      <c r="EYQ53" s="4"/>
      <c r="EYR53" s="4"/>
      <c r="EYS53" s="4"/>
      <c r="EYT53" s="4"/>
      <c r="EYU53" s="4"/>
      <c r="EYV53" s="4"/>
      <c r="EYW53" s="4"/>
      <c r="EYX53" s="4"/>
      <c r="EYY53" s="4"/>
      <c r="EYZ53" s="4"/>
      <c r="EZA53" s="4"/>
      <c r="EZB53" s="4"/>
      <c r="EZC53" s="4"/>
      <c r="EZD53" s="4"/>
      <c r="EZE53" s="4"/>
      <c r="EZF53" s="4"/>
      <c r="EZG53" s="4"/>
      <c r="EZH53" s="4"/>
      <c r="EZI53" s="4"/>
      <c r="EZJ53" s="4"/>
      <c r="EZK53" s="4"/>
      <c r="EZL53" s="4"/>
      <c r="EZM53" s="4"/>
      <c r="EZN53" s="4"/>
      <c r="EZO53" s="4"/>
      <c r="EZP53" s="4"/>
      <c r="EZQ53" s="4"/>
      <c r="EZR53" s="4"/>
      <c r="EZS53" s="4"/>
      <c r="EZT53" s="4"/>
      <c r="EZU53" s="4"/>
      <c r="EZV53" s="4"/>
      <c r="EZW53" s="4"/>
      <c r="EZX53" s="4"/>
      <c r="EZY53" s="4"/>
      <c r="EZZ53" s="4"/>
      <c r="FAA53" s="4"/>
      <c r="FAB53" s="4"/>
      <c r="FAC53" s="4"/>
      <c r="FAD53" s="4"/>
      <c r="FAE53" s="4"/>
      <c r="FAF53" s="4"/>
      <c r="FAG53" s="4"/>
      <c r="FAH53" s="4"/>
      <c r="FAI53" s="4"/>
      <c r="FAJ53" s="4"/>
      <c r="FAK53" s="4"/>
      <c r="FAL53" s="4"/>
      <c r="FAM53" s="4"/>
      <c r="FAN53" s="4"/>
      <c r="FAO53" s="4"/>
      <c r="FAP53" s="4"/>
      <c r="FAQ53" s="4"/>
      <c r="FAR53" s="4"/>
      <c r="FAS53" s="4"/>
      <c r="FAT53" s="4"/>
      <c r="FAU53" s="4"/>
      <c r="FAV53" s="4"/>
      <c r="FAW53" s="4"/>
      <c r="FAX53" s="4"/>
      <c r="FAY53" s="4"/>
      <c r="FAZ53" s="4"/>
      <c r="FBA53" s="4"/>
      <c r="FBB53" s="4"/>
      <c r="FBC53" s="4"/>
      <c r="FBD53" s="4"/>
      <c r="FBE53" s="4"/>
      <c r="FBF53" s="4"/>
      <c r="FBG53" s="4"/>
      <c r="FBH53" s="4"/>
      <c r="FBI53" s="4"/>
      <c r="FBJ53" s="4"/>
      <c r="FBK53" s="4"/>
      <c r="FBL53" s="4"/>
      <c r="FBM53" s="4"/>
      <c r="FBN53" s="4"/>
      <c r="FBO53" s="4"/>
      <c r="FBP53" s="4"/>
      <c r="FBQ53" s="4"/>
      <c r="FBR53" s="4"/>
      <c r="FBS53" s="4"/>
      <c r="FBT53" s="4"/>
      <c r="FBU53" s="4"/>
      <c r="FBV53" s="4"/>
      <c r="FBW53" s="4"/>
      <c r="FBX53" s="4"/>
      <c r="FBY53" s="4"/>
      <c r="FBZ53" s="4"/>
      <c r="FCA53" s="4"/>
      <c r="FCB53" s="4"/>
      <c r="FCC53" s="4"/>
      <c r="FCD53" s="4"/>
      <c r="FCE53" s="4"/>
      <c r="FCF53" s="4"/>
      <c r="FCG53" s="4"/>
      <c r="FCH53" s="4"/>
      <c r="FCI53" s="4"/>
      <c r="FCJ53" s="4"/>
      <c r="FCK53" s="4"/>
      <c r="FCL53" s="4"/>
      <c r="FCM53" s="4"/>
      <c r="FCN53" s="4"/>
      <c r="FCO53" s="4"/>
      <c r="FCP53" s="4"/>
      <c r="FCQ53" s="4"/>
      <c r="FCR53" s="4"/>
      <c r="FCS53" s="4"/>
      <c r="FCT53" s="4"/>
      <c r="FCU53" s="4"/>
      <c r="FCV53" s="4"/>
      <c r="FCW53" s="4"/>
      <c r="FCX53" s="4"/>
      <c r="FCY53" s="4"/>
      <c r="FCZ53" s="4"/>
      <c r="FDA53" s="4"/>
      <c r="FDB53" s="4"/>
      <c r="FDC53" s="4"/>
      <c r="FDD53" s="4"/>
      <c r="FDE53" s="4"/>
      <c r="FDF53" s="4"/>
      <c r="FDG53" s="4"/>
      <c r="FDH53" s="4"/>
      <c r="FDI53" s="4"/>
      <c r="FDJ53" s="4"/>
      <c r="FDK53" s="4"/>
      <c r="FDL53" s="4"/>
      <c r="FDM53" s="4"/>
      <c r="FDN53" s="4"/>
      <c r="FDO53" s="4"/>
      <c r="FDP53" s="4"/>
      <c r="FDQ53" s="4"/>
      <c r="FDR53" s="4"/>
      <c r="FDS53" s="4"/>
      <c r="FDT53" s="4"/>
      <c r="FDU53" s="4"/>
      <c r="FDV53" s="4"/>
      <c r="FDW53" s="4"/>
      <c r="FDX53" s="4"/>
      <c r="FDY53" s="4"/>
      <c r="FDZ53" s="4"/>
      <c r="FEA53" s="4"/>
      <c r="FEB53" s="4"/>
      <c r="FEC53" s="4"/>
      <c r="FED53" s="4"/>
      <c r="FEE53" s="4"/>
      <c r="FEF53" s="4"/>
      <c r="FEG53" s="4"/>
      <c r="FEH53" s="4"/>
      <c r="FEI53" s="4"/>
      <c r="FEJ53" s="4"/>
      <c r="FEK53" s="4"/>
      <c r="FEL53" s="4"/>
      <c r="FEM53" s="4"/>
      <c r="FEN53" s="4"/>
      <c r="FEO53" s="4"/>
      <c r="FEP53" s="4"/>
      <c r="FEQ53" s="4"/>
      <c r="FER53" s="4"/>
      <c r="FES53" s="4"/>
      <c r="FET53" s="4"/>
      <c r="FEU53" s="4"/>
      <c r="FEV53" s="4"/>
      <c r="FEW53" s="4"/>
      <c r="FEX53" s="4"/>
      <c r="FEY53" s="4"/>
      <c r="FEZ53" s="4"/>
      <c r="FFA53" s="4"/>
      <c r="FFB53" s="4"/>
      <c r="FFC53" s="4"/>
      <c r="FFD53" s="4"/>
      <c r="FFE53" s="4"/>
      <c r="FFF53" s="4"/>
      <c r="FFG53" s="4"/>
      <c r="FFH53" s="4"/>
      <c r="FFI53" s="4"/>
      <c r="FFJ53" s="4"/>
      <c r="FFK53" s="4"/>
      <c r="FFL53" s="4"/>
      <c r="FFM53" s="4"/>
      <c r="FFN53" s="4"/>
      <c r="FFO53" s="4"/>
      <c r="FFP53" s="4"/>
      <c r="FFQ53" s="4"/>
      <c r="FFR53" s="4"/>
      <c r="FFS53" s="4"/>
      <c r="FFT53" s="4"/>
      <c r="FFU53" s="4"/>
      <c r="FFV53" s="4"/>
      <c r="FFW53" s="4"/>
      <c r="FFX53" s="4"/>
      <c r="FFY53" s="4"/>
      <c r="FFZ53" s="4"/>
      <c r="FGA53" s="4"/>
      <c r="FGB53" s="4"/>
      <c r="FGC53" s="4"/>
      <c r="FGD53" s="4"/>
      <c r="FGE53" s="4"/>
      <c r="FGF53" s="4"/>
      <c r="FGG53" s="4"/>
      <c r="FGH53" s="4"/>
      <c r="FGI53" s="4"/>
      <c r="FGJ53" s="4"/>
      <c r="FGK53" s="4"/>
      <c r="FGL53" s="4"/>
      <c r="FGM53" s="4"/>
      <c r="FGN53" s="4"/>
      <c r="FGO53" s="4"/>
      <c r="FGP53" s="4"/>
      <c r="FGQ53" s="4"/>
      <c r="FGR53" s="4"/>
      <c r="FGS53" s="4"/>
      <c r="FGT53" s="4"/>
      <c r="FGU53" s="4"/>
      <c r="FGV53" s="4"/>
      <c r="FGW53" s="4"/>
      <c r="FGX53" s="4"/>
      <c r="FGY53" s="4"/>
      <c r="FGZ53" s="4"/>
      <c r="FHA53" s="4"/>
      <c r="FHB53" s="4"/>
      <c r="FHC53" s="4"/>
      <c r="FHD53" s="4"/>
      <c r="FHE53" s="4"/>
      <c r="FHF53" s="4"/>
      <c r="FHG53" s="4"/>
      <c r="FHH53" s="4"/>
      <c r="FHI53" s="4"/>
      <c r="FHJ53" s="4"/>
      <c r="FHK53" s="4"/>
      <c r="FHL53" s="4"/>
      <c r="FHM53" s="4"/>
      <c r="FHN53" s="4"/>
      <c r="FHO53" s="4"/>
      <c r="FHP53" s="4"/>
      <c r="FHQ53" s="4"/>
      <c r="FHR53" s="4"/>
      <c r="FHS53" s="4"/>
      <c r="FHT53" s="4"/>
      <c r="FHU53" s="4"/>
      <c r="FHV53" s="4"/>
      <c r="FHW53" s="4"/>
      <c r="FHX53" s="4"/>
      <c r="FHY53" s="4"/>
      <c r="FHZ53" s="4"/>
      <c r="FIA53" s="4"/>
      <c r="FIB53" s="4"/>
      <c r="FIC53" s="4"/>
      <c r="FID53" s="4"/>
      <c r="FIE53" s="4"/>
      <c r="FIF53" s="4"/>
      <c r="FIG53" s="4"/>
      <c r="FIH53" s="4"/>
      <c r="FII53" s="4"/>
      <c r="FIJ53" s="4"/>
      <c r="FIK53" s="4"/>
      <c r="FIL53" s="4"/>
      <c r="FIM53" s="4"/>
      <c r="FIN53" s="4"/>
      <c r="FIO53" s="4"/>
      <c r="FIP53" s="4"/>
      <c r="FIQ53" s="4"/>
      <c r="FIR53" s="4"/>
      <c r="FIS53" s="4"/>
      <c r="FIT53" s="4"/>
      <c r="FIU53" s="4"/>
      <c r="FIV53" s="4"/>
      <c r="FIW53" s="4"/>
      <c r="FIX53" s="4"/>
      <c r="FIY53" s="4"/>
      <c r="FIZ53" s="4"/>
      <c r="FJA53" s="4"/>
      <c r="FJB53" s="4"/>
      <c r="FJC53" s="4"/>
      <c r="FJD53" s="4"/>
      <c r="FJE53" s="4"/>
      <c r="FJF53" s="4"/>
      <c r="FJG53" s="4"/>
      <c r="FJH53" s="4"/>
      <c r="FJI53" s="4"/>
      <c r="FJJ53" s="4"/>
      <c r="FJK53" s="4"/>
      <c r="FJL53" s="4"/>
      <c r="FJM53" s="4"/>
      <c r="FJN53" s="4"/>
      <c r="FJO53" s="4"/>
      <c r="FJP53" s="4"/>
      <c r="FJQ53" s="4"/>
      <c r="FJR53" s="4"/>
      <c r="FJS53" s="4"/>
      <c r="FJT53" s="4"/>
      <c r="FJU53" s="4"/>
      <c r="FJV53" s="4"/>
      <c r="FJW53" s="4"/>
      <c r="FJX53" s="4"/>
      <c r="FJY53" s="4"/>
      <c r="FJZ53" s="4"/>
      <c r="FKA53" s="4"/>
      <c r="FKB53" s="4"/>
      <c r="FKC53" s="4"/>
      <c r="FKD53" s="4"/>
      <c r="FKE53" s="4"/>
      <c r="FKF53" s="4"/>
      <c r="FKG53" s="4"/>
      <c r="FKH53" s="4"/>
      <c r="FKI53" s="4"/>
      <c r="FKJ53" s="4"/>
      <c r="FKK53" s="4"/>
      <c r="FKL53" s="4"/>
      <c r="FKM53" s="4"/>
      <c r="FKN53" s="4"/>
      <c r="FKO53" s="4"/>
      <c r="FKP53" s="4"/>
      <c r="FKQ53" s="4"/>
      <c r="FKR53" s="4"/>
      <c r="FKS53" s="4"/>
      <c r="FKT53" s="4"/>
      <c r="FKU53" s="4"/>
      <c r="FKV53" s="4"/>
      <c r="FKW53" s="4"/>
      <c r="FKX53" s="4"/>
      <c r="FKY53" s="4"/>
      <c r="FKZ53" s="4"/>
      <c r="FLA53" s="4"/>
      <c r="FLB53" s="4"/>
      <c r="FLC53" s="4"/>
      <c r="FLD53" s="4"/>
      <c r="FLE53" s="4"/>
      <c r="FLF53" s="4"/>
      <c r="FLG53" s="4"/>
      <c r="FLH53" s="4"/>
      <c r="FLI53" s="4"/>
      <c r="FLJ53" s="4"/>
      <c r="FLK53" s="4"/>
      <c r="FLL53" s="4"/>
      <c r="FLM53" s="4"/>
      <c r="FLN53" s="4"/>
      <c r="FLO53" s="4"/>
      <c r="FLP53" s="4"/>
      <c r="FLQ53" s="4"/>
      <c r="FLR53" s="4"/>
      <c r="FLS53" s="4"/>
      <c r="FLT53" s="4"/>
      <c r="FLU53" s="4"/>
      <c r="FLV53" s="4"/>
      <c r="FLW53" s="4"/>
      <c r="FLX53" s="4"/>
      <c r="FLY53" s="4"/>
      <c r="FLZ53" s="4"/>
      <c r="FMA53" s="4"/>
      <c r="FMB53" s="4"/>
      <c r="FMC53" s="4"/>
      <c r="FMD53" s="4"/>
      <c r="FME53" s="4"/>
      <c r="FMF53" s="4"/>
      <c r="FMG53" s="4"/>
      <c r="FMH53" s="4"/>
      <c r="FMI53" s="4"/>
      <c r="FMJ53" s="4"/>
      <c r="FMK53" s="4"/>
      <c r="FML53" s="4"/>
      <c r="FMM53" s="4"/>
      <c r="FMN53" s="4"/>
      <c r="FMO53" s="4"/>
      <c r="FMP53" s="4"/>
      <c r="FMQ53" s="4"/>
      <c r="FMR53" s="4"/>
      <c r="FMS53" s="4"/>
      <c r="FMT53" s="4"/>
      <c r="FMU53" s="4"/>
      <c r="FMV53" s="4"/>
      <c r="FMW53" s="4"/>
      <c r="FMX53" s="4"/>
      <c r="FMY53" s="4"/>
      <c r="FMZ53" s="4"/>
      <c r="FNA53" s="4"/>
      <c r="FNB53" s="4"/>
      <c r="FNC53" s="4"/>
      <c r="FND53" s="4"/>
      <c r="FNE53" s="4"/>
      <c r="FNF53" s="4"/>
      <c r="FNG53" s="4"/>
      <c r="FNH53" s="4"/>
      <c r="FNI53" s="4"/>
      <c r="FNJ53" s="4"/>
      <c r="FNK53" s="4"/>
      <c r="FNL53" s="4"/>
      <c r="FNM53" s="4"/>
      <c r="FNN53" s="4"/>
      <c r="FNO53" s="4"/>
      <c r="FNP53" s="4"/>
      <c r="FNQ53" s="4"/>
      <c r="FNR53" s="4"/>
      <c r="FNS53" s="4"/>
      <c r="FNT53" s="4"/>
      <c r="FNU53" s="4"/>
      <c r="FNV53" s="4"/>
      <c r="FNW53" s="4"/>
      <c r="FNX53" s="4"/>
      <c r="FNY53" s="4"/>
      <c r="FNZ53" s="4"/>
      <c r="FOA53" s="4"/>
      <c r="FOB53" s="4"/>
      <c r="FOC53" s="4"/>
      <c r="FOD53" s="4"/>
      <c r="FOE53" s="4"/>
      <c r="FOF53" s="4"/>
      <c r="FOG53" s="4"/>
      <c r="FOH53" s="4"/>
      <c r="FOI53" s="4"/>
      <c r="FOJ53" s="4"/>
      <c r="FOK53" s="4"/>
      <c r="FOL53" s="4"/>
      <c r="FOM53" s="4"/>
      <c r="FON53" s="4"/>
      <c r="FOO53" s="4"/>
      <c r="FOP53" s="4"/>
      <c r="FOQ53" s="4"/>
      <c r="FOR53" s="4"/>
      <c r="FOS53" s="4"/>
      <c r="FOT53" s="4"/>
      <c r="FOU53" s="4"/>
      <c r="FOV53" s="4"/>
      <c r="FOW53" s="4"/>
      <c r="FOX53" s="4"/>
      <c r="FOY53" s="4"/>
      <c r="FOZ53" s="4"/>
      <c r="FPA53" s="4"/>
      <c r="FPB53" s="4"/>
      <c r="FPC53" s="4"/>
      <c r="FPD53" s="4"/>
      <c r="FPE53" s="4"/>
      <c r="FPF53" s="4"/>
      <c r="FPG53" s="4"/>
      <c r="FPH53" s="4"/>
      <c r="FPI53" s="4"/>
      <c r="FPJ53" s="4"/>
      <c r="FPK53" s="4"/>
      <c r="FPL53" s="4"/>
      <c r="FPM53" s="4"/>
      <c r="FPN53" s="4"/>
      <c r="FPO53" s="4"/>
      <c r="FPP53" s="4"/>
      <c r="FPQ53" s="4"/>
      <c r="FPR53" s="4"/>
      <c r="FPS53" s="4"/>
      <c r="FPT53" s="4"/>
      <c r="FPU53" s="4"/>
      <c r="FPV53" s="4"/>
      <c r="FPW53" s="4"/>
      <c r="FPX53" s="4"/>
      <c r="FPY53" s="4"/>
      <c r="FPZ53" s="4"/>
      <c r="FQA53" s="4"/>
      <c r="FQB53" s="4"/>
      <c r="FQC53" s="4"/>
      <c r="FQD53" s="4"/>
      <c r="FQE53" s="4"/>
      <c r="FQF53" s="4"/>
      <c r="FQG53" s="4"/>
      <c r="FQH53" s="4"/>
      <c r="FQI53" s="4"/>
      <c r="FQJ53" s="4"/>
      <c r="FQK53" s="4"/>
      <c r="FQL53" s="4"/>
      <c r="FQM53" s="4"/>
      <c r="FQN53" s="4"/>
      <c r="FQO53" s="4"/>
      <c r="FQP53" s="4"/>
      <c r="FQQ53" s="4"/>
      <c r="FQR53" s="4"/>
      <c r="FQS53" s="4"/>
      <c r="FQT53" s="4"/>
      <c r="FQU53" s="4"/>
      <c r="FQV53" s="4"/>
      <c r="FQW53" s="4"/>
      <c r="FQX53" s="4"/>
      <c r="FQY53" s="4"/>
      <c r="FQZ53" s="4"/>
      <c r="FRA53" s="4"/>
      <c r="FRB53" s="4"/>
      <c r="FRC53" s="4"/>
      <c r="FRD53" s="4"/>
      <c r="FRE53" s="4"/>
      <c r="FRF53" s="4"/>
      <c r="FRG53" s="4"/>
      <c r="FRH53" s="4"/>
      <c r="FRI53" s="4"/>
      <c r="FRJ53" s="4"/>
      <c r="FRK53" s="4"/>
      <c r="FRL53" s="4"/>
      <c r="FRM53" s="4"/>
      <c r="FRN53" s="4"/>
      <c r="FRO53" s="4"/>
      <c r="FRP53" s="4"/>
      <c r="FRQ53" s="4"/>
      <c r="FRR53" s="4"/>
      <c r="FRS53" s="4"/>
      <c r="FRT53" s="4"/>
      <c r="FRU53" s="4"/>
      <c r="FRV53" s="4"/>
      <c r="FRW53" s="4"/>
      <c r="FRX53" s="4"/>
      <c r="FRY53" s="4"/>
      <c r="FRZ53" s="4"/>
      <c r="FSA53" s="4"/>
      <c r="FSB53" s="4"/>
      <c r="FSC53" s="4"/>
      <c r="FSD53" s="4"/>
      <c r="FSE53" s="4"/>
      <c r="FSF53" s="4"/>
      <c r="FSG53" s="4"/>
      <c r="FSH53" s="4"/>
      <c r="FSI53" s="4"/>
      <c r="FSJ53" s="4"/>
      <c r="FSK53" s="4"/>
      <c r="FSL53" s="4"/>
      <c r="FSM53" s="4"/>
      <c r="FSN53" s="4"/>
      <c r="FSO53" s="4"/>
      <c r="FSP53" s="4"/>
      <c r="FSQ53" s="4"/>
      <c r="FSR53" s="4"/>
      <c r="FSS53" s="4"/>
      <c r="FST53" s="4"/>
      <c r="FSU53" s="4"/>
      <c r="FSV53" s="4"/>
      <c r="FSW53" s="4"/>
      <c r="FSX53" s="4"/>
      <c r="FSY53" s="4"/>
      <c r="FSZ53" s="4"/>
      <c r="FTA53" s="4"/>
      <c r="FTB53" s="4"/>
      <c r="FTC53" s="4"/>
      <c r="FTD53" s="4"/>
      <c r="FTE53" s="4"/>
      <c r="FTF53" s="4"/>
      <c r="FTG53" s="4"/>
      <c r="FTH53" s="4"/>
      <c r="FTI53" s="4"/>
      <c r="FTJ53" s="4"/>
      <c r="FTK53" s="4"/>
      <c r="FTL53" s="4"/>
      <c r="FTM53" s="4"/>
      <c r="FTN53" s="4"/>
      <c r="FTO53" s="4"/>
      <c r="FTP53" s="4"/>
      <c r="FTQ53" s="4"/>
      <c r="FTR53" s="4"/>
      <c r="FTS53" s="4"/>
      <c r="FTT53" s="4"/>
      <c r="FTU53" s="4"/>
      <c r="FTV53" s="4"/>
      <c r="FTW53" s="4"/>
      <c r="FTX53" s="4"/>
      <c r="FTY53" s="4"/>
      <c r="FTZ53" s="4"/>
      <c r="FUA53" s="4"/>
      <c r="FUB53" s="4"/>
      <c r="FUC53" s="4"/>
      <c r="FUD53" s="4"/>
      <c r="FUE53" s="4"/>
      <c r="FUF53" s="4"/>
      <c r="FUG53" s="4"/>
      <c r="FUH53" s="4"/>
      <c r="FUI53" s="4"/>
      <c r="FUJ53" s="4"/>
      <c r="FUK53" s="4"/>
      <c r="FUL53" s="4"/>
      <c r="FUM53" s="4"/>
      <c r="FUN53" s="4"/>
      <c r="FUO53" s="4"/>
      <c r="FUP53" s="4"/>
      <c r="FUQ53" s="4"/>
      <c r="FUR53" s="4"/>
      <c r="FUS53" s="4"/>
      <c r="FUT53" s="4"/>
      <c r="FUU53" s="4"/>
      <c r="FUV53" s="4"/>
      <c r="FUW53" s="4"/>
      <c r="FUX53" s="4"/>
      <c r="FUY53" s="4"/>
      <c r="FUZ53" s="4"/>
      <c r="FVA53" s="4"/>
      <c r="FVB53" s="4"/>
      <c r="FVC53" s="4"/>
      <c r="FVD53" s="4"/>
      <c r="FVE53" s="4"/>
      <c r="FVF53" s="4"/>
      <c r="FVG53" s="4"/>
      <c r="FVH53" s="4"/>
      <c r="FVI53" s="4"/>
      <c r="FVJ53" s="4"/>
      <c r="FVK53" s="4"/>
      <c r="FVL53" s="4"/>
      <c r="FVM53" s="4"/>
      <c r="FVN53" s="4"/>
      <c r="FVO53" s="4"/>
      <c r="FVP53" s="4"/>
      <c r="FVQ53" s="4"/>
      <c r="FVR53" s="4"/>
      <c r="FVS53" s="4"/>
      <c r="FVT53" s="4"/>
      <c r="FVU53" s="4"/>
      <c r="FVV53" s="4"/>
      <c r="FVW53" s="4"/>
      <c r="FVX53" s="4"/>
      <c r="FVY53" s="4"/>
      <c r="FVZ53" s="4"/>
      <c r="FWA53" s="4"/>
      <c r="FWB53" s="4"/>
      <c r="FWC53" s="4"/>
      <c r="FWD53" s="4"/>
      <c r="FWE53" s="4"/>
      <c r="FWF53" s="4"/>
      <c r="FWG53" s="4"/>
      <c r="FWH53" s="4"/>
      <c r="FWI53" s="4"/>
      <c r="FWJ53" s="4"/>
      <c r="FWK53" s="4"/>
      <c r="FWL53" s="4"/>
      <c r="FWM53" s="4"/>
      <c r="FWN53" s="4"/>
      <c r="FWO53" s="4"/>
      <c r="FWP53" s="4"/>
      <c r="FWQ53" s="4"/>
      <c r="FWR53" s="4"/>
      <c r="FWS53" s="4"/>
      <c r="FWT53" s="4"/>
      <c r="FWU53" s="4"/>
      <c r="FWV53" s="4"/>
      <c r="FWW53" s="4"/>
      <c r="FWX53" s="4"/>
      <c r="FWY53" s="4"/>
      <c r="FWZ53" s="4"/>
      <c r="FXA53" s="4"/>
      <c r="FXB53" s="4"/>
      <c r="FXC53" s="4"/>
      <c r="FXD53" s="4"/>
      <c r="FXE53" s="4"/>
      <c r="FXF53" s="4"/>
      <c r="FXG53" s="4"/>
      <c r="FXH53" s="4"/>
      <c r="FXI53" s="4"/>
      <c r="FXJ53" s="4"/>
      <c r="FXK53" s="4"/>
      <c r="FXL53" s="4"/>
      <c r="FXM53" s="4"/>
      <c r="FXN53" s="4"/>
      <c r="FXO53" s="4"/>
      <c r="FXP53" s="4"/>
      <c r="FXQ53" s="4"/>
      <c r="FXR53" s="4"/>
      <c r="FXS53" s="4"/>
      <c r="FXT53" s="4"/>
      <c r="FXU53" s="4"/>
      <c r="FXV53" s="4"/>
      <c r="FXW53" s="4"/>
      <c r="FXX53" s="4"/>
      <c r="FXY53" s="4"/>
      <c r="FXZ53" s="4"/>
      <c r="FYA53" s="4"/>
      <c r="FYB53" s="4"/>
      <c r="FYC53" s="4"/>
      <c r="FYD53" s="4"/>
      <c r="FYE53" s="4"/>
      <c r="FYF53" s="4"/>
      <c r="FYG53" s="4"/>
      <c r="FYH53" s="4"/>
      <c r="FYI53" s="4"/>
      <c r="FYJ53" s="4"/>
      <c r="FYK53" s="4"/>
      <c r="FYL53" s="4"/>
      <c r="FYM53" s="4"/>
      <c r="FYN53" s="4"/>
      <c r="FYO53" s="4"/>
      <c r="FYP53" s="4"/>
      <c r="FYQ53" s="4"/>
      <c r="FYR53" s="4"/>
      <c r="FYS53" s="4"/>
      <c r="FYT53" s="4"/>
      <c r="FYU53" s="4"/>
      <c r="FYV53" s="4"/>
      <c r="FYW53" s="4"/>
      <c r="FYX53" s="4"/>
      <c r="FYY53" s="4"/>
      <c r="FYZ53" s="4"/>
      <c r="FZA53" s="4"/>
      <c r="FZB53" s="4"/>
      <c r="FZC53" s="4"/>
      <c r="FZD53" s="4"/>
      <c r="FZE53" s="4"/>
      <c r="FZF53" s="4"/>
      <c r="FZG53" s="4"/>
      <c r="FZH53" s="4"/>
      <c r="FZI53" s="4"/>
      <c r="FZJ53" s="4"/>
      <c r="FZK53" s="4"/>
      <c r="FZL53" s="4"/>
      <c r="FZM53" s="4"/>
      <c r="FZN53" s="4"/>
      <c r="FZO53" s="4"/>
      <c r="FZP53" s="4"/>
      <c r="FZQ53" s="4"/>
      <c r="FZR53" s="4"/>
      <c r="FZS53" s="4"/>
      <c r="FZT53" s="4"/>
      <c r="FZU53" s="4"/>
      <c r="FZV53" s="4"/>
      <c r="FZW53" s="4"/>
      <c r="FZX53" s="4"/>
      <c r="FZY53" s="4"/>
      <c r="FZZ53" s="4"/>
      <c r="GAA53" s="4"/>
      <c r="GAB53" s="4"/>
      <c r="GAC53" s="4"/>
      <c r="GAD53" s="4"/>
      <c r="GAE53" s="4"/>
      <c r="GAF53" s="4"/>
      <c r="GAG53" s="4"/>
      <c r="GAH53" s="4"/>
      <c r="GAI53" s="4"/>
      <c r="GAJ53" s="4"/>
      <c r="GAK53" s="4"/>
      <c r="GAL53" s="4"/>
      <c r="GAM53" s="4"/>
      <c r="GAN53" s="4"/>
      <c r="GAO53" s="4"/>
      <c r="GAP53" s="4"/>
      <c r="GAQ53" s="4"/>
      <c r="GAR53" s="4"/>
      <c r="GAS53" s="4"/>
      <c r="GAT53" s="4"/>
      <c r="GAU53" s="4"/>
      <c r="GAV53" s="4"/>
      <c r="GAW53" s="4"/>
      <c r="GAX53" s="4"/>
      <c r="GAY53" s="4"/>
      <c r="GAZ53" s="4"/>
      <c r="GBA53" s="4"/>
      <c r="GBB53" s="4"/>
      <c r="GBC53" s="4"/>
      <c r="GBD53" s="4"/>
      <c r="GBE53" s="4"/>
      <c r="GBF53" s="4"/>
      <c r="GBG53" s="4"/>
      <c r="GBH53" s="4"/>
      <c r="GBI53" s="4"/>
      <c r="GBJ53" s="4"/>
      <c r="GBK53" s="4"/>
      <c r="GBL53" s="4"/>
      <c r="GBM53" s="4"/>
      <c r="GBN53" s="4"/>
      <c r="GBO53" s="4"/>
      <c r="GBP53" s="4"/>
      <c r="GBQ53" s="4"/>
      <c r="GBR53" s="4"/>
      <c r="GBS53" s="4"/>
      <c r="GBT53" s="4"/>
      <c r="GBU53" s="4"/>
      <c r="GBV53" s="4"/>
      <c r="GBW53" s="4"/>
      <c r="GBX53" s="4"/>
      <c r="GBY53" s="4"/>
      <c r="GBZ53" s="4"/>
      <c r="GCA53" s="4"/>
      <c r="GCB53" s="4"/>
      <c r="GCC53" s="4"/>
      <c r="GCD53" s="4"/>
      <c r="GCE53" s="4"/>
      <c r="GCF53" s="4"/>
      <c r="GCG53" s="4"/>
      <c r="GCH53" s="4"/>
      <c r="GCI53" s="4"/>
      <c r="GCJ53" s="4"/>
      <c r="GCK53" s="4"/>
      <c r="GCL53" s="4"/>
      <c r="GCM53" s="4"/>
      <c r="GCN53" s="4"/>
      <c r="GCO53" s="4"/>
      <c r="GCP53" s="4"/>
      <c r="GCQ53" s="4"/>
      <c r="GCR53" s="4"/>
      <c r="GCS53" s="4"/>
      <c r="GCT53" s="4"/>
      <c r="GCU53" s="4"/>
      <c r="GCV53" s="4"/>
      <c r="GCW53" s="4"/>
      <c r="GCX53" s="4"/>
      <c r="GCY53" s="4"/>
      <c r="GCZ53" s="4"/>
      <c r="GDA53" s="4"/>
      <c r="GDB53" s="4"/>
      <c r="GDC53" s="4"/>
      <c r="GDD53" s="4"/>
      <c r="GDE53" s="4"/>
      <c r="GDF53" s="4"/>
      <c r="GDG53" s="4"/>
      <c r="GDH53" s="4"/>
      <c r="GDI53" s="4"/>
      <c r="GDJ53" s="4"/>
      <c r="GDK53" s="4"/>
      <c r="GDL53" s="4"/>
      <c r="GDM53" s="4"/>
      <c r="GDN53" s="4"/>
      <c r="GDO53" s="4"/>
      <c r="GDP53" s="4"/>
      <c r="GDQ53" s="4"/>
      <c r="GDR53" s="4"/>
      <c r="GDS53" s="4"/>
      <c r="GDT53" s="4"/>
      <c r="GDU53" s="4"/>
      <c r="GDV53" s="4"/>
      <c r="GDW53" s="4"/>
      <c r="GDX53" s="4"/>
      <c r="GDY53" s="4"/>
      <c r="GDZ53" s="4"/>
      <c r="GEA53" s="4"/>
      <c r="GEB53" s="4"/>
      <c r="GEC53" s="4"/>
      <c r="GED53" s="4"/>
      <c r="GEE53" s="4"/>
      <c r="GEF53" s="4"/>
      <c r="GEG53" s="4"/>
      <c r="GEH53" s="4"/>
      <c r="GEI53" s="4"/>
      <c r="GEJ53" s="4"/>
      <c r="GEK53" s="4"/>
      <c r="GEL53" s="4"/>
      <c r="GEM53" s="4"/>
      <c r="GEN53" s="4"/>
      <c r="GEO53" s="4"/>
      <c r="GEP53" s="4"/>
      <c r="GEQ53" s="4"/>
      <c r="GER53" s="4"/>
      <c r="GES53" s="4"/>
      <c r="GET53" s="4"/>
      <c r="GEU53" s="4"/>
      <c r="GEV53" s="4"/>
      <c r="GEW53" s="4"/>
      <c r="GEX53" s="4"/>
      <c r="GEY53" s="4"/>
      <c r="GEZ53" s="4"/>
      <c r="GFA53" s="4"/>
      <c r="GFB53" s="4"/>
      <c r="GFC53" s="4"/>
      <c r="GFD53" s="4"/>
      <c r="GFE53" s="4"/>
      <c r="GFF53" s="4"/>
      <c r="GFG53" s="4"/>
      <c r="GFH53" s="4"/>
      <c r="GFI53" s="4"/>
      <c r="GFJ53" s="4"/>
      <c r="GFK53" s="4"/>
      <c r="GFL53" s="4"/>
      <c r="GFM53" s="4"/>
      <c r="GFN53" s="4"/>
      <c r="GFO53" s="4"/>
      <c r="GFP53" s="4"/>
      <c r="GFQ53" s="4"/>
      <c r="GFR53" s="4"/>
      <c r="GFS53" s="4"/>
      <c r="GFT53" s="4"/>
      <c r="GFU53" s="4"/>
      <c r="GFV53" s="4"/>
      <c r="GFW53" s="4"/>
      <c r="GFX53" s="4"/>
      <c r="GFY53" s="4"/>
      <c r="GFZ53" s="4"/>
      <c r="GGA53" s="4"/>
      <c r="GGB53" s="4"/>
      <c r="GGC53" s="4"/>
      <c r="GGD53" s="4"/>
      <c r="GGE53" s="4"/>
      <c r="GGF53" s="4"/>
      <c r="GGG53" s="4"/>
      <c r="GGH53" s="4"/>
      <c r="GGI53" s="4"/>
      <c r="GGJ53" s="4"/>
      <c r="GGK53" s="4"/>
      <c r="GGL53" s="4"/>
      <c r="GGM53" s="4"/>
      <c r="GGN53" s="4"/>
      <c r="GGO53" s="4"/>
      <c r="GGP53" s="4"/>
      <c r="GGQ53" s="4"/>
      <c r="GGR53" s="4"/>
      <c r="GGS53" s="4"/>
      <c r="GGT53" s="4"/>
      <c r="GGU53" s="4"/>
      <c r="GGV53" s="4"/>
      <c r="GGW53" s="4"/>
      <c r="GGX53" s="4"/>
      <c r="GGY53" s="4"/>
      <c r="GGZ53" s="4"/>
      <c r="GHA53" s="4"/>
      <c r="GHB53" s="4"/>
      <c r="GHC53" s="4"/>
      <c r="GHD53" s="4"/>
      <c r="GHE53" s="4"/>
      <c r="GHF53" s="4"/>
      <c r="GHG53" s="4"/>
      <c r="GHH53" s="4"/>
      <c r="GHI53" s="4"/>
      <c r="GHJ53" s="4"/>
      <c r="GHK53" s="4"/>
      <c r="GHL53" s="4"/>
      <c r="GHM53" s="4"/>
      <c r="GHN53" s="4"/>
      <c r="GHO53" s="4"/>
      <c r="GHP53" s="4"/>
      <c r="GHQ53" s="4"/>
      <c r="GHR53" s="4"/>
      <c r="GHS53" s="4"/>
      <c r="GHT53" s="4"/>
      <c r="GHU53" s="4"/>
      <c r="GHV53" s="4"/>
      <c r="GHW53" s="4"/>
      <c r="GHX53" s="4"/>
      <c r="GHY53" s="4"/>
      <c r="GHZ53" s="4"/>
      <c r="GIA53" s="4"/>
      <c r="GIB53" s="4"/>
      <c r="GIC53" s="4"/>
      <c r="GID53" s="4"/>
      <c r="GIE53" s="4"/>
      <c r="GIF53" s="4"/>
      <c r="GIG53" s="4"/>
      <c r="GIH53" s="4"/>
      <c r="GII53" s="4"/>
      <c r="GIJ53" s="4"/>
      <c r="GIK53" s="4"/>
      <c r="GIL53" s="4"/>
      <c r="GIM53" s="4"/>
      <c r="GIN53" s="4"/>
      <c r="GIO53" s="4"/>
      <c r="GIP53" s="4"/>
      <c r="GIQ53" s="4"/>
      <c r="GIR53" s="4"/>
      <c r="GIS53" s="4"/>
      <c r="GIT53" s="4"/>
      <c r="GIU53" s="4"/>
      <c r="GIV53" s="4"/>
      <c r="GIW53" s="4"/>
      <c r="GIX53" s="4"/>
      <c r="GIY53" s="4"/>
      <c r="GIZ53" s="4"/>
      <c r="GJA53" s="4"/>
      <c r="GJB53" s="4"/>
      <c r="GJC53" s="4"/>
      <c r="GJD53" s="4"/>
      <c r="GJE53" s="4"/>
      <c r="GJF53" s="4"/>
      <c r="GJG53" s="4"/>
      <c r="GJH53" s="4"/>
      <c r="GJI53" s="4"/>
      <c r="GJJ53" s="4"/>
      <c r="GJK53" s="4"/>
      <c r="GJL53" s="4"/>
      <c r="GJM53" s="4"/>
      <c r="GJN53" s="4"/>
      <c r="GJO53" s="4"/>
      <c r="GJP53" s="4"/>
      <c r="GJQ53" s="4"/>
      <c r="GJR53" s="4"/>
      <c r="GJS53" s="4"/>
      <c r="GJT53" s="4"/>
      <c r="GJU53" s="4"/>
      <c r="GJV53" s="4"/>
      <c r="GJW53" s="4"/>
      <c r="GJX53" s="4"/>
      <c r="GJY53" s="4"/>
      <c r="GJZ53" s="4"/>
      <c r="GKA53" s="4"/>
      <c r="GKB53" s="4"/>
      <c r="GKC53" s="4"/>
      <c r="GKD53" s="4"/>
      <c r="GKE53" s="4"/>
      <c r="GKF53" s="4"/>
      <c r="GKG53" s="4"/>
      <c r="GKH53" s="4"/>
      <c r="GKI53" s="4"/>
      <c r="GKJ53" s="4"/>
      <c r="GKK53" s="4"/>
      <c r="GKL53" s="4"/>
      <c r="GKM53" s="4"/>
      <c r="GKN53" s="4"/>
      <c r="GKO53" s="4"/>
      <c r="GKP53" s="4"/>
      <c r="GKQ53" s="4"/>
      <c r="GKR53" s="4"/>
      <c r="GKS53" s="4"/>
      <c r="GKT53" s="4"/>
      <c r="GKU53" s="4"/>
      <c r="GKV53" s="4"/>
      <c r="GKW53" s="4"/>
      <c r="GKX53" s="4"/>
      <c r="GKY53" s="4"/>
      <c r="GKZ53" s="4"/>
      <c r="GLA53" s="4"/>
      <c r="GLB53" s="4"/>
      <c r="GLC53" s="4"/>
      <c r="GLD53" s="4"/>
      <c r="GLE53" s="4"/>
      <c r="GLF53" s="4"/>
      <c r="GLG53" s="4"/>
      <c r="GLH53" s="4"/>
      <c r="GLI53" s="4"/>
      <c r="GLJ53" s="4"/>
      <c r="GLK53" s="4"/>
      <c r="GLL53" s="4"/>
      <c r="GLM53" s="4"/>
      <c r="GLN53" s="4"/>
      <c r="GLO53" s="4"/>
      <c r="GLP53" s="4"/>
      <c r="GLQ53" s="4"/>
      <c r="GLR53" s="4"/>
      <c r="GLS53" s="4"/>
      <c r="GLT53" s="4"/>
      <c r="GLU53" s="4"/>
      <c r="GLV53" s="4"/>
      <c r="GLW53" s="4"/>
      <c r="GLX53" s="4"/>
      <c r="GLY53" s="4"/>
      <c r="GLZ53" s="4"/>
      <c r="GMA53" s="4"/>
      <c r="GMB53" s="4"/>
      <c r="GMC53" s="4"/>
      <c r="GMD53" s="4"/>
      <c r="GME53" s="4"/>
      <c r="GMF53" s="4"/>
      <c r="GMG53" s="4"/>
      <c r="GMH53" s="4"/>
      <c r="GMI53" s="4"/>
      <c r="GMJ53" s="4"/>
      <c r="GMK53" s="4"/>
      <c r="GML53" s="4"/>
      <c r="GMM53" s="4"/>
      <c r="GMN53" s="4"/>
      <c r="GMO53" s="4"/>
      <c r="GMP53" s="4"/>
      <c r="GMQ53" s="4"/>
      <c r="GMR53" s="4"/>
      <c r="GMS53" s="4"/>
      <c r="GMT53" s="4"/>
      <c r="GMU53" s="4"/>
      <c r="GMV53" s="4"/>
      <c r="GMW53" s="4"/>
      <c r="GMX53" s="4"/>
      <c r="GMY53" s="4"/>
      <c r="GMZ53" s="4"/>
      <c r="GNA53" s="4"/>
      <c r="GNB53" s="4"/>
      <c r="GNC53" s="4"/>
      <c r="GND53" s="4"/>
      <c r="GNE53" s="4"/>
      <c r="GNF53" s="4"/>
      <c r="GNG53" s="4"/>
      <c r="GNH53" s="4"/>
      <c r="GNI53" s="4"/>
      <c r="GNJ53" s="4"/>
      <c r="GNK53" s="4"/>
      <c r="GNL53" s="4"/>
      <c r="GNM53" s="4"/>
      <c r="GNN53" s="4"/>
      <c r="GNO53" s="4"/>
      <c r="GNP53" s="4"/>
      <c r="GNQ53" s="4"/>
      <c r="GNR53" s="4"/>
      <c r="GNS53" s="4"/>
      <c r="GNT53" s="4"/>
      <c r="GNU53" s="4"/>
      <c r="GNV53" s="4"/>
      <c r="GNW53" s="4"/>
      <c r="GNX53" s="4"/>
      <c r="GNY53" s="4"/>
      <c r="GNZ53" s="4"/>
      <c r="GOA53" s="4"/>
      <c r="GOB53" s="4"/>
      <c r="GOC53" s="4"/>
      <c r="GOD53" s="4"/>
      <c r="GOE53" s="4"/>
      <c r="GOF53" s="4"/>
      <c r="GOG53" s="4"/>
      <c r="GOH53" s="4"/>
      <c r="GOI53" s="4"/>
      <c r="GOJ53" s="4"/>
      <c r="GOK53" s="4"/>
      <c r="GOL53" s="4"/>
      <c r="GOM53" s="4"/>
      <c r="GON53" s="4"/>
      <c r="GOO53" s="4"/>
      <c r="GOP53" s="4"/>
      <c r="GOQ53" s="4"/>
      <c r="GOR53" s="4"/>
      <c r="GOS53" s="4"/>
      <c r="GOT53" s="4"/>
      <c r="GOU53" s="4"/>
      <c r="GOV53" s="4"/>
      <c r="GOW53" s="4"/>
      <c r="GOX53" s="4"/>
      <c r="GOY53" s="4"/>
      <c r="GOZ53" s="4"/>
      <c r="GPA53" s="4"/>
      <c r="GPB53" s="4"/>
      <c r="GPC53" s="4"/>
      <c r="GPD53" s="4"/>
      <c r="GPE53" s="4"/>
      <c r="GPF53" s="4"/>
      <c r="GPG53" s="4"/>
      <c r="GPH53" s="4"/>
      <c r="GPI53" s="4"/>
      <c r="GPJ53" s="4"/>
      <c r="GPK53" s="4"/>
      <c r="GPL53" s="4"/>
      <c r="GPM53" s="4"/>
      <c r="GPN53" s="4"/>
      <c r="GPO53" s="4"/>
      <c r="GPP53" s="4"/>
      <c r="GPQ53" s="4"/>
      <c r="GPR53" s="4"/>
      <c r="GPS53" s="4"/>
      <c r="GPT53" s="4"/>
      <c r="GPU53" s="4"/>
      <c r="GPV53" s="4"/>
      <c r="GPW53" s="4"/>
      <c r="GPX53" s="4"/>
      <c r="GPY53" s="4"/>
      <c r="GPZ53" s="4"/>
      <c r="GQA53" s="4"/>
      <c r="GQB53" s="4"/>
      <c r="GQC53" s="4"/>
      <c r="GQD53" s="4"/>
      <c r="GQE53" s="4"/>
      <c r="GQF53" s="4"/>
      <c r="GQG53" s="4"/>
      <c r="GQH53" s="4"/>
      <c r="GQI53" s="4"/>
      <c r="GQJ53" s="4"/>
      <c r="GQK53" s="4"/>
      <c r="GQL53" s="4"/>
      <c r="GQM53" s="4"/>
      <c r="GQN53" s="4"/>
      <c r="GQO53" s="4"/>
      <c r="GQP53" s="4"/>
      <c r="GQQ53" s="4"/>
      <c r="GQR53" s="4"/>
      <c r="GQS53" s="4"/>
      <c r="GQT53" s="4"/>
      <c r="GQU53" s="4"/>
      <c r="GQV53" s="4"/>
      <c r="GQW53" s="4"/>
      <c r="GQX53" s="4"/>
      <c r="GQY53" s="4"/>
      <c r="GQZ53" s="4"/>
      <c r="GRA53" s="4"/>
      <c r="GRB53" s="4"/>
      <c r="GRC53" s="4"/>
      <c r="GRD53" s="4"/>
      <c r="GRE53" s="4"/>
      <c r="GRF53" s="4"/>
      <c r="GRG53" s="4"/>
      <c r="GRH53" s="4"/>
      <c r="GRI53" s="4"/>
      <c r="GRJ53" s="4"/>
      <c r="GRK53" s="4"/>
      <c r="GRL53" s="4"/>
      <c r="GRM53" s="4"/>
      <c r="GRN53" s="4"/>
      <c r="GRO53" s="4"/>
      <c r="GRP53" s="4"/>
      <c r="GRQ53" s="4"/>
      <c r="GRR53" s="4"/>
      <c r="GRS53" s="4"/>
      <c r="GRT53" s="4"/>
      <c r="GRU53" s="4"/>
      <c r="GRV53" s="4"/>
      <c r="GRW53" s="4"/>
      <c r="GRX53" s="4"/>
      <c r="GRY53" s="4"/>
      <c r="GRZ53" s="4"/>
      <c r="GSA53" s="4"/>
      <c r="GSB53" s="4"/>
      <c r="GSC53" s="4"/>
      <c r="GSD53" s="4"/>
      <c r="GSE53" s="4"/>
      <c r="GSF53" s="4"/>
      <c r="GSG53" s="4"/>
      <c r="GSH53" s="4"/>
      <c r="GSI53" s="4"/>
      <c r="GSJ53" s="4"/>
      <c r="GSK53" s="4"/>
      <c r="GSL53" s="4"/>
      <c r="GSM53" s="4"/>
      <c r="GSN53" s="4"/>
      <c r="GSO53" s="4"/>
      <c r="GSP53" s="4"/>
      <c r="GSQ53" s="4"/>
      <c r="GSR53" s="4"/>
      <c r="GSS53" s="4"/>
      <c r="GST53" s="4"/>
      <c r="GSU53" s="4"/>
      <c r="GSV53" s="4"/>
      <c r="GSW53" s="4"/>
      <c r="GSX53" s="4"/>
      <c r="GSY53" s="4"/>
      <c r="GSZ53" s="4"/>
      <c r="GTA53" s="4"/>
      <c r="GTB53" s="4"/>
      <c r="GTC53" s="4"/>
      <c r="GTD53" s="4"/>
      <c r="GTE53" s="4"/>
      <c r="GTF53" s="4"/>
      <c r="GTG53" s="4"/>
      <c r="GTH53" s="4"/>
      <c r="GTI53" s="4"/>
      <c r="GTJ53" s="4"/>
      <c r="GTK53" s="4"/>
      <c r="GTL53" s="4"/>
      <c r="GTM53" s="4"/>
      <c r="GTN53" s="4"/>
      <c r="GTO53" s="4"/>
      <c r="GTP53" s="4"/>
      <c r="GTQ53" s="4"/>
      <c r="GTR53" s="4"/>
      <c r="GTS53" s="4"/>
      <c r="GTT53" s="4"/>
      <c r="GTU53" s="4"/>
      <c r="GTV53" s="4"/>
      <c r="GTW53" s="4"/>
      <c r="GTX53" s="4"/>
      <c r="GTY53" s="4"/>
      <c r="GTZ53" s="4"/>
      <c r="GUA53" s="4"/>
      <c r="GUB53" s="4"/>
      <c r="GUC53" s="4"/>
      <c r="GUD53" s="4"/>
      <c r="GUE53" s="4"/>
      <c r="GUF53" s="4"/>
      <c r="GUG53" s="4"/>
      <c r="GUH53" s="4"/>
      <c r="GUI53" s="4"/>
      <c r="GUJ53" s="4"/>
      <c r="GUK53" s="4"/>
      <c r="GUL53" s="4"/>
      <c r="GUM53" s="4"/>
      <c r="GUN53" s="4"/>
      <c r="GUO53" s="4"/>
      <c r="GUP53" s="4"/>
      <c r="GUQ53" s="4"/>
      <c r="GUR53" s="4"/>
      <c r="GUS53" s="4"/>
      <c r="GUT53" s="4"/>
      <c r="GUU53" s="4"/>
      <c r="GUV53" s="4"/>
      <c r="GUW53" s="4"/>
      <c r="GUX53" s="4"/>
      <c r="GUY53" s="4"/>
      <c r="GUZ53" s="4"/>
      <c r="GVA53" s="4"/>
      <c r="GVB53" s="4"/>
      <c r="GVC53" s="4"/>
      <c r="GVD53" s="4"/>
      <c r="GVE53" s="4"/>
      <c r="GVF53" s="4"/>
      <c r="GVG53" s="4"/>
      <c r="GVH53" s="4"/>
      <c r="GVI53" s="4"/>
      <c r="GVJ53" s="4"/>
      <c r="GVK53" s="4"/>
      <c r="GVL53" s="4"/>
      <c r="GVM53" s="4"/>
      <c r="GVN53" s="4"/>
      <c r="GVO53" s="4"/>
      <c r="GVP53" s="4"/>
      <c r="GVQ53" s="4"/>
      <c r="GVR53" s="4"/>
      <c r="GVS53" s="4"/>
      <c r="GVT53" s="4"/>
      <c r="GVU53" s="4"/>
      <c r="GVV53" s="4"/>
      <c r="GVW53" s="4"/>
      <c r="GVX53" s="4"/>
      <c r="GVY53" s="4"/>
      <c r="GVZ53" s="4"/>
      <c r="GWA53" s="4"/>
      <c r="GWB53" s="4"/>
      <c r="GWC53" s="4"/>
      <c r="GWD53" s="4"/>
      <c r="GWE53" s="4"/>
      <c r="GWF53" s="4"/>
      <c r="GWG53" s="4"/>
      <c r="GWH53" s="4"/>
      <c r="GWI53" s="4"/>
      <c r="GWJ53" s="4"/>
      <c r="GWK53" s="4"/>
      <c r="GWL53" s="4"/>
      <c r="GWM53" s="4"/>
      <c r="GWN53" s="4"/>
      <c r="GWO53" s="4"/>
      <c r="GWP53" s="4"/>
      <c r="GWQ53" s="4"/>
      <c r="GWR53" s="4"/>
      <c r="GWS53" s="4"/>
      <c r="GWT53" s="4"/>
      <c r="GWU53" s="4"/>
      <c r="GWV53" s="4"/>
      <c r="GWW53" s="4"/>
      <c r="GWX53" s="4"/>
      <c r="GWY53" s="4"/>
      <c r="GWZ53" s="4"/>
      <c r="GXA53" s="4"/>
      <c r="GXB53" s="4"/>
      <c r="GXC53" s="4"/>
      <c r="GXD53" s="4"/>
      <c r="GXE53" s="4"/>
      <c r="GXF53" s="4"/>
      <c r="GXG53" s="4"/>
      <c r="GXH53" s="4"/>
      <c r="GXI53" s="4"/>
      <c r="GXJ53" s="4"/>
      <c r="GXK53" s="4"/>
      <c r="GXL53" s="4"/>
      <c r="GXM53" s="4"/>
      <c r="GXN53" s="4"/>
      <c r="GXO53" s="4"/>
      <c r="GXP53" s="4"/>
      <c r="GXQ53" s="4"/>
      <c r="GXR53" s="4"/>
      <c r="GXS53" s="4"/>
      <c r="GXT53" s="4"/>
      <c r="GXU53" s="4"/>
      <c r="GXV53" s="4"/>
      <c r="GXW53" s="4"/>
      <c r="GXX53" s="4"/>
      <c r="GXY53" s="4"/>
      <c r="GXZ53" s="4"/>
      <c r="GYA53" s="4"/>
      <c r="GYB53" s="4"/>
      <c r="GYC53" s="4"/>
      <c r="GYD53" s="4"/>
      <c r="GYE53" s="4"/>
      <c r="GYF53" s="4"/>
      <c r="GYG53" s="4"/>
      <c r="GYH53" s="4"/>
      <c r="GYI53" s="4"/>
      <c r="GYJ53" s="4"/>
      <c r="GYK53" s="4"/>
      <c r="GYL53" s="4"/>
      <c r="GYM53" s="4"/>
      <c r="GYN53" s="4"/>
      <c r="GYO53" s="4"/>
      <c r="GYP53" s="4"/>
      <c r="GYQ53" s="4"/>
      <c r="GYR53" s="4"/>
      <c r="GYS53" s="4"/>
      <c r="GYT53" s="4"/>
      <c r="GYU53" s="4"/>
      <c r="GYV53" s="4"/>
      <c r="GYW53" s="4"/>
      <c r="GYX53" s="4"/>
      <c r="GYY53" s="4"/>
      <c r="GYZ53" s="4"/>
      <c r="GZA53" s="4"/>
      <c r="GZB53" s="4"/>
      <c r="GZC53" s="4"/>
      <c r="GZD53" s="4"/>
      <c r="GZE53" s="4"/>
      <c r="GZF53" s="4"/>
      <c r="GZG53" s="4"/>
      <c r="GZH53" s="4"/>
      <c r="GZI53" s="4"/>
      <c r="GZJ53" s="4"/>
      <c r="GZK53" s="4"/>
      <c r="GZL53" s="4"/>
      <c r="GZM53" s="4"/>
      <c r="GZN53" s="4"/>
      <c r="GZO53" s="4"/>
      <c r="GZP53" s="4"/>
      <c r="GZQ53" s="4"/>
      <c r="GZR53" s="4"/>
      <c r="GZS53" s="4"/>
      <c r="GZT53" s="4"/>
      <c r="GZU53" s="4"/>
      <c r="GZV53" s="4"/>
      <c r="GZW53" s="4"/>
      <c r="GZX53" s="4"/>
      <c r="GZY53" s="4"/>
      <c r="GZZ53" s="4"/>
      <c r="HAA53" s="4"/>
      <c r="HAB53" s="4"/>
      <c r="HAC53" s="4"/>
      <c r="HAD53" s="4"/>
      <c r="HAE53" s="4"/>
      <c r="HAF53" s="4"/>
      <c r="HAG53" s="4"/>
      <c r="HAH53" s="4"/>
      <c r="HAI53" s="4"/>
      <c r="HAJ53" s="4"/>
      <c r="HAK53" s="4"/>
      <c r="HAL53" s="4"/>
      <c r="HAM53" s="4"/>
      <c r="HAN53" s="4"/>
      <c r="HAO53" s="4"/>
      <c r="HAP53" s="4"/>
      <c r="HAQ53" s="4"/>
      <c r="HAR53" s="4"/>
      <c r="HAS53" s="4"/>
      <c r="HAT53" s="4"/>
      <c r="HAU53" s="4"/>
      <c r="HAV53" s="4"/>
      <c r="HAW53" s="4"/>
      <c r="HAX53" s="4"/>
      <c r="HAY53" s="4"/>
      <c r="HAZ53" s="4"/>
      <c r="HBA53" s="4"/>
      <c r="HBB53" s="4"/>
      <c r="HBC53" s="4"/>
      <c r="HBD53" s="4"/>
      <c r="HBE53" s="4"/>
      <c r="HBF53" s="4"/>
      <c r="HBG53" s="4"/>
      <c r="HBH53" s="4"/>
      <c r="HBI53" s="4"/>
      <c r="HBJ53" s="4"/>
      <c r="HBK53" s="4"/>
      <c r="HBL53" s="4"/>
      <c r="HBM53" s="4"/>
      <c r="HBN53" s="4"/>
      <c r="HBO53" s="4"/>
      <c r="HBP53" s="4"/>
      <c r="HBQ53" s="4"/>
      <c r="HBR53" s="4"/>
      <c r="HBS53" s="4"/>
      <c r="HBT53" s="4"/>
      <c r="HBU53" s="4"/>
      <c r="HBV53" s="4"/>
      <c r="HBW53" s="4"/>
      <c r="HBX53" s="4"/>
      <c r="HBY53" s="4"/>
      <c r="HBZ53" s="4"/>
      <c r="HCA53" s="4"/>
      <c r="HCB53" s="4"/>
      <c r="HCC53" s="4"/>
      <c r="HCD53" s="4"/>
      <c r="HCE53" s="4"/>
      <c r="HCF53" s="4"/>
      <c r="HCG53" s="4"/>
      <c r="HCH53" s="4"/>
      <c r="HCI53" s="4"/>
      <c r="HCJ53" s="4"/>
      <c r="HCK53" s="4"/>
      <c r="HCL53" s="4"/>
      <c r="HCM53" s="4"/>
      <c r="HCN53" s="4"/>
      <c r="HCO53" s="4"/>
      <c r="HCP53" s="4"/>
      <c r="HCQ53" s="4"/>
      <c r="HCR53" s="4"/>
      <c r="HCS53" s="4"/>
      <c r="HCT53" s="4"/>
      <c r="HCU53" s="4"/>
      <c r="HCV53" s="4"/>
      <c r="HCW53" s="4"/>
      <c r="HCX53" s="4"/>
      <c r="HCY53" s="4"/>
      <c r="HCZ53" s="4"/>
      <c r="HDA53" s="4"/>
      <c r="HDB53" s="4"/>
      <c r="HDC53" s="4"/>
      <c r="HDD53" s="4"/>
      <c r="HDE53" s="4"/>
      <c r="HDF53" s="4"/>
      <c r="HDG53" s="4"/>
      <c r="HDH53" s="4"/>
      <c r="HDI53" s="4"/>
      <c r="HDJ53" s="4"/>
      <c r="HDK53" s="4"/>
      <c r="HDL53" s="4"/>
      <c r="HDM53" s="4"/>
      <c r="HDN53" s="4"/>
      <c r="HDO53" s="4"/>
      <c r="HDP53" s="4"/>
      <c r="HDQ53" s="4"/>
      <c r="HDR53" s="4"/>
      <c r="HDS53" s="4"/>
      <c r="HDT53" s="4"/>
      <c r="HDU53" s="4"/>
      <c r="HDV53" s="4"/>
      <c r="HDW53" s="4"/>
      <c r="HDX53" s="4"/>
      <c r="HDY53" s="4"/>
      <c r="HDZ53" s="4"/>
      <c r="HEA53" s="4"/>
      <c r="HEB53" s="4"/>
      <c r="HEC53" s="4"/>
      <c r="HED53" s="4"/>
      <c r="HEE53" s="4"/>
      <c r="HEF53" s="4"/>
      <c r="HEG53" s="4"/>
      <c r="HEH53" s="4"/>
      <c r="HEI53" s="4"/>
      <c r="HEJ53" s="4"/>
      <c r="HEK53" s="4"/>
      <c r="HEL53" s="4"/>
      <c r="HEM53" s="4"/>
      <c r="HEN53" s="4"/>
      <c r="HEO53" s="4"/>
      <c r="HEP53" s="4"/>
      <c r="HEQ53" s="4"/>
      <c r="HER53" s="4"/>
      <c r="HES53" s="4"/>
      <c r="HET53" s="4"/>
      <c r="HEU53" s="4"/>
      <c r="HEV53" s="4"/>
      <c r="HEW53" s="4"/>
      <c r="HEX53" s="4"/>
      <c r="HEY53" s="4"/>
      <c r="HEZ53" s="4"/>
      <c r="HFA53" s="4"/>
      <c r="HFB53" s="4"/>
      <c r="HFC53" s="4"/>
      <c r="HFD53" s="4"/>
      <c r="HFE53" s="4"/>
      <c r="HFF53" s="4"/>
      <c r="HFG53" s="4"/>
      <c r="HFH53" s="4"/>
      <c r="HFI53" s="4"/>
      <c r="HFJ53" s="4"/>
      <c r="HFK53" s="4"/>
      <c r="HFL53" s="4"/>
      <c r="HFM53" s="4"/>
      <c r="HFN53" s="4"/>
      <c r="HFO53" s="4"/>
      <c r="HFP53" s="4"/>
      <c r="HFQ53" s="4"/>
      <c r="HFR53" s="4"/>
      <c r="HFS53" s="4"/>
      <c r="HFT53" s="4"/>
      <c r="HFU53" s="4"/>
      <c r="HFV53" s="4"/>
      <c r="HFW53" s="4"/>
      <c r="HFX53" s="4"/>
      <c r="HFY53" s="4"/>
      <c r="HFZ53" s="4"/>
      <c r="HGA53" s="4"/>
      <c r="HGB53" s="4"/>
      <c r="HGC53" s="4"/>
      <c r="HGD53" s="4"/>
      <c r="HGE53" s="4"/>
      <c r="HGF53" s="4"/>
      <c r="HGG53" s="4"/>
      <c r="HGH53" s="4"/>
      <c r="HGI53" s="4"/>
      <c r="HGJ53" s="4"/>
      <c r="HGK53" s="4"/>
      <c r="HGL53" s="4"/>
      <c r="HGM53" s="4"/>
      <c r="HGN53" s="4"/>
      <c r="HGO53" s="4"/>
      <c r="HGP53" s="4"/>
      <c r="HGQ53" s="4"/>
      <c r="HGR53" s="4"/>
      <c r="HGS53" s="4"/>
      <c r="HGT53" s="4"/>
      <c r="HGU53" s="4"/>
      <c r="HGV53" s="4"/>
      <c r="HGW53" s="4"/>
      <c r="HGX53" s="4"/>
      <c r="HGY53" s="4"/>
      <c r="HGZ53" s="4"/>
      <c r="HHA53" s="4"/>
      <c r="HHB53" s="4"/>
      <c r="HHC53" s="4"/>
      <c r="HHD53" s="4"/>
      <c r="HHE53" s="4"/>
      <c r="HHF53" s="4"/>
      <c r="HHG53" s="4"/>
      <c r="HHH53" s="4"/>
      <c r="HHI53" s="4"/>
      <c r="HHJ53" s="4"/>
      <c r="HHK53" s="4"/>
      <c r="HHL53" s="4"/>
      <c r="HHM53" s="4"/>
      <c r="HHN53" s="4"/>
      <c r="HHO53" s="4"/>
      <c r="HHP53" s="4"/>
      <c r="HHQ53" s="4"/>
      <c r="HHR53" s="4"/>
      <c r="HHS53" s="4"/>
      <c r="HHT53" s="4"/>
      <c r="HHU53" s="4"/>
      <c r="HHV53" s="4"/>
      <c r="HHW53" s="4"/>
      <c r="HHX53" s="4"/>
      <c r="HHY53" s="4"/>
      <c r="HHZ53" s="4"/>
      <c r="HIA53" s="4"/>
      <c r="HIB53" s="4"/>
      <c r="HIC53" s="4"/>
      <c r="HID53" s="4"/>
      <c r="HIE53" s="4"/>
      <c r="HIF53" s="4"/>
      <c r="HIG53" s="4"/>
      <c r="HIH53" s="4"/>
      <c r="HII53" s="4"/>
      <c r="HIJ53" s="4"/>
      <c r="HIK53" s="4"/>
      <c r="HIL53" s="4"/>
      <c r="HIM53" s="4"/>
      <c r="HIN53" s="4"/>
      <c r="HIO53" s="4"/>
      <c r="HIP53" s="4"/>
      <c r="HIQ53" s="4"/>
      <c r="HIR53" s="4"/>
      <c r="HIS53" s="4"/>
      <c r="HIT53" s="4"/>
      <c r="HIU53" s="4"/>
      <c r="HIV53" s="4"/>
      <c r="HIW53" s="4"/>
      <c r="HIX53" s="4"/>
      <c r="HIY53" s="4"/>
      <c r="HIZ53" s="4"/>
      <c r="HJA53" s="4"/>
      <c r="HJB53" s="4"/>
      <c r="HJC53" s="4"/>
      <c r="HJD53" s="4"/>
      <c r="HJE53" s="4"/>
      <c r="HJF53" s="4"/>
      <c r="HJG53" s="4"/>
      <c r="HJH53" s="4"/>
      <c r="HJI53" s="4"/>
      <c r="HJJ53" s="4"/>
      <c r="HJK53" s="4"/>
      <c r="HJL53" s="4"/>
      <c r="HJM53" s="4"/>
      <c r="HJN53" s="4"/>
      <c r="HJO53" s="4"/>
      <c r="HJP53" s="4"/>
      <c r="HJQ53" s="4"/>
      <c r="HJR53" s="4"/>
      <c r="HJS53" s="4"/>
      <c r="HJT53" s="4"/>
      <c r="HJU53" s="4"/>
      <c r="HJV53" s="4"/>
      <c r="HJW53" s="4"/>
      <c r="HJX53" s="4"/>
      <c r="HJY53" s="4"/>
      <c r="HJZ53" s="4"/>
      <c r="HKA53" s="4"/>
      <c r="HKB53" s="4"/>
      <c r="HKC53" s="4"/>
      <c r="HKD53" s="4"/>
      <c r="HKE53" s="4"/>
      <c r="HKF53" s="4"/>
      <c r="HKG53" s="4"/>
      <c r="HKH53" s="4"/>
      <c r="HKI53" s="4"/>
      <c r="HKJ53" s="4"/>
      <c r="HKK53" s="4"/>
      <c r="HKL53" s="4"/>
      <c r="HKM53" s="4"/>
      <c r="HKN53" s="4"/>
      <c r="HKO53" s="4"/>
      <c r="HKP53" s="4"/>
      <c r="HKQ53" s="4"/>
      <c r="HKR53" s="4"/>
      <c r="HKS53" s="4"/>
      <c r="HKT53" s="4"/>
      <c r="HKU53" s="4"/>
      <c r="HKV53" s="4"/>
      <c r="HKW53" s="4"/>
      <c r="HKX53" s="4"/>
      <c r="HKY53" s="4"/>
      <c r="HKZ53" s="4"/>
      <c r="HLA53" s="4"/>
      <c r="HLB53" s="4"/>
      <c r="HLC53" s="4"/>
      <c r="HLD53" s="4"/>
      <c r="HLE53" s="4"/>
      <c r="HLF53" s="4"/>
      <c r="HLG53" s="4"/>
      <c r="HLH53" s="4"/>
      <c r="HLI53" s="4"/>
      <c r="HLJ53" s="4"/>
      <c r="HLK53" s="4"/>
      <c r="HLL53" s="4"/>
      <c r="HLM53" s="4"/>
      <c r="HLN53" s="4"/>
      <c r="HLO53" s="4"/>
      <c r="HLP53" s="4"/>
      <c r="HLQ53" s="4"/>
      <c r="HLR53" s="4"/>
      <c r="HLS53" s="4"/>
      <c r="HLT53" s="4"/>
      <c r="HLU53" s="4"/>
      <c r="HLV53" s="4"/>
      <c r="HLW53" s="4"/>
      <c r="HLX53" s="4"/>
      <c r="HLY53" s="4"/>
      <c r="HLZ53" s="4"/>
      <c r="HMA53" s="4"/>
      <c r="HMB53" s="4"/>
      <c r="HMC53" s="4"/>
      <c r="HMD53" s="4"/>
      <c r="HME53" s="4"/>
      <c r="HMF53" s="4"/>
      <c r="HMG53" s="4"/>
      <c r="HMH53" s="4"/>
      <c r="HMI53" s="4"/>
      <c r="HMJ53" s="4"/>
      <c r="HMK53" s="4"/>
      <c r="HML53" s="4"/>
      <c r="HMM53" s="4"/>
      <c r="HMN53" s="4"/>
      <c r="HMO53" s="4"/>
      <c r="HMP53" s="4"/>
      <c r="HMQ53" s="4"/>
      <c r="HMR53" s="4"/>
      <c r="HMS53" s="4"/>
      <c r="HMT53" s="4"/>
      <c r="HMU53" s="4"/>
      <c r="HMV53" s="4"/>
      <c r="HMW53" s="4"/>
      <c r="HMX53" s="4"/>
      <c r="HMY53" s="4"/>
      <c r="HMZ53" s="4"/>
      <c r="HNA53" s="4"/>
      <c r="HNB53" s="4"/>
      <c r="HNC53" s="4"/>
      <c r="HND53" s="4"/>
      <c r="HNE53" s="4"/>
      <c r="HNF53" s="4"/>
      <c r="HNG53" s="4"/>
      <c r="HNH53" s="4"/>
      <c r="HNI53" s="4"/>
      <c r="HNJ53" s="4"/>
      <c r="HNK53" s="4"/>
      <c r="HNL53" s="4"/>
      <c r="HNM53" s="4"/>
      <c r="HNN53" s="4"/>
      <c r="HNO53" s="4"/>
      <c r="HNP53" s="4"/>
      <c r="HNQ53" s="4"/>
      <c r="HNR53" s="4"/>
      <c r="HNS53" s="4"/>
      <c r="HNT53" s="4"/>
      <c r="HNU53" s="4"/>
      <c r="HNV53" s="4"/>
      <c r="HNW53" s="4"/>
      <c r="HNX53" s="4"/>
      <c r="HNY53" s="4"/>
      <c r="HNZ53" s="4"/>
      <c r="HOA53" s="4"/>
      <c r="HOB53" s="4"/>
      <c r="HOC53" s="4"/>
      <c r="HOD53" s="4"/>
      <c r="HOE53" s="4"/>
      <c r="HOF53" s="4"/>
      <c r="HOG53" s="4"/>
      <c r="HOH53" s="4"/>
      <c r="HOI53" s="4"/>
      <c r="HOJ53" s="4"/>
      <c r="HOK53" s="4"/>
      <c r="HOL53" s="4"/>
      <c r="HOM53" s="4"/>
      <c r="HON53" s="4"/>
      <c r="HOO53" s="4"/>
      <c r="HOP53" s="4"/>
      <c r="HOQ53" s="4"/>
      <c r="HOR53" s="4"/>
      <c r="HOS53" s="4"/>
      <c r="HOT53" s="4"/>
      <c r="HOU53" s="4"/>
      <c r="HOV53" s="4"/>
      <c r="HOW53" s="4"/>
      <c r="HOX53" s="4"/>
      <c r="HOY53" s="4"/>
      <c r="HOZ53" s="4"/>
      <c r="HPA53" s="4"/>
      <c r="HPB53" s="4"/>
      <c r="HPC53" s="4"/>
      <c r="HPD53" s="4"/>
      <c r="HPE53" s="4"/>
      <c r="HPF53" s="4"/>
      <c r="HPG53" s="4"/>
      <c r="HPH53" s="4"/>
      <c r="HPI53" s="4"/>
      <c r="HPJ53" s="4"/>
      <c r="HPK53" s="4"/>
      <c r="HPL53" s="4"/>
      <c r="HPM53" s="4"/>
      <c r="HPN53" s="4"/>
      <c r="HPO53" s="4"/>
      <c r="HPP53" s="4"/>
      <c r="HPQ53" s="4"/>
      <c r="HPR53" s="4"/>
      <c r="HPS53" s="4"/>
      <c r="HPT53" s="4"/>
      <c r="HPU53" s="4"/>
      <c r="HPV53" s="4"/>
      <c r="HPW53" s="4"/>
      <c r="HPX53" s="4"/>
      <c r="HPY53" s="4"/>
      <c r="HPZ53" s="4"/>
      <c r="HQA53" s="4"/>
      <c r="HQB53" s="4"/>
      <c r="HQC53" s="4"/>
      <c r="HQD53" s="4"/>
      <c r="HQE53" s="4"/>
      <c r="HQF53" s="4"/>
      <c r="HQG53" s="4"/>
      <c r="HQH53" s="4"/>
      <c r="HQI53" s="4"/>
      <c r="HQJ53" s="4"/>
      <c r="HQK53" s="4"/>
      <c r="HQL53" s="4"/>
      <c r="HQM53" s="4"/>
      <c r="HQN53" s="4"/>
      <c r="HQO53" s="4"/>
      <c r="HQP53" s="4"/>
      <c r="HQQ53" s="4"/>
      <c r="HQR53" s="4"/>
      <c r="HQS53" s="4"/>
      <c r="HQT53" s="4"/>
      <c r="HQU53" s="4"/>
      <c r="HQV53" s="4"/>
      <c r="HQW53" s="4"/>
      <c r="HQX53" s="4"/>
      <c r="HQY53" s="4"/>
      <c r="HQZ53" s="4"/>
      <c r="HRA53" s="4"/>
      <c r="HRB53" s="4"/>
      <c r="HRC53" s="4"/>
      <c r="HRD53" s="4"/>
      <c r="HRE53" s="4"/>
      <c r="HRF53" s="4"/>
      <c r="HRG53" s="4"/>
      <c r="HRH53" s="4"/>
      <c r="HRI53" s="4"/>
      <c r="HRJ53" s="4"/>
      <c r="HRK53" s="4"/>
      <c r="HRL53" s="4"/>
      <c r="HRM53" s="4"/>
      <c r="HRN53" s="4"/>
      <c r="HRO53" s="4"/>
      <c r="HRP53" s="4"/>
      <c r="HRQ53" s="4"/>
      <c r="HRR53" s="4"/>
      <c r="HRS53" s="4"/>
      <c r="HRT53" s="4"/>
      <c r="HRU53" s="4"/>
      <c r="HRV53" s="4"/>
      <c r="HRW53" s="4"/>
      <c r="HRX53" s="4"/>
      <c r="HRY53" s="4"/>
      <c r="HRZ53" s="4"/>
      <c r="HSA53" s="4"/>
      <c r="HSB53" s="4"/>
      <c r="HSC53" s="4"/>
      <c r="HSD53" s="4"/>
      <c r="HSE53" s="4"/>
      <c r="HSF53" s="4"/>
      <c r="HSG53" s="4"/>
      <c r="HSH53" s="4"/>
      <c r="HSI53" s="4"/>
      <c r="HSJ53" s="4"/>
      <c r="HSK53" s="4"/>
      <c r="HSL53" s="4"/>
      <c r="HSM53" s="4"/>
      <c r="HSN53" s="4"/>
      <c r="HSO53" s="4"/>
      <c r="HSP53" s="4"/>
      <c r="HSQ53" s="4"/>
      <c r="HSR53" s="4"/>
      <c r="HSS53" s="4"/>
      <c r="HST53" s="4"/>
      <c r="HSU53" s="4"/>
      <c r="HSV53" s="4"/>
      <c r="HSW53" s="4"/>
      <c r="HSX53" s="4"/>
      <c r="HSY53" s="4"/>
      <c r="HSZ53" s="4"/>
      <c r="HTA53" s="4"/>
      <c r="HTB53" s="4"/>
      <c r="HTC53" s="4"/>
      <c r="HTD53" s="4"/>
      <c r="HTE53" s="4"/>
      <c r="HTF53" s="4"/>
      <c r="HTG53" s="4"/>
      <c r="HTH53" s="4"/>
      <c r="HTI53" s="4"/>
      <c r="HTJ53" s="4"/>
      <c r="HTK53" s="4"/>
      <c r="HTL53" s="4"/>
      <c r="HTM53" s="4"/>
      <c r="HTN53" s="4"/>
      <c r="HTO53" s="4"/>
      <c r="HTP53" s="4"/>
      <c r="HTQ53" s="4"/>
      <c r="HTR53" s="4"/>
      <c r="HTS53" s="4"/>
      <c r="HTT53" s="4"/>
      <c r="HTU53" s="4"/>
      <c r="HTV53" s="4"/>
      <c r="HTW53" s="4"/>
      <c r="HTX53" s="4"/>
      <c r="HTY53" s="4"/>
      <c r="HTZ53" s="4"/>
      <c r="HUA53" s="4"/>
      <c r="HUB53" s="4"/>
      <c r="HUC53" s="4"/>
      <c r="HUD53" s="4"/>
      <c r="HUE53" s="4"/>
      <c r="HUF53" s="4"/>
      <c r="HUG53" s="4"/>
      <c r="HUH53" s="4"/>
      <c r="HUI53" s="4"/>
      <c r="HUJ53" s="4"/>
      <c r="HUK53" s="4"/>
      <c r="HUL53" s="4"/>
      <c r="HUM53" s="4"/>
      <c r="HUN53" s="4"/>
      <c r="HUO53" s="4"/>
      <c r="HUP53" s="4"/>
      <c r="HUQ53" s="4"/>
      <c r="HUR53" s="4"/>
      <c r="HUS53" s="4"/>
      <c r="HUT53" s="4"/>
      <c r="HUU53" s="4"/>
      <c r="HUV53" s="4"/>
      <c r="HUW53" s="4"/>
      <c r="HUX53" s="4"/>
      <c r="HUY53" s="4"/>
      <c r="HUZ53" s="4"/>
      <c r="HVA53" s="4"/>
      <c r="HVB53" s="4"/>
      <c r="HVC53" s="4"/>
      <c r="HVD53" s="4"/>
      <c r="HVE53" s="4"/>
      <c r="HVF53" s="4"/>
      <c r="HVG53" s="4"/>
      <c r="HVH53" s="4"/>
      <c r="HVI53" s="4"/>
      <c r="HVJ53" s="4"/>
      <c r="HVK53" s="4"/>
      <c r="HVL53" s="4"/>
      <c r="HVM53" s="4"/>
      <c r="HVN53" s="4"/>
      <c r="HVO53" s="4"/>
      <c r="HVP53" s="4"/>
      <c r="HVQ53" s="4"/>
      <c r="HVR53" s="4"/>
      <c r="HVS53" s="4"/>
      <c r="HVT53" s="4"/>
      <c r="HVU53" s="4"/>
      <c r="HVV53" s="4"/>
      <c r="HVW53" s="4"/>
      <c r="HVX53" s="4"/>
      <c r="HVY53" s="4"/>
      <c r="HVZ53" s="4"/>
      <c r="HWA53" s="4"/>
      <c r="HWB53" s="4"/>
      <c r="HWC53" s="4"/>
      <c r="HWD53" s="4"/>
      <c r="HWE53" s="4"/>
      <c r="HWF53" s="4"/>
      <c r="HWG53" s="4"/>
      <c r="HWH53" s="4"/>
      <c r="HWI53" s="4"/>
      <c r="HWJ53" s="4"/>
      <c r="HWK53" s="4"/>
      <c r="HWL53" s="4"/>
      <c r="HWM53" s="4"/>
      <c r="HWN53" s="4"/>
      <c r="HWO53" s="4"/>
      <c r="HWP53" s="4"/>
      <c r="HWQ53" s="4"/>
      <c r="HWR53" s="4"/>
      <c r="HWS53" s="4"/>
      <c r="HWT53" s="4"/>
      <c r="HWU53" s="4"/>
      <c r="HWV53" s="4"/>
      <c r="HWW53" s="4"/>
      <c r="HWX53" s="4"/>
      <c r="HWY53" s="4"/>
      <c r="HWZ53" s="4"/>
      <c r="HXA53" s="4"/>
      <c r="HXB53" s="4"/>
      <c r="HXC53" s="4"/>
      <c r="HXD53" s="4"/>
      <c r="HXE53" s="4"/>
      <c r="HXF53" s="4"/>
      <c r="HXG53" s="4"/>
      <c r="HXH53" s="4"/>
      <c r="HXI53" s="4"/>
      <c r="HXJ53" s="4"/>
      <c r="HXK53" s="4"/>
      <c r="HXL53" s="4"/>
      <c r="HXM53" s="4"/>
      <c r="HXN53" s="4"/>
      <c r="HXO53" s="4"/>
      <c r="HXP53" s="4"/>
      <c r="HXQ53" s="4"/>
      <c r="HXR53" s="4"/>
      <c r="HXS53" s="4"/>
      <c r="HXT53" s="4"/>
      <c r="HXU53" s="4"/>
      <c r="HXV53" s="4"/>
      <c r="HXW53" s="4"/>
      <c r="HXX53" s="4"/>
      <c r="HXY53" s="4"/>
      <c r="HXZ53" s="4"/>
      <c r="HYA53" s="4"/>
      <c r="HYB53" s="4"/>
      <c r="HYC53" s="4"/>
      <c r="HYD53" s="4"/>
      <c r="HYE53" s="4"/>
      <c r="HYF53" s="4"/>
      <c r="HYG53" s="4"/>
      <c r="HYH53" s="4"/>
      <c r="HYI53" s="4"/>
      <c r="HYJ53" s="4"/>
      <c r="HYK53" s="4"/>
      <c r="HYL53" s="4"/>
      <c r="HYM53" s="4"/>
      <c r="HYN53" s="4"/>
      <c r="HYO53" s="4"/>
      <c r="HYP53" s="4"/>
      <c r="HYQ53" s="4"/>
      <c r="HYR53" s="4"/>
      <c r="HYS53" s="4"/>
      <c r="HYT53" s="4"/>
      <c r="HYU53" s="4"/>
      <c r="HYV53" s="4"/>
      <c r="HYW53" s="4"/>
      <c r="HYX53" s="4"/>
      <c r="HYY53" s="4"/>
      <c r="HYZ53" s="4"/>
      <c r="HZA53" s="4"/>
      <c r="HZB53" s="4"/>
      <c r="HZC53" s="4"/>
      <c r="HZD53" s="4"/>
      <c r="HZE53" s="4"/>
      <c r="HZF53" s="4"/>
      <c r="HZG53" s="4"/>
      <c r="HZH53" s="4"/>
      <c r="HZI53" s="4"/>
      <c r="HZJ53" s="4"/>
      <c r="HZK53" s="4"/>
      <c r="HZL53" s="4"/>
      <c r="HZM53" s="4"/>
      <c r="HZN53" s="4"/>
      <c r="HZO53" s="4"/>
      <c r="HZP53" s="4"/>
      <c r="HZQ53" s="4"/>
      <c r="HZR53" s="4"/>
      <c r="HZS53" s="4"/>
      <c r="HZT53" s="4"/>
      <c r="HZU53" s="4"/>
      <c r="HZV53" s="4"/>
      <c r="HZW53" s="4"/>
      <c r="HZX53" s="4"/>
      <c r="HZY53" s="4"/>
      <c r="HZZ53" s="4"/>
      <c r="IAA53" s="4"/>
      <c r="IAB53" s="4"/>
      <c r="IAC53" s="4"/>
      <c r="IAD53" s="4"/>
      <c r="IAE53" s="4"/>
      <c r="IAF53" s="4"/>
      <c r="IAG53" s="4"/>
      <c r="IAH53" s="4"/>
      <c r="IAI53" s="4"/>
      <c r="IAJ53" s="4"/>
      <c r="IAK53" s="4"/>
      <c r="IAL53" s="4"/>
      <c r="IAM53" s="4"/>
      <c r="IAN53" s="4"/>
      <c r="IAO53" s="4"/>
      <c r="IAP53" s="4"/>
      <c r="IAQ53" s="4"/>
      <c r="IAR53" s="4"/>
      <c r="IAS53" s="4"/>
      <c r="IAT53" s="4"/>
      <c r="IAU53" s="4"/>
      <c r="IAV53" s="4"/>
      <c r="IAW53" s="4"/>
      <c r="IAX53" s="4"/>
      <c r="IAY53" s="4"/>
      <c r="IAZ53" s="4"/>
      <c r="IBA53" s="4"/>
      <c r="IBB53" s="4"/>
      <c r="IBC53" s="4"/>
      <c r="IBD53" s="4"/>
      <c r="IBE53" s="4"/>
      <c r="IBF53" s="4"/>
      <c r="IBG53" s="4"/>
      <c r="IBH53" s="4"/>
      <c r="IBI53" s="4"/>
      <c r="IBJ53" s="4"/>
      <c r="IBK53" s="4"/>
      <c r="IBL53" s="4"/>
      <c r="IBM53" s="4"/>
      <c r="IBN53" s="4"/>
      <c r="IBO53" s="4"/>
      <c r="IBP53" s="4"/>
      <c r="IBQ53" s="4"/>
      <c r="IBR53" s="4"/>
      <c r="IBS53" s="4"/>
      <c r="IBT53" s="4"/>
      <c r="IBU53" s="4"/>
      <c r="IBV53" s="4"/>
      <c r="IBW53" s="4"/>
      <c r="IBX53" s="4"/>
      <c r="IBY53" s="4"/>
      <c r="IBZ53" s="4"/>
      <c r="ICA53" s="4"/>
      <c r="ICB53" s="4"/>
      <c r="ICC53" s="4"/>
      <c r="ICD53" s="4"/>
      <c r="ICE53" s="4"/>
      <c r="ICF53" s="4"/>
      <c r="ICG53" s="4"/>
      <c r="ICH53" s="4"/>
      <c r="ICI53" s="4"/>
      <c r="ICJ53" s="4"/>
      <c r="ICK53" s="4"/>
      <c r="ICL53" s="4"/>
      <c r="ICM53" s="4"/>
      <c r="ICN53" s="4"/>
      <c r="ICO53" s="4"/>
      <c r="ICP53" s="4"/>
      <c r="ICQ53" s="4"/>
      <c r="ICR53" s="4"/>
      <c r="ICS53" s="4"/>
      <c r="ICT53" s="4"/>
      <c r="ICU53" s="4"/>
      <c r="ICV53" s="4"/>
      <c r="ICW53" s="4"/>
      <c r="ICX53" s="4"/>
      <c r="ICY53" s="4"/>
      <c r="ICZ53" s="4"/>
      <c r="IDA53" s="4"/>
      <c r="IDB53" s="4"/>
      <c r="IDC53" s="4"/>
      <c r="IDD53" s="4"/>
      <c r="IDE53" s="4"/>
      <c r="IDF53" s="4"/>
      <c r="IDG53" s="4"/>
      <c r="IDH53" s="4"/>
      <c r="IDI53" s="4"/>
      <c r="IDJ53" s="4"/>
      <c r="IDK53" s="4"/>
      <c r="IDL53" s="4"/>
      <c r="IDM53" s="4"/>
      <c r="IDN53" s="4"/>
      <c r="IDO53" s="4"/>
      <c r="IDP53" s="4"/>
      <c r="IDQ53" s="4"/>
      <c r="IDR53" s="4"/>
      <c r="IDS53" s="4"/>
      <c r="IDT53" s="4"/>
      <c r="IDU53" s="4"/>
      <c r="IDV53" s="4"/>
      <c r="IDW53" s="4"/>
      <c r="IDX53" s="4"/>
      <c r="IDY53" s="4"/>
      <c r="IDZ53" s="4"/>
      <c r="IEA53" s="4"/>
      <c r="IEB53" s="4"/>
      <c r="IEC53" s="4"/>
      <c r="IED53" s="4"/>
      <c r="IEE53" s="4"/>
      <c r="IEF53" s="4"/>
      <c r="IEG53" s="4"/>
      <c r="IEH53" s="4"/>
      <c r="IEI53" s="4"/>
      <c r="IEJ53" s="4"/>
      <c r="IEK53" s="4"/>
      <c r="IEL53" s="4"/>
      <c r="IEM53" s="4"/>
      <c r="IEN53" s="4"/>
      <c r="IEO53" s="4"/>
      <c r="IEP53" s="4"/>
      <c r="IEQ53" s="4"/>
      <c r="IER53" s="4"/>
      <c r="IES53" s="4"/>
      <c r="IET53" s="4"/>
      <c r="IEU53" s="4"/>
      <c r="IEV53" s="4"/>
      <c r="IEW53" s="4"/>
      <c r="IEX53" s="4"/>
      <c r="IEY53" s="4"/>
      <c r="IEZ53" s="4"/>
      <c r="IFA53" s="4"/>
      <c r="IFB53" s="4"/>
      <c r="IFC53" s="4"/>
      <c r="IFD53" s="4"/>
      <c r="IFE53" s="4"/>
      <c r="IFF53" s="4"/>
      <c r="IFG53" s="4"/>
      <c r="IFH53" s="4"/>
      <c r="IFI53" s="4"/>
      <c r="IFJ53" s="4"/>
      <c r="IFK53" s="4"/>
      <c r="IFL53" s="4"/>
      <c r="IFM53" s="4"/>
      <c r="IFN53" s="4"/>
      <c r="IFO53" s="4"/>
      <c r="IFP53" s="4"/>
      <c r="IFQ53" s="4"/>
      <c r="IFR53" s="4"/>
      <c r="IFS53" s="4"/>
      <c r="IFT53" s="4"/>
      <c r="IFU53" s="4"/>
      <c r="IFV53" s="4"/>
      <c r="IFW53" s="4"/>
      <c r="IFX53" s="4"/>
      <c r="IFY53" s="4"/>
      <c r="IFZ53" s="4"/>
      <c r="IGA53" s="4"/>
      <c r="IGB53" s="4"/>
      <c r="IGC53" s="4"/>
      <c r="IGD53" s="4"/>
      <c r="IGE53" s="4"/>
      <c r="IGF53" s="4"/>
      <c r="IGG53" s="4"/>
      <c r="IGH53" s="4"/>
      <c r="IGI53" s="4"/>
      <c r="IGJ53" s="4"/>
      <c r="IGK53" s="4"/>
      <c r="IGL53" s="4"/>
      <c r="IGM53" s="4"/>
      <c r="IGN53" s="4"/>
      <c r="IGO53" s="4"/>
      <c r="IGP53" s="4"/>
      <c r="IGQ53" s="4"/>
      <c r="IGR53" s="4"/>
      <c r="IGS53" s="4"/>
      <c r="IGT53" s="4"/>
      <c r="IGU53" s="4"/>
      <c r="IGV53" s="4"/>
      <c r="IGW53" s="4"/>
      <c r="IGX53" s="4"/>
      <c r="IGY53" s="4"/>
      <c r="IGZ53" s="4"/>
      <c r="IHA53" s="4"/>
      <c r="IHB53" s="4"/>
      <c r="IHC53" s="4"/>
      <c r="IHD53" s="4"/>
      <c r="IHE53" s="4"/>
      <c r="IHF53" s="4"/>
      <c r="IHG53" s="4"/>
      <c r="IHH53" s="4"/>
      <c r="IHI53" s="4"/>
      <c r="IHJ53" s="4"/>
      <c r="IHK53" s="4"/>
      <c r="IHL53" s="4"/>
      <c r="IHM53" s="4"/>
      <c r="IHN53" s="4"/>
      <c r="IHO53" s="4"/>
      <c r="IHP53" s="4"/>
      <c r="IHQ53" s="4"/>
      <c r="IHR53" s="4"/>
      <c r="IHS53" s="4"/>
      <c r="IHT53" s="4"/>
      <c r="IHU53" s="4"/>
      <c r="IHV53" s="4"/>
      <c r="IHW53" s="4"/>
      <c r="IHX53" s="4"/>
      <c r="IHY53" s="4"/>
      <c r="IHZ53" s="4"/>
      <c r="IIA53" s="4"/>
      <c r="IIB53" s="4"/>
      <c r="IIC53" s="4"/>
      <c r="IID53" s="4"/>
      <c r="IIE53" s="4"/>
      <c r="IIF53" s="4"/>
      <c r="IIG53" s="4"/>
      <c r="IIH53" s="4"/>
      <c r="III53" s="4"/>
      <c r="IIJ53" s="4"/>
      <c r="IIK53" s="4"/>
      <c r="IIL53" s="4"/>
      <c r="IIM53" s="4"/>
      <c r="IIN53" s="4"/>
      <c r="IIO53" s="4"/>
      <c r="IIP53" s="4"/>
      <c r="IIQ53" s="4"/>
      <c r="IIR53" s="4"/>
      <c r="IIS53" s="4"/>
      <c r="IIT53" s="4"/>
      <c r="IIU53" s="4"/>
      <c r="IIV53" s="4"/>
      <c r="IIW53" s="4"/>
      <c r="IIX53" s="4"/>
      <c r="IIY53" s="4"/>
      <c r="IIZ53" s="4"/>
      <c r="IJA53" s="4"/>
      <c r="IJB53" s="4"/>
      <c r="IJC53" s="4"/>
      <c r="IJD53" s="4"/>
      <c r="IJE53" s="4"/>
      <c r="IJF53" s="4"/>
      <c r="IJG53" s="4"/>
      <c r="IJH53" s="4"/>
      <c r="IJI53" s="4"/>
      <c r="IJJ53" s="4"/>
      <c r="IJK53" s="4"/>
      <c r="IJL53" s="4"/>
      <c r="IJM53" s="4"/>
      <c r="IJN53" s="4"/>
      <c r="IJO53" s="4"/>
      <c r="IJP53" s="4"/>
      <c r="IJQ53" s="4"/>
      <c r="IJR53" s="4"/>
      <c r="IJS53" s="4"/>
      <c r="IJT53" s="4"/>
      <c r="IJU53" s="4"/>
      <c r="IJV53" s="4"/>
      <c r="IJW53" s="4"/>
      <c r="IJX53" s="4"/>
      <c r="IJY53" s="4"/>
      <c r="IJZ53" s="4"/>
      <c r="IKA53" s="4"/>
      <c r="IKB53" s="4"/>
      <c r="IKC53" s="4"/>
      <c r="IKD53" s="4"/>
      <c r="IKE53" s="4"/>
      <c r="IKF53" s="4"/>
      <c r="IKG53" s="4"/>
      <c r="IKH53" s="4"/>
      <c r="IKI53" s="4"/>
      <c r="IKJ53" s="4"/>
      <c r="IKK53" s="4"/>
      <c r="IKL53" s="4"/>
      <c r="IKM53" s="4"/>
      <c r="IKN53" s="4"/>
      <c r="IKO53" s="4"/>
      <c r="IKP53" s="4"/>
      <c r="IKQ53" s="4"/>
      <c r="IKR53" s="4"/>
      <c r="IKS53" s="4"/>
      <c r="IKT53" s="4"/>
      <c r="IKU53" s="4"/>
      <c r="IKV53" s="4"/>
      <c r="IKW53" s="4"/>
      <c r="IKX53" s="4"/>
      <c r="IKY53" s="4"/>
      <c r="IKZ53" s="4"/>
      <c r="ILA53" s="4"/>
      <c r="ILB53" s="4"/>
      <c r="ILC53" s="4"/>
      <c r="ILD53" s="4"/>
      <c r="ILE53" s="4"/>
      <c r="ILF53" s="4"/>
      <c r="ILG53" s="4"/>
      <c r="ILH53" s="4"/>
      <c r="ILI53" s="4"/>
      <c r="ILJ53" s="4"/>
      <c r="ILK53" s="4"/>
      <c r="ILL53" s="4"/>
      <c r="ILM53" s="4"/>
      <c r="ILN53" s="4"/>
      <c r="ILO53" s="4"/>
      <c r="ILP53" s="4"/>
      <c r="ILQ53" s="4"/>
      <c r="ILR53" s="4"/>
      <c r="ILS53" s="4"/>
      <c r="ILT53" s="4"/>
      <c r="ILU53" s="4"/>
      <c r="ILV53" s="4"/>
      <c r="ILW53" s="4"/>
      <c r="ILX53" s="4"/>
      <c r="ILY53" s="4"/>
      <c r="ILZ53" s="4"/>
      <c r="IMA53" s="4"/>
      <c r="IMB53" s="4"/>
      <c r="IMC53" s="4"/>
      <c r="IMD53" s="4"/>
      <c r="IME53" s="4"/>
      <c r="IMF53" s="4"/>
      <c r="IMG53" s="4"/>
      <c r="IMH53" s="4"/>
      <c r="IMI53" s="4"/>
      <c r="IMJ53" s="4"/>
      <c r="IMK53" s="4"/>
      <c r="IML53" s="4"/>
      <c r="IMM53" s="4"/>
      <c r="IMN53" s="4"/>
      <c r="IMO53" s="4"/>
      <c r="IMP53" s="4"/>
      <c r="IMQ53" s="4"/>
      <c r="IMR53" s="4"/>
      <c r="IMS53" s="4"/>
      <c r="IMT53" s="4"/>
      <c r="IMU53" s="4"/>
      <c r="IMV53" s="4"/>
      <c r="IMW53" s="4"/>
      <c r="IMX53" s="4"/>
      <c r="IMY53" s="4"/>
      <c r="IMZ53" s="4"/>
      <c r="INA53" s="4"/>
      <c r="INB53" s="4"/>
      <c r="INC53" s="4"/>
      <c r="IND53" s="4"/>
      <c r="INE53" s="4"/>
      <c r="INF53" s="4"/>
      <c r="ING53" s="4"/>
      <c r="INH53" s="4"/>
      <c r="INI53" s="4"/>
      <c r="INJ53" s="4"/>
      <c r="INK53" s="4"/>
      <c r="INL53" s="4"/>
      <c r="INM53" s="4"/>
      <c r="INN53" s="4"/>
      <c r="INO53" s="4"/>
      <c r="INP53" s="4"/>
      <c r="INQ53" s="4"/>
      <c r="INR53" s="4"/>
      <c r="INS53" s="4"/>
      <c r="INT53" s="4"/>
      <c r="INU53" s="4"/>
      <c r="INV53" s="4"/>
      <c r="INW53" s="4"/>
      <c r="INX53" s="4"/>
      <c r="INY53" s="4"/>
      <c r="INZ53" s="4"/>
      <c r="IOA53" s="4"/>
      <c r="IOB53" s="4"/>
      <c r="IOC53" s="4"/>
      <c r="IOD53" s="4"/>
      <c r="IOE53" s="4"/>
      <c r="IOF53" s="4"/>
      <c r="IOG53" s="4"/>
      <c r="IOH53" s="4"/>
      <c r="IOI53" s="4"/>
      <c r="IOJ53" s="4"/>
      <c r="IOK53" s="4"/>
      <c r="IOL53" s="4"/>
      <c r="IOM53" s="4"/>
      <c r="ION53" s="4"/>
      <c r="IOO53" s="4"/>
      <c r="IOP53" s="4"/>
      <c r="IOQ53" s="4"/>
      <c r="IOR53" s="4"/>
      <c r="IOS53" s="4"/>
      <c r="IOT53" s="4"/>
      <c r="IOU53" s="4"/>
      <c r="IOV53" s="4"/>
      <c r="IOW53" s="4"/>
      <c r="IOX53" s="4"/>
      <c r="IOY53" s="4"/>
      <c r="IOZ53" s="4"/>
      <c r="IPA53" s="4"/>
      <c r="IPB53" s="4"/>
      <c r="IPC53" s="4"/>
      <c r="IPD53" s="4"/>
      <c r="IPE53" s="4"/>
      <c r="IPF53" s="4"/>
      <c r="IPG53" s="4"/>
      <c r="IPH53" s="4"/>
      <c r="IPI53" s="4"/>
      <c r="IPJ53" s="4"/>
      <c r="IPK53" s="4"/>
      <c r="IPL53" s="4"/>
      <c r="IPM53" s="4"/>
      <c r="IPN53" s="4"/>
      <c r="IPO53" s="4"/>
      <c r="IPP53" s="4"/>
      <c r="IPQ53" s="4"/>
      <c r="IPR53" s="4"/>
      <c r="IPS53" s="4"/>
      <c r="IPT53" s="4"/>
      <c r="IPU53" s="4"/>
      <c r="IPV53" s="4"/>
      <c r="IPW53" s="4"/>
      <c r="IPX53" s="4"/>
      <c r="IPY53" s="4"/>
      <c r="IPZ53" s="4"/>
      <c r="IQA53" s="4"/>
      <c r="IQB53" s="4"/>
      <c r="IQC53" s="4"/>
      <c r="IQD53" s="4"/>
      <c r="IQE53" s="4"/>
      <c r="IQF53" s="4"/>
      <c r="IQG53" s="4"/>
      <c r="IQH53" s="4"/>
      <c r="IQI53" s="4"/>
      <c r="IQJ53" s="4"/>
      <c r="IQK53" s="4"/>
      <c r="IQL53" s="4"/>
      <c r="IQM53" s="4"/>
      <c r="IQN53" s="4"/>
      <c r="IQO53" s="4"/>
      <c r="IQP53" s="4"/>
      <c r="IQQ53" s="4"/>
      <c r="IQR53" s="4"/>
      <c r="IQS53" s="4"/>
      <c r="IQT53" s="4"/>
      <c r="IQU53" s="4"/>
      <c r="IQV53" s="4"/>
      <c r="IQW53" s="4"/>
      <c r="IQX53" s="4"/>
      <c r="IQY53" s="4"/>
      <c r="IQZ53" s="4"/>
      <c r="IRA53" s="4"/>
      <c r="IRB53" s="4"/>
      <c r="IRC53" s="4"/>
      <c r="IRD53" s="4"/>
      <c r="IRE53" s="4"/>
      <c r="IRF53" s="4"/>
      <c r="IRG53" s="4"/>
      <c r="IRH53" s="4"/>
      <c r="IRI53" s="4"/>
      <c r="IRJ53" s="4"/>
      <c r="IRK53" s="4"/>
      <c r="IRL53" s="4"/>
      <c r="IRM53" s="4"/>
      <c r="IRN53" s="4"/>
      <c r="IRO53" s="4"/>
      <c r="IRP53" s="4"/>
      <c r="IRQ53" s="4"/>
      <c r="IRR53" s="4"/>
      <c r="IRS53" s="4"/>
      <c r="IRT53" s="4"/>
      <c r="IRU53" s="4"/>
      <c r="IRV53" s="4"/>
      <c r="IRW53" s="4"/>
      <c r="IRX53" s="4"/>
      <c r="IRY53" s="4"/>
      <c r="IRZ53" s="4"/>
      <c r="ISA53" s="4"/>
      <c r="ISB53" s="4"/>
      <c r="ISC53" s="4"/>
      <c r="ISD53" s="4"/>
      <c r="ISE53" s="4"/>
      <c r="ISF53" s="4"/>
      <c r="ISG53" s="4"/>
      <c r="ISH53" s="4"/>
      <c r="ISI53" s="4"/>
      <c r="ISJ53" s="4"/>
      <c r="ISK53" s="4"/>
      <c r="ISL53" s="4"/>
      <c r="ISM53" s="4"/>
      <c r="ISN53" s="4"/>
      <c r="ISO53" s="4"/>
      <c r="ISP53" s="4"/>
      <c r="ISQ53" s="4"/>
      <c r="ISR53" s="4"/>
      <c r="ISS53" s="4"/>
      <c r="IST53" s="4"/>
      <c r="ISU53" s="4"/>
      <c r="ISV53" s="4"/>
      <c r="ISW53" s="4"/>
      <c r="ISX53" s="4"/>
      <c r="ISY53" s="4"/>
      <c r="ISZ53" s="4"/>
      <c r="ITA53" s="4"/>
      <c r="ITB53" s="4"/>
      <c r="ITC53" s="4"/>
      <c r="ITD53" s="4"/>
      <c r="ITE53" s="4"/>
      <c r="ITF53" s="4"/>
      <c r="ITG53" s="4"/>
      <c r="ITH53" s="4"/>
      <c r="ITI53" s="4"/>
      <c r="ITJ53" s="4"/>
      <c r="ITK53" s="4"/>
      <c r="ITL53" s="4"/>
      <c r="ITM53" s="4"/>
      <c r="ITN53" s="4"/>
      <c r="ITO53" s="4"/>
      <c r="ITP53" s="4"/>
      <c r="ITQ53" s="4"/>
      <c r="ITR53" s="4"/>
      <c r="ITS53" s="4"/>
      <c r="ITT53" s="4"/>
      <c r="ITU53" s="4"/>
      <c r="ITV53" s="4"/>
      <c r="ITW53" s="4"/>
      <c r="ITX53" s="4"/>
      <c r="ITY53" s="4"/>
      <c r="ITZ53" s="4"/>
      <c r="IUA53" s="4"/>
      <c r="IUB53" s="4"/>
      <c r="IUC53" s="4"/>
      <c r="IUD53" s="4"/>
      <c r="IUE53" s="4"/>
      <c r="IUF53" s="4"/>
      <c r="IUG53" s="4"/>
      <c r="IUH53" s="4"/>
      <c r="IUI53" s="4"/>
      <c r="IUJ53" s="4"/>
      <c r="IUK53" s="4"/>
      <c r="IUL53" s="4"/>
      <c r="IUM53" s="4"/>
      <c r="IUN53" s="4"/>
      <c r="IUO53" s="4"/>
      <c r="IUP53" s="4"/>
      <c r="IUQ53" s="4"/>
      <c r="IUR53" s="4"/>
      <c r="IUS53" s="4"/>
      <c r="IUT53" s="4"/>
      <c r="IUU53" s="4"/>
      <c r="IUV53" s="4"/>
      <c r="IUW53" s="4"/>
      <c r="IUX53" s="4"/>
      <c r="IUY53" s="4"/>
      <c r="IUZ53" s="4"/>
      <c r="IVA53" s="4"/>
      <c r="IVB53" s="4"/>
      <c r="IVC53" s="4"/>
      <c r="IVD53" s="4"/>
      <c r="IVE53" s="4"/>
      <c r="IVF53" s="4"/>
      <c r="IVG53" s="4"/>
      <c r="IVH53" s="4"/>
      <c r="IVI53" s="4"/>
      <c r="IVJ53" s="4"/>
      <c r="IVK53" s="4"/>
      <c r="IVL53" s="4"/>
      <c r="IVM53" s="4"/>
      <c r="IVN53" s="4"/>
      <c r="IVO53" s="4"/>
      <c r="IVP53" s="4"/>
      <c r="IVQ53" s="4"/>
      <c r="IVR53" s="4"/>
      <c r="IVS53" s="4"/>
      <c r="IVT53" s="4"/>
      <c r="IVU53" s="4"/>
      <c r="IVV53" s="4"/>
      <c r="IVW53" s="4"/>
      <c r="IVX53" s="4"/>
      <c r="IVY53" s="4"/>
      <c r="IVZ53" s="4"/>
      <c r="IWA53" s="4"/>
      <c r="IWB53" s="4"/>
      <c r="IWC53" s="4"/>
      <c r="IWD53" s="4"/>
      <c r="IWE53" s="4"/>
      <c r="IWF53" s="4"/>
      <c r="IWG53" s="4"/>
      <c r="IWH53" s="4"/>
      <c r="IWI53" s="4"/>
      <c r="IWJ53" s="4"/>
      <c r="IWK53" s="4"/>
      <c r="IWL53" s="4"/>
      <c r="IWM53" s="4"/>
      <c r="IWN53" s="4"/>
      <c r="IWO53" s="4"/>
      <c r="IWP53" s="4"/>
      <c r="IWQ53" s="4"/>
      <c r="IWR53" s="4"/>
      <c r="IWS53" s="4"/>
      <c r="IWT53" s="4"/>
      <c r="IWU53" s="4"/>
      <c r="IWV53" s="4"/>
      <c r="IWW53" s="4"/>
      <c r="IWX53" s="4"/>
      <c r="IWY53" s="4"/>
      <c r="IWZ53" s="4"/>
      <c r="IXA53" s="4"/>
      <c r="IXB53" s="4"/>
      <c r="IXC53" s="4"/>
      <c r="IXD53" s="4"/>
      <c r="IXE53" s="4"/>
      <c r="IXF53" s="4"/>
      <c r="IXG53" s="4"/>
      <c r="IXH53" s="4"/>
      <c r="IXI53" s="4"/>
      <c r="IXJ53" s="4"/>
      <c r="IXK53" s="4"/>
      <c r="IXL53" s="4"/>
      <c r="IXM53" s="4"/>
      <c r="IXN53" s="4"/>
      <c r="IXO53" s="4"/>
      <c r="IXP53" s="4"/>
      <c r="IXQ53" s="4"/>
      <c r="IXR53" s="4"/>
      <c r="IXS53" s="4"/>
      <c r="IXT53" s="4"/>
      <c r="IXU53" s="4"/>
      <c r="IXV53" s="4"/>
      <c r="IXW53" s="4"/>
      <c r="IXX53" s="4"/>
      <c r="IXY53" s="4"/>
      <c r="IXZ53" s="4"/>
      <c r="IYA53" s="4"/>
      <c r="IYB53" s="4"/>
      <c r="IYC53" s="4"/>
      <c r="IYD53" s="4"/>
      <c r="IYE53" s="4"/>
      <c r="IYF53" s="4"/>
      <c r="IYG53" s="4"/>
      <c r="IYH53" s="4"/>
      <c r="IYI53" s="4"/>
      <c r="IYJ53" s="4"/>
      <c r="IYK53" s="4"/>
      <c r="IYL53" s="4"/>
      <c r="IYM53" s="4"/>
      <c r="IYN53" s="4"/>
      <c r="IYO53" s="4"/>
      <c r="IYP53" s="4"/>
      <c r="IYQ53" s="4"/>
      <c r="IYR53" s="4"/>
      <c r="IYS53" s="4"/>
      <c r="IYT53" s="4"/>
      <c r="IYU53" s="4"/>
      <c r="IYV53" s="4"/>
      <c r="IYW53" s="4"/>
      <c r="IYX53" s="4"/>
      <c r="IYY53" s="4"/>
      <c r="IYZ53" s="4"/>
      <c r="IZA53" s="4"/>
      <c r="IZB53" s="4"/>
      <c r="IZC53" s="4"/>
      <c r="IZD53" s="4"/>
      <c r="IZE53" s="4"/>
      <c r="IZF53" s="4"/>
      <c r="IZG53" s="4"/>
      <c r="IZH53" s="4"/>
      <c r="IZI53" s="4"/>
      <c r="IZJ53" s="4"/>
      <c r="IZK53" s="4"/>
      <c r="IZL53" s="4"/>
      <c r="IZM53" s="4"/>
      <c r="IZN53" s="4"/>
      <c r="IZO53" s="4"/>
      <c r="IZP53" s="4"/>
      <c r="IZQ53" s="4"/>
      <c r="IZR53" s="4"/>
      <c r="IZS53" s="4"/>
      <c r="IZT53" s="4"/>
      <c r="IZU53" s="4"/>
      <c r="IZV53" s="4"/>
      <c r="IZW53" s="4"/>
      <c r="IZX53" s="4"/>
      <c r="IZY53" s="4"/>
      <c r="IZZ53" s="4"/>
      <c r="JAA53" s="4"/>
      <c r="JAB53" s="4"/>
      <c r="JAC53" s="4"/>
      <c r="JAD53" s="4"/>
      <c r="JAE53" s="4"/>
      <c r="JAF53" s="4"/>
      <c r="JAG53" s="4"/>
      <c r="JAH53" s="4"/>
      <c r="JAI53" s="4"/>
      <c r="JAJ53" s="4"/>
      <c r="JAK53" s="4"/>
      <c r="JAL53" s="4"/>
      <c r="JAM53" s="4"/>
      <c r="JAN53" s="4"/>
      <c r="JAO53" s="4"/>
      <c r="JAP53" s="4"/>
      <c r="JAQ53" s="4"/>
      <c r="JAR53" s="4"/>
      <c r="JAS53" s="4"/>
      <c r="JAT53" s="4"/>
      <c r="JAU53" s="4"/>
      <c r="JAV53" s="4"/>
      <c r="JAW53" s="4"/>
      <c r="JAX53" s="4"/>
      <c r="JAY53" s="4"/>
      <c r="JAZ53" s="4"/>
      <c r="JBA53" s="4"/>
      <c r="JBB53" s="4"/>
      <c r="JBC53" s="4"/>
      <c r="JBD53" s="4"/>
      <c r="JBE53" s="4"/>
      <c r="JBF53" s="4"/>
      <c r="JBG53" s="4"/>
      <c r="JBH53" s="4"/>
      <c r="JBI53" s="4"/>
      <c r="JBJ53" s="4"/>
      <c r="JBK53" s="4"/>
      <c r="JBL53" s="4"/>
      <c r="JBM53" s="4"/>
      <c r="JBN53" s="4"/>
      <c r="JBO53" s="4"/>
      <c r="JBP53" s="4"/>
      <c r="JBQ53" s="4"/>
      <c r="JBR53" s="4"/>
      <c r="JBS53" s="4"/>
      <c r="JBT53" s="4"/>
      <c r="JBU53" s="4"/>
      <c r="JBV53" s="4"/>
      <c r="JBW53" s="4"/>
      <c r="JBX53" s="4"/>
      <c r="JBY53" s="4"/>
      <c r="JBZ53" s="4"/>
      <c r="JCA53" s="4"/>
      <c r="JCB53" s="4"/>
      <c r="JCC53" s="4"/>
      <c r="JCD53" s="4"/>
      <c r="JCE53" s="4"/>
      <c r="JCF53" s="4"/>
      <c r="JCG53" s="4"/>
      <c r="JCH53" s="4"/>
      <c r="JCI53" s="4"/>
      <c r="JCJ53" s="4"/>
      <c r="JCK53" s="4"/>
      <c r="JCL53" s="4"/>
      <c r="JCM53" s="4"/>
      <c r="JCN53" s="4"/>
      <c r="JCO53" s="4"/>
      <c r="JCP53" s="4"/>
      <c r="JCQ53" s="4"/>
      <c r="JCR53" s="4"/>
      <c r="JCS53" s="4"/>
      <c r="JCT53" s="4"/>
      <c r="JCU53" s="4"/>
      <c r="JCV53" s="4"/>
      <c r="JCW53" s="4"/>
      <c r="JCX53" s="4"/>
      <c r="JCY53" s="4"/>
      <c r="JCZ53" s="4"/>
      <c r="JDA53" s="4"/>
      <c r="JDB53" s="4"/>
      <c r="JDC53" s="4"/>
      <c r="JDD53" s="4"/>
      <c r="JDE53" s="4"/>
      <c r="JDF53" s="4"/>
      <c r="JDG53" s="4"/>
      <c r="JDH53" s="4"/>
      <c r="JDI53" s="4"/>
      <c r="JDJ53" s="4"/>
      <c r="JDK53" s="4"/>
      <c r="JDL53" s="4"/>
      <c r="JDM53" s="4"/>
      <c r="JDN53" s="4"/>
      <c r="JDO53" s="4"/>
      <c r="JDP53" s="4"/>
      <c r="JDQ53" s="4"/>
      <c r="JDR53" s="4"/>
      <c r="JDS53" s="4"/>
      <c r="JDT53" s="4"/>
      <c r="JDU53" s="4"/>
      <c r="JDV53" s="4"/>
      <c r="JDW53" s="4"/>
      <c r="JDX53" s="4"/>
      <c r="JDY53" s="4"/>
      <c r="JDZ53" s="4"/>
      <c r="JEA53" s="4"/>
      <c r="JEB53" s="4"/>
      <c r="JEC53" s="4"/>
      <c r="JED53" s="4"/>
      <c r="JEE53" s="4"/>
      <c r="JEF53" s="4"/>
      <c r="JEG53" s="4"/>
      <c r="JEH53" s="4"/>
      <c r="JEI53" s="4"/>
      <c r="JEJ53" s="4"/>
      <c r="JEK53" s="4"/>
      <c r="JEL53" s="4"/>
      <c r="JEM53" s="4"/>
      <c r="JEN53" s="4"/>
      <c r="JEO53" s="4"/>
      <c r="JEP53" s="4"/>
      <c r="JEQ53" s="4"/>
      <c r="JER53" s="4"/>
      <c r="JES53" s="4"/>
      <c r="JET53" s="4"/>
      <c r="JEU53" s="4"/>
      <c r="JEV53" s="4"/>
      <c r="JEW53" s="4"/>
      <c r="JEX53" s="4"/>
      <c r="JEY53" s="4"/>
      <c r="JEZ53" s="4"/>
      <c r="JFA53" s="4"/>
      <c r="JFB53" s="4"/>
      <c r="JFC53" s="4"/>
      <c r="JFD53" s="4"/>
      <c r="JFE53" s="4"/>
      <c r="JFF53" s="4"/>
      <c r="JFG53" s="4"/>
      <c r="JFH53" s="4"/>
      <c r="JFI53" s="4"/>
      <c r="JFJ53" s="4"/>
      <c r="JFK53" s="4"/>
      <c r="JFL53" s="4"/>
      <c r="JFM53" s="4"/>
      <c r="JFN53" s="4"/>
      <c r="JFO53" s="4"/>
      <c r="JFP53" s="4"/>
      <c r="JFQ53" s="4"/>
      <c r="JFR53" s="4"/>
      <c r="JFS53" s="4"/>
      <c r="JFT53" s="4"/>
      <c r="JFU53" s="4"/>
      <c r="JFV53" s="4"/>
      <c r="JFW53" s="4"/>
      <c r="JFX53" s="4"/>
      <c r="JFY53" s="4"/>
      <c r="JFZ53" s="4"/>
      <c r="JGA53" s="4"/>
      <c r="JGB53" s="4"/>
      <c r="JGC53" s="4"/>
      <c r="JGD53" s="4"/>
      <c r="JGE53" s="4"/>
      <c r="JGF53" s="4"/>
      <c r="JGG53" s="4"/>
      <c r="JGH53" s="4"/>
      <c r="JGI53" s="4"/>
      <c r="JGJ53" s="4"/>
      <c r="JGK53" s="4"/>
      <c r="JGL53" s="4"/>
      <c r="JGM53" s="4"/>
      <c r="JGN53" s="4"/>
      <c r="JGO53" s="4"/>
      <c r="JGP53" s="4"/>
      <c r="JGQ53" s="4"/>
      <c r="JGR53" s="4"/>
      <c r="JGS53" s="4"/>
      <c r="JGT53" s="4"/>
      <c r="JGU53" s="4"/>
      <c r="JGV53" s="4"/>
      <c r="JGW53" s="4"/>
      <c r="JGX53" s="4"/>
      <c r="JGY53" s="4"/>
      <c r="JGZ53" s="4"/>
      <c r="JHA53" s="4"/>
      <c r="JHB53" s="4"/>
      <c r="JHC53" s="4"/>
      <c r="JHD53" s="4"/>
      <c r="JHE53" s="4"/>
      <c r="JHF53" s="4"/>
      <c r="JHG53" s="4"/>
      <c r="JHH53" s="4"/>
      <c r="JHI53" s="4"/>
      <c r="JHJ53" s="4"/>
      <c r="JHK53" s="4"/>
      <c r="JHL53" s="4"/>
      <c r="JHM53" s="4"/>
      <c r="JHN53" s="4"/>
      <c r="JHO53" s="4"/>
      <c r="JHP53" s="4"/>
      <c r="JHQ53" s="4"/>
      <c r="JHR53" s="4"/>
      <c r="JHS53" s="4"/>
      <c r="JHT53" s="4"/>
      <c r="JHU53" s="4"/>
      <c r="JHV53" s="4"/>
      <c r="JHW53" s="4"/>
      <c r="JHX53" s="4"/>
      <c r="JHY53" s="4"/>
      <c r="JHZ53" s="4"/>
      <c r="JIA53" s="4"/>
      <c r="JIB53" s="4"/>
      <c r="JIC53" s="4"/>
      <c r="JID53" s="4"/>
      <c r="JIE53" s="4"/>
      <c r="JIF53" s="4"/>
      <c r="JIG53" s="4"/>
      <c r="JIH53" s="4"/>
      <c r="JII53" s="4"/>
      <c r="JIJ53" s="4"/>
      <c r="JIK53" s="4"/>
      <c r="JIL53" s="4"/>
      <c r="JIM53" s="4"/>
      <c r="JIN53" s="4"/>
      <c r="JIO53" s="4"/>
      <c r="JIP53" s="4"/>
      <c r="JIQ53" s="4"/>
      <c r="JIR53" s="4"/>
      <c r="JIS53" s="4"/>
      <c r="JIT53" s="4"/>
      <c r="JIU53" s="4"/>
      <c r="JIV53" s="4"/>
      <c r="JIW53" s="4"/>
      <c r="JIX53" s="4"/>
      <c r="JIY53" s="4"/>
      <c r="JIZ53" s="4"/>
      <c r="JJA53" s="4"/>
      <c r="JJB53" s="4"/>
      <c r="JJC53" s="4"/>
      <c r="JJD53" s="4"/>
      <c r="JJE53" s="4"/>
      <c r="JJF53" s="4"/>
      <c r="JJG53" s="4"/>
      <c r="JJH53" s="4"/>
      <c r="JJI53" s="4"/>
      <c r="JJJ53" s="4"/>
      <c r="JJK53" s="4"/>
      <c r="JJL53" s="4"/>
      <c r="JJM53" s="4"/>
      <c r="JJN53" s="4"/>
      <c r="JJO53" s="4"/>
      <c r="JJP53" s="4"/>
      <c r="JJQ53" s="4"/>
      <c r="JJR53" s="4"/>
      <c r="JJS53" s="4"/>
      <c r="JJT53" s="4"/>
      <c r="JJU53" s="4"/>
      <c r="JJV53" s="4"/>
      <c r="JJW53" s="4"/>
      <c r="JJX53" s="4"/>
      <c r="JJY53" s="4"/>
      <c r="JJZ53" s="4"/>
      <c r="JKA53" s="4"/>
      <c r="JKB53" s="4"/>
      <c r="JKC53" s="4"/>
      <c r="JKD53" s="4"/>
      <c r="JKE53" s="4"/>
      <c r="JKF53" s="4"/>
      <c r="JKG53" s="4"/>
      <c r="JKH53" s="4"/>
      <c r="JKI53" s="4"/>
      <c r="JKJ53" s="4"/>
      <c r="JKK53" s="4"/>
      <c r="JKL53" s="4"/>
      <c r="JKM53" s="4"/>
      <c r="JKN53" s="4"/>
      <c r="JKO53" s="4"/>
      <c r="JKP53" s="4"/>
      <c r="JKQ53" s="4"/>
      <c r="JKR53" s="4"/>
      <c r="JKS53" s="4"/>
      <c r="JKT53" s="4"/>
      <c r="JKU53" s="4"/>
      <c r="JKV53" s="4"/>
      <c r="JKW53" s="4"/>
      <c r="JKX53" s="4"/>
      <c r="JKY53" s="4"/>
      <c r="JKZ53" s="4"/>
      <c r="JLA53" s="4"/>
      <c r="JLB53" s="4"/>
      <c r="JLC53" s="4"/>
      <c r="JLD53" s="4"/>
      <c r="JLE53" s="4"/>
      <c r="JLF53" s="4"/>
      <c r="JLG53" s="4"/>
      <c r="JLH53" s="4"/>
      <c r="JLI53" s="4"/>
      <c r="JLJ53" s="4"/>
      <c r="JLK53" s="4"/>
      <c r="JLL53" s="4"/>
      <c r="JLM53" s="4"/>
      <c r="JLN53" s="4"/>
      <c r="JLO53" s="4"/>
      <c r="JLP53" s="4"/>
      <c r="JLQ53" s="4"/>
      <c r="JLR53" s="4"/>
      <c r="JLS53" s="4"/>
      <c r="JLT53" s="4"/>
      <c r="JLU53" s="4"/>
      <c r="JLV53" s="4"/>
      <c r="JLW53" s="4"/>
      <c r="JLX53" s="4"/>
      <c r="JLY53" s="4"/>
      <c r="JLZ53" s="4"/>
      <c r="JMA53" s="4"/>
      <c r="JMB53" s="4"/>
      <c r="JMC53" s="4"/>
      <c r="JMD53" s="4"/>
      <c r="JME53" s="4"/>
      <c r="JMF53" s="4"/>
      <c r="JMG53" s="4"/>
      <c r="JMH53" s="4"/>
      <c r="JMI53" s="4"/>
      <c r="JMJ53" s="4"/>
      <c r="JMK53" s="4"/>
      <c r="JML53" s="4"/>
      <c r="JMM53" s="4"/>
      <c r="JMN53" s="4"/>
      <c r="JMO53" s="4"/>
      <c r="JMP53" s="4"/>
      <c r="JMQ53" s="4"/>
      <c r="JMR53" s="4"/>
      <c r="JMS53" s="4"/>
      <c r="JMT53" s="4"/>
      <c r="JMU53" s="4"/>
      <c r="JMV53" s="4"/>
      <c r="JMW53" s="4"/>
      <c r="JMX53" s="4"/>
      <c r="JMY53" s="4"/>
      <c r="JMZ53" s="4"/>
      <c r="JNA53" s="4"/>
      <c r="JNB53" s="4"/>
      <c r="JNC53" s="4"/>
      <c r="JND53" s="4"/>
      <c r="JNE53" s="4"/>
      <c r="JNF53" s="4"/>
      <c r="JNG53" s="4"/>
      <c r="JNH53" s="4"/>
      <c r="JNI53" s="4"/>
      <c r="JNJ53" s="4"/>
      <c r="JNK53" s="4"/>
      <c r="JNL53" s="4"/>
      <c r="JNM53" s="4"/>
      <c r="JNN53" s="4"/>
      <c r="JNO53" s="4"/>
      <c r="JNP53" s="4"/>
      <c r="JNQ53" s="4"/>
      <c r="JNR53" s="4"/>
      <c r="JNS53" s="4"/>
      <c r="JNT53" s="4"/>
      <c r="JNU53" s="4"/>
      <c r="JNV53" s="4"/>
      <c r="JNW53" s="4"/>
      <c r="JNX53" s="4"/>
      <c r="JNY53" s="4"/>
      <c r="JNZ53" s="4"/>
      <c r="JOA53" s="4"/>
      <c r="JOB53" s="4"/>
      <c r="JOC53" s="4"/>
      <c r="JOD53" s="4"/>
      <c r="JOE53" s="4"/>
      <c r="JOF53" s="4"/>
      <c r="JOG53" s="4"/>
      <c r="JOH53" s="4"/>
      <c r="JOI53" s="4"/>
      <c r="JOJ53" s="4"/>
      <c r="JOK53" s="4"/>
      <c r="JOL53" s="4"/>
      <c r="JOM53" s="4"/>
      <c r="JON53" s="4"/>
      <c r="JOO53" s="4"/>
      <c r="JOP53" s="4"/>
      <c r="JOQ53" s="4"/>
      <c r="JOR53" s="4"/>
      <c r="JOS53" s="4"/>
      <c r="JOT53" s="4"/>
      <c r="JOU53" s="4"/>
      <c r="JOV53" s="4"/>
      <c r="JOW53" s="4"/>
      <c r="JOX53" s="4"/>
      <c r="JOY53" s="4"/>
      <c r="JOZ53" s="4"/>
      <c r="JPA53" s="4"/>
      <c r="JPB53" s="4"/>
      <c r="JPC53" s="4"/>
      <c r="JPD53" s="4"/>
      <c r="JPE53" s="4"/>
      <c r="JPF53" s="4"/>
      <c r="JPG53" s="4"/>
      <c r="JPH53" s="4"/>
      <c r="JPI53" s="4"/>
      <c r="JPJ53" s="4"/>
      <c r="JPK53" s="4"/>
      <c r="JPL53" s="4"/>
      <c r="JPM53" s="4"/>
      <c r="JPN53" s="4"/>
      <c r="JPO53" s="4"/>
      <c r="JPP53" s="4"/>
      <c r="JPQ53" s="4"/>
      <c r="JPR53" s="4"/>
      <c r="JPS53" s="4"/>
      <c r="JPT53" s="4"/>
      <c r="JPU53" s="4"/>
      <c r="JPV53" s="4"/>
      <c r="JPW53" s="4"/>
      <c r="JPX53" s="4"/>
      <c r="JPY53" s="4"/>
      <c r="JPZ53" s="4"/>
      <c r="JQA53" s="4"/>
      <c r="JQB53" s="4"/>
      <c r="JQC53" s="4"/>
      <c r="JQD53" s="4"/>
      <c r="JQE53" s="4"/>
      <c r="JQF53" s="4"/>
      <c r="JQG53" s="4"/>
      <c r="JQH53" s="4"/>
      <c r="JQI53" s="4"/>
      <c r="JQJ53" s="4"/>
      <c r="JQK53" s="4"/>
      <c r="JQL53" s="4"/>
      <c r="JQM53" s="4"/>
      <c r="JQN53" s="4"/>
      <c r="JQO53" s="4"/>
      <c r="JQP53" s="4"/>
      <c r="JQQ53" s="4"/>
      <c r="JQR53" s="4"/>
      <c r="JQS53" s="4"/>
      <c r="JQT53" s="4"/>
      <c r="JQU53" s="4"/>
      <c r="JQV53" s="4"/>
      <c r="JQW53" s="4"/>
      <c r="JQX53" s="4"/>
      <c r="JQY53" s="4"/>
      <c r="JQZ53" s="4"/>
      <c r="JRA53" s="4"/>
      <c r="JRB53" s="4"/>
      <c r="JRC53" s="4"/>
      <c r="JRD53" s="4"/>
      <c r="JRE53" s="4"/>
      <c r="JRF53" s="4"/>
      <c r="JRG53" s="4"/>
      <c r="JRH53" s="4"/>
      <c r="JRI53" s="4"/>
      <c r="JRJ53" s="4"/>
      <c r="JRK53" s="4"/>
      <c r="JRL53" s="4"/>
      <c r="JRM53" s="4"/>
      <c r="JRN53" s="4"/>
      <c r="JRO53" s="4"/>
      <c r="JRP53" s="4"/>
      <c r="JRQ53" s="4"/>
      <c r="JRR53" s="4"/>
      <c r="JRS53" s="4"/>
      <c r="JRT53" s="4"/>
      <c r="JRU53" s="4"/>
      <c r="JRV53" s="4"/>
      <c r="JRW53" s="4"/>
      <c r="JRX53" s="4"/>
      <c r="JRY53" s="4"/>
      <c r="JRZ53" s="4"/>
      <c r="JSA53" s="4"/>
      <c r="JSB53" s="4"/>
      <c r="JSC53" s="4"/>
      <c r="JSD53" s="4"/>
      <c r="JSE53" s="4"/>
      <c r="JSF53" s="4"/>
      <c r="JSG53" s="4"/>
      <c r="JSH53" s="4"/>
      <c r="JSI53" s="4"/>
      <c r="JSJ53" s="4"/>
      <c r="JSK53" s="4"/>
      <c r="JSL53" s="4"/>
      <c r="JSM53" s="4"/>
      <c r="JSN53" s="4"/>
      <c r="JSO53" s="4"/>
      <c r="JSP53" s="4"/>
      <c r="JSQ53" s="4"/>
      <c r="JSR53" s="4"/>
      <c r="JSS53" s="4"/>
      <c r="JST53" s="4"/>
      <c r="JSU53" s="4"/>
      <c r="JSV53" s="4"/>
      <c r="JSW53" s="4"/>
      <c r="JSX53" s="4"/>
      <c r="JSY53" s="4"/>
      <c r="JSZ53" s="4"/>
      <c r="JTA53" s="4"/>
      <c r="JTB53" s="4"/>
      <c r="JTC53" s="4"/>
      <c r="JTD53" s="4"/>
      <c r="JTE53" s="4"/>
      <c r="JTF53" s="4"/>
      <c r="JTG53" s="4"/>
      <c r="JTH53" s="4"/>
      <c r="JTI53" s="4"/>
      <c r="JTJ53" s="4"/>
      <c r="JTK53" s="4"/>
      <c r="JTL53" s="4"/>
      <c r="JTM53" s="4"/>
      <c r="JTN53" s="4"/>
      <c r="JTO53" s="4"/>
      <c r="JTP53" s="4"/>
      <c r="JTQ53" s="4"/>
      <c r="JTR53" s="4"/>
      <c r="JTS53" s="4"/>
      <c r="JTT53" s="4"/>
      <c r="JTU53" s="4"/>
      <c r="JTV53" s="4"/>
      <c r="JTW53" s="4"/>
      <c r="JTX53" s="4"/>
      <c r="JTY53" s="4"/>
      <c r="JTZ53" s="4"/>
      <c r="JUA53" s="4"/>
      <c r="JUB53" s="4"/>
      <c r="JUC53" s="4"/>
      <c r="JUD53" s="4"/>
      <c r="JUE53" s="4"/>
      <c r="JUF53" s="4"/>
      <c r="JUG53" s="4"/>
      <c r="JUH53" s="4"/>
      <c r="JUI53" s="4"/>
      <c r="JUJ53" s="4"/>
      <c r="JUK53" s="4"/>
      <c r="JUL53" s="4"/>
      <c r="JUM53" s="4"/>
      <c r="JUN53" s="4"/>
      <c r="JUO53" s="4"/>
      <c r="JUP53" s="4"/>
      <c r="JUQ53" s="4"/>
      <c r="JUR53" s="4"/>
      <c r="JUS53" s="4"/>
      <c r="JUT53" s="4"/>
      <c r="JUU53" s="4"/>
      <c r="JUV53" s="4"/>
      <c r="JUW53" s="4"/>
      <c r="JUX53" s="4"/>
      <c r="JUY53" s="4"/>
      <c r="JUZ53" s="4"/>
      <c r="JVA53" s="4"/>
      <c r="JVB53" s="4"/>
      <c r="JVC53" s="4"/>
      <c r="JVD53" s="4"/>
      <c r="JVE53" s="4"/>
      <c r="JVF53" s="4"/>
      <c r="JVG53" s="4"/>
      <c r="JVH53" s="4"/>
      <c r="JVI53" s="4"/>
      <c r="JVJ53" s="4"/>
      <c r="JVK53" s="4"/>
      <c r="JVL53" s="4"/>
      <c r="JVM53" s="4"/>
      <c r="JVN53" s="4"/>
      <c r="JVO53" s="4"/>
      <c r="JVP53" s="4"/>
      <c r="JVQ53" s="4"/>
      <c r="JVR53" s="4"/>
      <c r="JVS53" s="4"/>
      <c r="JVT53" s="4"/>
      <c r="JVU53" s="4"/>
      <c r="JVV53" s="4"/>
      <c r="JVW53" s="4"/>
      <c r="JVX53" s="4"/>
      <c r="JVY53" s="4"/>
      <c r="JVZ53" s="4"/>
      <c r="JWA53" s="4"/>
      <c r="JWB53" s="4"/>
      <c r="JWC53" s="4"/>
      <c r="JWD53" s="4"/>
      <c r="JWE53" s="4"/>
      <c r="JWF53" s="4"/>
      <c r="JWG53" s="4"/>
      <c r="JWH53" s="4"/>
      <c r="JWI53" s="4"/>
      <c r="JWJ53" s="4"/>
      <c r="JWK53" s="4"/>
      <c r="JWL53" s="4"/>
      <c r="JWM53" s="4"/>
      <c r="JWN53" s="4"/>
      <c r="JWO53" s="4"/>
      <c r="JWP53" s="4"/>
      <c r="JWQ53" s="4"/>
      <c r="JWR53" s="4"/>
      <c r="JWS53" s="4"/>
      <c r="JWT53" s="4"/>
      <c r="JWU53" s="4"/>
      <c r="JWV53" s="4"/>
      <c r="JWW53" s="4"/>
      <c r="JWX53" s="4"/>
      <c r="JWY53" s="4"/>
      <c r="JWZ53" s="4"/>
      <c r="JXA53" s="4"/>
      <c r="JXB53" s="4"/>
      <c r="JXC53" s="4"/>
      <c r="JXD53" s="4"/>
      <c r="JXE53" s="4"/>
      <c r="JXF53" s="4"/>
      <c r="JXG53" s="4"/>
      <c r="JXH53" s="4"/>
      <c r="JXI53" s="4"/>
      <c r="JXJ53" s="4"/>
      <c r="JXK53" s="4"/>
      <c r="JXL53" s="4"/>
      <c r="JXM53" s="4"/>
      <c r="JXN53" s="4"/>
      <c r="JXO53" s="4"/>
      <c r="JXP53" s="4"/>
      <c r="JXQ53" s="4"/>
      <c r="JXR53" s="4"/>
      <c r="JXS53" s="4"/>
      <c r="JXT53" s="4"/>
      <c r="JXU53" s="4"/>
      <c r="JXV53" s="4"/>
      <c r="JXW53" s="4"/>
      <c r="JXX53" s="4"/>
      <c r="JXY53" s="4"/>
      <c r="JXZ53" s="4"/>
      <c r="JYA53" s="4"/>
      <c r="JYB53" s="4"/>
      <c r="JYC53" s="4"/>
      <c r="JYD53" s="4"/>
      <c r="JYE53" s="4"/>
      <c r="JYF53" s="4"/>
      <c r="JYG53" s="4"/>
      <c r="JYH53" s="4"/>
      <c r="JYI53" s="4"/>
      <c r="JYJ53" s="4"/>
      <c r="JYK53" s="4"/>
      <c r="JYL53" s="4"/>
      <c r="JYM53" s="4"/>
      <c r="JYN53" s="4"/>
      <c r="JYO53" s="4"/>
      <c r="JYP53" s="4"/>
      <c r="JYQ53" s="4"/>
      <c r="JYR53" s="4"/>
      <c r="JYS53" s="4"/>
      <c r="JYT53" s="4"/>
      <c r="JYU53" s="4"/>
      <c r="JYV53" s="4"/>
      <c r="JYW53" s="4"/>
      <c r="JYX53" s="4"/>
      <c r="JYY53" s="4"/>
      <c r="JYZ53" s="4"/>
      <c r="JZA53" s="4"/>
      <c r="JZB53" s="4"/>
      <c r="JZC53" s="4"/>
      <c r="JZD53" s="4"/>
      <c r="JZE53" s="4"/>
      <c r="JZF53" s="4"/>
      <c r="JZG53" s="4"/>
      <c r="JZH53" s="4"/>
      <c r="JZI53" s="4"/>
      <c r="JZJ53" s="4"/>
      <c r="JZK53" s="4"/>
      <c r="JZL53" s="4"/>
      <c r="JZM53" s="4"/>
      <c r="JZN53" s="4"/>
      <c r="JZO53" s="4"/>
      <c r="JZP53" s="4"/>
      <c r="JZQ53" s="4"/>
      <c r="JZR53" s="4"/>
      <c r="JZS53" s="4"/>
      <c r="JZT53" s="4"/>
      <c r="JZU53" s="4"/>
      <c r="JZV53" s="4"/>
      <c r="JZW53" s="4"/>
      <c r="JZX53" s="4"/>
      <c r="JZY53" s="4"/>
      <c r="JZZ53" s="4"/>
      <c r="KAA53" s="4"/>
      <c r="KAB53" s="4"/>
      <c r="KAC53" s="4"/>
      <c r="KAD53" s="4"/>
      <c r="KAE53" s="4"/>
      <c r="KAF53" s="4"/>
      <c r="KAG53" s="4"/>
      <c r="KAH53" s="4"/>
      <c r="KAI53" s="4"/>
      <c r="KAJ53" s="4"/>
      <c r="KAK53" s="4"/>
      <c r="KAL53" s="4"/>
      <c r="KAM53" s="4"/>
      <c r="KAN53" s="4"/>
      <c r="KAO53" s="4"/>
      <c r="KAP53" s="4"/>
      <c r="KAQ53" s="4"/>
      <c r="KAR53" s="4"/>
      <c r="KAS53" s="4"/>
      <c r="KAT53" s="4"/>
      <c r="KAU53" s="4"/>
      <c r="KAV53" s="4"/>
      <c r="KAW53" s="4"/>
      <c r="KAX53" s="4"/>
      <c r="KAY53" s="4"/>
      <c r="KAZ53" s="4"/>
      <c r="KBA53" s="4"/>
      <c r="KBB53" s="4"/>
      <c r="KBC53" s="4"/>
      <c r="KBD53" s="4"/>
      <c r="KBE53" s="4"/>
      <c r="KBF53" s="4"/>
      <c r="KBG53" s="4"/>
      <c r="KBH53" s="4"/>
      <c r="KBI53" s="4"/>
      <c r="KBJ53" s="4"/>
      <c r="KBK53" s="4"/>
      <c r="KBL53" s="4"/>
      <c r="KBM53" s="4"/>
      <c r="KBN53" s="4"/>
      <c r="KBO53" s="4"/>
      <c r="KBP53" s="4"/>
      <c r="KBQ53" s="4"/>
      <c r="KBR53" s="4"/>
      <c r="KBS53" s="4"/>
      <c r="KBT53" s="4"/>
      <c r="KBU53" s="4"/>
      <c r="KBV53" s="4"/>
      <c r="KBW53" s="4"/>
      <c r="KBX53" s="4"/>
      <c r="KBY53" s="4"/>
      <c r="KBZ53" s="4"/>
      <c r="KCA53" s="4"/>
      <c r="KCB53" s="4"/>
      <c r="KCC53" s="4"/>
      <c r="KCD53" s="4"/>
      <c r="KCE53" s="4"/>
      <c r="KCF53" s="4"/>
      <c r="KCG53" s="4"/>
      <c r="KCH53" s="4"/>
      <c r="KCI53" s="4"/>
      <c r="KCJ53" s="4"/>
      <c r="KCK53" s="4"/>
      <c r="KCL53" s="4"/>
      <c r="KCM53" s="4"/>
      <c r="KCN53" s="4"/>
      <c r="KCO53" s="4"/>
      <c r="KCP53" s="4"/>
      <c r="KCQ53" s="4"/>
      <c r="KCR53" s="4"/>
      <c r="KCS53" s="4"/>
      <c r="KCT53" s="4"/>
      <c r="KCU53" s="4"/>
      <c r="KCV53" s="4"/>
      <c r="KCW53" s="4"/>
      <c r="KCX53" s="4"/>
      <c r="KCY53" s="4"/>
      <c r="KCZ53" s="4"/>
      <c r="KDA53" s="4"/>
      <c r="KDB53" s="4"/>
      <c r="KDC53" s="4"/>
      <c r="KDD53" s="4"/>
      <c r="KDE53" s="4"/>
      <c r="KDF53" s="4"/>
      <c r="KDG53" s="4"/>
      <c r="KDH53" s="4"/>
      <c r="KDI53" s="4"/>
      <c r="KDJ53" s="4"/>
      <c r="KDK53" s="4"/>
      <c r="KDL53" s="4"/>
      <c r="KDM53" s="4"/>
      <c r="KDN53" s="4"/>
      <c r="KDO53" s="4"/>
      <c r="KDP53" s="4"/>
      <c r="KDQ53" s="4"/>
      <c r="KDR53" s="4"/>
      <c r="KDS53" s="4"/>
      <c r="KDT53" s="4"/>
      <c r="KDU53" s="4"/>
      <c r="KDV53" s="4"/>
      <c r="KDW53" s="4"/>
      <c r="KDX53" s="4"/>
      <c r="KDY53" s="4"/>
      <c r="KDZ53" s="4"/>
      <c r="KEA53" s="4"/>
      <c r="KEB53" s="4"/>
      <c r="KEC53" s="4"/>
      <c r="KED53" s="4"/>
      <c r="KEE53" s="4"/>
      <c r="KEF53" s="4"/>
      <c r="KEG53" s="4"/>
      <c r="KEH53" s="4"/>
      <c r="KEI53" s="4"/>
      <c r="KEJ53" s="4"/>
      <c r="KEK53" s="4"/>
      <c r="KEL53" s="4"/>
      <c r="KEM53" s="4"/>
      <c r="KEN53" s="4"/>
      <c r="KEO53" s="4"/>
      <c r="KEP53" s="4"/>
      <c r="KEQ53" s="4"/>
      <c r="KER53" s="4"/>
      <c r="KES53" s="4"/>
      <c r="KET53" s="4"/>
      <c r="KEU53" s="4"/>
      <c r="KEV53" s="4"/>
      <c r="KEW53" s="4"/>
      <c r="KEX53" s="4"/>
      <c r="KEY53" s="4"/>
      <c r="KEZ53" s="4"/>
      <c r="KFA53" s="4"/>
      <c r="KFB53" s="4"/>
      <c r="KFC53" s="4"/>
      <c r="KFD53" s="4"/>
      <c r="KFE53" s="4"/>
      <c r="KFF53" s="4"/>
      <c r="KFG53" s="4"/>
      <c r="KFH53" s="4"/>
      <c r="KFI53" s="4"/>
      <c r="KFJ53" s="4"/>
      <c r="KFK53" s="4"/>
      <c r="KFL53" s="4"/>
      <c r="KFM53" s="4"/>
      <c r="KFN53" s="4"/>
      <c r="KFO53" s="4"/>
      <c r="KFP53" s="4"/>
      <c r="KFQ53" s="4"/>
      <c r="KFR53" s="4"/>
      <c r="KFS53" s="4"/>
      <c r="KFT53" s="4"/>
      <c r="KFU53" s="4"/>
      <c r="KFV53" s="4"/>
      <c r="KFW53" s="4"/>
      <c r="KFX53" s="4"/>
      <c r="KFY53" s="4"/>
      <c r="KFZ53" s="4"/>
      <c r="KGA53" s="4"/>
      <c r="KGB53" s="4"/>
      <c r="KGC53" s="4"/>
      <c r="KGD53" s="4"/>
      <c r="KGE53" s="4"/>
      <c r="KGF53" s="4"/>
      <c r="KGG53" s="4"/>
      <c r="KGH53" s="4"/>
      <c r="KGI53" s="4"/>
      <c r="KGJ53" s="4"/>
      <c r="KGK53" s="4"/>
      <c r="KGL53" s="4"/>
      <c r="KGM53" s="4"/>
      <c r="KGN53" s="4"/>
      <c r="KGO53" s="4"/>
      <c r="KGP53" s="4"/>
      <c r="KGQ53" s="4"/>
      <c r="KGR53" s="4"/>
      <c r="KGS53" s="4"/>
      <c r="KGT53" s="4"/>
      <c r="KGU53" s="4"/>
      <c r="KGV53" s="4"/>
      <c r="KGW53" s="4"/>
      <c r="KGX53" s="4"/>
      <c r="KGY53" s="4"/>
      <c r="KGZ53" s="4"/>
      <c r="KHA53" s="4"/>
      <c r="KHB53" s="4"/>
      <c r="KHC53" s="4"/>
      <c r="KHD53" s="4"/>
      <c r="KHE53" s="4"/>
      <c r="KHF53" s="4"/>
      <c r="KHG53" s="4"/>
      <c r="KHH53" s="4"/>
      <c r="KHI53" s="4"/>
      <c r="KHJ53" s="4"/>
      <c r="KHK53" s="4"/>
      <c r="KHL53" s="4"/>
      <c r="KHM53" s="4"/>
      <c r="KHN53" s="4"/>
      <c r="KHO53" s="4"/>
      <c r="KHP53" s="4"/>
      <c r="KHQ53" s="4"/>
      <c r="KHR53" s="4"/>
      <c r="KHS53" s="4"/>
      <c r="KHT53" s="4"/>
      <c r="KHU53" s="4"/>
      <c r="KHV53" s="4"/>
      <c r="KHW53" s="4"/>
      <c r="KHX53" s="4"/>
      <c r="KHY53" s="4"/>
      <c r="KHZ53" s="4"/>
      <c r="KIA53" s="4"/>
      <c r="KIB53" s="4"/>
      <c r="KIC53" s="4"/>
      <c r="KID53" s="4"/>
      <c r="KIE53" s="4"/>
      <c r="KIF53" s="4"/>
      <c r="KIG53" s="4"/>
      <c r="KIH53" s="4"/>
      <c r="KII53" s="4"/>
      <c r="KIJ53" s="4"/>
      <c r="KIK53" s="4"/>
      <c r="KIL53" s="4"/>
      <c r="KIM53" s="4"/>
      <c r="KIN53" s="4"/>
      <c r="KIO53" s="4"/>
      <c r="KIP53" s="4"/>
      <c r="KIQ53" s="4"/>
      <c r="KIR53" s="4"/>
      <c r="KIS53" s="4"/>
      <c r="KIT53" s="4"/>
      <c r="KIU53" s="4"/>
      <c r="KIV53" s="4"/>
      <c r="KIW53" s="4"/>
      <c r="KIX53" s="4"/>
      <c r="KIY53" s="4"/>
      <c r="KIZ53" s="4"/>
      <c r="KJA53" s="4"/>
      <c r="KJB53" s="4"/>
      <c r="KJC53" s="4"/>
      <c r="KJD53" s="4"/>
      <c r="KJE53" s="4"/>
      <c r="KJF53" s="4"/>
      <c r="KJG53" s="4"/>
      <c r="KJH53" s="4"/>
      <c r="KJI53" s="4"/>
      <c r="KJJ53" s="4"/>
      <c r="KJK53" s="4"/>
      <c r="KJL53" s="4"/>
      <c r="KJM53" s="4"/>
      <c r="KJN53" s="4"/>
      <c r="KJO53" s="4"/>
      <c r="KJP53" s="4"/>
      <c r="KJQ53" s="4"/>
      <c r="KJR53" s="4"/>
      <c r="KJS53" s="4"/>
      <c r="KJT53" s="4"/>
      <c r="KJU53" s="4"/>
      <c r="KJV53" s="4"/>
      <c r="KJW53" s="4"/>
      <c r="KJX53" s="4"/>
      <c r="KJY53" s="4"/>
      <c r="KJZ53" s="4"/>
      <c r="KKA53" s="4"/>
      <c r="KKB53" s="4"/>
      <c r="KKC53" s="4"/>
      <c r="KKD53" s="4"/>
      <c r="KKE53" s="4"/>
      <c r="KKF53" s="4"/>
      <c r="KKG53" s="4"/>
      <c r="KKH53" s="4"/>
      <c r="KKI53" s="4"/>
      <c r="KKJ53" s="4"/>
      <c r="KKK53" s="4"/>
      <c r="KKL53" s="4"/>
      <c r="KKM53" s="4"/>
      <c r="KKN53" s="4"/>
      <c r="KKO53" s="4"/>
      <c r="KKP53" s="4"/>
      <c r="KKQ53" s="4"/>
      <c r="KKR53" s="4"/>
      <c r="KKS53" s="4"/>
      <c r="KKT53" s="4"/>
      <c r="KKU53" s="4"/>
      <c r="KKV53" s="4"/>
      <c r="KKW53" s="4"/>
      <c r="KKX53" s="4"/>
      <c r="KKY53" s="4"/>
      <c r="KKZ53" s="4"/>
      <c r="KLA53" s="4"/>
      <c r="KLB53" s="4"/>
      <c r="KLC53" s="4"/>
      <c r="KLD53" s="4"/>
      <c r="KLE53" s="4"/>
      <c r="KLF53" s="4"/>
      <c r="KLG53" s="4"/>
      <c r="KLH53" s="4"/>
      <c r="KLI53" s="4"/>
      <c r="KLJ53" s="4"/>
      <c r="KLK53" s="4"/>
      <c r="KLL53" s="4"/>
      <c r="KLM53" s="4"/>
      <c r="KLN53" s="4"/>
      <c r="KLO53" s="4"/>
      <c r="KLP53" s="4"/>
      <c r="KLQ53" s="4"/>
      <c r="KLR53" s="4"/>
      <c r="KLS53" s="4"/>
      <c r="KLT53" s="4"/>
      <c r="KLU53" s="4"/>
      <c r="KLV53" s="4"/>
      <c r="KLW53" s="4"/>
      <c r="KLX53" s="4"/>
      <c r="KLY53" s="4"/>
      <c r="KLZ53" s="4"/>
      <c r="KMA53" s="4"/>
      <c r="KMB53" s="4"/>
      <c r="KMC53" s="4"/>
      <c r="KMD53" s="4"/>
      <c r="KME53" s="4"/>
      <c r="KMF53" s="4"/>
      <c r="KMG53" s="4"/>
      <c r="KMH53" s="4"/>
      <c r="KMI53" s="4"/>
      <c r="KMJ53" s="4"/>
      <c r="KMK53" s="4"/>
      <c r="KML53" s="4"/>
      <c r="KMM53" s="4"/>
      <c r="KMN53" s="4"/>
      <c r="KMO53" s="4"/>
      <c r="KMP53" s="4"/>
      <c r="KMQ53" s="4"/>
      <c r="KMR53" s="4"/>
      <c r="KMS53" s="4"/>
      <c r="KMT53" s="4"/>
      <c r="KMU53" s="4"/>
      <c r="KMV53" s="4"/>
      <c r="KMW53" s="4"/>
      <c r="KMX53" s="4"/>
      <c r="KMY53" s="4"/>
      <c r="KMZ53" s="4"/>
      <c r="KNA53" s="4"/>
      <c r="KNB53" s="4"/>
      <c r="KNC53" s="4"/>
      <c r="KND53" s="4"/>
      <c r="KNE53" s="4"/>
      <c r="KNF53" s="4"/>
      <c r="KNG53" s="4"/>
      <c r="KNH53" s="4"/>
      <c r="KNI53" s="4"/>
      <c r="KNJ53" s="4"/>
      <c r="KNK53" s="4"/>
      <c r="KNL53" s="4"/>
      <c r="KNM53" s="4"/>
      <c r="KNN53" s="4"/>
      <c r="KNO53" s="4"/>
      <c r="KNP53" s="4"/>
      <c r="KNQ53" s="4"/>
      <c r="KNR53" s="4"/>
      <c r="KNS53" s="4"/>
      <c r="KNT53" s="4"/>
      <c r="KNU53" s="4"/>
      <c r="KNV53" s="4"/>
      <c r="KNW53" s="4"/>
      <c r="KNX53" s="4"/>
      <c r="KNY53" s="4"/>
      <c r="KNZ53" s="4"/>
      <c r="KOA53" s="4"/>
      <c r="KOB53" s="4"/>
      <c r="KOC53" s="4"/>
      <c r="KOD53" s="4"/>
      <c r="KOE53" s="4"/>
      <c r="KOF53" s="4"/>
      <c r="KOG53" s="4"/>
      <c r="KOH53" s="4"/>
      <c r="KOI53" s="4"/>
      <c r="KOJ53" s="4"/>
      <c r="KOK53" s="4"/>
      <c r="KOL53" s="4"/>
      <c r="KOM53" s="4"/>
      <c r="KON53" s="4"/>
      <c r="KOO53" s="4"/>
      <c r="KOP53" s="4"/>
      <c r="KOQ53" s="4"/>
      <c r="KOR53" s="4"/>
      <c r="KOS53" s="4"/>
      <c r="KOT53" s="4"/>
      <c r="KOU53" s="4"/>
      <c r="KOV53" s="4"/>
      <c r="KOW53" s="4"/>
      <c r="KOX53" s="4"/>
      <c r="KOY53" s="4"/>
      <c r="KOZ53" s="4"/>
      <c r="KPA53" s="4"/>
      <c r="KPB53" s="4"/>
      <c r="KPC53" s="4"/>
      <c r="KPD53" s="4"/>
      <c r="KPE53" s="4"/>
      <c r="KPF53" s="4"/>
      <c r="KPG53" s="4"/>
      <c r="KPH53" s="4"/>
      <c r="KPI53" s="4"/>
      <c r="KPJ53" s="4"/>
      <c r="KPK53" s="4"/>
      <c r="KPL53" s="4"/>
      <c r="KPM53" s="4"/>
      <c r="KPN53" s="4"/>
      <c r="KPO53" s="4"/>
      <c r="KPP53" s="4"/>
      <c r="KPQ53" s="4"/>
      <c r="KPR53" s="4"/>
      <c r="KPS53" s="4"/>
      <c r="KPT53" s="4"/>
      <c r="KPU53" s="4"/>
      <c r="KPV53" s="4"/>
      <c r="KPW53" s="4"/>
      <c r="KPX53" s="4"/>
      <c r="KPY53" s="4"/>
      <c r="KPZ53" s="4"/>
      <c r="KQA53" s="4"/>
      <c r="KQB53" s="4"/>
      <c r="KQC53" s="4"/>
      <c r="KQD53" s="4"/>
      <c r="KQE53" s="4"/>
      <c r="KQF53" s="4"/>
      <c r="KQG53" s="4"/>
      <c r="KQH53" s="4"/>
      <c r="KQI53" s="4"/>
      <c r="KQJ53" s="4"/>
      <c r="KQK53" s="4"/>
      <c r="KQL53" s="4"/>
      <c r="KQM53" s="4"/>
      <c r="KQN53" s="4"/>
      <c r="KQO53" s="4"/>
      <c r="KQP53" s="4"/>
      <c r="KQQ53" s="4"/>
      <c r="KQR53" s="4"/>
      <c r="KQS53" s="4"/>
      <c r="KQT53" s="4"/>
      <c r="KQU53" s="4"/>
      <c r="KQV53" s="4"/>
      <c r="KQW53" s="4"/>
      <c r="KQX53" s="4"/>
      <c r="KQY53" s="4"/>
      <c r="KQZ53" s="4"/>
      <c r="KRA53" s="4"/>
      <c r="KRB53" s="4"/>
      <c r="KRC53" s="4"/>
      <c r="KRD53" s="4"/>
      <c r="KRE53" s="4"/>
      <c r="KRF53" s="4"/>
      <c r="KRG53" s="4"/>
      <c r="KRH53" s="4"/>
      <c r="KRI53" s="4"/>
      <c r="KRJ53" s="4"/>
      <c r="KRK53" s="4"/>
      <c r="KRL53" s="4"/>
      <c r="KRM53" s="4"/>
      <c r="KRN53" s="4"/>
      <c r="KRO53" s="4"/>
      <c r="KRP53" s="4"/>
      <c r="KRQ53" s="4"/>
      <c r="KRR53" s="4"/>
      <c r="KRS53" s="4"/>
      <c r="KRT53" s="4"/>
      <c r="KRU53" s="4"/>
      <c r="KRV53" s="4"/>
      <c r="KRW53" s="4"/>
      <c r="KRX53" s="4"/>
      <c r="KRY53" s="4"/>
      <c r="KRZ53" s="4"/>
      <c r="KSA53" s="4"/>
      <c r="KSB53" s="4"/>
      <c r="KSC53" s="4"/>
      <c r="KSD53" s="4"/>
      <c r="KSE53" s="4"/>
      <c r="KSF53" s="4"/>
      <c r="KSG53" s="4"/>
      <c r="KSH53" s="4"/>
      <c r="KSI53" s="4"/>
      <c r="KSJ53" s="4"/>
      <c r="KSK53" s="4"/>
      <c r="KSL53" s="4"/>
      <c r="KSM53" s="4"/>
      <c r="KSN53" s="4"/>
      <c r="KSO53" s="4"/>
      <c r="KSP53" s="4"/>
      <c r="KSQ53" s="4"/>
      <c r="KSR53" s="4"/>
      <c r="KSS53" s="4"/>
      <c r="KST53" s="4"/>
      <c r="KSU53" s="4"/>
      <c r="KSV53" s="4"/>
      <c r="KSW53" s="4"/>
      <c r="KSX53" s="4"/>
      <c r="KSY53" s="4"/>
      <c r="KSZ53" s="4"/>
      <c r="KTA53" s="4"/>
      <c r="KTB53" s="4"/>
      <c r="KTC53" s="4"/>
      <c r="KTD53" s="4"/>
      <c r="KTE53" s="4"/>
      <c r="KTF53" s="4"/>
      <c r="KTG53" s="4"/>
      <c r="KTH53" s="4"/>
      <c r="KTI53" s="4"/>
      <c r="KTJ53" s="4"/>
      <c r="KTK53" s="4"/>
      <c r="KTL53" s="4"/>
      <c r="KTM53" s="4"/>
      <c r="KTN53" s="4"/>
      <c r="KTO53" s="4"/>
      <c r="KTP53" s="4"/>
      <c r="KTQ53" s="4"/>
      <c r="KTR53" s="4"/>
      <c r="KTS53" s="4"/>
      <c r="KTT53" s="4"/>
      <c r="KTU53" s="4"/>
      <c r="KTV53" s="4"/>
      <c r="KTW53" s="4"/>
      <c r="KTX53" s="4"/>
      <c r="KTY53" s="4"/>
      <c r="KTZ53" s="4"/>
      <c r="KUA53" s="4"/>
      <c r="KUB53" s="4"/>
      <c r="KUC53" s="4"/>
      <c r="KUD53" s="4"/>
      <c r="KUE53" s="4"/>
      <c r="KUF53" s="4"/>
      <c r="KUG53" s="4"/>
      <c r="KUH53" s="4"/>
      <c r="KUI53" s="4"/>
      <c r="KUJ53" s="4"/>
      <c r="KUK53" s="4"/>
      <c r="KUL53" s="4"/>
      <c r="KUM53" s="4"/>
      <c r="KUN53" s="4"/>
      <c r="KUO53" s="4"/>
      <c r="KUP53" s="4"/>
      <c r="KUQ53" s="4"/>
      <c r="KUR53" s="4"/>
      <c r="KUS53" s="4"/>
      <c r="KUT53" s="4"/>
      <c r="KUU53" s="4"/>
      <c r="KUV53" s="4"/>
      <c r="KUW53" s="4"/>
      <c r="KUX53" s="4"/>
      <c r="KUY53" s="4"/>
      <c r="KUZ53" s="4"/>
      <c r="KVA53" s="4"/>
      <c r="KVB53" s="4"/>
      <c r="KVC53" s="4"/>
      <c r="KVD53" s="4"/>
      <c r="KVE53" s="4"/>
      <c r="KVF53" s="4"/>
      <c r="KVG53" s="4"/>
      <c r="KVH53" s="4"/>
      <c r="KVI53" s="4"/>
      <c r="KVJ53" s="4"/>
      <c r="KVK53" s="4"/>
      <c r="KVL53" s="4"/>
      <c r="KVM53" s="4"/>
      <c r="KVN53" s="4"/>
      <c r="KVO53" s="4"/>
      <c r="KVP53" s="4"/>
      <c r="KVQ53" s="4"/>
      <c r="KVR53" s="4"/>
      <c r="KVS53" s="4"/>
      <c r="KVT53" s="4"/>
      <c r="KVU53" s="4"/>
      <c r="KVV53" s="4"/>
      <c r="KVW53" s="4"/>
      <c r="KVX53" s="4"/>
      <c r="KVY53" s="4"/>
      <c r="KVZ53" s="4"/>
      <c r="KWA53" s="4"/>
      <c r="KWB53" s="4"/>
      <c r="KWC53" s="4"/>
      <c r="KWD53" s="4"/>
      <c r="KWE53" s="4"/>
      <c r="KWF53" s="4"/>
      <c r="KWG53" s="4"/>
      <c r="KWH53" s="4"/>
      <c r="KWI53" s="4"/>
      <c r="KWJ53" s="4"/>
      <c r="KWK53" s="4"/>
      <c r="KWL53" s="4"/>
      <c r="KWM53" s="4"/>
      <c r="KWN53" s="4"/>
      <c r="KWO53" s="4"/>
      <c r="KWP53" s="4"/>
      <c r="KWQ53" s="4"/>
      <c r="KWR53" s="4"/>
      <c r="KWS53" s="4"/>
      <c r="KWT53" s="4"/>
      <c r="KWU53" s="4"/>
      <c r="KWV53" s="4"/>
      <c r="KWW53" s="4"/>
      <c r="KWX53" s="4"/>
      <c r="KWY53" s="4"/>
      <c r="KWZ53" s="4"/>
      <c r="KXA53" s="4"/>
      <c r="KXB53" s="4"/>
      <c r="KXC53" s="4"/>
      <c r="KXD53" s="4"/>
      <c r="KXE53" s="4"/>
      <c r="KXF53" s="4"/>
      <c r="KXG53" s="4"/>
      <c r="KXH53" s="4"/>
      <c r="KXI53" s="4"/>
      <c r="KXJ53" s="4"/>
      <c r="KXK53" s="4"/>
      <c r="KXL53" s="4"/>
      <c r="KXM53" s="4"/>
      <c r="KXN53" s="4"/>
      <c r="KXO53" s="4"/>
      <c r="KXP53" s="4"/>
      <c r="KXQ53" s="4"/>
      <c r="KXR53" s="4"/>
      <c r="KXS53" s="4"/>
      <c r="KXT53" s="4"/>
      <c r="KXU53" s="4"/>
      <c r="KXV53" s="4"/>
      <c r="KXW53" s="4"/>
      <c r="KXX53" s="4"/>
      <c r="KXY53" s="4"/>
      <c r="KXZ53" s="4"/>
      <c r="KYA53" s="4"/>
      <c r="KYB53" s="4"/>
      <c r="KYC53" s="4"/>
      <c r="KYD53" s="4"/>
      <c r="KYE53" s="4"/>
      <c r="KYF53" s="4"/>
      <c r="KYG53" s="4"/>
      <c r="KYH53" s="4"/>
      <c r="KYI53" s="4"/>
      <c r="KYJ53" s="4"/>
      <c r="KYK53" s="4"/>
      <c r="KYL53" s="4"/>
      <c r="KYM53" s="4"/>
      <c r="KYN53" s="4"/>
      <c r="KYO53" s="4"/>
      <c r="KYP53" s="4"/>
      <c r="KYQ53" s="4"/>
      <c r="KYR53" s="4"/>
      <c r="KYS53" s="4"/>
      <c r="KYT53" s="4"/>
      <c r="KYU53" s="4"/>
      <c r="KYV53" s="4"/>
      <c r="KYW53" s="4"/>
      <c r="KYX53" s="4"/>
      <c r="KYY53" s="4"/>
      <c r="KYZ53" s="4"/>
      <c r="KZA53" s="4"/>
      <c r="KZB53" s="4"/>
      <c r="KZC53" s="4"/>
      <c r="KZD53" s="4"/>
      <c r="KZE53" s="4"/>
      <c r="KZF53" s="4"/>
      <c r="KZG53" s="4"/>
      <c r="KZH53" s="4"/>
      <c r="KZI53" s="4"/>
      <c r="KZJ53" s="4"/>
      <c r="KZK53" s="4"/>
      <c r="KZL53" s="4"/>
      <c r="KZM53" s="4"/>
      <c r="KZN53" s="4"/>
      <c r="KZO53" s="4"/>
      <c r="KZP53" s="4"/>
      <c r="KZQ53" s="4"/>
      <c r="KZR53" s="4"/>
      <c r="KZS53" s="4"/>
      <c r="KZT53" s="4"/>
      <c r="KZU53" s="4"/>
      <c r="KZV53" s="4"/>
      <c r="KZW53" s="4"/>
      <c r="KZX53" s="4"/>
      <c r="KZY53" s="4"/>
      <c r="KZZ53" s="4"/>
      <c r="LAA53" s="4"/>
      <c r="LAB53" s="4"/>
      <c r="LAC53" s="4"/>
      <c r="LAD53" s="4"/>
      <c r="LAE53" s="4"/>
      <c r="LAF53" s="4"/>
      <c r="LAG53" s="4"/>
      <c r="LAH53" s="4"/>
      <c r="LAI53" s="4"/>
      <c r="LAJ53" s="4"/>
      <c r="LAK53" s="4"/>
      <c r="LAL53" s="4"/>
      <c r="LAM53" s="4"/>
      <c r="LAN53" s="4"/>
      <c r="LAO53" s="4"/>
      <c r="LAP53" s="4"/>
      <c r="LAQ53" s="4"/>
      <c r="LAR53" s="4"/>
      <c r="LAS53" s="4"/>
      <c r="LAT53" s="4"/>
      <c r="LAU53" s="4"/>
      <c r="LAV53" s="4"/>
      <c r="LAW53" s="4"/>
      <c r="LAX53" s="4"/>
      <c r="LAY53" s="4"/>
      <c r="LAZ53" s="4"/>
      <c r="LBA53" s="4"/>
      <c r="LBB53" s="4"/>
      <c r="LBC53" s="4"/>
      <c r="LBD53" s="4"/>
      <c r="LBE53" s="4"/>
      <c r="LBF53" s="4"/>
      <c r="LBG53" s="4"/>
      <c r="LBH53" s="4"/>
      <c r="LBI53" s="4"/>
      <c r="LBJ53" s="4"/>
      <c r="LBK53" s="4"/>
      <c r="LBL53" s="4"/>
      <c r="LBM53" s="4"/>
      <c r="LBN53" s="4"/>
      <c r="LBO53" s="4"/>
      <c r="LBP53" s="4"/>
      <c r="LBQ53" s="4"/>
      <c r="LBR53" s="4"/>
      <c r="LBS53" s="4"/>
      <c r="LBT53" s="4"/>
      <c r="LBU53" s="4"/>
      <c r="LBV53" s="4"/>
      <c r="LBW53" s="4"/>
      <c r="LBX53" s="4"/>
      <c r="LBY53" s="4"/>
      <c r="LBZ53" s="4"/>
      <c r="LCA53" s="4"/>
      <c r="LCB53" s="4"/>
      <c r="LCC53" s="4"/>
      <c r="LCD53" s="4"/>
      <c r="LCE53" s="4"/>
      <c r="LCF53" s="4"/>
      <c r="LCG53" s="4"/>
      <c r="LCH53" s="4"/>
      <c r="LCI53" s="4"/>
      <c r="LCJ53" s="4"/>
      <c r="LCK53" s="4"/>
      <c r="LCL53" s="4"/>
      <c r="LCM53" s="4"/>
      <c r="LCN53" s="4"/>
      <c r="LCO53" s="4"/>
      <c r="LCP53" s="4"/>
      <c r="LCQ53" s="4"/>
      <c r="LCR53" s="4"/>
      <c r="LCS53" s="4"/>
      <c r="LCT53" s="4"/>
      <c r="LCU53" s="4"/>
      <c r="LCV53" s="4"/>
      <c r="LCW53" s="4"/>
      <c r="LCX53" s="4"/>
      <c r="LCY53" s="4"/>
      <c r="LCZ53" s="4"/>
      <c r="LDA53" s="4"/>
      <c r="LDB53" s="4"/>
      <c r="LDC53" s="4"/>
      <c r="LDD53" s="4"/>
      <c r="LDE53" s="4"/>
      <c r="LDF53" s="4"/>
      <c r="LDG53" s="4"/>
      <c r="LDH53" s="4"/>
      <c r="LDI53" s="4"/>
      <c r="LDJ53" s="4"/>
      <c r="LDK53" s="4"/>
      <c r="LDL53" s="4"/>
      <c r="LDM53" s="4"/>
      <c r="LDN53" s="4"/>
      <c r="LDO53" s="4"/>
      <c r="LDP53" s="4"/>
      <c r="LDQ53" s="4"/>
      <c r="LDR53" s="4"/>
      <c r="LDS53" s="4"/>
      <c r="LDT53" s="4"/>
      <c r="LDU53" s="4"/>
      <c r="LDV53" s="4"/>
      <c r="LDW53" s="4"/>
      <c r="LDX53" s="4"/>
      <c r="LDY53" s="4"/>
      <c r="LDZ53" s="4"/>
      <c r="LEA53" s="4"/>
      <c r="LEB53" s="4"/>
      <c r="LEC53" s="4"/>
      <c r="LED53" s="4"/>
      <c r="LEE53" s="4"/>
      <c r="LEF53" s="4"/>
      <c r="LEG53" s="4"/>
      <c r="LEH53" s="4"/>
      <c r="LEI53" s="4"/>
      <c r="LEJ53" s="4"/>
      <c r="LEK53" s="4"/>
      <c r="LEL53" s="4"/>
      <c r="LEM53" s="4"/>
      <c r="LEN53" s="4"/>
      <c r="LEO53" s="4"/>
      <c r="LEP53" s="4"/>
      <c r="LEQ53" s="4"/>
      <c r="LER53" s="4"/>
      <c r="LES53" s="4"/>
      <c r="LET53" s="4"/>
      <c r="LEU53" s="4"/>
      <c r="LEV53" s="4"/>
      <c r="LEW53" s="4"/>
      <c r="LEX53" s="4"/>
      <c r="LEY53" s="4"/>
      <c r="LEZ53" s="4"/>
      <c r="LFA53" s="4"/>
      <c r="LFB53" s="4"/>
      <c r="LFC53" s="4"/>
      <c r="LFD53" s="4"/>
      <c r="LFE53" s="4"/>
      <c r="LFF53" s="4"/>
      <c r="LFG53" s="4"/>
      <c r="LFH53" s="4"/>
      <c r="LFI53" s="4"/>
      <c r="LFJ53" s="4"/>
      <c r="LFK53" s="4"/>
      <c r="LFL53" s="4"/>
      <c r="LFM53" s="4"/>
      <c r="LFN53" s="4"/>
      <c r="LFO53" s="4"/>
      <c r="LFP53" s="4"/>
      <c r="LFQ53" s="4"/>
      <c r="LFR53" s="4"/>
      <c r="LFS53" s="4"/>
      <c r="LFT53" s="4"/>
      <c r="LFU53" s="4"/>
      <c r="LFV53" s="4"/>
      <c r="LFW53" s="4"/>
      <c r="LFX53" s="4"/>
      <c r="LFY53" s="4"/>
      <c r="LFZ53" s="4"/>
      <c r="LGA53" s="4"/>
      <c r="LGB53" s="4"/>
      <c r="LGC53" s="4"/>
      <c r="LGD53" s="4"/>
      <c r="LGE53" s="4"/>
      <c r="LGF53" s="4"/>
      <c r="LGG53" s="4"/>
      <c r="LGH53" s="4"/>
      <c r="LGI53" s="4"/>
      <c r="LGJ53" s="4"/>
      <c r="LGK53" s="4"/>
      <c r="LGL53" s="4"/>
      <c r="LGM53" s="4"/>
      <c r="LGN53" s="4"/>
      <c r="LGO53" s="4"/>
      <c r="LGP53" s="4"/>
      <c r="LGQ53" s="4"/>
      <c r="LGR53" s="4"/>
      <c r="LGS53" s="4"/>
      <c r="LGT53" s="4"/>
      <c r="LGU53" s="4"/>
      <c r="LGV53" s="4"/>
      <c r="LGW53" s="4"/>
      <c r="LGX53" s="4"/>
      <c r="LGY53" s="4"/>
      <c r="LGZ53" s="4"/>
      <c r="LHA53" s="4"/>
      <c r="LHB53" s="4"/>
      <c r="LHC53" s="4"/>
      <c r="LHD53" s="4"/>
      <c r="LHE53" s="4"/>
      <c r="LHF53" s="4"/>
      <c r="LHG53" s="4"/>
      <c r="LHH53" s="4"/>
      <c r="LHI53" s="4"/>
      <c r="LHJ53" s="4"/>
      <c r="LHK53" s="4"/>
      <c r="LHL53" s="4"/>
      <c r="LHM53" s="4"/>
      <c r="LHN53" s="4"/>
      <c r="LHO53" s="4"/>
      <c r="LHP53" s="4"/>
      <c r="LHQ53" s="4"/>
      <c r="LHR53" s="4"/>
      <c r="LHS53" s="4"/>
      <c r="LHT53" s="4"/>
      <c r="LHU53" s="4"/>
      <c r="LHV53" s="4"/>
      <c r="LHW53" s="4"/>
      <c r="LHX53" s="4"/>
      <c r="LHY53" s="4"/>
      <c r="LHZ53" s="4"/>
      <c r="LIA53" s="4"/>
      <c r="LIB53" s="4"/>
      <c r="LIC53" s="4"/>
      <c r="LID53" s="4"/>
      <c r="LIE53" s="4"/>
      <c r="LIF53" s="4"/>
      <c r="LIG53" s="4"/>
      <c r="LIH53" s="4"/>
      <c r="LII53" s="4"/>
      <c r="LIJ53" s="4"/>
      <c r="LIK53" s="4"/>
      <c r="LIL53" s="4"/>
      <c r="LIM53" s="4"/>
      <c r="LIN53" s="4"/>
      <c r="LIO53" s="4"/>
      <c r="LIP53" s="4"/>
      <c r="LIQ53" s="4"/>
      <c r="LIR53" s="4"/>
      <c r="LIS53" s="4"/>
      <c r="LIT53" s="4"/>
      <c r="LIU53" s="4"/>
      <c r="LIV53" s="4"/>
      <c r="LIW53" s="4"/>
      <c r="LIX53" s="4"/>
      <c r="LIY53" s="4"/>
      <c r="LIZ53" s="4"/>
      <c r="LJA53" s="4"/>
      <c r="LJB53" s="4"/>
      <c r="LJC53" s="4"/>
      <c r="LJD53" s="4"/>
      <c r="LJE53" s="4"/>
      <c r="LJF53" s="4"/>
      <c r="LJG53" s="4"/>
      <c r="LJH53" s="4"/>
      <c r="LJI53" s="4"/>
      <c r="LJJ53" s="4"/>
      <c r="LJK53" s="4"/>
      <c r="LJL53" s="4"/>
      <c r="LJM53" s="4"/>
      <c r="LJN53" s="4"/>
      <c r="LJO53" s="4"/>
      <c r="LJP53" s="4"/>
      <c r="LJQ53" s="4"/>
      <c r="LJR53" s="4"/>
      <c r="LJS53" s="4"/>
      <c r="LJT53" s="4"/>
      <c r="LJU53" s="4"/>
      <c r="LJV53" s="4"/>
      <c r="LJW53" s="4"/>
      <c r="LJX53" s="4"/>
      <c r="LJY53" s="4"/>
      <c r="LJZ53" s="4"/>
      <c r="LKA53" s="4"/>
      <c r="LKB53" s="4"/>
      <c r="LKC53" s="4"/>
      <c r="LKD53" s="4"/>
      <c r="LKE53" s="4"/>
      <c r="LKF53" s="4"/>
      <c r="LKG53" s="4"/>
      <c r="LKH53" s="4"/>
      <c r="LKI53" s="4"/>
      <c r="LKJ53" s="4"/>
      <c r="LKK53" s="4"/>
      <c r="LKL53" s="4"/>
      <c r="LKM53" s="4"/>
      <c r="LKN53" s="4"/>
      <c r="LKO53" s="4"/>
      <c r="LKP53" s="4"/>
      <c r="LKQ53" s="4"/>
      <c r="LKR53" s="4"/>
      <c r="LKS53" s="4"/>
      <c r="LKT53" s="4"/>
      <c r="LKU53" s="4"/>
      <c r="LKV53" s="4"/>
      <c r="LKW53" s="4"/>
      <c r="LKX53" s="4"/>
      <c r="LKY53" s="4"/>
      <c r="LKZ53" s="4"/>
      <c r="LLA53" s="4"/>
      <c r="LLB53" s="4"/>
      <c r="LLC53" s="4"/>
      <c r="LLD53" s="4"/>
      <c r="LLE53" s="4"/>
      <c r="LLF53" s="4"/>
      <c r="LLG53" s="4"/>
      <c r="LLH53" s="4"/>
      <c r="LLI53" s="4"/>
      <c r="LLJ53" s="4"/>
      <c r="LLK53" s="4"/>
      <c r="LLL53" s="4"/>
      <c r="LLM53" s="4"/>
      <c r="LLN53" s="4"/>
      <c r="LLO53" s="4"/>
      <c r="LLP53" s="4"/>
      <c r="LLQ53" s="4"/>
      <c r="LLR53" s="4"/>
      <c r="LLS53" s="4"/>
      <c r="LLT53" s="4"/>
      <c r="LLU53" s="4"/>
      <c r="LLV53" s="4"/>
      <c r="LLW53" s="4"/>
      <c r="LLX53" s="4"/>
      <c r="LLY53" s="4"/>
      <c r="LLZ53" s="4"/>
      <c r="LMA53" s="4"/>
      <c r="LMB53" s="4"/>
      <c r="LMC53" s="4"/>
      <c r="LMD53" s="4"/>
      <c r="LME53" s="4"/>
      <c r="LMF53" s="4"/>
      <c r="LMG53" s="4"/>
      <c r="LMH53" s="4"/>
      <c r="LMI53" s="4"/>
      <c r="LMJ53" s="4"/>
      <c r="LMK53" s="4"/>
      <c r="LML53" s="4"/>
      <c r="LMM53" s="4"/>
      <c r="LMN53" s="4"/>
      <c r="LMO53" s="4"/>
      <c r="LMP53" s="4"/>
      <c r="LMQ53" s="4"/>
      <c r="LMR53" s="4"/>
      <c r="LMS53" s="4"/>
      <c r="LMT53" s="4"/>
      <c r="LMU53" s="4"/>
      <c r="LMV53" s="4"/>
      <c r="LMW53" s="4"/>
      <c r="LMX53" s="4"/>
      <c r="LMY53" s="4"/>
      <c r="LMZ53" s="4"/>
      <c r="LNA53" s="4"/>
      <c r="LNB53" s="4"/>
      <c r="LNC53" s="4"/>
      <c r="LND53" s="4"/>
      <c r="LNE53" s="4"/>
      <c r="LNF53" s="4"/>
      <c r="LNG53" s="4"/>
      <c r="LNH53" s="4"/>
      <c r="LNI53" s="4"/>
      <c r="LNJ53" s="4"/>
      <c r="LNK53" s="4"/>
      <c r="LNL53" s="4"/>
      <c r="LNM53" s="4"/>
      <c r="LNN53" s="4"/>
      <c r="LNO53" s="4"/>
      <c r="LNP53" s="4"/>
      <c r="LNQ53" s="4"/>
      <c r="LNR53" s="4"/>
      <c r="LNS53" s="4"/>
      <c r="LNT53" s="4"/>
      <c r="LNU53" s="4"/>
      <c r="LNV53" s="4"/>
      <c r="LNW53" s="4"/>
      <c r="LNX53" s="4"/>
      <c r="LNY53" s="4"/>
      <c r="LNZ53" s="4"/>
      <c r="LOA53" s="4"/>
      <c r="LOB53" s="4"/>
      <c r="LOC53" s="4"/>
      <c r="LOD53" s="4"/>
      <c r="LOE53" s="4"/>
      <c r="LOF53" s="4"/>
      <c r="LOG53" s="4"/>
      <c r="LOH53" s="4"/>
      <c r="LOI53" s="4"/>
      <c r="LOJ53" s="4"/>
      <c r="LOK53" s="4"/>
      <c r="LOL53" s="4"/>
      <c r="LOM53" s="4"/>
      <c r="LON53" s="4"/>
      <c r="LOO53" s="4"/>
      <c r="LOP53" s="4"/>
      <c r="LOQ53" s="4"/>
      <c r="LOR53" s="4"/>
      <c r="LOS53" s="4"/>
      <c r="LOT53" s="4"/>
      <c r="LOU53" s="4"/>
      <c r="LOV53" s="4"/>
      <c r="LOW53" s="4"/>
      <c r="LOX53" s="4"/>
      <c r="LOY53" s="4"/>
      <c r="LOZ53" s="4"/>
      <c r="LPA53" s="4"/>
      <c r="LPB53" s="4"/>
      <c r="LPC53" s="4"/>
      <c r="LPD53" s="4"/>
      <c r="LPE53" s="4"/>
      <c r="LPF53" s="4"/>
      <c r="LPG53" s="4"/>
      <c r="LPH53" s="4"/>
      <c r="LPI53" s="4"/>
      <c r="LPJ53" s="4"/>
      <c r="LPK53" s="4"/>
      <c r="LPL53" s="4"/>
      <c r="LPM53" s="4"/>
      <c r="LPN53" s="4"/>
      <c r="LPO53" s="4"/>
      <c r="LPP53" s="4"/>
      <c r="LPQ53" s="4"/>
      <c r="LPR53" s="4"/>
      <c r="LPS53" s="4"/>
      <c r="LPT53" s="4"/>
      <c r="LPU53" s="4"/>
      <c r="LPV53" s="4"/>
      <c r="LPW53" s="4"/>
      <c r="LPX53" s="4"/>
      <c r="LPY53" s="4"/>
      <c r="LPZ53" s="4"/>
      <c r="LQA53" s="4"/>
      <c r="LQB53" s="4"/>
      <c r="LQC53" s="4"/>
      <c r="LQD53" s="4"/>
      <c r="LQE53" s="4"/>
      <c r="LQF53" s="4"/>
      <c r="LQG53" s="4"/>
      <c r="LQH53" s="4"/>
      <c r="LQI53" s="4"/>
      <c r="LQJ53" s="4"/>
      <c r="LQK53" s="4"/>
      <c r="LQL53" s="4"/>
      <c r="LQM53" s="4"/>
      <c r="LQN53" s="4"/>
      <c r="LQO53" s="4"/>
      <c r="LQP53" s="4"/>
      <c r="LQQ53" s="4"/>
      <c r="LQR53" s="4"/>
      <c r="LQS53" s="4"/>
      <c r="LQT53" s="4"/>
      <c r="LQU53" s="4"/>
      <c r="LQV53" s="4"/>
      <c r="LQW53" s="4"/>
      <c r="LQX53" s="4"/>
      <c r="LQY53" s="4"/>
      <c r="LQZ53" s="4"/>
      <c r="LRA53" s="4"/>
      <c r="LRB53" s="4"/>
      <c r="LRC53" s="4"/>
      <c r="LRD53" s="4"/>
      <c r="LRE53" s="4"/>
      <c r="LRF53" s="4"/>
      <c r="LRG53" s="4"/>
      <c r="LRH53" s="4"/>
      <c r="LRI53" s="4"/>
      <c r="LRJ53" s="4"/>
      <c r="LRK53" s="4"/>
      <c r="LRL53" s="4"/>
      <c r="LRM53" s="4"/>
      <c r="LRN53" s="4"/>
      <c r="LRO53" s="4"/>
      <c r="LRP53" s="4"/>
      <c r="LRQ53" s="4"/>
      <c r="LRR53" s="4"/>
      <c r="LRS53" s="4"/>
      <c r="LRT53" s="4"/>
      <c r="LRU53" s="4"/>
      <c r="LRV53" s="4"/>
      <c r="LRW53" s="4"/>
      <c r="LRX53" s="4"/>
      <c r="LRY53" s="4"/>
      <c r="LRZ53" s="4"/>
      <c r="LSA53" s="4"/>
      <c r="LSB53" s="4"/>
      <c r="LSC53" s="4"/>
      <c r="LSD53" s="4"/>
      <c r="LSE53" s="4"/>
      <c r="LSF53" s="4"/>
      <c r="LSG53" s="4"/>
      <c r="LSH53" s="4"/>
      <c r="LSI53" s="4"/>
      <c r="LSJ53" s="4"/>
      <c r="LSK53" s="4"/>
      <c r="LSL53" s="4"/>
      <c r="LSM53" s="4"/>
      <c r="LSN53" s="4"/>
      <c r="LSO53" s="4"/>
      <c r="LSP53" s="4"/>
      <c r="LSQ53" s="4"/>
      <c r="LSR53" s="4"/>
      <c r="LSS53" s="4"/>
      <c r="LST53" s="4"/>
      <c r="LSU53" s="4"/>
      <c r="LSV53" s="4"/>
      <c r="LSW53" s="4"/>
      <c r="LSX53" s="4"/>
      <c r="LSY53" s="4"/>
      <c r="LSZ53" s="4"/>
      <c r="LTA53" s="4"/>
      <c r="LTB53" s="4"/>
      <c r="LTC53" s="4"/>
      <c r="LTD53" s="4"/>
      <c r="LTE53" s="4"/>
      <c r="LTF53" s="4"/>
      <c r="LTG53" s="4"/>
      <c r="LTH53" s="4"/>
      <c r="LTI53" s="4"/>
      <c r="LTJ53" s="4"/>
      <c r="LTK53" s="4"/>
      <c r="LTL53" s="4"/>
      <c r="LTM53" s="4"/>
      <c r="LTN53" s="4"/>
      <c r="LTO53" s="4"/>
      <c r="LTP53" s="4"/>
      <c r="LTQ53" s="4"/>
      <c r="LTR53" s="4"/>
      <c r="LTS53" s="4"/>
      <c r="LTT53" s="4"/>
      <c r="LTU53" s="4"/>
      <c r="LTV53" s="4"/>
      <c r="LTW53" s="4"/>
      <c r="LTX53" s="4"/>
      <c r="LTY53" s="4"/>
      <c r="LTZ53" s="4"/>
      <c r="LUA53" s="4"/>
      <c r="LUB53" s="4"/>
      <c r="LUC53" s="4"/>
      <c r="LUD53" s="4"/>
      <c r="LUE53" s="4"/>
      <c r="LUF53" s="4"/>
      <c r="LUG53" s="4"/>
      <c r="LUH53" s="4"/>
      <c r="LUI53" s="4"/>
      <c r="LUJ53" s="4"/>
      <c r="LUK53" s="4"/>
      <c r="LUL53" s="4"/>
      <c r="LUM53" s="4"/>
      <c r="LUN53" s="4"/>
      <c r="LUO53" s="4"/>
      <c r="LUP53" s="4"/>
      <c r="LUQ53" s="4"/>
      <c r="LUR53" s="4"/>
      <c r="LUS53" s="4"/>
      <c r="LUT53" s="4"/>
      <c r="LUU53" s="4"/>
      <c r="LUV53" s="4"/>
      <c r="LUW53" s="4"/>
      <c r="LUX53" s="4"/>
      <c r="LUY53" s="4"/>
      <c r="LUZ53" s="4"/>
      <c r="LVA53" s="4"/>
      <c r="LVB53" s="4"/>
      <c r="LVC53" s="4"/>
      <c r="LVD53" s="4"/>
      <c r="LVE53" s="4"/>
      <c r="LVF53" s="4"/>
      <c r="LVG53" s="4"/>
      <c r="LVH53" s="4"/>
      <c r="LVI53" s="4"/>
      <c r="LVJ53" s="4"/>
      <c r="LVK53" s="4"/>
      <c r="LVL53" s="4"/>
      <c r="LVM53" s="4"/>
      <c r="LVN53" s="4"/>
      <c r="LVO53" s="4"/>
      <c r="LVP53" s="4"/>
      <c r="LVQ53" s="4"/>
      <c r="LVR53" s="4"/>
      <c r="LVS53" s="4"/>
      <c r="LVT53" s="4"/>
      <c r="LVU53" s="4"/>
      <c r="LVV53" s="4"/>
      <c r="LVW53" s="4"/>
      <c r="LVX53" s="4"/>
      <c r="LVY53" s="4"/>
      <c r="LVZ53" s="4"/>
      <c r="LWA53" s="4"/>
      <c r="LWB53" s="4"/>
      <c r="LWC53" s="4"/>
      <c r="LWD53" s="4"/>
      <c r="LWE53" s="4"/>
      <c r="LWF53" s="4"/>
      <c r="LWG53" s="4"/>
      <c r="LWH53" s="4"/>
      <c r="LWI53" s="4"/>
      <c r="LWJ53" s="4"/>
      <c r="LWK53" s="4"/>
      <c r="LWL53" s="4"/>
      <c r="LWM53" s="4"/>
      <c r="LWN53" s="4"/>
      <c r="LWO53" s="4"/>
      <c r="LWP53" s="4"/>
      <c r="LWQ53" s="4"/>
      <c r="LWR53" s="4"/>
      <c r="LWS53" s="4"/>
      <c r="LWT53" s="4"/>
      <c r="LWU53" s="4"/>
      <c r="LWV53" s="4"/>
      <c r="LWW53" s="4"/>
      <c r="LWX53" s="4"/>
      <c r="LWY53" s="4"/>
      <c r="LWZ53" s="4"/>
      <c r="LXA53" s="4"/>
      <c r="LXB53" s="4"/>
      <c r="LXC53" s="4"/>
      <c r="LXD53" s="4"/>
      <c r="LXE53" s="4"/>
      <c r="LXF53" s="4"/>
      <c r="LXG53" s="4"/>
      <c r="LXH53" s="4"/>
      <c r="LXI53" s="4"/>
      <c r="LXJ53" s="4"/>
      <c r="LXK53" s="4"/>
      <c r="LXL53" s="4"/>
      <c r="LXM53" s="4"/>
      <c r="LXN53" s="4"/>
      <c r="LXO53" s="4"/>
      <c r="LXP53" s="4"/>
      <c r="LXQ53" s="4"/>
      <c r="LXR53" s="4"/>
      <c r="LXS53" s="4"/>
      <c r="LXT53" s="4"/>
      <c r="LXU53" s="4"/>
      <c r="LXV53" s="4"/>
      <c r="LXW53" s="4"/>
      <c r="LXX53" s="4"/>
      <c r="LXY53" s="4"/>
      <c r="LXZ53" s="4"/>
      <c r="LYA53" s="4"/>
      <c r="LYB53" s="4"/>
      <c r="LYC53" s="4"/>
      <c r="LYD53" s="4"/>
      <c r="LYE53" s="4"/>
      <c r="LYF53" s="4"/>
      <c r="LYG53" s="4"/>
      <c r="LYH53" s="4"/>
      <c r="LYI53" s="4"/>
      <c r="LYJ53" s="4"/>
      <c r="LYK53" s="4"/>
      <c r="LYL53" s="4"/>
      <c r="LYM53" s="4"/>
      <c r="LYN53" s="4"/>
      <c r="LYO53" s="4"/>
      <c r="LYP53" s="4"/>
      <c r="LYQ53" s="4"/>
      <c r="LYR53" s="4"/>
      <c r="LYS53" s="4"/>
      <c r="LYT53" s="4"/>
      <c r="LYU53" s="4"/>
      <c r="LYV53" s="4"/>
      <c r="LYW53" s="4"/>
      <c r="LYX53" s="4"/>
      <c r="LYY53" s="4"/>
      <c r="LYZ53" s="4"/>
      <c r="LZA53" s="4"/>
      <c r="LZB53" s="4"/>
      <c r="LZC53" s="4"/>
      <c r="LZD53" s="4"/>
      <c r="LZE53" s="4"/>
      <c r="LZF53" s="4"/>
      <c r="LZG53" s="4"/>
      <c r="LZH53" s="4"/>
      <c r="LZI53" s="4"/>
      <c r="LZJ53" s="4"/>
      <c r="LZK53" s="4"/>
      <c r="LZL53" s="4"/>
      <c r="LZM53" s="4"/>
      <c r="LZN53" s="4"/>
      <c r="LZO53" s="4"/>
      <c r="LZP53" s="4"/>
      <c r="LZQ53" s="4"/>
      <c r="LZR53" s="4"/>
      <c r="LZS53" s="4"/>
      <c r="LZT53" s="4"/>
      <c r="LZU53" s="4"/>
      <c r="LZV53" s="4"/>
      <c r="LZW53" s="4"/>
      <c r="LZX53" s="4"/>
      <c r="LZY53" s="4"/>
      <c r="LZZ53" s="4"/>
      <c r="MAA53" s="4"/>
      <c r="MAB53" s="4"/>
      <c r="MAC53" s="4"/>
      <c r="MAD53" s="4"/>
      <c r="MAE53" s="4"/>
      <c r="MAF53" s="4"/>
      <c r="MAG53" s="4"/>
      <c r="MAH53" s="4"/>
      <c r="MAI53" s="4"/>
      <c r="MAJ53" s="4"/>
      <c r="MAK53" s="4"/>
      <c r="MAL53" s="4"/>
      <c r="MAM53" s="4"/>
      <c r="MAN53" s="4"/>
      <c r="MAO53" s="4"/>
      <c r="MAP53" s="4"/>
      <c r="MAQ53" s="4"/>
      <c r="MAR53" s="4"/>
      <c r="MAS53" s="4"/>
      <c r="MAT53" s="4"/>
      <c r="MAU53" s="4"/>
      <c r="MAV53" s="4"/>
      <c r="MAW53" s="4"/>
      <c r="MAX53" s="4"/>
      <c r="MAY53" s="4"/>
      <c r="MAZ53" s="4"/>
      <c r="MBA53" s="4"/>
      <c r="MBB53" s="4"/>
      <c r="MBC53" s="4"/>
      <c r="MBD53" s="4"/>
      <c r="MBE53" s="4"/>
      <c r="MBF53" s="4"/>
      <c r="MBG53" s="4"/>
      <c r="MBH53" s="4"/>
      <c r="MBI53" s="4"/>
      <c r="MBJ53" s="4"/>
      <c r="MBK53" s="4"/>
      <c r="MBL53" s="4"/>
      <c r="MBM53" s="4"/>
      <c r="MBN53" s="4"/>
      <c r="MBO53" s="4"/>
      <c r="MBP53" s="4"/>
      <c r="MBQ53" s="4"/>
      <c r="MBR53" s="4"/>
      <c r="MBS53" s="4"/>
      <c r="MBT53" s="4"/>
      <c r="MBU53" s="4"/>
      <c r="MBV53" s="4"/>
      <c r="MBW53" s="4"/>
      <c r="MBX53" s="4"/>
      <c r="MBY53" s="4"/>
      <c r="MBZ53" s="4"/>
      <c r="MCA53" s="4"/>
      <c r="MCB53" s="4"/>
      <c r="MCC53" s="4"/>
      <c r="MCD53" s="4"/>
      <c r="MCE53" s="4"/>
      <c r="MCF53" s="4"/>
      <c r="MCG53" s="4"/>
      <c r="MCH53" s="4"/>
      <c r="MCI53" s="4"/>
      <c r="MCJ53" s="4"/>
      <c r="MCK53" s="4"/>
      <c r="MCL53" s="4"/>
      <c r="MCM53" s="4"/>
      <c r="MCN53" s="4"/>
      <c r="MCO53" s="4"/>
      <c r="MCP53" s="4"/>
      <c r="MCQ53" s="4"/>
      <c r="MCR53" s="4"/>
      <c r="MCS53" s="4"/>
      <c r="MCT53" s="4"/>
      <c r="MCU53" s="4"/>
      <c r="MCV53" s="4"/>
      <c r="MCW53" s="4"/>
      <c r="MCX53" s="4"/>
      <c r="MCY53" s="4"/>
      <c r="MCZ53" s="4"/>
      <c r="MDA53" s="4"/>
      <c r="MDB53" s="4"/>
      <c r="MDC53" s="4"/>
      <c r="MDD53" s="4"/>
      <c r="MDE53" s="4"/>
      <c r="MDF53" s="4"/>
      <c r="MDG53" s="4"/>
      <c r="MDH53" s="4"/>
      <c r="MDI53" s="4"/>
      <c r="MDJ53" s="4"/>
      <c r="MDK53" s="4"/>
      <c r="MDL53" s="4"/>
      <c r="MDM53" s="4"/>
      <c r="MDN53" s="4"/>
      <c r="MDO53" s="4"/>
      <c r="MDP53" s="4"/>
      <c r="MDQ53" s="4"/>
      <c r="MDR53" s="4"/>
      <c r="MDS53" s="4"/>
      <c r="MDT53" s="4"/>
      <c r="MDU53" s="4"/>
      <c r="MDV53" s="4"/>
      <c r="MDW53" s="4"/>
      <c r="MDX53" s="4"/>
      <c r="MDY53" s="4"/>
      <c r="MDZ53" s="4"/>
      <c r="MEA53" s="4"/>
      <c r="MEB53" s="4"/>
      <c r="MEC53" s="4"/>
      <c r="MED53" s="4"/>
      <c r="MEE53" s="4"/>
      <c r="MEF53" s="4"/>
      <c r="MEG53" s="4"/>
      <c r="MEH53" s="4"/>
      <c r="MEI53" s="4"/>
      <c r="MEJ53" s="4"/>
      <c r="MEK53" s="4"/>
      <c r="MEL53" s="4"/>
      <c r="MEM53" s="4"/>
      <c r="MEN53" s="4"/>
      <c r="MEO53" s="4"/>
      <c r="MEP53" s="4"/>
      <c r="MEQ53" s="4"/>
      <c r="MER53" s="4"/>
      <c r="MES53" s="4"/>
      <c r="MET53" s="4"/>
      <c r="MEU53" s="4"/>
      <c r="MEV53" s="4"/>
      <c r="MEW53" s="4"/>
      <c r="MEX53" s="4"/>
      <c r="MEY53" s="4"/>
      <c r="MEZ53" s="4"/>
      <c r="MFA53" s="4"/>
      <c r="MFB53" s="4"/>
      <c r="MFC53" s="4"/>
      <c r="MFD53" s="4"/>
      <c r="MFE53" s="4"/>
      <c r="MFF53" s="4"/>
      <c r="MFG53" s="4"/>
      <c r="MFH53" s="4"/>
      <c r="MFI53" s="4"/>
      <c r="MFJ53" s="4"/>
      <c r="MFK53" s="4"/>
      <c r="MFL53" s="4"/>
      <c r="MFM53" s="4"/>
      <c r="MFN53" s="4"/>
      <c r="MFO53" s="4"/>
      <c r="MFP53" s="4"/>
      <c r="MFQ53" s="4"/>
      <c r="MFR53" s="4"/>
      <c r="MFS53" s="4"/>
      <c r="MFT53" s="4"/>
      <c r="MFU53" s="4"/>
      <c r="MFV53" s="4"/>
      <c r="MFW53" s="4"/>
      <c r="MFX53" s="4"/>
      <c r="MFY53" s="4"/>
      <c r="MFZ53" s="4"/>
      <c r="MGA53" s="4"/>
      <c r="MGB53" s="4"/>
      <c r="MGC53" s="4"/>
      <c r="MGD53" s="4"/>
      <c r="MGE53" s="4"/>
      <c r="MGF53" s="4"/>
      <c r="MGG53" s="4"/>
      <c r="MGH53" s="4"/>
      <c r="MGI53" s="4"/>
      <c r="MGJ53" s="4"/>
      <c r="MGK53" s="4"/>
      <c r="MGL53" s="4"/>
      <c r="MGM53" s="4"/>
      <c r="MGN53" s="4"/>
      <c r="MGO53" s="4"/>
      <c r="MGP53" s="4"/>
      <c r="MGQ53" s="4"/>
      <c r="MGR53" s="4"/>
      <c r="MGS53" s="4"/>
      <c r="MGT53" s="4"/>
      <c r="MGU53" s="4"/>
      <c r="MGV53" s="4"/>
      <c r="MGW53" s="4"/>
      <c r="MGX53" s="4"/>
      <c r="MGY53" s="4"/>
      <c r="MGZ53" s="4"/>
      <c r="MHA53" s="4"/>
      <c r="MHB53" s="4"/>
      <c r="MHC53" s="4"/>
      <c r="MHD53" s="4"/>
      <c r="MHE53" s="4"/>
      <c r="MHF53" s="4"/>
      <c r="MHG53" s="4"/>
      <c r="MHH53" s="4"/>
      <c r="MHI53" s="4"/>
      <c r="MHJ53" s="4"/>
      <c r="MHK53" s="4"/>
      <c r="MHL53" s="4"/>
      <c r="MHM53" s="4"/>
      <c r="MHN53" s="4"/>
      <c r="MHO53" s="4"/>
      <c r="MHP53" s="4"/>
      <c r="MHQ53" s="4"/>
      <c r="MHR53" s="4"/>
      <c r="MHS53" s="4"/>
      <c r="MHT53" s="4"/>
      <c r="MHU53" s="4"/>
      <c r="MHV53" s="4"/>
      <c r="MHW53" s="4"/>
      <c r="MHX53" s="4"/>
      <c r="MHY53" s="4"/>
      <c r="MHZ53" s="4"/>
      <c r="MIA53" s="4"/>
      <c r="MIB53" s="4"/>
      <c r="MIC53" s="4"/>
      <c r="MID53" s="4"/>
      <c r="MIE53" s="4"/>
      <c r="MIF53" s="4"/>
      <c r="MIG53" s="4"/>
      <c r="MIH53" s="4"/>
      <c r="MII53" s="4"/>
      <c r="MIJ53" s="4"/>
      <c r="MIK53" s="4"/>
      <c r="MIL53" s="4"/>
      <c r="MIM53" s="4"/>
      <c r="MIN53" s="4"/>
      <c r="MIO53" s="4"/>
      <c r="MIP53" s="4"/>
      <c r="MIQ53" s="4"/>
      <c r="MIR53" s="4"/>
      <c r="MIS53" s="4"/>
      <c r="MIT53" s="4"/>
      <c r="MIU53" s="4"/>
      <c r="MIV53" s="4"/>
      <c r="MIW53" s="4"/>
      <c r="MIX53" s="4"/>
      <c r="MIY53" s="4"/>
      <c r="MIZ53" s="4"/>
      <c r="MJA53" s="4"/>
      <c r="MJB53" s="4"/>
      <c r="MJC53" s="4"/>
      <c r="MJD53" s="4"/>
      <c r="MJE53" s="4"/>
      <c r="MJF53" s="4"/>
      <c r="MJG53" s="4"/>
      <c r="MJH53" s="4"/>
      <c r="MJI53" s="4"/>
      <c r="MJJ53" s="4"/>
      <c r="MJK53" s="4"/>
      <c r="MJL53" s="4"/>
      <c r="MJM53" s="4"/>
      <c r="MJN53" s="4"/>
      <c r="MJO53" s="4"/>
      <c r="MJP53" s="4"/>
      <c r="MJQ53" s="4"/>
      <c r="MJR53" s="4"/>
      <c r="MJS53" s="4"/>
      <c r="MJT53" s="4"/>
      <c r="MJU53" s="4"/>
      <c r="MJV53" s="4"/>
      <c r="MJW53" s="4"/>
      <c r="MJX53" s="4"/>
      <c r="MJY53" s="4"/>
      <c r="MJZ53" s="4"/>
      <c r="MKA53" s="4"/>
      <c r="MKB53" s="4"/>
      <c r="MKC53" s="4"/>
      <c r="MKD53" s="4"/>
      <c r="MKE53" s="4"/>
      <c r="MKF53" s="4"/>
      <c r="MKG53" s="4"/>
      <c r="MKH53" s="4"/>
      <c r="MKI53" s="4"/>
      <c r="MKJ53" s="4"/>
      <c r="MKK53" s="4"/>
      <c r="MKL53" s="4"/>
      <c r="MKM53" s="4"/>
      <c r="MKN53" s="4"/>
      <c r="MKO53" s="4"/>
      <c r="MKP53" s="4"/>
      <c r="MKQ53" s="4"/>
      <c r="MKR53" s="4"/>
      <c r="MKS53" s="4"/>
      <c r="MKT53" s="4"/>
      <c r="MKU53" s="4"/>
      <c r="MKV53" s="4"/>
      <c r="MKW53" s="4"/>
      <c r="MKX53" s="4"/>
      <c r="MKY53" s="4"/>
      <c r="MKZ53" s="4"/>
      <c r="MLA53" s="4"/>
      <c r="MLB53" s="4"/>
      <c r="MLC53" s="4"/>
      <c r="MLD53" s="4"/>
      <c r="MLE53" s="4"/>
      <c r="MLF53" s="4"/>
      <c r="MLG53" s="4"/>
      <c r="MLH53" s="4"/>
      <c r="MLI53" s="4"/>
      <c r="MLJ53" s="4"/>
      <c r="MLK53" s="4"/>
      <c r="MLL53" s="4"/>
      <c r="MLM53" s="4"/>
      <c r="MLN53" s="4"/>
      <c r="MLO53" s="4"/>
      <c r="MLP53" s="4"/>
      <c r="MLQ53" s="4"/>
      <c r="MLR53" s="4"/>
      <c r="MLS53" s="4"/>
      <c r="MLT53" s="4"/>
      <c r="MLU53" s="4"/>
      <c r="MLV53" s="4"/>
      <c r="MLW53" s="4"/>
      <c r="MLX53" s="4"/>
      <c r="MLY53" s="4"/>
      <c r="MLZ53" s="4"/>
      <c r="MMA53" s="4"/>
      <c r="MMB53" s="4"/>
      <c r="MMC53" s="4"/>
      <c r="MMD53" s="4"/>
      <c r="MME53" s="4"/>
      <c r="MMF53" s="4"/>
      <c r="MMG53" s="4"/>
      <c r="MMH53" s="4"/>
      <c r="MMI53" s="4"/>
      <c r="MMJ53" s="4"/>
      <c r="MMK53" s="4"/>
      <c r="MML53" s="4"/>
      <c r="MMM53" s="4"/>
      <c r="MMN53" s="4"/>
      <c r="MMO53" s="4"/>
      <c r="MMP53" s="4"/>
      <c r="MMQ53" s="4"/>
      <c r="MMR53" s="4"/>
      <c r="MMS53" s="4"/>
      <c r="MMT53" s="4"/>
      <c r="MMU53" s="4"/>
      <c r="MMV53" s="4"/>
      <c r="MMW53" s="4"/>
      <c r="MMX53" s="4"/>
      <c r="MMY53" s="4"/>
      <c r="MMZ53" s="4"/>
      <c r="MNA53" s="4"/>
      <c r="MNB53" s="4"/>
      <c r="MNC53" s="4"/>
      <c r="MND53" s="4"/>
      <c r="MNE53" s="4"/>
      <c r="MNF53" s="4"/>
      <c r="MNG53" s="4"/>
      <c r="MNH53" s="4"/>
      <c r="MNI53" s="4"/>
      <c r="MNJ53" s="4"/>
      <c r="MNK53" s="4"/>
      <c r="MNL53" s="4"/>
      <c r="MNM53" s="4"/>
      <c r="MNN53" s="4"/>
      <c r="MNO53" s="4"/>
      <c r="MNP53" s="4"/>
      <c r="MNQ53" s="4"/>
      <c r="MNR53" s="4"/>
      <c r="MNS53" s="4"/>
      <c r="MNT53" s="4"/>
      <c r="MNU53" s="4"/>
      <c r="MNV53" s="4"/>
      <c r="MNW53" s="4"/>
      <c r="MNX53" s="4"/>
      <c r="MNY53" s="4"/>
      <c r="MNZ53" s="4"/>
      <c r="MOA53" s="4"/>
      <c r="MOB53" s="4"/>
      <c r="MOC53" s="4"/>
      <c r="MOD53" s="4"/>
      <c r="MOE53" s="4"/>
      <c r="MOF53" s="4"/>
      <c r="MOG53" s="4"/>
      <c r="MOH53" s="4"/>
      <c r="MOI53" s="4"/>
      <c r="MOJ53" s="4"/>
      <c r="MOK53" s="4"/>
      <c r="MOL53" s="4"/>
      <c r="MOM53" s="4"/>
      <c r="MON53" s="4"/>
      <c r="MOO53" s="4"/>
      <c r="MOP53" s="4"/>
      <c r="MOQ53" s="4"/>
      <c r="MOR53" s="4"/>
      <c r="MOS53" s="4"/>
      <c r="MOT53" s="4"/>
      <c r="MOU53" s="4"/>
      <c r="MOV53" s="4"/>
      <c r="MOW53" s="4"/>
      <c r="MOX53" s="4"/>
      <c r="MOY53" s="4"/>
      <c r="MOZ53" s="4"/>
      <c r="MPA53" s="4"/>
      <c r="MPB53" s="4"/>
      <c r="MPC53" s="4"/>
      <c r="MPD53" s="4"/>
      <c r="MPE53" s="4"/>
      <c r="MPF53" s="4"/>
      <c r="MPG53" s="4"/>
      <c r="MPH53" s="4"/>
      <c r="MPI53" s="4"/>
      <c r="MPJ53" s="4"/>
      <c r="MPK53" s="4"/>
      <c r="MPL53" s="4"/>
      <c r="MPM53" s="4"/>
      <c r="MPN53" s="4"/>
      <c r="MPO53" s="4"/>
      <c r="MPP53" s="4"/>
      <c r="MPQ53" s="4"/>
      <c r="MPR53" s="4"/>
      <c r="MPS53" s="4"/>
      <c r="MPT53" s="4"/>
      <c r="MPU53" s="4"/>
      <c r="MPV53" s="4"/>
      <c r="MPW53" s="4"/>
      <c r="MPX53" s="4"/>
      <c r="MPY53" s="4"/>
      <c r="MPZ53" s="4"/>
      <c r="MQA53" s="4"/>
      <c r="MQB53" s="4"/>
      <c r="MQC53" s="4"/>
      <c r="MQD53" s="4"/>
      <c r="MQE53" s="4"/>
      <c r="MQF53" s="4"/>
      <c r="MQG53" s="4"/>
      <c r="MQH53" s="4"/>
      <c r="MQI53" s="4"/>
      <c r="MQJ53" s="4"/>
      <c r="MQK53" s="4"/>
      <c r="MQL53" s="4"/>
      <c r="MQM53" s="4"/>
      <c r="MQN53" s="4"/>
      <c r="MQO53" s="4"/>
      <c r="MQP53" s="4"/>
      <c r="MQQ53" s="4"/>
      <c r="MQR53" s="4"/>
      <c r="MQS53" s="4"/>
      <c r="MQT53" s="4"/>
      <c r="MQU53" s="4"/>
      <c r="MQV53" s="4"/>
      <c r="MQW53" s="4"/>
      <c r="MQX53" s="4"/>
      <c r="MQY53" s="4"/>
      <c r="MQZ53" s="4"/>
      <c r="MRA53" s="4"/>
      <c r="MRB53" s="4"/>
      <c r="MRC53" s="4"/>
      <c r="MRD53" s="4"/>
      <c r="MRE53" s="4"/>
      <c r="MRF53" s="4"/>
      <c r="MRG53" s="4"/>
      <c r="MRH53" s="4"/>
      <c r="MRI53" s="4"/>
      <c r="MRJ53" s="4"/>
      <c r="MRK53" s="4"/>
      <c r="MRL53" s="4"/>
      <c r="MRM53" s="4"/>
      <c r="MRN53" s="4"/>
      <c r="MRO53" s="4"/>
      <c r="MRP53" s="4"/>
      <c r="MRQ53" s="4"/>
      <c r="MRR53" s="4"/>
      <c r="MRS53" s="4"/>
      <c r="MRT53" s="4"/>
      <c r="MRU53" s="4"/>
      <c r="MRV53" s="4"/>
      <c r="MRW53" s="4"/>
      <c r="MRX53" s="4"/>
      <c r="MRY53" s="4"/>
      <c r="MRZ53" s="4"/>
      <c r="MSA53" s="4"/>
      <c r="MSB53" s="4"/>
      <c r="MSC53" s="4"/>
      <c r="MSD53" s="4"/>
      <c r="MSE53" s="4"/>
      <c r="MSF53" s="4"/>
      <c r="MSG53" s="4"/>
      <c r="MSH53" s="4"/>
      <c r="MSI53" s="4"/>
      <c r="MSJ53" s="4"/>
      <c r="MSK53" s="4"/>
      <c r="MSL53" s="4"/>
      <c r="MSM53" s="4"/>
      <c r="MSN53" s="4"/>
      <c r="MSO53" s="4"/>
      <c r="MSP53" s="4"/>
      <c r="MSQ53" s="4"/>
      <c r="MSR53" s="4"/>
      <c r="MSS53" s="4"/>
      <c r="MST53" s="4"/>
      <c r="MSU53" s="4"/>
      <c r="MSV53" s="4"/>
      <c r="MSW53" s="4"/>
      <c r="MSX53" s="4"/>
      <c r="MSY53" s="4"/>
      <c r="MSZ53" s="4"/>
      <c r="MTA53" s="4"/>
      <c r="MTB53" s="4"/>
      <c r="MTC53" s="4"/>
      <c r="MTD53" s="4"/>
      <c r="MTE53" s="4"/>
      <c r="MTF53" s="4"/>
      <c r="MTG53" s="4"/>
      <c r="MTH53" s="4"/>
      <c r="MTI53" s="4"/>
      <c r="MTJ53" s="4"/>
      <c r="MTK53" s="4"/>
      <c r="MTL53" s="4"/>
      <c r="MTM53" s="4"/>
      <c r="MTN53" s="4"/>
      <c r="MTO53" s="4"/>
      <c r="MTP53" s="4"/>
      <c r="MTQ53" s="4"/>
      <c r="MTR53" s="4"/>
      <c r="MTS53" s="4"/>
      <c r="MTT53" s="4"/>
      <c r="MTU53" s="4"/>
      <c r="MTV53" s="4"/>
      <c r="MTW53" s="4"/>
      <c r="MTX53" s="4"/>
      <c r="MTY53" s="4"/>
      <c r="MTZ53" s="4"/>
      <c r="MUA53" s="4"/>
      <c r="MUB53" s="4"/>
      <c r="MUC53" s="4"/>
      <c r="MUD53" s="4"/>
      <c r="MUE53" s="4"/>
      <c r="MUF53" s="4"/>
      <c r="MUG53" s="4"/>
      <c r="MUH53" s="4"/>
      <c r="MUI53" s="4"/>
      <c r="MUJ53" s="4"/>
      <c r="MUK53" s="4"/>
      <c r="MUL53" s="4"/>
      <c r="MUM53" s="4"/>
      <c r="MUN53" s="4"/>
      <c r="MUO53" s="4"/>
      <c r="MUP53" s="4"/>
      <c r="MUQ53" s="4"/>
      <c r="MUR53" s="4"/>
      <c r="MUS53" s="4"/>
      <c r="MUT53" s="4"/>
      <c r="MUU53" s="4"/>
      <c r="MUV53" s="4"/>
      <c r="MUW53" s="4"/>
      <c r="MUX53" s="4"/>
      <c r="MUY53" s="4"/>
      <c r="MUZ53" s="4"/>
      <c r="MVA53" s="4"/>
      <c r="MVB53" s="4"/>
      <c r="MVC53" s="4"/>
      <c r="MVD53" s="4"/>
      <c r="MVE53" s="4"/>
      <c r="MVF53" s="4"/>
      <c r="MVG53" s="4"/>
      <c r="MVH53" s="4"/>
      <c r="MVI53" s="4"/>
      <c r="MVJ53" s="4"/>
      <c r="MVK53" s="4"/>
      <c r="MVL53" s="4"/>
      <c r="MVM53" s="4"/>
      <c r="MVN53" s="4"/>
      <c r="MVO53" s="4"/>
      <c r="MVP53" s="4"/>
      <c r="MVQ53" s="4"/>
      <c r="MVR53" s="4"/>
      <c r="MVS53" s="4"/>
      <c r="MVT53" s="4"/>
      <c r="MVU53" s="4"/>
      <c r="MVV53" s="4"/>
      <c r="MVW53" s="4"/>
      <c r="MVX53" s="4"/>
      <c r="MVY53" s="4"/>
      <c r="MVZ53" s="4"/>
      <c r="MWA53" s="4"/>
      <c r="MWB53" s="4"/>
      <c r="MWC53" s="4"/>
      <c r="MWD53" s="4"/>
      <c r="MWE53" s="4"/>
      <c r="MWF53" s="4"/>
      <c r="MWG53" s="4"/>
      <c r="MWH53" s="4"/>
      <c r="MWI53" s="4"/>
      <c r="MWJ53" s="4"/>
      <c r="MWK53" s="4"/>
      <c r="MWL53" s="4"/>
      <c r="MWM53" s="4"/>
      <c r="MWN53" s="4"/>
      <c r="MWO53" s="4"/>
      <c r="MWP53" s="4"/>
      <c r="MWQ53" s="4"/>
      <c r="MWR53" s="4"/>
      <c r="MWS53" s="4"/>
      <c r="MWT53" s="4"/>
      <c r="MWU53" s="4"/>
      <c r="MWV53" s="4"/>
      <c r="MWW53" s="4"/>
      <c r="MWX53" s="4"/>
      <c r="MWY53" s="4"/>
      <c r="MWZ53" s="4"/>
      <c r="MXA53" s="4"/>
      <c r="MXB53" s="4"/>
      <c r="MXC53" s="4"/>
      <c r="MXD53" s="4"/>
      <c r="MXE53" s="4"/>
      <c r="MXF53" s="4"/>
      <c r="MXG53" s="4"/>
      <c r="MXH53" s="4"/>
      <c r="MXI53" s="4"/>
      <c r="MXJ53" s="4"/>
      <c r="MXK53" s="4"/>
      <c r="MXL53" s="4"/>
      <c r="MXM53" s="4"/>
      <c r="MXN53" s="4"/>
      <c r="MXO53" s="4"/>
      <c r="MXP53" s="4"/>
      <c r="MXQ53" s="4"/>
      <c r="MXR53" s="4"/>
      <c r="MXS53" s="4"/>
      <c r="MXT53" s="4"/>
      <c r="MXU53" s="4"/>
      <c r="MXV53" s="4"/>
      <c r="MXW53" s="4"/>
      <c r="MXX53" s="4"/>
      <c r="MXY53" s="4"/>
      <c r="MXZ53" s="4"/>
      <c r="MYA53" s="4"/>
      <c r="MYB53" s="4"/>
      <c r="MYC53" s="4"/>
      <c r="MYD53" s="4"/>
      <c r="MYE53" s="4"/>
      <c r="MYF53" s="4"/>
      <c r="MYG53" s="4"/>
      <c r="MYH53" s="4"/>
      <c r="MYI53" s="4"/>
      <c r="MYJ53" s="4"/>
      <c r="MYK53" s="4"/>
      <c r="MYL53" s="4"/>
      <c r="MYM53" s="4"/>
      <c r="MYN53" s="4"/>
      <c r="MYO53" s="4"/>
      <c r="MYP53" s="4"/>
      <c r="MYQ53" s="4"/>
      <c r="MYR53" s="4"/>
      <c r="MYS53" s="4"/>
      <c r="MYT53" s="4"/>
      <c r="MYU53" s="4"/>
      <c r="MYV53" s="4"/>
      <c r="MYW53" s="4"/>
      <c r="MYX53" s="4"/>
      <c r="MYY53" s="4"/>
      <c r="MYZ53" s="4"/>
      <c r="MZA53" s="4"/>
      <c r="MZB53" s="4"/>
      <c r="MZC53" s="4"/>
      <c r="MZD53" s="4"/>
      <c r="MZE53" s="4"/>
      <c r="MZF53" s="4"/>
      <c r="MZG53" s="4"/>
      <c r="MZH53" s="4"/>
      <c r="MZI53" s="4"/>
      <c r="MZJ53" s="4"/>
      <c r="MZK53" s="4"/>
      <c r="MZL53" s="4"/>
      <c r="MZM53" s="4"/>
      <c r="MZN53" s="4"/>
      <c r="MZO53" s="4"/>
      <c r="MZP53" s="4"/>
      <c r="MZQ53" s="4"/>
      <c r="MZR53" s="4"/>
      <c r="MZS53" s="4"/>
      <c r="MZT53" s="4"/>
      <c r="MZU53" s="4"/>
      <c r="MZV53" s="4"/>
      <c r="MZW53" s="4"/>
      <c r="MZX53" s="4"/>
      <c r="MZY53" s="4"/>
      <c r="MZZ53" s="4"/>
      <c r="NAA53" s="4"/>
      <c r="NAB53" s="4"/>
      <c r="NAC53" s="4"/>
      <c r="NAD53" s="4"/>
      <c r="NAE53" s="4"/>
      <c r="NAF53" s="4"/>
      <c r="NAG53" s="4"/>
      <c r="NAH53" s="4"/>
      <c r="NAI53" s="4"/>
      <c r="NAJ53" s="4"/>
      <c r="NAK53" s="4"/>
      <c r="NAL53" s="4"/>
      <c r="NAM53" s="4"/>
      <c r="NAN53" s="4"/>
      <c r="NAO53" s="4"/>
      <c r="NAP53" s="4"/>
      <c r="NAQ53" s="4"/>
      <c r="NAR53" s="4"/>
      <c r="NAS53" s="4"/>
      <c r="NAT53" s="4"/>
      <c r="NAU53" s="4"/>
      <c r="NAV53" s="4"/>
      <c r="NAW53" s="4"/>
      <c r="NAX53" s="4"/>
      <c r="NAY53" s="4"/>
      <c r="NAZ53" s="4"/>
      <c r="NBA53" s="4"/>
      <c r="NBB53" s="4"/>
      <c r="NBC53" s="4"/>
      <c r="NBD53" s="4"/>
      <c r="NBE53" s="4"/>
      <c r="NBF53" s="4"/>
      <c r="NBG53" s="4"/>
      <c r="NBH53" s="4"/>
      <c r="NBI53" s="4"/>
      <c r="NBJ53" s="4"/>
      <c r="NBK53" s="4"/>
      <c r="NBL53" s="4"/>
      <c r="NBM53" s="4"/>
      <c r="NBN53" s="4"/>
      <c r="NBO53" s="4"/>
      <c r="NBP53" s="4"/>
      <c r="NBQ53" s="4"/>
      <c r="NBR53" s="4"/>
      <c r="NBS53" s="4"/>
      <c r="NBT53" s="4"/>
      <c r="NBU53" s="4"/>
      <c r="NBV53" s="4"/>
      <c r="NBW53" s="4"/>
      <c r="NBX53" s="4"/>
      <c r="NBY53" s="4"/>
      <c r="NBZ53" s="4"/>
      <c r="NCA53" s="4"/>
      <c r="NCB53" s="4"/>
      <c r="NCC53" s="4"/>
      <c r="NCD53" s="4"/>
      <c r="NCE53" s="4"/>
      <c r="NCF53" s="4"/>
      <c r="NCG53" s="4"/>
      <c r="NCH53" s="4"/>
      <c r="NCI53" s="4"/>
      <c r="NCJ53" s="4"/>
      <c r="NCK53" s="4"/>
      <c r="NCL53" s="4"/>
      <c r="NCM53" s="4"/>
      <c r="NCN53" s="4"/>
      <c r="NCO53" s="4"/>
      <c r="NCP53" s="4"/>
      <c r="NCQ53" s="4"/>
      <c r="NCR53" s="4"/>
      <c r="NCS53" s="4"/>
      <c r="NCT53" s="4"/>
      <c r="NCU53" s="4"/>
      <c r="NCV53" s="4"/>
      <c r="NCW53" s="4"/>
      <c r="NCX53" s="4"/>
      <c r="NCY53" s="4"/>
      <c r="NCZ53" s="4"/>
      <c r="NDA53" s="4"/>
      <c r="NDB53" s="4"/>
      <c r="NDC53" s="4"/>
      <c r="NDD53" s="4"/>
      <c r="NDE53" s="4"/>
      <c r="NDF53" s="4"/>
      <c r="NDG53" s="4"/>
      <c r="NDH53" s="4"/>
      <c r="NDI53" s="4"/>
      <c r="NDJ53" s="4"/>
      <c r="NDK53" s="4"/>
      <c r="NDL53" s="4"/>
      <c r="NDM53" s="4"/>
      <c r="NDN53" s="4"/>
      <c r="NDO53" s="4"/>
      <c r="NDP53" s="4"/>
      <c r="NDQ53" s="4"/>
      <c r="NDR53" s="4"/>
      <c r="NDS53" s="4"/>
      <c r="NDT53" s="4"/>
      <c r="NDU53" s="4"/>
      <c r="NDV53" s="4"/>
      <c r="NDW53" s="4"/>
      <c r="NDX53" s="4"/>
      <c r="NDY53" s="4"/>
      <c r="NDZ53" s="4"/>
      <c r="NEA53" s="4"/>
      <c r="NEB53" s="4"/>
      <c r="NEC53" s="4"/>
      <c r="NED53" s="4"/>
      <c r="NEE53" s="4"/>
      <c r="NEF53" s="4"/>
      <c r="NEG53" s="4"/>
      <c r="NEH53" s="4"/>
      <c r="NEI53" s="4"/>
      <c r="NEJ53" s="4"/>
      <c r="NEK53" s="4"/>
      <c r="NEL53" s="4"/>
      <c r="NEM53" s="4"/>
      <c r="NEN53" s="4"/>
      <c r="NEO53" s="4"/>
      <c r="NEP53" s="4"/>
      <c r="NEQ53" s="4"/>
      <c r="NER53" s="4"/>
      <c r="NES53" s="4"/>
      <c r="NET53" s="4"/>
      <c r="NEU53" s="4"/>
      <c r="NEV53" s="4"/>
      <c r="NEW53" s="4"/>
      <c r="NEX53" s="4"/>
      <c r="NEY53" s="4"/>
      <c r="NEZ53" s="4"/>
      <c r="NFA53" s="4"/>
      <c r="NFB53" s="4"/>
      <c r="NFC53" s="4"/>
      <c r="NFD53" s="4"/>
      <c r="NFE53" s="4"/>
      <c r="NFF53" s="4"/>
      <c r="NFG53" s="4"/>
      <c r="NFH53" s="4"/>
      <c r="NFI53" s="4"/>
      <c r="NFJ53" s="4"/>
      <c r="NFK53" s="4"/>
      <c r="NFL53" s="4"/>
      <c r="NFM53" s="4"/>
      <c r="NFN53" s="4"/>
      <c r="NFO53" s="4"/>
      <c r="NFP53" s="4"/>
      <c r="NFQ53" s="4"/>
      <c r="NFR53" s="4"/>
      <c r="NFS53" s="4"/>
      <c r="NFT53" s="4"/>
      <c r="NFU53" s="4"/>
      <c r="NFV53" s="4"/>
      <c r="NFW53" s="4"/>
      <c r="NFX53" s="4"/>
      <c r="NFY53" s="4"/>
      <c r="NFZ53" s="4"/>
      <c r="NGA53" s="4"/>
      <c r="NGB53" s="4"/>
      <c r="NGC53" s="4"/>
      <c r="NGD53" s="4"/>
      <c r="NGE53" s="4"/>
      <c r="NGF53" s="4"/>
      <c r="NGG53" s="4"/>
      <c r="NGH53" s="4"/>
      <c r="NGI53" s="4"/>
      <c r="NGJ53" s="4"/>
      <c r="NGK53" s="4"/>
      <c r="NGL53" s="4"/>
      <c r="NGM53" s="4"/>
      <c r="NGN53" s="4"/>
      <c r="NGO53" s="4"/>
      <c r="NGP53" s="4"/>
      <c r="NGQ53" s="4"/>
      <c r="NGR53" s="4"/>
      <c r="NGS53" s="4"/>
      <c r="NGT53" s="4"/>
      <c r="NGU53" s="4"/>
      <c r="NGV53" s="4"/>
      <c r="NGW53" s="4"/>
      <c r="NGX53" s="4"/>
      <c r="NGY53" s="4"/>
      <c r="NGZ53" s="4"/>
      <c r="NHA53" s="4"/>
      <c r="NHB53" s="4"/>
      <c r="NHC53" s="4"/>
      <c r="NHD53" s="4"/>
      <c r="NHE53" s="4"/>
      <c r="NHF53" s="4"/>
      <c r="NHG53" s="4"/>
      <c r="NHH53" s="4"/>
      <c r="NHI53" s="4"/>
      <c r="NHJ53" s="4"/>
      <c r="NHK53" s="4"/>
      <c r="NHL53" s="4"/>
      <c r="NHM53" s="4"/>
      <c r="NHN53" s="4"/>
      <c r="NHO53" s="4"/>
      <c r="NHP53" s="4"/>
      <c r="NHQ53" s="4"/>
      <c r="NHR53" s="4"/>
      <c r="NHS53" s="4"/>
      <c r="NHT53" s="4"/>
      <c r="NHU53" s="4"/>
      <c r="NHV53" s="4"/>
      <c r="NHW53" s="4"/>
      <c r="NHX53" s="4"/>
      <c r="NHY53" s="4"/>
      <c r="NHZ53" s="4"/>
      <c r="NIA53" s="4"/>
      <c r="NIB53" s="4"/>
      <c r="NIC53" s="4"/>
      <c r="NID53" s="4"/>
      <c r="NIE53" s="4"/>
      <c r="NIF53" s="4"/>
      <c r="NIG53" s="4"/>
      <c r="NIH53" s="4"/>
      <c r="NII53" s="4"/>
      <c r="NIJ53" s="4"/>
      <c r="NIK53" s="4"/>
      <c r="NIL53" s="4"/>
      <c r="NIM53" s="4"/>
      <c r="NIN53" s="4"/>
      <c r="NIO53" s="4"/>
      <c r="NIP53" s="4"/>
      <c r="NIQ53" s="4"/>
      <c r="NIR53" s="4"/>
      <c r="NIS53" s="4"/>
      <c r="NIT53" s="4"/>
      <c r="NIU53" s="4"/>
      <c r="NIV53" s="4"/>
      <c r="NIW53" s="4"/>
      <c r="NIX53" s="4"/>
      <c r="NIY53" s="4"/>
      <c r="NIZ53" s="4"/>
      <c r="NJA53" s="4"/>
      <c r="NJB53" s="4"/>
      <c r="NJC53" s="4"/>
      <c r="NJD53" s="4"/>
      <c r="NJE53" s="4"/>
      <c r="NJF53" s="4"/>
      <c r="NJG53" s="4"/>
      <c r="NJH53" s="4"/>
      <c r="NJI53" s="4"/>
      <c r="NJJ53" s="4"/>
      <c r="NJK53" s="4"/>
      <c r="NJL53" s="4"/>
      <c r="NJM53" s="4"/>
      <c r="NJN53" s="4"/>
      <c r="NJO53" s="4"/>
      <c r="NJP53" s="4"/>
      <c r="NJQ53" s="4"/>
      <c r="NJR53" s="4"/>
      <c r="NJS53" s="4"/>
      <c r="NJT53" s="4"/>
      <c r="NJU53" s="4"/>
      <c r="NJV53" s="4"/>
      <c r="NJW53" s="4"/>
      <c r="NJX53" s="4"/>
      <c r="NJY53" s="4"/>
      <c r="NJZ53" s="4"/>
      <c r="NKA53" s="4"/>
      <c r="NKB53" s="4"/>
      <c r="NKC53" s="4"/>
      <c r="NKD53" s="4"/>
      <c r="NKE53" s="4"/>
      <c r="NKF53" s="4"/>
      <c r="NKG53" s="4"/>
      <c r="NKH53" s="4"/>
      <c r="NKI53" s="4"/>
      <c r="NKJ53" s="4"/>
      <c r="NKK53" s="4"/>
      <c r="NKL53" s="4"/>
      <c r="NKM53" s="4"/>
      <c r="NKN53" s="4"/>
      <c r="NKO53" s="4"/>
      <c r="NKP53" s="4"/>
      <c r="NKQ53" s="4"/>
      <c r="NKR53" s="4"/>
      <c r="NKS53" s="4"/>
      <c r="NKT53" s="4"/>
      <c r="NKU53" s="4"/>
      <c r="NKV53" s="4"/>
      <c r="NKW53" s="4"/>
      <c r="NKX53" s="4"/>
      <c r="NKY53" s="4"/>
      <c r="NKZ53" s="4"/>
      <c r="NLA53" s="4"/>
      <c r="NLB53" s="4"/>
      <c r="NLC53" s="4"/>
      <c r="NLD53" s="4"/>
      <c r="NLE53" s="4"/>
      <c r="NLF53" s="4"/>
      <c r="NLG53" s="4"/>
      <c r="NLH53" s="4"/>
      <c r="NLI53" s="4"/>
      <c r="NLJ53" s="4"/>
      <c r="NLK53" s="4"/>
      <c r="NLL53" s="4"/>
      <c r="NLM53" s="4"/>
      <c r="NLN53" s="4"/>
      <c r="NLO53" s="4"/>
      <c r="NLP53" s="4"/>
      <c r="NLQ53" s="4"/>
      <c r="NLR53" s="4"/>
      <c r="NLS53" s="4"/>
      <c r="NLT53" s="4"/>
      <c r="NLU53" s="4"/>
      <c r="NLV53" s="4"/>
      <c r="NLW53" s="4"/>
      <c r="NLX53" s="4"/>
      <c r="NLY53" s="4"/>
      <c r="NLZ53" s="4"/>
      <c r="NMA53" s="4"/>
      <c r="NMB53" s="4"/>
      <c r="NMC53" s="4"/>
      <c r="NMD53" s="4"/>
      <c r="NME53" s="4"/>
      <c r="NMF53" s="4"/>
      <c r="NMG53" s="4"/>
      <c r="NMH53" s="4"/>
      <c r="NMI53" s="4"/>
      <c r="NMJ53" s="4"/>
      <c r="NMK53" s="4"/>
      <c r="NML53" s="4"/>
      <c r="NMM53" s="4"/>
      <c r="NMN53" s="4"/>
      <c r="NMO53" s="4"/>
      <c r="NMP53" s="4"/>
      <c r="NMQ53" s="4"/>
      <c r="NMR53" s="4"/>
      <c r="NMS53" s="4"/>
      <c r="NMT53" s="4"/>
      <c r="NMU53" s="4"/>
      <c r="NMV53" s="4"/>
      <c r="NMW53" s="4"/>
      <c r="NMX53" s="4"/>
      <c r="NMY53" s="4"/>
      <c r="NMZ53" s="4"/>
      <c r="NNA53" s="4"/>
      <c r="NNB53" s="4"/>
      <c r="NNC53" s="4"/>
      <c r="NND53" s="4"/>
      <c r="NNE53" s="4"/>
      <c r="NNF53" s="4"/>
      <c r="NNG53" s="4"/>
      <c r="NNH53" s="4"/>
      <c r="NNI53" s="4"/>
      <c r="NNJ53" s="4"/>
      <c r="NNK53" s="4"/>
      <c r="NNL53" s="4"/>
      <c r="NNM53" s="4"/>
      <c r="NNN53" s="4"/>
      <c r="NNO53" s="4"/>
      <c r="NNP53" s="4"/>
      <c r="NNQ53" s="4"/>
      <c r="NNR53" s="4"/>
      <c r="NNS53" s="4"/>
      <c r="NNT53" s="4"/>
      <c r="NNU53" s="4"/>
      <c r="NNV53" s="4"/>
      <c r="NNW53" s="4"/>
      <c r="NNX53" s="4"/>
      <c r="NNY53" s="4"/>
      <c r="NNZ53" s="4"/>
      <c r="NOA53" s="4"/>
      <c r="NOB53" s="4"/>
      <c r="NOC53" s="4"/>
      <c r="NOD53" s="4"/>
      <c r="NOE53" s="4"/>
      <c r="NOF53" s="4"/>
      <c r="NOG53" s="4"/>
      <c r="NOH53" s="4"/>
      <c r="NOI53" s="4"/>
      <c r="NOJ53" s="4"/>
      <c r="NOK53" s="4"/>
      <c r="NOL53" s="4"/>
      <c r="NOM53" s="4"/>
      <c r="NON53" s="4"/>
      <c r="NOO53" s="4"/>
      <c r="NOP53" s="4"/>
      <c r="NOQ53" s="4"/>
      <c r="NOR53" s="4"/>
      <c r="NOS53" s="4"/>
      <c r="NOT53" s="4"/>
      <c r="NOU53" s="4"/>
      <c r="NOV53" s="4"/>
      <c r="NOW53" s="4"/>
      <c r="NOX53" s="4"/>
      <c r="NOY53" s="4"/>
      <c r="NOZ53" s="4"/>
      <c r="NPA53" s="4"/>
      <c r="NPB53" s="4"/>
      <c r="NPC53" s="4"/>
      <c r="NPD53" s="4"/>
      <c r="NPE53" s="4"/>
      <c r="NPF53" s="4"/>
      <c r="NPG53" s="4"/>
      <c r="NPH53" s="4"/>
      <c r="NPI53" s="4"/>
      <c r="NPJ53" s="4"/>
      <c r="NPK53" s="4"/>
      <c r="NPL53" s="4"/>
      <c r="NPM53" s="4"/>
      <c r="NPN53" s="4"/>
      <c r="NPO53" s="4"/>
      <c r="NPP53" s="4"/>
      <c r="NPQ53" s="4"/>
      <c r="NPR53" s="4"/>
      <c r="NPS53" s="4"/>
      <c r="NPT53" s="4"/>
      <c r="NPU53" s="4"/>
      <c r="NPV53" s="4"/>
      <c r="NPW53" s="4"/>
      <c r="NPX53" s="4"/>
      <c r="NPY53" s="4"/>
      <c r="NPZ53" s="4"/>
      <c r="NQA53" s="4"/>
      <c r="NQB53" s="4"/>
      <c r="NQC53" s="4"/>
      <c r="NQD53" s="4"/>
      <c r="NQE53" s="4"/>
      <c r="NQF53" s="4"/>
      <c r="NQG53" s="4"/>
      <c r="NQH53" s="4"/>
      <c r="NQI53" s="4"/>
      <c r="NQJ53" s="4"/>
      <c r="NQK53" s="4"/>
      <c r="NQL53" s="4"/>
      <c r="NQM53" s="4"/>
      <c r="NQN53" s="4"/>
      <c r="NQO53" s="4"/>
      <c r="NQP53" s="4"/>
      <c r="NQQ53" s="4"/>
      <c r="NQR53" s="4"/>
      <c r="NQS53" s="4"/>
      <c r="NQT53" s="4"/>
      <c r="NQU53" s="4"/>
      <c r="NQV53" s="4"/>
      <c r="NQW53" s="4"/>
      <c r="NQX53" s="4"/>
      <c r="NQY53" s="4"/>
      <c r="NQZ53" s="4"/>
      <c r="NRA53" s="4"/>
      <c r="NRB53" s="4"/>
      <c r="NRC53" s="4"/>
      <c r="NRD53" s="4"/>
      <c r="NRE53" s="4"/>
      <c r="NRF53" s="4"/>
      <c r="NRG53" s="4"/>
      <c r="NRH53" s="4"/>
      <c r="NRI53" s="4"/>
      <c r="NRJ53" s="4"/>
      <c r="NRK53" s="4"/>
      <c r="NRL53" s="4"/>
      <c r="NRM53" s="4"/>
      <c r="NRN53" s="4"/>
      <c r="NRO53" s="4"/>
      <c r="NRP53" s="4"/>
      <c r="NRQ53" s="4"/>
      <c r="NRR53" s="4"/>
      <c r="NRS53" s="4"/>
      <c r="NRT53" s="4"/>
      <c r="NRU53" s="4"/>
      <c r="NRV53" s="4"/>
      <c r="NRW53" s="4"/>
      <c r="NRX53" s="4"/>
      <c r="NRY53" s="4"/>
      <c r="NRZ53" s="4"/>
      <c r="NSA53" s="4"/>
      <c r="NSB53" s="4"/>
      <c r="NSC53" s="4"/>
      <c r="NSD53" s="4"/>
      <c r="NSE53" s="4"/>
      <c r="NSF53" s="4"/>
      <c r="NSG53" s="4"/>
      <c r="NSH53" s="4"/>
      <c r="NSI53" s="4"/>
      <c r="NSJ53" s="4"/>
      <c r="NSK53" s="4"/>
      <c r="NSL53" s="4"/>
      <c r="NSM53" s="4"/>
      <c r="NSN53" s="4"/>
      <c r="NSO53" s="4"/>
      <c r="NSP53" s="4"/>
      <c r="NSQ53" s="4"/>
      <c r="NSR53" s="4"/>
      <c r="NSS53" s="4"/>
      <c r="NST53" s="4"/>
      <c r="NSU53" s="4"/>
      <c r="NSV53" s="4"/>
      <c r="NSW53" s="4"/>
      <c r="NSX53" s="4"/>
      <c r="NSY53" s="4"/>
      <c r="NSZ53" s="4"/>
      <c r="NTA53" s="4"/>
      <c r="NTB53" s="4"/>
      <c r="NTC53" s="4"/>
      <c r="NTD53" s="4"/>
      <c r="NTE53" s="4"/>
      <c r="NTF53" s="4"/>
      <c r="NTG53" s="4"/>
      <c r="NTH53" s="4"/>
      <c r="NTI53" s="4"/>
      <c r="NTJ53" s="4"/>
      <c r="NTK53" s="4"/>
      <c r="NTL53" s="4"/>
      <c r="NTM53" s="4"/>
      <c r="NTN53" s="4"/>
      <c r="NTO53" s="4"/>
      <c r="NTP53" s="4"/>
      <c r="NTQ53" s="4"/>
      <c r="NTR53" s="4"/>
      <c r="NTS53" s="4"/>
      <c r="NTT53" s="4"/>
      <c r="NTU53" s="4"/>
      <c r="NTV53" s="4"/>
      <c r="NTW53" s="4"/>
      <c r="NTX53" s="4"/>
      <c r="NTY53" s="4"/>
      <c r="NTZ53" s="4"/>
      <c r="NUA53" s="4"/>
      <c r="NUB53" s="4"/>
      <c r="NUC53" s="4"/>
      <c r="NUD53" s="4"/>
      <c r="NUE53" s="4"/>
      <c r="NUF53" s="4"/>
      <c r="NUG53" s="4"/>
      <c r="NUH53" s="4"/>
      <c r="NUI53" s="4"/>
      <c r="NUJ53" s="4"/>
      <c r="NUK53" s="4"/>
      <c r="NUL53" s="4"/>
      <c r="NUM53" s="4"/>
      <c r="NUN53" s="4"/>
      <c r="NUO53" s="4"/>
      <c r="NUP53" s="4"/>
      <c r="NUQ53" s="4"/>
      <c r="NUR53" s="4"/>
      <c r="NUS53" s="4"/>
      <c r="NUT53" s="4"/>
      <c r="NUU53" s="4"/>
      <c r="NUV53" s="4"/>
      <c r="NUW53" s="4"/>
      <c r="NUX53" s="4"/>
      <c r="NUY53" s="4"/>
      <c r="NUZ53" s="4"/>
      <c r="NVA53" s="4"/>
      <c r="NVB53" s="4"/>
      <c r="NVC53" s="4"/>
      <c r="NVD53" s="4"/>
      <c r="NVE53" s="4"/>
      <c r="NVF53" s="4"/>
      <c r="NVG53" s="4"/>
      <c r="NVH53" s="4"/>
      <c r="NVI53" s="4"/>
      <c r="NVJ53" s="4"/>
      <c r="NVK53" s="4"/>
      <c r="NVL53" s="4"/>
      <c r="NVM53" s="4"/>
      <c r="NVN53" s="4"/>
      <c r="NVO53" s="4"/>
      <c r="NVP53" s="4"/>
      <c r="NVQ53" s="4"/>
      <c r="NVR53" s="4"/>
      <c r="NVS53" s="4"/>
      <c r="NVT53" s="4"/>
      <c r="NVU53" s="4"/>
      <c r="NVV53" s="4"/>
      <c r="NVW53" s="4"/>
      <c r="NVX53" s="4"/>
      <c r="NVY53" s="4"/>
      <c r="NVZ53" s="4"/>
      <c r="NWA53" s="4"/>
      <c r="NWB53" s="4"/>
      <c r="NWC53" s="4"/>
      <c r="NWD53" s="4"/>
      <c r="NWE53" s="4"/>
      <c r="NWF53" s="4"/>
      <c r="NWG53" s="4"/>
      <c r="NWH53" s="4"/>
      <c r="NWI53" s="4"/>
      <c r="NWJ53" s="4"/>
      <c r="NWK53" s="4"/>
      <c r="NWL53" s="4"/>
      <c r="NWM53" s="4"/>
      <c r="NWN53" s="4"/>
      <c r="NWO53" s="4"/>
      <c r="NWP53" s="4"/>
      <c r="NWQ53" s="4"/>
      <c r="NWR53" s="4"/>
      <c r="NWS53" s="4"/>
      <c r="NWT53" s="4"/>
      <c r="NWU53" s="4"/>
      <c r="NWV53" s="4"/>
      <c r="NWW53" s="4"/>
      <c r="NWX53" s="4"/>
      <c r="NWY53" s="4"/>
      <c r="NWZ53" s="4"/>
      <c r="NXA53" s="4"/>
      <c r="NXB53" s="4"/>
      <c r="NXC53" s="4"/>
      <c r="NXD53" s="4"/>
      <c r="NXE53" s="4"/>
      <c r="NXF53" s="4"/>
      <c r="NXG53" s="4"/>
      <c r="NXH53" s="4"/>
      <c r="NXI53" s="4"/>
      <c r="NXJ53" s="4"/>
      <c r="NXK53" s="4"/>
      <c r="NXL53" s="4"/>
      <c r="NXM53" s="4"/>
      <c r="NXN53" s="4"/>
      <c r="NXO53" s="4"/>
      <c r="NXP53" s="4"/>
      <c r="NXQ53" s="4"/>
      <c r="NXR53" s="4"/>
      <c r="NXS53" s="4"/>
      <c r="NXT53" s="4"/>
      <c r="NXU53" s="4"/>
      <c r="NXV53" s="4"/>
      <c r="NXW53" s="4"/>
      <c r="NXX53" s="4"/>
      <c r="NXY53" s="4"/>
      <c r="NXZ53" s="4"/>
      <c r="NYA53" s="4"/>
      <c r="NYB53" s="4"/>
      <c r="NYC53" s="4"/>
      <c r="NYD53" s="4"/>
      <c r="NYE53" s="4"/>
      <c r="NYF53" s="4"/>
      <c r="NYG53" s="4"/>
      <c r="NYH53" s="4"/>
      <c r="NYI53" s="4"/>
      <c r="NYJ53" s="4"/>
      <c r="NYK53" s="4"/>
      <c r="NYL53" s="4"/>
      <c r="NYM53" s="4"/>
      <c r="NYN53" s="4"/>
      <c r="NYO53" s="4"/>
      <c r="NYP53" s="4"/>
      <c r="NYQ53" s="4"/>
      <c r="NYR53" s="4"/>
      <c r="NYS53" s="4"/>
      <c r="NYT53" s="4"/>
      <c r="NYU53" s="4"/>
      <c r="NYV53" s="4"/>
      <c r="NYW53" s="4"/>
      <c r="NYX53" s="4"/>
      <c r="NYY53" s="4"/>
      <c r="NYZ53" s="4"/>
      <c r="NZA53" s="4"/>
      <c r="NZB53" s="4"/>
      <c r="NZC53" s="4"/>
      <c r="NZD53" s="4"/>
      <c r="NZE53" s="4"/>
      <c r="NZF53" s="4"/>
      <c r="NZG53" s="4"/>
      <c r="NZH53" s="4"/>
      <c r="NZI53" s="4"/>
      <c r="NZJ53" s="4"/>
      <c r="NZK53" s="4"/>
      <c r="NZL53" s="4"/>
      <c r="NZM53" s="4"/>
      <c r="NZN53" s="4"/>
      <c r="NZO53" s="4"/>
      <c r="NZP53" s="4"/>
      <c r="NZQ53" s="4"/>
      <c r="NZR53" s="4"/>
      <c r="NZS53" s="4"/>
      <c r="NZT53" s="4"/>
      <c r="NZU53" s="4"/>
      <c r="NZV53" s="4"/>
      <c r="NZW53" s="4"/>
      <c r="NZX53" s="4"/>
      <c r="NZY53" s="4"/>
      <c r="NZZ53" s="4"/>
      <c r="OAA53" s="4"/>
      <c r="OAB53" s="4"/>
      <c r="OAC53" s="4"/>
      <c r="OAD53" s="4"/>
      <c r="OAE53" s="4"/>
      <c r="OAF53" s="4"/>
      <c r="OAG53" s="4"/>
      <c r="OAH53" s="4"/>
      <c r="OAI53" s="4"/>
      <c r="OAJ53" s="4"/>
      <c r="OAK53" s="4"/>
      <c r="OAL53" s="4"/>
      <c r="OAM53" s="4"/>
      <c r="OAN53" s="4"/>
      <c r="OAO53" s="4"/>
      <c r="OAP53" s="4"/>
      <c r="OAQ53" s="4"/>
      <c r="OAR53" s="4"/>
      <c r="OAS53" s="4"/>
      <c r="OAT53" s="4"/>
      <c r="OAU53" s="4"/>
      <c r="OAV53" s="4"/>
      <c r="OAW53" s="4"/>
      <c r="OAX53" s="4"/>
      <c r="OAY53" s="4"/>
      <c r="OAZ53" s="4"/>
      <c r="OBA53" s="4"/>
      <c r="OBB53" s="4"/>
      <c r="OBC53" s="4"/>
      <c r="OBD53" s="4"/>
      <c r="OBE53" s="4"/>
      <c r="OBF53" s="4"/>
      <c r="OBG53" s="4"/>
      <c r="OBH53" s="4"/>
      <c r="OBI53" s="4"/>
      <c r="OBJ53" s="4"/>
      <c r="OBK53" s="4"/>
      <c r="OBL53" s="4"/>
      <c r="OBM53" s="4"/>
      <c r="OBN53" s="4"/>
      <c r="OBO53" s="4"/>
      <c r="OBP53" s="4"/>
      <c r="OBQ53" s="4"/>
      <c r="OBR53" s="4"/>
      <c r="OBS53" s="4"/>
      <c r="OBT53" s="4"/>
      <c r="OBU53" s="4"/>
      <c r="OBV53" s="4"/>
      <c r="OBW53" s="4"/>
      <c r="OBX53" s="4"/>
      <c r="OBY53" s="4"/>
      <c r="OBZ53" s="4"/>
      <c r="OCA53" s="4"/>
      <c r="OCB53" s="4"/>
      <c r="OCC53" s="4"/>
      <c r="OCD53" s="4"/>
      <c r="OCE53" s="4"/>
      <c r="OCF53" s="4"/>
      <c r="OCG53" s="4"/>
      <c r="OCH53" s="4"/>
      <c r="OCI53" s="4"/>
      <c r="OCJ53" s="4"/>
      <c r="OCK53" s="4"/>
      <c r="OCL53" s="4"/>
      <c r="OCM53" s="4"/>
      <c r="OCN53" s="4"/>
      <c r="OCO53" s="4"/>
      <c r="OCP53" s="4"/>
      <c r="OCQ53" s="4"/>
      <c r="OCR53" s="4"/>
      <c r="OCS53" s="4"/>
      <c r="OCT53" s="4"/>
      <c r="OCU53" s="4"/>
      <c r="OCV53" s="4"/>
      <c r="OCW53" s="4"/>
      <c r="OCX53" s="4"/>
      <c r="OCY53" s="4"/>
      <c r="OCZ53" s="4"/>
      <c r="ODA53" s="4"/>
      <c r="ODB53" s="4"/>
      <c r="ODC53" s="4"/>
      <c r="ODD53" s="4"/>
      <c r="ODE53" s="4"/>
      <c r="ODF53" s="4"/>
      <c r="ODG53" s="4"/>
      <c r="ODH53" s="4"/>
      <c r="ODI53" s="4"/>
      <c r="ODJ53" s="4"/>
      <c r="ODK53" s="4"/>
      <c r="ODL53" s="4"/>
      <c r="ODM53" s="4"/>
      <c r="ODN53" s="4"/>
      <c r="ODO53" s="4"/>
      <c r="ODP53" s="4"/>
      <c r="ODQ53" s="4"/>
      <c r="ODR53" s="4"/>
      <c r="ODS53" s="4"/>
      <c r="ODT53" s="4"/>
      <c r="ODU53" s="4"/>
      <c r="ODV53" s="4"/>
      <c r="ODW53" s="4"/>
      <c r="ODX53" s="4"/>
      <c r="ODY53" s="4"/>
      <c r="ODZ53" s="4"/>
      <c r="OEA53" s="4"/>
      <c r="OEB53" s="4"/>
      <c r="OEC53" s="4"/>
      <c r="OED53" s="4"/>
      <c r="OEE53" s="4"/>
      <c r="OEF53" s="4"/>
      <c r="OEG53" s="4"/>
      <c r="OEH53" s="4"/>
      <c r="OEI53" s="4"/>
      <c r="OEJ53" s="4"/>
      <c r="OEK53" s="4"/>
      <c r="OEL53" s="4"/>
      <c r="OEM53" s="4"/>
      <c r="OEN53" s="4"/>
      <c r="OEO53" s="4"/>
      <c r="OEP53" s="4"/>
      <c r="OEQ53" s="4"/>
      <c r="OER53" s="4"/>
      <c r="OES53" s="4"/>
      <c r="OET53" s="4"/>
      <c r="OEU53" s="4"/>
      <c r="OEV53" s="4"/>
      <c r="OEW53" s="4"/>
      <c r="OEX53" s="4"/>
      <c r="OEY53" s="4"/>
      <c r="OEZ53" s="4"/>
      <c r="OFA53" s="4"/>
      <c r="OFB53" s="4"/>
      <c r="OFC53" s="4"/>
      <c r="OFD53" s="4"/>
      <c r="OFE53" s="4"/>
      <c r="OFF53" s="4"/>
      <c r="OFG53" s="4"/>
      <c r="OFH53" s="4"/>
      <c r="OFI53" s="4"/>
      <c r="OFJ53" s="4"/>
      <c r="OFK53" s="4"/>
      <c r="OFL53" s="4"/>
      <c r="OFM53" s="4"/>
      <c r="OFN53" s="4"/>
      <c r="OFO53" s="4"/>
      <c r="OFP53" s="4"/>
      <c r="OFQ53" s="4"/>
      <c r="OFR53" s="4"/>
      <c r="OFS53" s="4"/>
      <c r="OFT53" s="4"/>
      <c r="OFU53" s="4"/>
      <c r="OFV53" s="4"/>
      <c r="OFW53" s="4"/>
      <c r="OFX53" s="4"/>
      <c r="OFY53" s="4"/>
      <c r="OFZ53" s="4"/>
      <c r="OGA53" s="4"/>
      <c r="OGB53" s="4"/>
      <c r="OGC53" s="4"/>
      <c r="OGD53" s="4"/>
      <c r="OGE53" s="4"/>
      <c r="OGF53" s="4"/>
      <c r="OGG53" s="4"/>
      <c r="OGH53" s="4"/>
      <c r="OGI53" s="4"/>
      <c r="OGJ53" s="4"/>
      <c r="OGK53" s="4"/>
      <c r="OGL53" s="4"/>
      <c r="OGM53" s="4"/>
      <c r="OGN53" s="4"/>
      <c r="OGO53" s="4"/>
      <c r="OGP53" s="4"/>
      <c r="OGQ53" s="4"/>
      <c r="OGR53" s="4"/>
      <c r="OGS53" s="4"/>
      <c r="OGT53" s="4"/>
      <c r="OGU53" s="4"/>
      <c r="OGV53" s="4"/>
      <c r="OGW53" s="4"/>
      <c r="OGX53" s="4"/>
      <c r="OGY53" s="4"/>
      <c r="OGZ53" s="4"/>
      <c r="OHA53" s="4"/>
      <c r="OHB53" s="4"/>
      <c r="OHC53" s="4"/>
      <c r="OHD53" s="4"/>
      <c r="OHE53" s="4"/>
      <c r="OHF53" s="4"/>
      <c r="OHG53" s="4"/>
      <c r="OHH53" s="4"/>
      <c r="OHI53" s="4"/>
      <c r="OHJ53" s="4"/>
      <c r="OHK53" s="4"/>
      <c r="OHL53" s="4"/>
      <c r="OHM53" s="4"/>
      <c r="OHN53" s="4"/>
      <c r="OHO53" s="4"/>
      <c r="OHP53" s="4"/>
      <c r="OHQ53" s="4"/>
      <c r="OHR53" s="4"/>
      <c r="OHS53" s="4"/>
      <c r="OHT53" s="4"/>
      <c r="OHU53" s="4"/>
      <c r="OHV53" s="4"/>
      <c r="OHW53" s="4"/>
      <c r="OHX53" s="4"/>
      <c r="OHY53" s="4"/>
      <c r="OHZ53" s="4"/>
      <c r="OIA53" s="4"/>
      <c r="OIB53" s="4"/>
      <c r="OIC53" s="4"/>
      <c r="OID53" s="4"/>
      <c r="OIE53" s="4"/>
      <c r="OIF53" s="4"/>
      <c r="OIG53" s="4"/>
      <c r="OIH53" s="4"/>
      <c r="OII53" s="4"/>
      <c r="OIJ53" s="4"/>
      <c r="OIK53" s="4"/>
      <c r="OIL53" s="4"/>
      <c r="OIM53" s="4"/>
      <c r="OIN53" s="4"/>
      <c r="OIO53" s="4"/>
      <c r="OIP53" s="4"/>
      <c r="OIQ53" s="4"/>
      <c r="OIR53" s="4"/>
      <c r="OIS53" s="4"/>
      <c r="OIT53" s="4"/>
      <c r="OIU53" s="4"/>
      <c r="OIV53" s="4"/>
      <c r="OIW53" s="4"/>
      <c r="OIX53" s="4"/>
      <c r="OIY53" s="4"/>
      <c r="OIZ53" s="4"/>
      <c r="OJA53" s="4"/>
      <c r="OJB53" s="4"/>
      <c r="OJC53" s="4"/>
      <c r="OJD53" s="4"/>
      <c r="OJE53" s="4"/>
      <c r="OJF53" s="4"/>
      <c r="OJG53" s="4"/>
      <c r="OJH53" s="4"/>
      <c r="OJI53" s="4"/>
      <c r="OJJ53" s="4"/>
      <c r="OJK53" s="4"/>
      <c r="OJL53" s="4"/>
      <c r="OJM53" s="4"/>
      <c r="OJN53" s="4"/>
      <c r="OJO53" s="4"/>
      <c r="OJP53" s="4"/>
      <c r="OJQ53" s="4"/>
      <c r="OJR53" s="4"/>
      <c r="OJS53" s="4"/>
      <c r="OJT53" s="4"/>
      <c r="OJU53" s="4"/>
      <c r="OJV53" s="4"/>
      <c r="OJW53" s="4"/>
      <c r="OJX53" s="4"/>
      <c r="OJY53" s="4"/>
      <c r="OJZ53" s="4"/>
      <c r="OKA53" s="4"/>
      <c r="OKB53" s="4"/>
      <c r="OKC53" s="4"/>
      <c r="OKD53" s="4"/>
      <c r="OKE53" s="4"/>
      <c r="OKF53" s="4"/>
      <c r="OKG53" s="4"/>
      <c r="OKH53" s="4"/>
      <c r="OKI53" s="4"/>
      <c r="OKJ53" s="4"/>
      <c r="OKK53" s="4"/>
      <c r="OKL53" s="4"/>
      <c r="OKM53" s="4"/>
      <c r="OKN53" s="4"/>
      <c r="OKO53" s="4"/>
      <c r="OKP53" s="4"/>
      <c r="OKQ53" s="4"/>
      <c r="OKR53" s="4"/>
      <c r="OKS53" s="4"/>
      <c r="OKT53" s="4"/>
      <c r="OKU53" s="4"/>
      <c r="OKV53" s="4"/>
      <c r="OKW53" s="4"/>
      <c r="OKX53" s="4"/>
      <c r="OKY53" s="4"/>
      <c r="OKZ53" s="4"/>
      <c r="OLA53" s="4"/>
      <c r="OLB53" s="4"/>
      <c r="OLC53" s="4"/>
      <c r="OLD53" s="4"/>
      <c r="OLE53" s="4"/>
      <c r="OLF53" s="4"/>
      <c r="OLG53" s="4"/>
      <c r="OLH53" s="4"/>
      <c r="OLI53" s="4"/>
      <c r="OLJ53" s="4"/>
      <c r="OLK53" s="4"/>
      <c r="OLL53" s="4"/>
      <c r="OLM53" s="4"/>
      <c r="OLN53" s="4"/>
      <c r="OLO53" s="4"/>
      <c r="OLP53" s="4"/>
      <c r="OLQ53" s="4"/>
      <c r="OLR53" s="4"/>
      <c r="OLS53" s="4"/>
      <c r="OLT53" s="4"/>
      <c r="OLU53" s="4"/>
      <c r="OLV53" s="4"/>
      <c r="OLW53" s="4"/>
      <c r="OLX53" s="4"/>
      <c r="OLY53" s="4"/>
      <c r="OLZ53" s="4"/>
      <c r="OMA53" s="4"/>
      <c r="OMB53" s="4"/>
      <c r="OMC53" s="4"/>
      <c r="OMD53" s="4"/>
      <c r="OME53" s="4"/>
      <c r="OMF53" s="4"/>
      <c r="OMG53" s="4"/>
      <c r="OMH53" s="4"/>
      <c r="OMI53" s="4"/>
      <c r="OMJ53" s="4"/>
      <c r="OMK53" s="4"/>
      <c r="OML53" s="4"/>
      <c r="OMM53" s="4"/>
      <c r="OMN53" s="4"/>
      <c r="OMO53" s="4"/>
      <c r="OMP53" s="4"/>
      <c r="OMQ53" s="4"/>
      <c r="OMR53" s="4"/>
      <c r="OMS53" s="4"/>
      <c r="OMT53" s="4"/>
      <c r="OMU53" s="4"/>
      <c r="OMV53" s="4"/>
      <c r="OMW53" s="4"/>
      <c r="OMX53" s="4"/>
      <c r="OMY53" s="4"/>
      <c r="OMZ53" s="4"/>
      <c r="ONA53" s="4"/>
      <c r="ONB53" s="4"/>
      <c r="ONC53" s="4"/>
      <c r="OND53" s="4"/>
      <c r="ONE53" s="4"/>
      <c r="ONF53" s="4"/>
      <c r="ONG53" s="4"/>
      <c r="ONH53" s="4"/>
      <c r="ONI53" s="4"/>
      <c r="ONJ53" s="4"/>
      <c r="ONK53" s="4"/>
      <c r="ONL53" s="4"/>
      <c r="ONM53" s="4"/>
      <c r="ONN53" s="4"/>
      <c r="ONO53" s="4"/>
      <c r="ONP53" s="4"/>
      <c r="ONQ53" s="4"/>
      <c r="ONR53" s="4"/>
      <c r="ONS53" s="4"/>
      <c r="ONT53" s="4"/>
      <c r="ONU53" s="4"/>
      <c r="ONV53" s="4"/>
      <c r="ONW53" s="4"/>
      <c r="ONX53" s="4"/>
      <c r="ONY53" s="4"/>
      <c r="ONZ53" s="4"/>
      <c r="OOA53" s="4"/>
      <c r="OOB53" s="4"/>
      <c r="OOC53" s="4"/>
      <c r="OOD53" s="4"/>
      <c r="OOE53" s="4"/>
      <c r="OOF53" s="4"/>
      <c r="OOG53" s="4"/>
      <c r="OOH53" s="4"/>
      <c r="OOI53" s="4"/>
      <c r="OOJ53" s="4"/>
      <c r="OOK53" s="4"/>
      <c r="OOL53" s="4"/>
      <c r="OOM53" s="4"/>
      <c r="OON53" s="4"/>
      <c r="OOO53" s="4"/>
      <c r="OOP53" s="4"/>
      <c r="OOQ53" s="4"/>
      <c r="OOR53" s="4"/>
      <c r="OOS53" s="4"/>
      <c r="OOT53" s="4"/>
      <c r="OOU53" s="4"/>
      <c r="OOV53" s="4"/>
      <c r="OOW53" s="4"/>
      <c r="OOX53" s="4"/>
      <c r="OOY53" s="4"/>
      <c r="OOZ53" s="4"/>
      <c r="OPA53" s="4"/>
      <c r="OPB53" s="4"/>
      <c r="OPC53" s="4"/>
      <c r="OPD53" s="4"/>
      <c r="OPE53" s="4"/>
      <c r="OPF53" s="4"/>
      <c r="OPG53" s="4"/>
      <c r="OPH53" s="4"/>
      <c r="OPI53" s="4"/>
      <c r="OPJ53" s="4"/>
      <c r="OPK53" s="4"/>
      <c r="OPL53" s="4"/>
      <c r="OPM53" s="4"/>
      <c r="OPN53" s="4"/>
      <c r="OPO53" s="4"/>
      <c r="OPP53" s="4"/>
      <c r="OPQ53" s="4"/>
      <c r="OPR53" s="4"/>
      <c r="OPS53" s="4"/>
      <c r="OPT53" s="4"/>
      <c r="OPU53" s="4"/>
      <c r="OPV53" s="4"/>
      <c r="OPW53" s="4"/>
      <c r="OPX53" s="4"/>
      <c r="OPY53" s="4"/>
      <c r="OPZ53" s="4"/>
      <c r="OQA53" s="4"/>
      <c r="OQB53" s="4"/>
      <c r="OQC53" s="4"/>
      <c r="OQD53" s="4"/>
      <c r="OQE53" s="4"/>
      <c r="OQF53" s="4"/>
      <c r="OQG53" s="4"/>
      <c r="OQH53" s="4"/>
      <c r="OQI53" s="4"/>
      <c r="OQJ53" s="4"/>
      <c r="OQK53" s="4"/>
      <c r="OQL53" s="4"/>
      <c r="OQM53" s="4"/>
      <c r="OQN53" s="4"/>
      <c r="OQO53" s="4"/>
      <c r="OQP53" s="4"/>
      <c r="OQQ53" s="4"/>
      <c r="OQR53" s="4"/>
      <c r="OQS53" s="4"/>
      <c r="OQT53" s="4"/>
      <c r="OQU53" s="4"/>
      <c r="OQV53" s="4"/>
      <c r="OQW53" s="4"/>
      <c r="OQX53" s="4"/>
      <c r="OQY53" s="4"/>
      <c r="OQZ53" s="4"/>
      <c r="ORA53" s="4"/>
      <c r="ORB53" s="4"/>
      <c r="ORC53" s="4"/>
      <c r="ORD53" s="4"/>
      <c r="ORE53" s="4"/>
      <c r="ORF53" s="4"/>
      <c r="ORG53" s="4"/>
      <c r="ORH53" s="4"/>
      <c r="ORI53" s="4"/>
      <c r="ORJ53" s="4"/>
      <c r="ORK53" s="4"/>
      <c r="ORL53" s="4"/>
      <c r="ORM53" s="4"/>
      <c r="ORN53" s="4"/>
      <c r="ORO53" s="4"/>
      <c r="ORP53" s="4"/>
      <c r="ORQ53" s="4"/>
      <c r="ORR53" s="4"/>
      <c r="ORS53" s="4"/>
      <c r="ORT53" s="4"/>
      <c r="ORU53" s="4"/>
      <c r="ORV53" s="4"/>
      <c r="ORW53" s="4"/>
      <c r="ORX53" s="4"/>
      <c r="ORY53" s="4"/>
      <c r="ORZ53" s="4"/>
      <c r="OSA53" s="4"/>
      <c r="OSB53" s="4"/>
      <c r="OSC53" s="4"/>
      <c r="OSD53" s="4"/>
      <c r="OSE53" s="4"/>
      <c r="OSF53" s="4"/>
      <c r="OSG53" s="4"/>
      <c r="OSH53" s="4"/>
      <c r="OSI53" s="4"/>
      <c r="OSJ53" s="4"/>
      <c r="OSK53" s="4"/>
      <c r="OSL53" s="4"/>
      <c r="OSM53" s="4"/>
      <c r="OSN53" s="4"/>
      <c r="OSO53" s="4"/>
      <c r="OSP53" s="4"/>
      <c r="OSQ53" s="4"/>
      <c r="OSR53" s="4"/>
      <c r="OSS53" s="4"/>
      <c r="OST53" s="4"/>
      <c r="OSU53" s="4"/>
      <c r="OSV53" s="4"/>
      <c r="OSW53" s="4"/>
      <c r="OSX53" s="4"/>
      <c r="OSY53" s="4"/>
      <c r="OSZ53" s="4"/>
      <c r="OTA53" s="4"/>
      <c r="OTB53" s="4"/>
      <c r="OTC53" s="4"/>
      <c r="OTD53" s="4"/>
      <c r="OTE53" s="4"/>
      <c r="OTF53" s="4"/>
      <c r="OTG53" s="4"/>
      <c r="OTH53" s="4"/>
      <c r="OTI53" s="4"/>
      <c r="OTJ53" s="4"/>
      <c r="OTK53" s="4"/>
      <c r="OTL53" s="4"/>
      <c r="OTM53" s="4"/>
      <c r="OTN53" s="4"/>
      <c r="OTO53" s="4"/>
      <c r="OTP53" s="4"/>
      <c r="OTQ53" s="4"/>
      <c r="OTR53" s="4"/>
      <c r="OTS53" s="4"/>
      <c r="OTT53" s="4"/>
      <c r="OTU53" s="4"/>
      <c r="OTV53" s="4"/>
      <c r="OTW53" s="4"/>
      <c r="OTX53" s="4"/>
      <c r="OTY53" s="4"/>
      <c r="OTZ53" s="4"/>
      <c r="OUA53" s="4"/>
      <c r="OUB53" s="4"/>
      <c r="OUC53" s="4"/>
      <c r="OUD53" s="4"/>
      <c r="OUE53" s="4"/>
      <c r="OUF53" s="4"/>
      <c r="OUG53" s="4"/>
      <c r="OUH53" s="4"/>
      <c r="OUI53" s="4"/>
      <c r="OUJ53" s="4"/>
      <c r="OUK53" s="4"/>
      <c r="OUL53" s="4"/>
      <c r="OUM53" s="4"/>
      <c r="OUN53" s="4"/>
      <c r="OUO53" s="4"/>
      <c r="OUP53" s="4"/>
      <c r="OUQ53" s="4"/>
      <c r="OUR53" s="4"/>
      <c r="OUS53" s="4"/>
      <c r="OUT53" s="4"/>
      <c r="OUU53" s="4"/>
      <c r="OUV53" s="4"/>
      <c r="OUW53" s="4"/>
      <c r="OUX53" s="4"/>
      <c r="OUY53" s="4"/>
      <c r="OUZ53" s="4"/>
      <c r="OVA53" s="4"/>
      <c r="OVB53" s="4"/>
      <c r="OVC53" s="4"/>
      <c r="OVD53" s="4"/>
      <c r="OVE53" s="4"/>
      <c r="OVF53" s="4"/>
      <c r="OVG53" s="4"/>
      <c r="OVH53" s="4"/>
      <c r="OVI53" s="4"/>
      <c r="OVJ53" s="4"/>
      <c r="OVK53" s="4"/>
      <c r="OVL53" s="4"/>
      <c r="OVM53" s="4"/>
      <c r="OVN53" s="4"/>
      <c r="OVO53" s="4"/>
      <c r="OVP53" s="4"/>
      <c r="OVQ53" s="4"/>
      <c r="OVR53" s="4"/>
      <c r="OVS53" s="4"/>
      <c r="OVT53" s="4"/>
      <c r="OVU53" s="4"/>
      <c r="OVV53" s="4"/>
      <c r="OVW53" s="4"/>
      <c r="OVX53" s="4"/>
      <c r="OVY53" s="4"/>
      <c r="OVZ53" s="4"/>
      <c r="OWA53" s="4"/>
      <c r="OWB53" s="4"/>
      <c r="OWC53" s="4"/>
      <c r="OWD53" s="4"/>
      <c r="OWE53" s="4"/>
      <c r="OWF53" s="4"/>
      <c r="OWG53" s="4"/>
      <c r="OWH53" s="4"/>
      <c r="OWI53" s="4"/>
      <c r="OWJ53" s="4"/>
      <c r="OWK53" s="4"/>
      <c r="OWL53" s="4"/>
      <c r="OWM53" s="4"/>
      <c r="OWN53" s="4"/>
      <c r="OWO53" s="4"/>
      <c r="OWP53" s="4"/>
      <c r="OWQ53" s="4"/>
      <c r="OWR53" s="4"/>
      <c r="OWS53" s="4"/>
      <c r="OWT53" s="4"/>
      <c r="OWU53" s="4"/>
      <c r="OWV53" s="4"/>
      <c r="OWW53" s="4"/>
      <c r="OWX53" s="4"/>
      <c r="OWY53" s="4"/>
      <c r="OWZ53" s="4"/>
      <c r="OXA53" s="4"/>
      <c r="OXB53" s="4"/>
      <c r="OXC53" s="4"/>
      <c r="OXD53" s="4"/>
      <c r="OXE53" s="4"/>
      <c r="OXF53" s="4"/>
      <c r="OXG53" s="4"/>
      <c r="OXH53" s="4"/>
      <c r="OXI53" s="4"/>
      <c r="OXJ53" s="4"/>
      <c r="OXK53" s="4"/>
      <c r="OXL53" s="4"/>
      <c r="OXM53" s="4"/>
      <c r="OXN53" s="4"/>
      <c r="OXO53" s="4"/>
      <c r="OXP53" s="4"/>
      <c r="OXQ53" s="4"/>
      <c r="OXR53" s="4"/>
      <c r="OXS53" s="4"/>
      <c r="OXT53" s="4"/>
      <c r="OXU53" s="4"/>
      <c r="OXV53" s="4"/>
      <c r="OXW53" s="4"/>
      <c r="OXX53" s="4"/>
      <c r="OXY53" s="4"/>
      <c r="OXZ53" s="4"/>
      <c r="OYA53" s="4"/>
      <c r="OYB53" s="4"/>
      <c r="OYC53" s="4"/>
      <c r="OYD53" s="4"/>
      <c r="OYE53" s="4"/>
      <c r="OYF53" s="4"/>
      <c r="OYG53" s="4"/>
      <c r="OYH53" s="4"/>
      <c r="OYI53" s="4"/>
      <c r="OYJ53" s="4"/>
      <c r="OYK53" s="4"/>
      <c r="OYL53" s="4"/>
      <c r="OYM53" s="4"/>
      <c r="OYN53" s="4"/>
      <c r="OYO53" s="4"/>
      <c r="OYP53" s="4"/>
      <c r="OYQ53" s="4"/>
      <c r="OYR53" s="4"/>
      <c r="OYS53" s="4"/>
      <c r="OYT53" s="4"/>
      <c r="OYU53" s="4"/>
      <c r="OYV53" s="4"/>
      <c r="OYW53" s="4"/>
      <c r="OYX53" s="4"/>
      <c r="OYY53" s="4"/>
      <c r="OYZ53" s="4"/>
      <c r="OZA53" s="4"/>
      <c r="OZB53" s="4"/>
      <c r="OZC53" s="4"/>
      <c r="OZD53" s="4"/>
      <c r="OZE53" s="4"/>
      <c r="OZF53" s="4"/>
      <c r="OZG53" s="4"/>
      <c r="OZH53" s="4"/>
      <c r="OZI53" s="4"/>
      <c r="OZJ53" s="4"/>
      <c r="OZK53" s="4"/>
      <c r="OZL53" s="4"/>
      <c r="OZM53" s="4"/>
      <c r="OZN53" s="4"/>
      <c r="OZO53" s="4"/>
      <c r="OZP53" s="4"/>
      <c r="OZQ53" s="4"/>
      <c r="OZR53" s="4"/>
      <c r="OZS53" s="4"/>
      <c r="OZT53" s="4"/>
      <c r="OZU53" s="4"/>
      <c r="OZV53" s="4"/>
      <c r="OZW53" s="4"/>
      <c r="OZX53" s="4"/>
      <c r="OZY53" s="4"/>
      <c r="OZZ53" s="4"/>
      <c r="PAA53" s="4"/>
      <c r="PAB53" s="4"/>
      <c r="PAC53" s="4"/>
      <c r="PAD53" s="4"/>
      <c r="PAE53" s="4"/>
      <c r="PAF53" s="4"/>
      <c r="PAG53" s="4"/>
      <c r="PAH53" s="4"/>
      <c r="PAI53" s="4"/>
      <c r="PAJ53" s="4"/>
      <c r="PAK53" s="4"/>
      <c r="PAL53" s="4"/>
      <c r="PAM53" s="4"/>
      <c r="PAN53" s="4"/>
      <c r="PAO53" s="4"/>
      <c r="PAP53" s="4"/>
      <c r="PAQ53" s="4"/>
      <c r="PAR53" s="4"/>
      <c r="PAS53" s="4"/>
      <c r="PAT53" s="4"/>
      <c r="PAU53" s="4"/>
      <c r="PAV53" s="4"/>
      <c r="PAW53" s="4"/>
      <c r="PAX53" s="4"/>
      <c r="PAY53" s="4"/>
      <c r="PAZ53" s="4"/>
      <c r="PBA53" s="4"/>
      <c r="PBB53" s="4"/>
      <c r="PBC53" s="4"/>
      <c r="PBD53" s="4"/>
      <c r="PBE53" s="4"/>
      <c r="PBF53" s="4"/>
      <c r="PBG53" s="4"/>
      <c r="PBH53" s="4"/>
      <c r="PBI53" s="4"/>
      <c r="PBJ53" s="4"/>
      <c r="PBK53" s="4"/>
      <c r="PBL53" s="4"/>
      <c r="PBM53" s="4"/>
      <c r="PBN53" s="4"/>
      <c r="PBO53" s="4"/>
      <c r="PBP53" s="4"/>
      <c r="PBQ53" s="4"/>
      <c r="PBR53" s="4"/>
      <c r="PBS53" s="4"/>
      <c r="PBT53" s="4"/>
      <c r="PBU53" s="4"/>
      <c r="PBV53" s="4"/>
      <c r="PBW53" s="4"/>
      <c r="PBX53" s="4"/>
      <c r="PBY53" s="4"/>
      <c r="PBZ53" s="4"/>
      <c r="PCA53" s="4"/>
      <c r="PCB53" s="4"/>
      <c r="PCC53" s="4"/>
      <c r="PCD53" s="4"/>
      <c r="PCE53" s="4"/>
      <c r="PCF53" s="4"/>
      <c r="PCG53" s="4"/>
      <c r="PCH53" s="4"/>
      <c r="PCI53" s="4"/>
      <c r="PCJ53" s="4"/>
      <c r="PCK53" s="4"/>
      <c r="PCL53" s="4"/>
      <c r="PCM53" s="4"/>
      <c r="PCN53" s="4"/>
      <c r="PCO53" s="4"/>
      <c r="PCP53" s="4"/>
      <c r="PCQ53" s="4"/>
      <c r="PCR53" s="4"/>
      <c r="PCS53" s="4"/>
      <c r="PCT53" s="4"/>
      <c r="PCU53" s="4"/>
      <c r="PCV53" s="4"/>
      <c r="PCW53" s="4"/>
      <c r="PCX53" s="4"/>
      <c r="PCY53" s="4"/>
      <c r="PCZ53" s="4"/>
      <c r="PDA53" s="4"/>
      <c r="PDB53" s="4"/>
      <c r="PDC53" s="4"/>
      <c r="PDD53" s="4"/>
      <c r="PDE53" s="4"/>
      <c r="PDF53" s="4"/>
      <c r="PDG53" s="4"/>
      <c r="PDH53" s="4"/>
      <c r="PDI53" s="4"/>
      <c r="PDJ53" s="4"/>
      <c r="PDK53" s="4"/>
      <c r="PDL53" s="4"/>
      <c r="PDM53" s="4"/>
      <c r="PDN53" s="4"/>
      <c r="PDO53" s="4"/>
      <c r="PDP53" s="4"/>
      <c r="PDQ53" s="4"/>
      <c r="PDR53" s="4"/>
      <c r="PDS53" s="4"/>
      <c r="PDT53" s="4"/>
      <c r="PDU53" s="4"/>
      <c r="PDV53" s="4"/>
      <c r="PDW53" s="4"/>
      <c r="PDX53" s="4"/>
      <c r="PDY53" s="4"/>
      <c r="PDZ53" s="4"/>
      <c r="PEA53" s="4"/>
      <c r="PEB53" s="4"/>
      <c r="PEC53" s="4"/>
      <c r="PED53" s="4"/>
      <c r="PEE53" s="4"/>
      <c r="PEF53" s="4"/>
      <c r="PEG53" s="4"/>
      <c r="PEH53" s="4"/>
      <c r="PEI53" s="4"/>
      <c r="PEJ53" s="4"/>
      <c r="PEK53" s="4"/>
      <c r="PEL53" s="4"/>
      <c r="PEM53" s="4"/>
      <c r="PEN53" s="4"/>
      <c r="PEO53" s="4"/>
      <c r="PEP53" s="4"/>
      <c r="PEQ53" s="4"/>
      <c r="PER53" s="4"/>
      <c r="PES53" s="4"/>
      <c r="PET53" s="4"/>
      <c r="PEU53" s="4"/>
      <c r="PEV53" s="4"/>
      <c r="PEW53" s="4"/>
      <c r="PEX53" s="4"/>
      <c r="PEY53" s="4"/>
      <c r="PEZ53" s="4"/>
      <c r="PFA53" s="4"/>
      <c r="PFB53" s="4"/>
      <c r="PFC53" s="4"/>
      <c r="PFD53" s="4"/>
      <c r="PFE53" s="4"/>
      <c r="PFF53" s="4"/>
      <c r="PFG53" s="4"/>
      <c r="PFH53" s="4"/>
      <c r="PFI53" s="4"/>
      <c r="PFJ53" s="4"/>
      <c r="PFK53" s="4"/>
      <c r="PFL53" s="4"/>
      <c r="PFM53" s="4"/>
      <c r="PFN53" s="4"/>
      <c r="PFO53" s="4"/>
      <c r="PFP53" s="4"/>
      <c r="PFQ53" s="4"/>
      <c r="PFR53" s="4"/>
      <c r="PFS53" s="4"/>
      <c r="PFT53" s="4"/>
      <c r="PFU53" s="4"/>
      <c r="PFV53" s="4"/>
      <c r="PFW53" s="4"/>
      <c r="PFX53" s="4"/>
      <c r="PFY53" s="4"/>
      <c r="PFZ53" s="4"/>
      <c r="PGA53" s="4"/>
      <c r="PGB53" s="4"/>
      <c r="PGC53" s="4"/>
      <c r="PGD53" s="4"/>
      <c r="PGE53" s="4"/>
      <c r="PGF53" s="4"/>
      <c r="PGG53" s="4"/>
      <c r="PGH53" s="4"/>
      <c r="PGI53" s="4"/>
      <c r="PGJ53" s="4"/>
      <c r="PGK53" s="4"/>
      <c r="PGL53" s="4"/>
      <c r="PGM53" s="4"/>
      <c r="PGN53" s="4"/>
      <c r="PGO53" s="4"/>
      <c r="PGP53" s="4"/>
      <c r="PGQ53" s="4"/>
      <c r="PGR53" s="4"/>
      <c r="PGS53" s="4"/>
      <c r="PGT53" s="4"/>
      <c r="PGU53" s="4"/>
      <c r="PGV53" s="4"/>
      <c r="PGW53" s="4"/>
      <c r="PGX53" s="4"/>
      <c r="PGY53" s="4"/>
      <c r="PGZ53" s="4"/>
      <c r="PHA53" s="4"/>
      <c r="PHB53" s="4"/>
      <c r="PHC53" s="4"/>
      <c r="PHD53" s="4"/>
      <c r="PHE53" s="4"/>
      <c r="PHF53" s="4"/>
      <c r="PHG53" s="4"/>
      <c r="PHH53" s="4"/>
      <c r="PHI53" s="4"/>
      <c r="PHJ53" s="4"/>
      <c r="PHK53" s="4"/>
      <c r="PHL53" s="4"/>
      <c r="PHM53" s="4"/>
      <c r="PHN53" s="4"/>
      <c r="PHO53" s="4"/>
      <c r="PHP53" s="4"/>
      <c r="PHQ53" s="4"/>
      <c r="PHR53" s="4"/>
      <c r="PHS53" s="4"/>
      <c r="PHT53" s="4"/>
      <c r="PHU53" s="4"/>
      <c r="PHV53" s="4"/>
      <c r="PHW53" s="4"/>
      <c r="PHX53" s="4"/>
      <c r="PHY53" s="4"/>
      <c r="PHZ53" s="4"/>
      <c r="PIA53" s="4"/>
      <c r="PIB53" s="4"/>
      <c r="PIC53" s="4"/>
      <c r="PID53" s="4"/>
      <c r="PIE53" s="4"/>
      <c r="PIF53" s="4"/>
      <c r="PIG53" s="4"/>
      <c r="PIH53" s="4"/>
      <c r="PII53" s="4"/>
      <c r="PIJ53" s="4"/>
      <c r="PIK53" s="4"/>
      <c r="PIL53" s="4"/>
      <c r="PIM53" s="4"/>
      <c r="PIN53" s="4"/>
      <c r="PIO53" s="4"/>
      <c r="PIP53" s="4"/>
      <c r="PIQ53" s="4"/>
      <c r="PIR53" s="4"/>
      <c r="PIS53" s="4"/>
      <c r="PIT53" s="4"/>
      <c r="PIU53" s="4"/>
      <c r="PIV53" s="4"/>
      <c r="PIW53" s="4"/>
      <c r="PIX53" s="4"/>
      <c r="PIY53" s="4"/>
      <c r="PIZ53" s="4"/>
      <c r="PJA53" s="4"/>
      <c r="PJB53" s="4"/>
      <c r="PJC53" s="4"/>
      <c r="PJD53" s="4"/>
      <c r="PJE53" s="4"/>
      <c r="PJF53" s="4"/>
      <c r="PJG53" s="4"/>
      <c r="PJH53" s="4"/>
      <c r="PJI53" s="4"/>
      <c r="PJJ53" s="4"/>
      <c r="PJK53" s="4"/>
      <c r="PJL53" s="4"/>
      <c r="PJM53" s="4"/>
      <c r="PJN53" s="4"/>
      <c r="PJO53" s="4"/>
      <c r="PJP53" s="4"/>
      <c r="PJQ53" s="4"/>
      <c r="PJR53" s="4"/>
      <c r="PJS53" s="4"/>
      <c r="PJT53" s="4"/>
      <c r="PJU53" s="4"/>
      <c r="PJV53" s="4"/>
      <c r="PJW53" s="4"/>
      <c r="PJX53" s="4"/>
      <c r="PJY53" s="4"/>
      <c r="PJZ53" s="4"/>
      <c r="PKA53" s="4"/>
      <c r="PKB53" s="4"/>
      <c r="PKC53" s="4"/>
      <c r="PKD53" s="4"/>
      <c r="PKE53" s="4"/>
      <c r="PKF53" s="4"/>
      <c r="PKG53" s="4"/>
      <c r="PKH53" s="4"/>
      <c r="PKI53" s="4"/>
      <c r="PKJ53" s="4"/>
      <c r="PKK53" s="4"/>
      <c r="PKL53" s="4"/>
      <c r="PKM53" s="4"/>
      <c r="PKN53" s="4"/>
      <c r="PKO53" s="4"/>
      <c r="PKP53" s="4"/>
      <c r="PKQ53" s="4"/>
      <c r="PKR53" s="4"/>
      <c r="PKS53" s="4"/>
      <c r="PKT53" s="4"/>
      <c r="PKU53" s="4"/>
      <c r="PKV53" s="4"/>
      <c r="PKW53" s="4"/>
      <c r="PKX53" s="4"/>
      <c r="PKY53" s="4"/>
      <c r="PKZ53" s="4"/>
      <c r="PLA53" s="4"/>
      <c r="PLB53" s="4"/>
      <c r="PLC53" s="4"/>
      <c r="PLD53" s="4"/>
      <c r="PLE53" s="4"/>
      <c r="PLF53" s="4"/>
      <c r="PLG53" s="4"/>
      <c r="PLH53" s="4"/>
      <c r="PLI53" s="4"/>
      <c r="PLJ53" s="4"/>
      <c r="PLK53" s="4"/>
      <c r="PLL53" s="4"/>
      <c r="PLM53" s="4"/>
      <c r="PLN53" s="4"/>
      <c r="PLO53" s="4"/>
      <c r="PLP53" s="4"/>
      <c r="PLQ53" s="4"/>
      <c r="PLR53" s="4"/>
      <c r="PLS53" s="4"/>
      <c r="PLT53" s="4"/>
      <c r="PLU53" s="4"/>
      <c r="PLV53" s="4"/>
      <c r="PLW53" s="4"/>
      <c r="PLX53" s="4"/>
      <c r="PLY53" s="4"/>
      <c r="PLZ53" s="4"/>
      <c r="PMA53" s="4"/>
      <c r="PMB53" s="4"/>
      <c r="PMC53" s="4"/>
      <c r="PMD53" s="4"/>
      <c r="PME53" s="4"/>
      <c r="PMF53" s="4"/>
      <c r="PMG53" s="4"/>
      <c r="PMH53" s="4"/>
      <c r="PMI53" s="4"/>
      <c r="PMJ53" s="4"/>
      <c r="PMK53" s="4"/>
      <c r="PML53" s="4"/>
      <c r="PMM53" s="4"/>
      <c r="PMN53" s="4"/>
      <c r="PMO53" s="4"/>
      <c r="PMP53" s="4"/>
      <c r="PMQ53" s="4"/>
      <c r="PMR53" s="4"/>
      <c r="PMS53" s="4"/>
      <c r="PMT53" s="4"/>
      <c r="PMU53" s="4"/>
      <c r="PMV53" s="4"/>
      <c r="PMW53" s="4"/>
      <c r="PMX53" s="4"/>
      <c r="PMY53" s="4"/>
      <c r="PMZ53" s="4"/>
      <c r="PNA53" s="4"/>
      <c r="PNB53" s="4"/>
      <c r="PNC53" s="4"/>
      <c r="PND53" s="4"/>
      <c r="PNE53" s="4"/>
      <c r="PNF53" s="4"/>
      <c r="PNG53" s="4"/>
      <c r="PNH53" s="4"/>
      <c r="PNI53" s="4"/>
      <c r="PNJ53" s="4"/>
      <c r="PNK53" s="4"/>
      <c r="PNL53" s="4"/>
      <c r="PNM53" s="4"/>
      <c r="PNN53" s="4"/>
      <c r="PNO53" s="4"/>
      <c r="PNP53" s="4"/>
      <c r="PNQ53" s="4"/>
      <c r="PNR53" s="4"/>
      <c r="PNS53" s="4"/>
      <c r="PNT53" s="4"/>
      <c r="PNU53" s="4"/>
      <c r="PNV53" s="4"/>
      <c r="PNW53" s="4"/>
      <c r="PNX53" s="4"/>
      <c r="PNY53" s="4"/>
      <c r="PNZ53" s="4"/>
      <c r="POA53" s="4"/>
      <c r="POB53" s="4"/>
      <c r="POC53" s="4"/>
      <c r="POD53" s="4"/>
      <c r="POE53" s="4"/>
      <c r="POF53" s="4"/>
      <c r="POG53" s="4"/>
      <c r="POH53" s="4"/>
      <c r="POI53" s="4"/>
      <c r="POJ53" s="4"/>
      <c r="POK53" s="4"/>
      <c r="POL53" s="4"/>
      <c r="POM53" s="4"/>
      <c r="PON53" s="4"/>
      <c r="POO53" s="4"/>
      <c r="POP53" s="4"/>
      <c r="POQ53" s="4"/>
      <c r="POR53" s="4"/>
      <c r="POS53" s="4"/>
      <c r="POT53" s="4"/>
      <c r="POU53" s="4"/>
      <c r="POV53" s="4"/>
      <c r="POW53" s="4"/>
      <c r="POX53" s="4"/>
      <c r="POY53" s="4"/>
      <c r="POZ53" s="4"/>
      <c r="PPA53" s="4"/>
      <c r="PPB53" s="4"/>
      <c r="PPC53" s="4"/>
      <c r="PPD53" s="4"/>
      <c r="PPE53" s="4"/>
      <c r="PPF53" s="4"/>
      <c r="PPG53" s="4"/>
      <c r="PPH53" s="4"/>
      <c r="PPI53" s="4"/>
      <c r="PPJ53" s="4"/>
      <c r="PPK53" s="4"/>
      <c r="PPL53" s="4"/>
      <c r="PPM53" s="4"/>
      <c r="PPN53" s="4"/>
      <c r="PPO53" s="4"/>
      <c r="PPP53" s="4"/>
      <c r="PPQ53" s="4"/>
      <c r="PPR53" s="4"/>
      <c r="PPS53" s="4"/>
      <c r="PPT53" s="4"/>
      <c r="PPU53" s="4"/>
      <c r="PPV53" s="4"/>
      <c r="PPW53" s="4"/>
      <c r="PPX53" s="4"/>
      <c r="PPY53" s="4"/>
      <c r="PPZ53" s="4"/>
      <c r="PQA53" s="4"/>
      <c r="PQB53" s="4"/>
      <c r="PQC53" s="4"/>
      <c r="PQD53" s="4"/>
      <c r="PQE53" s="4"/>
      <c r="PQF53" s="4"/>
      <c r="PQG53" s="4"/>
      <c r="PQH53" s="4"/>
      <c r="PQI53" s="4"/>
      <c r="PQJ53" s="4"/>
      <c r="PQK53" s="4"/>
      <c r="PQL53" s="4"/>
      <c r="PQM53" s="4"/>
      <c r="PQN53" s="4"/>
      <c r="PQO53" s="4"/>
      <c r="PQP53" s="4"/>
      <c r="PQQ53" s="4"/>
      <c r="PQR53" s="4"/>
      <c r="PQS53" s="4"/>
      <c r="PQT53" s="4"/>
      <c r="PQU53" s="4"/>
      <c r="PQV53" s="4"/>
      <c r="PQW53" s="4"/>
      <c r="PQX53" s="4"/>
      <c r="PQY53" s="4"/>
      <c r="PQZ53" s="4"/>
      <c r="PRA53" s="4"/>
      <c r="PRB53" s="4"/>
      <c r="PRC53" s="4"/>
      <c r="PRD53" s="4"/>
      <c r="PRE53" s="4"/>
      <c r="PRF53" s="4"/>
      <c r="PRG53" s="4"/>
      <c r="PRH53" s="4"/>
      <c r="PRI53" s="4"/>
      <c r="PRJ53" s="4"/>
      <c r="PRK53" s="4"/>
      <c r="PRL53" s="4"/>
      <c r="PRM53" s="4"/>
      <c r="PRN53" s="4"/>
      <c r="PRO53" s="4"/>
      <c r="PRP53" s="4"/>
      <c r="PRQ53" s="4"/>
      <c r="PRR53" s="4"/>
      <c r="PRS53" s="4"/>
      <c r="PRT53" s="4"/>
      <c r="PRU53" s="4"/>
      <c r="PRV53" s="4"/>
      <c r="PRW53" s="4"/>
      <c r="PRX53" s="4"/>
      <c r="PRY53" s="4"/>
      <c r="PRZ53" s="4"/>
      <c r="PSA53" s="4"/>
      <c r="PSB53" s="4"/>
      <c r="PSC53" s="4"/>
      <c r="PSD53" s="4"/>
      <c r="PSE53" s="4"/>
      <c r="PSF53" s="4"/>
      <c r="PSG53" s="4"/>
      <c r="PSH53" s="4"/>
      <c r="PSI53" s="4"/>
      <c r="PSJ53" s="4"/>
      <c r="PSK53" s="4"/>
      <c r="PSL53" s="4"/>
      <c r="PSM53" s="4"/>
      <c r="PSN53" s="4"/>
      <c r="PSO53" s="4"/>
      <c r="PSP53" s="4"/>
      <c r="PSQ53" s="4"/>
      <c r="PSR53" s="4"/>
      <c r="PSS53" s="4"/>
      <c r="PST53" s="4"/>
      <c r="PSU53" s="4"/>
      <c r="PSV53" s="4"/>
      <c r="PSW53" s="4"/>
      <c r="PSX53" s="4"/>
      <c r="PSY53" s="4"/>
      <c r="PSZ53" s="4"/>
      <c r="PTA53" s="4"/>
      <c r="PTB53" s="4"/>
      <c r="PTC53" s="4"/>
      <c r="PTD53" s="4"/>
      <c r="PTE53" s="4"/>
      <c r="PTF53" s="4"/>
      <c r="PTG53" s="4"/>
      <c r="PTH53" s="4"/>
      <c r="PTI53" s="4"/>
      <c r="PTJ53" s="4"/>
      <c r="PTK53" s="4"/>
      <c r="PTL53" s="4"/>
      <c r="PTM53" s="4"/>
      <c r="PTN53" s="4"/>
      <c r="PTO53" s="4"/>
      <c r="PTP53" s="4"/>
      <c r="PTQ53" s="4"/>
      <c r="PTR53" s="4"/>
      <c r="PTS53" s="4"/>
      <c r="PTT53" s="4"/>
      <c r="PTU53" s="4"/>
      <c r="PTV53" s="4"/>
      <c r="PTW53" s="4"/>
      <c r="PTX53" s="4"/>
      <c r="PTY53" s="4"/>
      <c r="PTZ53" s="4"/>
      <c r="PUA53" s="4"/>
      <c r="PUB53" s="4"/>
      <c r="PUC53" s="4"/>
      <c r="PUD53" s="4"/>
      <c r="PUE53" s="4"/>
      <c r="PUF53" s="4"/>
      <c r="PUG53" s="4"/>
      <c r="PUH53" s="4"/>
      <c r="PUI53" s="4"/>
      <c r="PUJ53" s="4"/>
      <c r="PUK53" s="4"/>
      <c r="PUL53" s="4"/>
      <c r="PUM53" s="4"/>
      <c r="PUN53" s="4"/>
      <c r="PUO53" s="4"/>
      <c r="PUP53" s="4"/>
      <c r="PUQ53" s="4"/>
      <c r="PUR53" s="4"/>
      <c r="PUS53" s="4"/>
      <c r="PUT53" s="4"/>
      <c r="PUU53" s="4"/>
      <c r="PUV53" s="4"/>
      <c r="PUW53" s="4"/>
      <c r="PUX53" s="4"/>
      <c r="PUY53" s="4"/>
      <c r="PUZ53" s="4"/>
      <c r="PVA53" s="4"/>
      <c r="PVB53" s="4"/>
      <c r="PVC53" s="4"/>
      <c r="PVD53" s="4"/>
      <c r="PVE53" s="4"/>
      <c r="PVF53" s="4"/>
      <c r="PVG53" s="4"/>
      <c r="PVH53" s="4"/>
      <c r="PVI53" s="4"/>
      <c r="PVJ53" s="4"/>
      <c r="PVK53" s="4"/>
      <c r="PVL53" s="4"/>
      <c r="PVM53" s="4"/>
      <c r="PVN53" s="4"/>
      <c r="PVO53" s="4"/>
      <c r="PVP53" s="4"/>
      <c r="PVQ53" s="4"/>
      <c r="PVR53" s="4"/>
      <c r="PVS53" s="4"/>
      <c r="PVT53" s="4"/>
      <c r="PVU53" s="4"/>
      <c r="PVV53" s="4"/>
      <c r="PVW53" s="4"/>
      <c r="PVX53" s="4"/>
      <c r="PVY53" s="4"/>
      <c r="PVZ53" s="4"/>
      <c r="PWA53" s="4"/>
      <c r="PWB53" s="4"/>
      <c r="PWC53" s="4"/>
      <c r="PWD53" s="4"/>
      <c r="PWE53" s="4"/>
      <c r="PWF53" s="4"/>
      <c r="PWG53" s="4"/>
      <c r="PWH53" s="4"/>
      <c r="PWI53" s="4"/>
      <c r="PWJ53" s="4"/>
      <c r="PWK53" s="4"/>
      <c r="PWL53" s="4"/>
      <c r="PWM53" s="4"/>
      <c r="PWN53" s="4"/>
      <c r="PWO53" s="4"/>
      <c r="PWP53" s="4"/>
      <c r="PWQ53" s="4"/>
      <c r="PWR53" s="4"/>
      <c r="PWS53" s="4"/>
      <c r="PWT53" s="4"/>
      <c r="PWU53" s="4"/>
      <c r="PWV53" s="4"/>
      <c r="PWW53" s="4"/>
      <c r="PWX53" s="4"/>
      <c r="PWY53" s="4"/>
      <c r="PWZ53" s="4"/>
      <c r="PXA53" s="4"/>
      <c r="PXB53" s="4"/>
      <c r="PXC53" s="4"/>
      <c r="PXD53" s="4"/>
      <c r="PXE53" s="4"/>
      <c r="PXF53" s="4"/>
      <c r="PXG53" s="4"/>
      <c r="PXH53" s="4"/>
      <c r="PXI53" s="4"/>
      <c r="PXJ53" s="4"/>
      <c r="PXK53" s="4"/>
      <c r="PXL53" s="4"/>
      <c r="PXM53" s="4"/>
      <c r="PXN53" s="4"/>
      <c r="PXO53" s="4"/>
      <c r="PXP53" s="4"/>
      <c r="PXQ53" s="4"/>
      <c r="PXR53" s="4"/>
      <c r="PXS53" s="4"/>
      <c r="PXT53" s="4"/>
      <c r="PXU53" s="4"/>
      <c r="PXV53" s="4"/>
      <c r="PXW53" s="4"/>
      <c r="PXX53" s="4"/>
      <c r="PXY53" s="4"/>
      <c r="PXZ53" s="4"/>
      <c r="PYA53" s="4"/>
      <c r="PYB53" s="4"/>
      <c r="PYC53" s="4"/>
      <c r="PYD53" s="4"/>
      <c r="PYE53" s="4"/>
      <c r="PYF53" s="4"/>
      <c r="PYG53" s="4"/>
      <c r="PYH53" s="4"/>
      <c r="PYI53" s="4"/>
      <c r="PYJ53" s="4"/>
      <c r="PYK53" s="4"/>
      <c r="PYL53" s="4"/>
      <c r="PYM53" s="4"/>
      <c r="PYN53" s="4"/>
      <c r="PYO53" s="4"/>
      <c r="PYP53" s="4"/>
      <c r="PYQ53" s="4"/>
      <c r="PYR53" s="4"/>
      <c r="PYS53" s="4"/>
      <c r="PYT53" s="4"/>
      <c r="PYU53" s="4"/>
      <c r="PYV53" s="4"/>
      <c r="PYW53" s="4"/>
      <c r="PYX53" s="4"/>
      <c r="PYY53" s="4"/>
      <c r="PYZ53" s="4"/>
      <c r="PZA53" s="4"/>
      <c r="PZB53" s="4"/>
      <c r="PZC53" s="4"/>
      <c r="PZD53" s="4"/>
      <c r="PZE53" s="4"/>
      <c r="PZF53" s="4"/>
      <c r="PZG53" s="4"/>
      <c r="PZH53" s="4"/>
      <c r="PZI53" s="4"/>
      <c r="PZJ53" s="4"/>
      <c r="PZK53" s="4"/>
      <c r="PZL53" s="4"/>
      <c r="PZM53" s="4"/>
      <c r="PZN53" s="4"/>
      <c r="PZO53" s="4"/>
      <c r="PZP53" s="4"/>
      <c r="PZQ53" s="4"/>
      <c r="PZR53" s="4"/>
      <c r="PZS53" s="4"/>
      <c r="PZT53" s="4"/>
      <c r="PZU53" s="4"/>
      <c r="PZV53" s="4"/>
      <c r="PZW53" s="4"/>
      <c r="PZX53" s="4"/>
      <c r="PZY53" s="4"/>
      <c r="PZZ53" s="4"/>
      <c r="QAA53" s="4"/>
      <c r="QAB53" s="4"/>
      <c r="QAC53" s="4"/>
      <c r="QAD53" s="4"/>
      <c r="QAE53" s="4"/>
      <c r="QAF53" s="4"/>
      <c r="QAG53" s="4"/>
      <c r="QAH53" s="4"/>
      <c r="QAI53" s="4"/>
      <c r="QAJ53" s="4"/>
      <c r="QAK53" s="4"/>
      <c r="QAL53" s="4"/>
      <c r="QAM53" s="4"/>
      <c r="QAN53" s="4"/>
      <c r="QAO53" s="4"/>
      <c r="QAP53" s="4"/>
      <c r="QAQ53" s="4"/>
      <c r="QAR53" s="4"/>
      <c r="QAS53" s="4"/>
      <c r="QAT53" s="4"/>
      <c r="QAU53" s="4"/>
      <c r="QAV53" s="4"/>
      <c r="QAW53" s="4"/>
      <c r="QAX53" s="4"/>
      <c r="QAY53" s="4"/>
      <c r="QAZ53" s="4"/>
      <c r="QBA53" s="4"/>
      <c r="QBB53" s="4"/>
      <c r="QBC53" s="4"/>
      <c r="QBD53" s="4"/>
      <c r="QBE53" s="4"/>
      <c r="QBF53" s="4"/>
      <c r="QBG53" s="4"/>
      <c r="QBH53" s="4"/>
      <c r="QBI53" s="4"/>
      <c r="QBJ53" s="4"/>
      <c r="QBK53" s="4"/>
      <c r="QBL53" s="4"/>
      <c r="QBM53" s="4"/>
      <c r="QBN53" s="4"/>
      <c r="QBO53" s="4"/>
      <c r="QBP53" s="4"/>
      <c r="QBQ53" s="4"/>
      <c r="QBR53" s="4"/>
      <c r="QBS53" s="4"/>
      <c r="QBT53" s="4"/>
      <c r="QBU53" s="4"/>
      <c r="QBV53" s="4"/>
      <c r="QBW53" s="4"/>
      <c r="QBX53" s="4"/>
      <c r="QBY53" s="4"/>
      <c r="QBZ53" s="4"/>
      <c r="QCA53" s="4"/>
      <c r="QCB53" s="4"/>
      <c r="QCC53" s="4"/>
      <c r="QCD53" s="4"/>
      <c r="QCE53" s="4"/>
      <c r="QCF53" s="4"/>
      <c r="QCG53" s="4"/>
      <c r="QCH53" s="4"/>
      <c r="QCI53" s="4"/>
      <c r="QCJ53" s="4"/>
      <c r="QCK53" s="4"/>
      <c r="QCL53" s="4"/>
      <c r="QCM53" s="4"/>
      <c r="QCN53" s="4"/>
      <c r="QCO53" s="4"/>
      <c r="QCP53" s="4"/>
      <c r="QCQ53" s="4"/>
      <c r="QCR53" s="4"/>
      <c r="QCS53" s="4"/>
      <c r="QCT53" s="4"/>
      <c r="QCU53" s="4"/>
      <c r="QCV53" s="4"/>
      <c r="QCW53" s="4"/>
      <c r="QCX53" s="4"/>
      <c r="QCY53" s="4"/>
      <c r="QCZ53" s="4"/>
      <c r="QDA53" s="4"/>
      <c r="QDB53" s="4"/>
      <c r="QDC53" s="4"/>
      <c r="QDD53" s="4"/>
      <c r="QDE53" s="4"/>
      <c r="QDF53" s="4"/>
      <c r="QDG53" s="4"/>
      <c r="QDH53" s="4"/>
      <c r="QDI53" s="4"/>
      <c r="QDJ53" s="4"/>
      <c r="QDK53" s="4"/>
      <c r="QDL53" s="4"/>
      <c r="QDM53" s="4"/>
      <c r="QDN53" s="4"/>
      <c r="QDO53" s="4"/>
      <c r="QDP53" s="4"/>
      <c r="QDQ53" s="4"/>
      <c r="QDR53" s="4"/>
      <c r="QDS53" s="4"/>
      <c r="QDT53" s="4"/>
      <c r="QDU53" s="4"/>
      <c r="QDV53" s="4"/>
      <c r="QDW53" s="4"/>
      <c r="QDX53" s="4"/>
      <c r="QDY53" s="4"/>
      <c r="QDZ53" s="4"/>
      <c r="QEA53" s="4"/>
      <c r="QEB53" s="4"/>
      <c r="QEC53" s="4"/>
      <c r="QED53" s="4"/>
      <c r="QEE53" s="4"/>
      <c r="QEF53" s="4"/>
      <c r="QEG53" s="4"/>
      <c r="QEH53" s="4"/>
      <c r="QEI53" s="4"/>
      <c r="QEJ53" s="4"/>
      <c r="QEK53" s="4"/>
      <c r="QEL53" s="4"/>
      <c r="QEM53" s="4"/>
      <c r="QEN53" s="4"/>
      <c r="QEO53" s="4"/>
      <c r="QEP53" s="4"/>
      <c r="QEQ53" s="4"/>
      <c r="QER53" s="4"/>
      <c r="QES53" s="4"/>
      <c r="QET53" s="4"/>
      <c r="QEU53" s="4"/>
      <c r="QEV53" s="4"/>
      <c r="QEW53" s="4"/>
      <c r="QEX53" s="4"/>
      <c r="QEY53" s="4"/>
      <c r="QEZ53" s="4"/>
      <c r="QFA53" s="4"/>
      <c r="QFB53" s="4"/>
      <c r="QFC53" s="4"/>
      <c r="QFD53" s="4"/>
      <c r="QFE53" s="4"/>
      <c r="QFF53" s="4"/>
      <c r="QFG53" s="4"/>
      <c r="QFH53" s="4"/>
      <c r="QFI53" s="4"/>
      <c r="QFJ53" s="4"/>
      <c r="QFK53" s="4"/>
      <c r="QFL53" s="4"/>
      <c r="QFM53" s="4"/>
      <c r="QFN53" s="4"/>
      <c r="QFO53" s="4"/>
      <c r="QFP53" s="4"/>
      <c r="QFQ53" s="4"/>
      <c r="QFR53" s="4"/>
      <c r="QFS53" s="4"/>
      <c r="QFT53" s="4"/>
      <c r="QFU53" s="4"/>
      <c r="QFV53" s="4"/>
      <c r="QFW53" s="4"/>
      <c r="QFX53" s="4"/>
      <c r="QFY53" s="4"/>
      <c r="QFZ53" s="4"/>
      <c r="QGA53" s="4"/>
      <c r="QGB53" s="4"/>
      <c r="QGC53" s="4"/>
      <c r="QGD53" s="4"/>
      <c r="QGE53" s="4"/>
      <c r="QGF53" s="4"/>
      <c r="QGG53" s="4"/>
      <c r="QGH53" s="4"/>
      <c r="QGI53" s="4"/>
      <c r="QGJ53" s="4"/>
      <c r="QGK53" s="4"/>
      <c r="QGL53" s="4"/>
      <c r="QGM53" s="4"/>
      <c r="QGN53" s="4"/>
      <c r="QGO53" s="4"/>
      <c r="QGP53" s="4"/>
      <c r="QGQ53" s="4"/>
      <c r="QGR53" s="4"/>
      <c r="QGS53" s="4"/>
      <c r="QGT53" s="4"/>
      <c r="QGU53" s="4"/>
      <c r="QGV53" s="4"/>
      <c r="QGW53" s="4"/>
      <c r="QGX53" s="4"/>
      <c r="QGY53" s="4"/>
      <c r="QGZ53" s="4"/>
      <c r="QHA53" s="4"/>
      <c r="QHB53" s="4"/>
      <c r="QHC53" s="4"/>
      <c r="QHD53" s="4"/>
      <c r="QHE53" s="4"/>
      <c r="QHF53" s="4"/>
      <c r="QHG53" s="4"/>
      <c r="QHH53" s="4"/>
      <c r="QHI53" s="4"/>
      <c r="QHJ53" s="4"/>
      <c r="QHK53" s="4"/>
      <c r="QHL53" s="4"/>
      <c r="QHM53" s="4"/>
      <c r="QHN53" s="4"/>
      <c r="QHO53" s="4"/>
      <c r="QHP53" s="4"/>
      <c r="QHQ53" s="4"/>
      <c r="QHR53" s="4"/>
      <c r="QHS53" s="4"/>
      <c r="QHT53" s="4"/>
      <c r="QHU53" s="4"/>
      <c r="QHV53" s="4"/>
      <c r="QHW53" s="4"/>
      <c r="QHX53" s="4"/>
      <c r="QHY53" s="4"/>
      <c r="QHZ53" s="4"/>
      <c r="QIA53" s="4"/>
      <c r="QIB53" s="4"/>
      <c r="QIC53" s="4"/>
      <c r="QID53" s="4"/>
      <c r="QIE53" s="4"/>
      <c r="QIF53" s="4"/>
      <c r="QIG53" s="4"/>
      <c r="QIH53" s="4"/>
      <c r="QII53" s="4"/>
      <c r="QIJ53" s="4"/>
      <c r="QIK53" s="4"/>
      <c r="QIL53" s="4"/>
      <c r="QIM53" s="4"/>
      <c r="QIN53" s="4"/>
      <c r="QIO53" s="4"/>
      <c r="QIP53" s="4"/>
      <c r="QIQ53" s="4"/>
      <c r="QIR53" s="4"/>
      <c r="QIS53" s="4"/>
      <c r="QIT53" s="4"/>
      <c r="QIU53" s="4"/>
      <c r="QIV53" s="4"/>
      <c r="QIW53" s="4"/>
      <c r="QIX53" s="4"/>
      <c r="QIY53" s="4"/>
      <c r="QIZ53" s="4"/>
      <c r="QJA53" s="4"/>
      <c r="QJB53" s="4"/>
      <c r="QJC53" s="4"/>
      <c r="QJD53" s="4"/>
      <c r="QJE53" s="4"/>
      <c r="QJF53" s="4"/>
      <c r="QJG53" s="4"/>
      <c r="QJH53" s="4"/>
      <c r="QJI53" s="4"/>
      <c r="QJJ53" s="4"/>
      <c r="QJK53" s="4"/>
      <c r="QJL53" s="4"/>
      <c r="QJM53" s="4"/>
      <c r="QJN53" s="4"/>
      <c r="QJO53" s="4"/>
      <c r="QJP53" s="4"/>
      <c r="QJQ53" s="4"/>
      <c r="QJR53" s="4"/>
      <c r="QJS53" s="4"/>
      <c r="QJT53" s="4"/>
      <c r="QJU53" s="4"/>
      <c r="QJV53" s="4"/>
      <c r="QJW53" s="4"/>
      <c r="QJX53" s="4"/>
      <c r="QJY53" s="4"/>
      <c r="QJZ53" s="4"/>
      <c r="QKA53" s="4"/>
      <c r="QKB53" s="4"/>
      <c r="QKC53" s="4"/>
      <c r="QKD53" s="4"/>
      <c r="QKE53" s="4"/>
      <c r="QKF53" s="4"/>
      <c r="QKG53" s="4"/>
      <c r="QKH53" s="4"/>
      <c r="QKI53" s="4"/>
      <c r="QKJ53" s="4"/>
      <c r="QKK53" s="4"/>
      <c r="QKL53" s="4"/>
      <c r="QKM53" s="4"/>
      <c r="QKN53" s="4"/>
      <c r="QKO53" s="4"/>
      <c r="QKP53" s="4"/>
      <c r="QKQ53" s="4"/>
      <c r="QKR53" s="4"/>
      <c r="QKS53" s="4"/>
      <c r="QKT53" s="4"/>
      <c r="QKU53" s="4"/>
      <c r="QKV53" s="4"/>
      <c r="QKW53" s="4"/>
      <c r="QKX53" s="4"/>
      <c r="QKY53" s="4"/>
      <c r="QKZ53" s="4"/>
      <c r="QLA53" s="4"/>
      <c r="QLB53" s="4"/>
      <c r="QLC53" s="4"/>
      <c r="QLD53" s="4"/>
      <c r="QLE53" s="4"/>
      <c r="QLF53" s="4"/>
      <c r="QLG53" s="4"/>
      <c r="QLH53" s="4"/>
      <c r="QLI53" s="4"/>
      <c r="QLJ53" s="4"/>
      <c r="QLK53" s="4"/>
      <c r="QLL53" s="4"/>
      <c r="QLM53" s="4"/>
      <c r="QLN53" s="4"/>
      <c r="QLO53" s="4"/>
      <c r="QLP53" s="4"/>
      <c r="QLQ53" s="4"/>
      <c r="QLR53" s="4"/>
      <c r="QLS53" s="4"/>
      <c r="QLT53" s="4"/>
      <c r="QLU53" s="4"/>
      <c r="QLV53" s="4"/>
      <c r="QLW53" s="4"/>
      <c r="QLX53" s="4"/>
      <c r="QLY53" s="4"/>
      <c r="QLZ53" s="4"/>
      <c r="QMA53" s="4"/>
      <c r="QMB53" s="4"/>
      <c r="QMC53" s="4"/>
      <c r="QMD53" s="4"/>
      <c r="QME53" s="4"/>
      <c r="QMF53" s="4"/>
      <c r="QMG53" s="4"/>
      <c r="QMH53" s="4"/>
      <c r="QMI53" s="4"/>
      <c r="QMJ53" s="4"/>
      <c r="QMK53" s="4"/>
      <c r="QML53" s="4"/>
      <c r="QMM53" s="4"/>
      <c r="QMN53" s="4"/>
      <c r="QMO53" s="4"/>
      <c r="QMP53" s="4"/>
      <c r="QMQ53" s="4"/>
      <c r="QMR53" s="4"/>
      <c r="QMS53" s="4"/>
      <c r="QMT53" s="4"/>
      <c r="QMU53" s="4"/>
      <c r="QMV53" s="4"/>
      <c r="QMW53" s="4"/>
      <c r="QMX53" s="4"/>
      <c r="QMY53" s="4"/>
      <c r="QMZ53" s="4"/>
      <c r="QNA53" s="4"/>
      <c r="QNB53" s="4"/>
      <c r="QNC53" s="4"/>
      <c r="QND53" s="4"/>
      <c r="QNE53" s="4"/>
      <c r="QNF53" s="4"/>
      <c r="QNG53" s="4"/>
      <c r="QNH53" s="4"/>
      <c r="QNI53" s="4"/>
      <c r="QNJ53" s="4"/>
      <c r="QNK53" s="4"/>
      <c r="QNL53" s="4"/>
      <c r="QNM53" s="4"/>
      <c r="QNN53" s="4"/>
      <c r="QNO53" s="4"/>
      <c r="QNP53" s="4"/>
      <c r="QNQ53" s="4"/>
      <c r="QNR53" s="4"/>
      <c r="QNS53" s="4"/>
      <c r="QNT53" s="4"/>
      <c r="QNU53" s="4"/>
      <c r="QNV53" s="4"/>
      <c r="QNW53" s="4"/>
      <c r="QNX53" s="4"/>
      <c r="QNY53" s="4"/>
      <c r="QNZ53" s="4"/>
      <c r="QOA53" s="4"/>
      <c r="QOB53" s="4"/>
      <c r="QOC53" s="4"/>
      <c r="QOD53" s="4"/>
      <c r="QOE53" s="4"/>
      <c r="QOF53" s="4"/>
      <c r="QOG53" s="4"/>
      <c r="QOH53" s="4"/>
      <c r="QOI53" s="4"/>
      <c r="QOJ53" s="4"/>
      <c r="QOK53" s="4"/>
      <c r="QOL53" s="4"/>
      <c r="QOM53" s="4"/>
      <c r="QON53" s="4"/>
      <c r="QOO53" s="4"/>
      <c r="QOP53" s="4"/>
      <c r="QOQ53" s="4"/>
      <c r="QOR53" s="4"/>
      <c r="QOS53" s="4"/>
      <c r="QOT53" s="4"/>
      <c r="QOU53" s="4"/>
      <c r="QOV53" s="4"/>
      <c r="QOW53" s="4"/>
      <c r="QOX53" s="4"/>
      <c r="QOY53" s="4"/>
      <c r="QOZ53" s="4"/>
      <c r="QPA53" s="4"/>
      <c r="QPB53" s="4"/>
      <c r="QPC53" s="4"/>
      <c r="QPD53" s="4"/>
      <c r="QPE53" s="4"/>
      <c r="QPF53" s="4"/>
      <c r="QPG53" s="4"/>
      <c r="QPH53" s="4"/>
      <c r="QPI53" s="4"/>
      <c r="QPJ53" s="4"/>
      <c r="QPK53" s="4"/>
      <c r="QPL53" s="4"/>
      <c r="QPM53" s="4"/>
      <c r="QPN53" s="4"/>
      <c r="QPO53" s="4"/>
      <c r="QPP53" s="4"/>
      <c r="QPQ53" s="4"/>
      <c r="QPR53" s="4"/>
      <c r="QPS53" s="4"/>
      <c r="QPT53" s="4"/>
      <c r="QPU53" s="4"/>
      <c r="QPV53" s="4"/>
      <c r="QPW53" s="4"/>
      <c r="QPX53" s="4"/>
      <c r="QPY53" s="4"/>
      <c r="QPZ53" s="4"/>
      <c r="QQA53" s="4"/>
      <c r="QQB53" s="4"/>
      <c r="QQC53" s="4"/>
      <c r="QQD53" s="4"/>
      <c r="QQE53" s="4"/>
      <c r="QQF53" s="4"/>
      <c r="QQG53" s="4"/>
      <c r="QQH53" s="4"/>
      <c r="QQI53" s="4"/>
      <c r="QQJ53" s="4"/>
      <c r="QQK53" s="4"/>
      <c r="QQL53" s="4"/>
      <c r="QQM53" s="4"/>
      <c r="QQN53" s="4"/>
      <c r="QQO53" s="4"/>
      <c r="QQP53" s="4"/>
      <c r="QQQ53" s="4"/>
      <c r="QQR53" s="4"/>
      <c r="QQS53" s="4"/>
      <c r="QQT53" s="4"/>
      <c r="QQU53" s="4"/>
      <c r="QQV53" s="4"/>
      <c r="QQW53" s="4"/>
      <c r="QQX53" s="4"/>
      <c r="QQY53" s="4"/>
      <c r="QQZ53" s="4"/>
      <c r="QRA53" s="4"/>
      <c r="QRB53" s="4"/>
      <c r="QRC53" s="4"/>
      <c r="QRD53" s="4"/>
      <c r="QRE53" s="4"/>
      <c r="QRF53" s="4"/>
      <c r="QRG53" s="4"/>
      <c r="QRH53" s="4"/>
      <c r="QRI53" s="4"/>
      <c r="QRJ53" s="4"/>
      <c r="QRK53" s="4"/>
      <c r="QRL53" s="4"/>
      <c r="QRM53" s="4"/>
      <c r="QRN53" s="4"/>
      <c r="QRO53" s="4"/>
      <c r="QRP53" s="4"/>
      <c r="QRQ53" s="4"/>
      <c r="QRR53" s="4"/>
      <c r="QRS53" s="4"/>
      <c r="QRT53" s="4"/>
      <c r="QRU53" s="4"/>
      <c r="QRV53" s="4"/>
      <c r="QRW53" s="4"/>
      <c r="QRX53" s="4"/>
      <c r="QRY53" s="4"/>
      <c r="QRZ53" s="4"/>
      <c r="QSA53" s="4"/>
      <c r="QSB53" s="4"/>
      <c r="QSC53" s="4"/>
      <c r="QSD53" s="4"/>
      <c r="QSE53" s="4"/>
      <c r="QSF53" s="4"/>
      <c r="QSG53" s="4"/>
      <c r="QSH53" s="4"/>
      <c r="QSI53" s="4"/>
      <c r="QSJ53" s="4"/>
      <c r="QSK53" s="4"/>
      <c r="QSL53" s="4"/>
      <c r="QSM53" s="4"/>
      <c r="QSN53" s="4"/>
      <c r="QSO53" s="4"/>
      <c r="QSP53" s="4"/>
      <c r="QSQ53" s="4"/>
      <c r="QSR53" s="4"/>
      <c r="QSS53" s="4"/>
      <c r="QST53" s="4"/>
      <c r="QSU53" s="4"/>
      <c r="QSV53" s="4"/>
      <c r="QSW53" s="4"/>
      <c r="QSX53" s="4"/>
      <c r="QSY53" s="4"/>
      <c r="QSZ53" s="4"/>
      <c r="QTA53" s="4"/>
      <c r="QTB53" s="4"/>
      <c r="QTC53" s="4"/>
      <c r="QTD53" s="4"/>
      <c r="QTE53" s="4"/>
      <c r="QTF53" s="4"/>
      <c r="QTG53" s="4"/>
      <c r="QTH53" s="4"/>
      <c r="QTI53" s="4"/>
      <c r="QTJ53" s="4"/>
      <c r="QTK53" s="4"/>
      <c r="QTL53" s="4"/>
      <c r="QTM53" s="4"/>
      <c r="QTN53" s="4"/>
      <c r="QTO53" s="4"/>
      <c r="QTP53" s="4"/>
      <c r="QTQ53" s="4"/>
      <c r="QTR53" s="4"/>
      <c r="QTS53" s="4"/>
      <c r="QTT53" s="4"/>
      <c r="QTU53" s="4"/>
      <c r="QTV53" s="4"/>
      <c r="QTW53" s="4"/>
      <c r="QTX53" s="4"/>
      <c r="QTY53" s="4"/>
      <c r="QTZ53" s="4"/>
      <c r="QUA53" s="4"/>
      <c r="QUB53" s="4"/>
      <c r="QUC53" s="4"/>
      <c r="QUD53" s="4"/>
      <c r="QUE53" s="4"/>
      <c r="QUF53" s="4"/>
      <c r="QUG53" s="4"/>
      <c r="QUH53" s="4"/>
      <c r="QUI53" s="4"/>
      <c r="QUJ53" s="4"/>
      <c r="QUK53" s="4"/>
      <c r="QUL53" s="4"/>
      <c r="QUM53" s="4"/>
      <c r="QUN53" s="4"/>
      <c r="QUO53" s="4"/>
      <c r="QUP53" s="4"/>
      <c r="QUQ53" s="4"/>
      <c r="QUR53" s="4"/>
      <c r="QUS53" s="4"/>
      <c r="QUT53" s="4"/>
      <c r="QUU53" s="4"/>
      <c r="QUV53" s="4"/>
      <c r="QUW53" s="4"/>
      <c r="QUX53" s="4"/>
      <c r="QUY53" s="4"/>
      <c r="QUZ53" s="4"/>
      <c r="QVA53" s="4"/>
      <c r="QVB53" s="4"/>
      <c r="QVC53" s="4"/>
      <c r="QVD53" s="4"/>
      <c r="QVE53" s="4"/>
      <c r="QVF53" s="4"/>
      <c r="QVG53" s="4"/>
      <c r="QVH53" s="4"/>
      <c r="QVI53" s="4"/>
      <c r="QVJ53" s="4"/>
      <c r="QVK53" s="4"/>
      <c r="QVL53" s="4"/>
      <c r="QVM53" s="4"/>
      <c r="QVN53" s="4"/>
      <c r="QVO53" s="4"/>
      <c r="QVP53" s="4"/>
      <c r="QVQ53" s="4"/>
      <c r="QVR53" s="4"/>
      <c r="QVS53" s="4"/>
      <c r="QVT53" s="4"/>
      <c r="QVU53" s="4"/>
      <c r="QVV53" s="4"/>
      <c r="QVW53" s="4"/>
      <c r="QVX53" s="4"/>
      <c r="QVY53" s="4"/>
      <c r="QVZ53" s="4"/>
      <c r="QWA53" s="4"/>
      <c r="QWB53" s="4"/>
      <c r="QWC53" s="4"/>
      <c r="QWD53" s="4"/>
      <c r="QWE53" s="4"/>
      <c r="QWF53" s="4"/>
      <c r="QWG53" s="4"/>
      <c r="QWH53" s="4"/>
      <c r="QWI53" s="4"/>
      <c r="QWJ53" s="4"/>
      <c r="QWK53" s="4"/>
      <c r="QWL53" s="4"/>
      <c r="QWM53" s="4"/>
      <c r="QWN53" s="4"/>
      <c r="QWO53" s="4"/>
      <c r="QWP53" s="4"/>
      <c r="QWQ53" s="4"/>
      <c r="QWR53" s="4"/>
      <c r="QWS53" s="4"/>
      <c r="QWT53" s="4"/>
      <c r="QWU53" s="4"/>
      <c r="QWV53" s="4"/>
      <c r="QWW53" s="4"/>
      <c r="QWX53" s="4"/>
      <c r="QWY53" s="4"/>
      <c r="QWZ53" s="4"/>
      <c r="QXA53" s="4"/>
      <c r="QXB53" s="4"/>
      <c r="QXC53" s="4"/>
      <c r="QXD53" s="4"/>
      <c r="QXE53" s="4"/>
      <c r="QXF53" s="4"/>
      <c r="QXG53" s="4"/>
      <c r="QXH53" s="4"/>
      <c r="QXI53" s="4"/>
      <c r="QXJ53" s="4"/>
      <c r="QXK53" s="4"/>
      <c r="QXL53" s="4"/>
      <c r="QXM53" s="4"/>
      <c r="QXN53" s="4"/>
      <c r="QXO53" s="4"/>
      <c r="QXP53" s="4"/>
      <c r="QXQ53" s="4"/>
      <c r="QXR53" s="4"/>
      <c r="QXS53" s="4"/>
      <c r="QXT53" s="4"/>
      <c r="QXU53" s="4"/>
      <c r="QXV53" s="4"/>
      <c r="QXW53" s="4"/>
      <c r="QXX53" s="4"/>
      <c r="QXY53" s="4"/>
      <c r="QXZ53" s="4"/>
      <c r="QYA53" s="4"/>
      <c r="QYB53" s="4"/>
      <c r="QYC53" s="4"/>
      <c r="QYD53" s="4"/>
      <c r="QYE53" s="4"/>
      <c r="QYF53" s="4"/>
      <c r="QYG53" s="4"/>
      <c r="QYH53" s="4"/>
      <c r="QYI53" s="4"/>
      <c r="QYJ53" s="4"/>
      <c r="QYK53" s="4"/>
      <c r="QYL53" s="4"/>
      <c r="QYM53" s="4"/>
      <c r="QYN53" s="4"/>
      <c r="QYO53" s="4"/>
      <c r="QYP53" s="4"/>
      <c r="QYQ53" s="4"/>
      <c r="QYR53" s="4"/>
      <c r="QYS53" s="4"/>
      <c r="QYT53" s="4"/>
      <c r="QYU53" s="4"/>
      <c r="QYV53" s="4"/>
      <c r="QYW53" s="4"/>
      <c r="QYX53" s="4"/>
      <c r="QYY53" s="4"/>
      <c r="QYZ53" s="4"/>
      <c r="QZA53" s="4"/>
      <c r="QZB53" s="4"/>
      <c r="QZC53" s="4"/>
      <c r="QZD53" s="4"/>
      <c r="QZE53" s="4"/>
      <c r="QZF53" s="4"/>
      <c r="QZG53" s="4"/>
      <c r="QZH53" s="4"/>
      <c r="QZI53" s="4"/>
      <c r="QZJ53" s="4"/>
      <c r="QZK53" s="4"/>
      <c r="QZL53" s="4"/>
      <c r="QZM53" s="4"/>
      <c r="QZN53" s="4"/>
      <c r="QZO53" s="4"/>
      <c r="QZP53" s="4"/>
      <c r="QZQ53" s="4"/>
      <c r="QZR53" s="4"/>
      <c r="QZS53" s="4"/>
      <c r="QZT53" s="4"/>
      <c r="QZU53" s="4"/>
      <c r="QZV53" s="4"/>
      <c r="QZW53" s="4"/>
      <c r="QZX53" s="4"/>
      <c r="QZY53" s="4"/>
      <c r="QZZ53" s="4"/>
      <c r="RAA53" s="4"/>
      <c r="RAB53" s="4"/>
      <c r="RAC53" s="4"/>
      <c r="RAD53" s="4"/>
      <c r="RAE53" s="4"/>
      <c r="RAF53" s="4"/>
      <c r="RAG53" s="4"/>
      <c r="RAH53" s="4"/>
      <c r="RAI53" s="4"/>
      <c r="RAJ53" s="4"/>
      <c r="RAK53" s="4"/>
      <c r="RAL53" s="4"/>
      <c r="RAM53" s="4"/>
      <c r="RAN53" s="4"/>
      <c r="RAO53" s="4"/>
      <c r="RAP53" s="4"/>
      <c r="RAQ53" s="4"/>
      <c r="RAR53" s="4"/>
      <c r="RAS53" s="4"/>
      <c r="RAT53" s="4"/>
      <c r="RAU53" s="4"/>
      <c r="RAV53" s="4"/>
      <c r="RAW53" s="4"/>
      <c r="RAX53" s="4"/>
      <c r="RAY53" s="4"/>
      <c r="RAZ53" s="4"/>
      <c r="RBA53" s="4"/>
      <c r="RBB53" s="4"/>
      <c r="RBC53" s="4"/>
      <c r="RBD53" s="4"/>
      <c r="RBE53" s="4"/>
      <c r="RBF53" s="4"/>
      <c r="RBG53" s="4"/>
      <c r="RBH53" s="4"/>
      <c r="RBI53" s="4"/>
      <c r="RBJ53" s="4"/>
      <c r="RBK53" s="4"/>
      <c r="RBL53" s="4"/>
      <c r="RBM53" s="4"/>
      <c r="RBN53" s="4"/>
      <c r="RBO53" s="4"/>
      <c r="RBP53" s="4"/>
      <c r="RBQ53" s="4"/>
      <c r="RBR53" s="4"/>
      <c r="RBS53" s="4"/>
      <c r="RBT53" s="4"/>
      <c r="RBU53" s="4"/>
      <c r="RBV53" s="4"/>
      <c r="RBW53" s="4"/>
      <c r="RBX53" s="4"/>
      <c r="RBY53" s="4"/>
      <c r="RBZ53" s="4"/>
      <c r="RCA53" s="4"/>
      <c r="RCB53" s="4"/>
      <c r="RCC53" s="4"/>
      <c r="RCD53" s="4"/>
      <c r="RCE53" s="4"/>
      <c r="RCF53" s="4"/>
      <c r="RCG53" s="4"/>
      <c r="RCH53" s="4"/>
      <c r="RCI53" s="4"/>
      <c r="RCJ53" s="4"/>
      <c r="RCK53" s="4"/>
      <c r="RCL53" s="4"/>
      <c r="RCM53" s="4"/>
      <c r="RCN53" s="4"/>
      <c r="RCO53" s="4"/>
      <c r="RCP53" s="4"/>
      <c r="RCQ53" s="4"/>
      <c r="RCR53" s="4"/>
      <c r="RCS53" s="4"/>
      <c r="RCT53" s="4"/>
      <c r="RCU53" s="4"/>
      <c r="RCV53" s="4"/>
      <c r="RCW53" s="4"/>
      <c r="RCX53" s="4"/>
      <c r="RCY53" s="4"/>
      <c r="RCZ53" s="4"/>
      <c r="RDA53" s="4"/>
      <c r="RDB53" s="4"/>
      <c r="RDC53" s="4"/>
      <c r="RDD53" s="4"/>
      <c r="RDE53" s="4"/>
      <c r="RDF53" s="4"/>
      <c r="RDG53" s="4"/>
      <c r="RDH53" s="4"/>
      <c r="RDI53" s="4"/>
      <c r="RDJ53" s="4"/>
      <c r="RDK53" s="4"/>
      <c r="RDL53" s="4"/>
      <c r="RDM53" s="4"/>
      <c r="RDN53" s="4"/>
      <c r="RDO53" s="4"/>
      <c r="RDP53" s="4"/>
      <c r="RDQ53" s="4"/>
      <c r="RDR53" s="4"/>
      <c r="RDS53" s="4"/>
      <c r="RDT53" s="4"/>
      <c r="RDU53" s="4"/>
      <c r="RDV53" s="4"/>
      <c r="RDW53" s="4"/>
      <c r="RDX53" s="4"/>
      <c r="RDY53" s="4"/>
      <c r="RDZ53" s="4"/>
      <c r="REA53" s="4"/>
      <c r="REB53" s="4"/>
      <c r="REC53" s="4"/>
      <c r="RED53" s="4"/>
      <c r="REE53" s="4"/>
      <c r="REF53" s="4"/>
      <c r="REG53" s="4"/>
      <c r="REH53" s="4"/>
      <c r="REI53" s="4"/>
      <c r="REJ53" s="4"/>
      <c r="REK53" s="4"/>
      <c r="REL53" s="4"/>
      <c r="REM53" s="4"/>
      <c r="REN53" s="4"/>
      <c r="REO53" s="4"/>
      <c r="REP53" s="4"/>
      <c r="REQ53" s="4"/>
      <c r="RER53" s="4"/>
      <c r="RES53" s="4"/>
      <c r="RET53" s="4"/>
      <c r="REU53" s="4"/>
      <c r="REV53" s="4"/>
      <c r="REW53" s="4"/>
      <c r="REX53" s="4"/>
      <c r="REY53" s="4"/>
      <c r="REZ53" s="4"/>
      <c r="RFA53" s="4"/>
      <c r="RFB53" s="4"/>
      <c r="RFC53" s="4"/>
      <c r="RFD53" s="4"/>
      <c r="RFE53" s="4"/>
      <c r="RFF53" s="4"/>
      <c r="RFG53" s="4"/>
      <c r="RFH53" s="4"/>
      <c r="RFI53" s="4"/>
      <c r="RFJ53" s="4"/>
      <c r="RFK53" s="4"/>
      <c r="RFL53" s="4"/>
      <c r="RFM53" s="4"/>
      <c r="RFN53" s="4"/>
      <c r="RFO53" s="4"/>
      <c r="RFP53" s="4"/>
      <c r="RFQ53" s="4"/>
      <c r="RFR53" s="4"/>
      <c r="RFS53" s="4"/>
      <c r="RFT53" s="4"/>
      <c r="RFU53" s="4"/>
      <c r="RFV53" s="4"/>
      <c r="RFW53" s="4"/>
      <c r="RFX53" s="4"/>
      <c r="RFY53" s="4"/>
      <c r="RFZ53" s="4"/>
      <c r="RGA53" s="4"/>
      <c r="RGB53" s="4"/>
      <c r="RGC53" s="4"/>
      <c r="RGD53" s="4"/>
      <c r="RGE53" s="4"/>
      <c r="RGF53" s="4"/>
      <c r="RGG53" s="4"/>
      <c r="RGH53" s="4"/>
      <c r="RGI53" s="4"/>
      <c r="RGJ53" s="4"/>
      <c r="RGK53" s="4"/>
      <c r="RGL53" s="4"/>
      <c r="RGM53" s="4"/>
      <c r="RGN53" s="4"/>
      <c r="RGO53" s="4"/>
      <c r="RGP53" s="4"/>
      <c r="RGQ53" s="4"/>
      <c r="RGR53" s="4"/>
      <c r="RGS53" s="4"/>
      <c r="RGT53" s="4"/>
      <c r="RGU53" s="4"/>
      <c r="RGV53" s="4"/>
      <c r="RGW53" s="4"/>
      <c r="RGX53" s="4"/>
      <c r="RGY53" s="4"/>
      <c r="RGZ53" s="4"/>
      <c r="RHA53" s="4"/>
      <c r="RHB53" s="4"/>
      <c r="RHC53" s="4"/>
      <c r="RHD53" s="4"/>
      <c r="RHE53" s="4"/>
      <c r="RHF53" s="4"/>
      <c r="RHG53" s="4"/>
      <c r="RHH53" s="4"/>
      <c r="RHI53" s="4"/>
      <c r="RHJ53" s="4"/>
      <c r="RHK53" s="4"/>
      <c r="RHL53" s="4"/>
      <c r="RHM53" s="4"/>
      <c r="RHN53" s="4"/>
      <c r="RHO53" s="4"/>
      <c r="RHP53" s="4"/>
      <c r="RHQ53" s="4"/>
      <c r="RHR53" s="4"/>
      <c r="RHS53" s="4"/>
      <c r="RHT53" s="4"/>
      <c r="RHU53" s="4"/>
      <c r="RHV53" s="4"/>
      <c r="RHW53" s="4"/>
      <c r="RHX53" s="4"/>
      <c r="RHY53" s="4"/>
      <c r="RHZ53" s="4"/>
      <c r="RIA53" s="4"/>
      <c r="RIB53" s="4"/>
      <c r="RIC53" s="4"/>
      <c r="RID53" s="4"/>
      <c r="RIE53" s="4"/>
      <c r="RIF53" s="4"/>
      <c r="RIG53" s="4"/>
      <c r="RIH53" s="4"/>
      <c r="RII53" s="4"/>
      <c r="RIJ53" s="4"/>
      <c r="RIK53" s="4"/>
      <c r="RIL53" s="4"/>
      <c r="RIM53" s="4"/>
      <c r="RIN53" s="4"/>
      <c r="RIO53" s="4"/>
      <c r="RIP53" s="4"/>
      <c r="RIQ53" s="4"/>
      <c r="RIR53" s="4"/>
      <c r="RIS53" s="4"/>
      <c r="RIT53" s="4"/>
      <c r="RIU53" s="4"/>
      <c r="RIV53" s="4"/>
      <c r="RIW53" s="4"/>
      <c r="RIX53" s="4"/>
      <c r="RIY53" s="4"/>
      <c r="RIZ53" s="4"/>
      <c r="RJA53" s="4"/>
      <c r="RJB53" s="4"/>
      <c r="RJC53" s="4"/>
      <c r="RJD53" s="4"/>
      <c r="RJE53" s="4"/>
      <c r="RJF53" s="4"/>
      <c r="RJG53" s="4"/>
      <c r="RJH53" s="4"/>
      <c r="RJI53" s="4"/>
      <c r="RJJ53" s="4"/>
      <c r="RJK53" s="4"/>
      <c r="RJL53" s="4"/>
      <c r="RJM53" s="4"/>
      <c r="RJN53" s="4"/>
      <c r="RJO53" s="4"/>
      <c r="RJP53" s="4"/>
      <c r="RJQ53" s="4"/>
      <c r="RJR53" s="4"/>
      <c r="RJS53" s="4"/>
      <c r="RJT53" s="4"/>
      <c r="RJU53" s="4"/>
      <c r="RJV53" s="4"/>
      <c r="RJW53" s="4"/>
      <c r="RJX53" s="4"/>
      <c r="RJY53" s="4"/>
      <c r="RJZ53" s="4"/>
      <c r="RKA53" s="4"/>
      <c r="RKB53" s="4"/>
      <c r="RKC53" s="4"/>
      <c r="RKD53" s="4"/>
      <c r="RKE53" s="4"/>
      <c r="RKF53" s="4"/>
      <c r="RKG53" s="4"/>
      <c r="RKH53" s="4"/>
      <c r="RKI53" s="4"/>
      <c r="RKJ53" s="4"/>
      <c r="RKK53" s="4"/>
      <c r="RKL53" s="4"/>
      <c r="RKM53" s="4"/>
      <c r="RKN53" s="4"/>
      <c r="RKO53" s="4"/>
      <c r="RKP53" s="4"/>
      <c r="RKQ53" s="4"/>
      <c r="RKR53" s="4"/>
      <c r="RKS53" s="4"/>
      <c r="RKT53" s="4"/>
      <c r="RKU53" s="4"/>
      <c r="RKV53" s="4"/>
      <c r="RKW53" s="4"/>
      <c r="RKX53" s="4"/>
      <c r="RKY53" s="4"/>
      <c r="RKZ53" s="4"/>
      <c r="RLA53" s="4"/>
      <c r="RLB53" s="4"/>
      <c r="RLC53" s="4"/>
      <c r="RLD53" s="4"/>
      <c r="RLE53" s="4"/>
      <c r="RLF53" s="4"/>
      <c r="RLG53" s="4"/>
      <c r="RLH53" s="4"/>
      <c r="RLI53" s="4"/>
      <c r="RLJ53" s="4"/>
      <c r="RLK53" s="4"/>
      <c r="RLL53" s="4"/>
      <c r="RLM53" s="4"/>
      <c r="RLN53" s="4"/>
      <c r="RLO53" s="4"/>
      <c r="RLP53" s="4"/>
      <c r="RLQ53" s="4"/>
      <c r="RLR53" s="4"/>
      <c r="RLS53" s="4"/>
      <c r="RLT53" s="4"/>
      <c r="RLU53" s="4"/>
      <c r="RLV53" s="4"/>
      <c r="RLW53" s="4"/>
      <c r="RLX53" s="4"/>
      <c r="RLY53" s="4"/>
      <c r="RLZ53" s="4"/>
      <c r="RMA53" s="4"/>
      <c r="RMB53" s="4"/>
      <c r="RMC53" s="4"/>
      <c r="RMD53" s="4"/>
      <c r="RME53" s="4"/>
      <c r="RMF53" s="4"/>
      <c r="RMG53" s="4"/>
      <c r="RMH53" s="4"/>
      <c r="RMI53" s="4"/>
      <c r="RMJ53" s="4"/>
      <c r="RMK53" s="4"/>
      <c r="RML53" s="4"/>
      <c r="RMM53" s="4"/>
      <c r="RMN53" s="4"/>
      <c r="RMO53" s="4"/>
      <c r="RMP53" s="4"/>
      <c r="RMQ53" s="4"/>
      <c r="RMR53" s="4"/>
      <c r="RMS53" s="4"/>
      <c r="RMT53" s="4"/>
      <c r="RMU53" s="4"/>
      <c r="RMV53" s="4"/>
      <c r="RMW53" s="4"/>
      <c r="RMX53" s="4"/>
      <c r="RMY53" s="4"/>
      <c r="RMZ53" s="4"/>
      <c r="RNA53" s="4"/>
      <c r="RNB53" s="4"/>
      <c r="RNC53" s="4"/>
      <c r="RND53" s="4"/>
      <c r="RNE53" s="4"/>
      <c r="RNF53" s="4"/>
      <c r="RNG53" s="4"/>
      <c r="RNH53" s="4"/>
      <c r="RNI53" s="4"/>
      <c r="RNJ53" s="4"/>
      <c r="RNK53" s="4"/>
      <c r="RNL53" s="4"/>
      <c r="RNM53" s="4"/>
      <c r="RNN53" s="4"/>
      <c r="RNO53" s="4"/>
      <c r="RNP53" s="4"/>
      <c r="RNQ53" s="4"/>
      <c r="RNR53" s="4"/>
      <c r="RNS53" s="4"/>
      <c r="RNT53" s="4"/>
      <c r="RNU53" s="4"/>
      <c r="RNV53" s="4"/>
      <c r="RNW53" s="4"/>
      <c r="RNX53" s="4"/>
      <c r="RNY53" s="4"/>
      <c r="RNZ53" s="4"/>
      <c r="ROA53" s="4"/>
      <c r="ROB53" s="4"/>
      <c r="ROC53" s="4"/>
      <c r="ROD53" s="4"/>
      <c r="ROE53" s="4"/>
      <c r="ROF53" s="4"/>
      <c r="ROG53" s="4"/>
      <c r="ROH53" s="4"/>
      <c r="ROI53" s="4"/>
      <c r="ROJ53" s="4"/>
      <c r="ROK53" s="4"/>
      <c r="ROL53" s="4"/>
      <c r="ROM53" s="4"/>
      <c r="RON53" s="4"/>
      <c r="ROO53" s="4"/>
      <c r="ROP53" s="4"/>
      <c r="ROQ53" s="4"/>
      <c r="ROR53" s="4"/>
      <c r="ROS53" s="4"/>
      <c r="ROT53" s="4"/>
      <c r="ROU53" s="4"/>
      <c r="ROV53" s="4"/>
      <c r="ROW53" s="4"/>
      <c r="ROX53" s="4"/>
      <c r="ROY53" s="4"/>
      <c r="ROZ53" s="4"/>
      <c r="RPA53" s="4"/>
      <c r="RPB53" s="4"/>
      <c r="RPC53" s="4"/>
      <c r="RPD53" s="4"/>
      <c r="RPE53" s="4"/>
      <c r="RPF53" s="4"/>
      <c r="RPG53" s="4"/>
      <c r="RPH53" s="4"/>
      <c r="RPI53" s="4"/>
      <c r="RPJ53" s="4"/>
      <c r="RPK53" s="4"/>
      <c r="RPL53" s="4"/>
      <c r="RPM53" s="4"/>
      <c r="RPN53" s="4"/>
      <c r="RPO53" s="4"/>
      <c r="RPP53" s="4"/>
      <c r="RPQ53" s="4"/>
      <c r="RPR53" s="4"/>
      <c r="RPS53" s="4"/>
      <c r="RPT53" s="4"/>
      <c r="RPU53" s="4"/>
      <c r="RPV53" s="4"/>
      <c r="RPW53" s="4"/>
      <c r="RPX53" s="4"/>
      <c r="RPY53" s="4"/>
      <c r="RPZ53" s="4"/>
      <c r="RQA53" s="4"/>
      <c r="RQB53" s="4"/>
      <c r="RQC53" s="4"/>
      <c r="RQD53" s="4"/>
      <c r="RQE53" s="4"/>
      <c r="RQF53" s="4"/>
      <c r="RQG53" s="4"/>
      <c r="RQH53" s="4"/>
      <c r="RQI53" s="4"/>
      <c r="RQJ53" s="4"/>
      <c r="RQK53" s="4"/>
      <c r="RQL53" s="4"/>
      <c r="RQM53" s="4"/>
      <c r="RQN53" s="4"/>
      <c r="RQO53" s="4"/>
      <c r="RQP53" s="4"/>
      <c r="RQQ53" s="4"/>
      <c r="RQR53" s="4"/>
      <c r="RQS53" s="4"/>
      <c r="RQT53" s="4"/>
      <c r="RQU53" s="4"/>
      <c r="RQV53" s="4"/>
      <c r="RQW53" s="4"/>
      <c r="RQX53" s="4"/>
      <c r="RQY53" s="4"/>
      <c r="RQZ53" s="4"/>
      <c r="RRA53" s="4"/>
      <c r="RRB53" s="4"/>
      <c r="RRC53" s="4"/>
      <c r="RRD53" s="4"/>
      <c r="RRE53" s="4"/>
      <c r="RRF53" s="4"/>
      <c r="RRG53" s="4"/>
      <c r="RRH53" s="4"/>
      <c r="RRI53" s="4"/>
      <c r="RRJ53" s="4"/>
      <c r="RRK53" s="4"/>
      <c r="RRL53" s="4"/>
      <c r="RRM53" s="4"/>
      <c r="RRN53" s="4"/>
      <c r="RRO53" s="4"/>
      <c r="RRP53" s="4"/>
      <c r="RRQ53" s="4"/>
      <c r="RRR53" s="4"/>
      <c r="RRS53" s="4"/>
      <c r="RRT53" s="4"/>
      <c r="RRU53" s="4"/>
      <c r="RRV53" s="4"/>
      <c r="RRW53" s="4"/>
      <c r="RRX53" s="4"/>
      <c r="RRY53" s="4"/>
      <c r="RRZ53" s="4"/>
      <c r="RSA53" s="4"/>
      <c r="RSB53" s="4"/>
      <c r="RSC53" s="4"/>
      <c r="RSD53" s="4"/>
      <c r="RSE53" s="4"/>
      <c r="RSF53" s="4"/>
      <c r="RSG53" s="4"/>
      <c r="RSH53" s="4"/>
      <c r="RSI53" s="4"/>
      <c r="RSJ53" s="4"/>
      <c r="RSK53" s="4"/>
      <c r="RSL53" s="4"/>
      <c r="RSM53" s="4"/>
      <c r="RSN53" s="4"/>
      <c r="RSO53" s="4"/>
      <c r="RSP53" s="4"/>
      <c r="RSQ53" s="4"/>
      <c r="RSR53" s="4"/>
      <c r="RSS53" s="4"/>
      <c r="RST53" s="4"/>
      <c r="RSU53" s="4"/>
      <c r="RSV53" s="4"/>
      <c r="RSW53" s="4"/>
      <c r="RSX53" s="4"/>
      <c r="RSY53" s="4"/>
      <c r="RSZ53" s="4"/>
      <c r="RTA53" s="4"/>
      <c r="RTB53" s="4"/>
      <c r="RTC53" s="4"/>
      <c r="RTD53" s="4"/>
      <c r="RTE53" s="4"/>
      <c r="RTF53" s="4"/>
      <c r="RTG53" s="4"/>
      <c r="RTH53" s="4"/>
      <c r="RTI53" s="4"/>
      <c r="RTJ53" s="4"/>
      <c r="RTK53" s="4"/>
      <c r="RTL53" s="4"/>
      <c r="RTM53" s="4"/>
      <c r="RTN53" s="4"/>
      <c r="RTO53" s="4"/>
      <c r="RTP53" s="4"/>
      <c r="RTQ53" s="4"/>
      <c r="RTR53" s="4"/>
      <c r="RTS53" s="4"/>
      <c r="RTT53" s="4"/>
      <c r="RTU53" s="4"/>
      <c r="RTV53" s="4"/>
      <c r="RTW53" s="4"/>
      <c r="RTX53" s="4"/>
      <c r="RTY53" s="4"/>
      <c r="RTZ53" s="4"/>
      <c r="RUA53" s="4"/>
      <c r="RUB53" s="4"/>
      <c r="RUC53" s="4"/>
      <c r="RUD53" s="4"/>
      <c r="RUE53" s="4"/>
      <c r="RUF53" s="4"/>
      <c r="RUG53" s="4"/>
      <c r="RUH53" s="4"/>
      <c r="RUI53" s="4"/>
      <c r="RUJ53" s="4"/>
      <c r="RUK53" s="4"/>
      <c r="RUL53" s="4"/>
      <c r="RUM53" s="4"/>
      <c r="RUN53" s="4"/>
      <c r="RUO53" s="4"/>
      <c r="RUP53" s="4"/>
      <c r="RUQ53" s="4"/>
      <c r="RUR53" s="4"/>
      <c r="RUS53" s="4"/>
      <c r="RUT53" s="4"/>
      <c r="RUU53" s="4"/>
      <c r="RUV53" s="4"/>
      <c r="RUW53" s="4"/>
      <c r="RUX53" s="4"/>
      <c r="RUY53" s="4"/>
      <c r="RUZ53" s="4"/>
      <c r="RVA53" s="4"/>
      <c r="RVB53" s="4"/>
      <c r="RVC53" s="4"/>
      <c r="RVD53" s="4"/>
      <c r="RVE53" s="4"/>
      <c r="RVF53" s="4"/>
      <c r="RVG53" s="4"/>
      <c r="RVH53" s="4"/>
      <c r="RVI53" s="4"/>
      <c r="RVJ53" s="4"/>
      <c r="RVK53" s="4"/>
      <c r="RVL53" s="4"/>
      <c r="RVM53" s="4"/>
      <c r="RVN53" s="4"/>
      <c r="RVO53" s="4"/>
      <c r="RVP53" s="4"/>
      <c r="RVQ53" s="4"/>
      <c r="RVR53" s="4"/>
      <c r="RVS53" s="4"/>
      <c r="RVT53" s="4"/>
      <c r="RVU53" s="4"/>
      <c r="RVV53" s="4"/>
      <c r="RVW53" s="4"/>
      <c r="RVX53" s="4"/>
      <c r="RVY53" s="4"/>
      <c r="RVZ53" s="4"/>
      <c r="RWA53" s="4"/>
      <c r="RWB53" s="4"/>
      <c r="RWC53" s="4"/>
      <c r="RWD53" s="4"/>
      <c r="RWE53" s="4"/>
      <c r="RWF53" s="4"/>
      <c r="RWG53" s="4"/>
      <c r="RWH53" s="4"/>
      <c r="RWI53" s="4"/>
      <c r="RWJ53" s="4"/>
      <c r="RWK53" s="4"/>
      <c r="RWL53" s="4"/>
      <c r="RWM53" s="4"/>
      <c r="RWN53" s="4"/>
      <c r="RWO53" s="4"/>
      <c r="RWP53" s="4"/>
      <c r="RWQ53" s="4"/>
      <c r="RWR53" s="4"/>
      <c r="RWS53" s="4"/>
      <c r="RWT53" s="4"/>
      <c r="RWU53" s="4"/>
      <c r="RWV53" s="4"/>
      <c r="RWW53" s="4"/>
      <c r="RWX53" s="4"/>
      <c r="RWY53" s="4"/>
      <c r="RWZ53" s="4"/>
      <c r="RXA53" s="4"/>
      <c r="RXB53" s="4"/>
      <c r="RXC53" s="4"/>
      <c r="RXD53" s="4"/>
      <c r="RXE53" s="4"/>
      <c r="RXF53" s="4"/>
      <c r="RXG53" s="4"/>
      <c r="RXH53" s="4"/>
      <c r="RXI53" s="4"/>
      <c r="RXJ53" s="4"/>
      <c r="RXK53" s="4"/>
      <c r="RXL53" s="4"/>
      <c r="RXM53" s="4"/>
      <c r="RXN53" s="4"/>
      <c r="RXO53" s="4"/>
      <c r="RXP53" s="4"/>
      <c r="RXQ53" s="4"/>
      <c r="RXR53" s="4"/>
      <c r="RXS53" s="4"/>
      <c r="RXT53" s="4"/>
      <c r="RXU53" s="4"/>
      <c r="RXV53" s="4"/>
      <c r="RXW53" s="4"/>
      <c r="RXX53" s="4"/>
      <c r="RXY53" s="4"/>
      <c r="RXZ53" s="4"/>
      <c r="RYA53" s="4"/>
      <c r="RYB53" s="4"/>
      <c r="RYC53" s="4"/>
      <c r="RYD53" s="4"/>
      <c r="RYE53" s="4"/>
      <c r="RYF53" s="4"/>
      <c r="RYG53" s="4"/>
      <c r="RYH53" s="4"/>
      <c r="RYI53" s="4"/>
      <c r="RYJ53" s="4"/>
      <c r="RYK53" s="4"/>
      <c r="RYL53" s="4"/>
      <c r="RYM53" s="4"/>
      <c r="RYN53" s="4"/>
      <c r="RYO53" s="4"/>
      <c r="RYP53" s="4"/>
      <c r="RYQ53" s="4"/>
      <c r="RYR53" s="4"/>
      <c r="RYS53" s="4"/>
      <c r="RYT53" s="4"/>
      <c r="RYU53" s="4"/>
      <c r="RYV53" s="4"/>
      <c r="RYW53" s="4"/>
      <c r="RYX53" s="4"/>
      <c r="RYY53" s="4"/>
      <c r="RYZ53" s="4"/>
      <c r="RZA53" s="4"/>
      <c r="RZB53" s="4"/>
      <c r="RZC53" s="4"/>
      <c r="RZD53" s="4"/>
      <c r="RZE53" s="4"/>
      <c r="RZF53" s="4"/>
      <c r="RZG53" s="4"/>
      <c r="RZH53" s="4"/>
      <c r="RZI53" s="4"/>
      <c r="RZJ53" s="4"/>
      <c r="RZK53" s="4"/>
      <c r="RZL53" s="4"/>
      <c r="RZM53" s="4"/>
      <c r="RZN53" s="4"/>
      <c r="RZO53" s="4"/>
      <c r="RZP53" s="4"/>
      <c r="RZQ53" s="4"/>
      <c r="RZR53" s="4"/>
      <c r="RZS53" s="4"/>
      <c r="RZT53" s="4"/>
      <c r="RZU53" s="4"/>
      <c r="RZV53" s="4"/>
      <c r="RZW53" s="4"/>
      <c r="RZX53" s="4"/>
      <c r="RZY53" s="4"/>
      <c r="RZZ53" s="4"/>
      <c r="SAA53" s="4"/>
      <c r="SAB53" s="4"/>
      <c r="SAC53" s="4"/>
      <c r="SAD53" s="4"/>
      <c r="SAE53" s="4"/>
      <c r="SAF53" s="4"/>
      <c r="SAG53" s="4"/>
      <c r="SAH53" s="4"/>
      <c r="SAI53" s="4"/>
      <c r="SAJ53" s="4"/>
      <c r="SAK53" s="4"/>
      <c r="SAL53" s="4"/>
      <c r="SAM53" s="4"/>
      <c r="SAN53" s="4"/>
      <c r="SAO53" s="4"/>
      <c r="SAP53" s="4"/>
      <c r="SAQ53" s="4"/>
      <c r="SAR53" s="4"/>
      <c r="SAS53" s="4"/>
      <c r="SAT53" s="4"/>
      <c r="SAU53" s="4"/>
      <c r="SAV53" s="4"/>
      <c r="SAW53" s="4"/>
      <c r="SAX53" s="4"/>
      <c r="SAY53" s="4"/>
      <c r="SAZ53" s="4"/>
      <c r="SBA53" s="4"/>
      <c r="SBB53" s="4"/>
      <c r="SBC53" s="4"/>
      <c r="SBD53" s="4"/>
      <c r="SBE53" s="4"/>
      <c r="SBF53" s="4"/>
      <c r="SBG53" s="4"/>
      <c r="SBH53" s="4"/>
      <c r="SBI53" s="4"/>
      <c r="SBJ53" s="4"/>
      <c r="SBK53" s="4"/>
      <c r="SBL53" s="4"/>
      <c r="SBM53" s="4"/>
      <c r="SBN53" s="4"/>
      <c r="SBO53" s="4"/>
      <c r="SBP53" s="4"/>
      <c r="SBQ53" s="4"/>
      <c r="SBR53" s="4"/>
      <c r="SBS53" s="4"/>
      <c r="SBT53" s="4"/>
      <c r="SBU53" s="4"/>
      <c r="SBV53" s="4"/>
      <c r="SBW53" s="4"/>
      <c r="SBX53" s="4"/>
      <c r="SBY53" s="4"/>
      <c r="SBZ53" s="4"/>
      <c r="SCA53" s="4"/>
      <c r="SCB53" s="4"/>
      <c r="SCC53" s="4"/>
      <c r="SCD53" s="4"/>
      <c r="SCE53" s="4"/>
      <c r="SCF53" s="4"/>
      <c r="SCG53" s="4"/>
      <c r="SCH53" s="4"/>
      <c r="SCI53" s="4"/>
      <c r="SCJ53" s="4"/>
      <c r="SCK53" s="4"/>
      <c r="SCL53" s="4"/>
      <c r="SCM53" s="4"/>
      <c r="SCN53" s="4"/>
      <c r="SCO53" s="4"/>
      <c r="SCP53" s="4"/>
      <c r="SCQ53" s="4"/>
      <c r="SCR53" s="4"/>
      <c r="SCS53" s="4"/>
      <c r="SCT53" s="4"/>
      <c r="SCU53" s="4"/>
      <c r="SCV53" s="4"/>
      <c r="SCW53" s="4"/>
      <c r="SCX53" s="4"/>
      <c r="SCY53" s="4"/>
      <c r="SCZ53" s="4"/>
      <c r="SDA53" s="4"/>
      <c r="SDB53" s="4"/>
      <c r="SDC53" s="4"/>
      <c r="SDD53" s="4"/>
      <c r="SDE53" s="4"/>
      <c r="SDF53" s="4"/>
      <c r="SDG53" s="4"/>
      <c r="SDH53" s="4"/>
      <c r="SDI53" s="4"/>
      <c r="SDJ53" s="4"/>
      <c r="SDK53" s="4"/>
      <c r="SDL53" s="4"/>
      <c r="SDM53" s="4"/>
      <c r="SDN53" s="4"/>
      <c r="SDO53" s="4"/>
      <c r="SDP53" s="4"/>
      <c r="SDQ53" s="4"/>
      <c r="SDR53" s="4"/>
      <c r="SDS53" s="4"/>
      <c r="SDT53" s="4"/>
      <c r="SDU53" s="4"/>
      <c r="SDV53" s="4"/>
      <c r="SDW53" s="4"/>
      <c r="SDX53" s="4"/>
      <c r="SDY53" s="4"/>
      <c r="SDZ53" s="4"/>
      <c r="SEA53" s="4"/>
      <c r="SEB53" s="4"/>
      <c r="SEC53" s="4"/>
      <c r="SED53" s="4"/>
      <c r="SEE53" s="4"/>
      <c r="SEF53" s="4"/>
      <c r="SEG53" s="4"/>
      <c r="SEH53" s="4"/>
      <c r="SEI53" s="4"/>
      <c r="SEJ53" s="4"/>
      <c r="SEK53" s="4"/>
      <c r="SEL53" s="4"/>
      <c r="SEM53" s="4"/>
      <c r="SEN53" s="4"/>
      <c r="SEO53" s="4"/>
      <c r="SEP53" s="4"/>
      <c r="SEQ53" s="4"/>
      <c r="SER53" s="4"/>
      <c r="SES53" s="4"/>
      <c r="SET53" s="4"/>
      <c r="SEU53" s="4"/>
      <c r="SEV53" s="4"/>
      <c r="SEW53" s="4"/>
      <c r="SEX53" s="4"/>
      <c r="SEY53" s="4"/>
      <c r="SEZ53" s="4"/>
      <c r="SFA53" s="4"/>
      <c r="SFB53" s="4"/>
      <c r="SFC53" s="4"/>
      <c r="SFD53" s="4"/>
      <c r="SFE53" s="4"/>
      <c r="SFF53" s="4"/>
      <c r="SFG53" s="4"/>
      <c r="SFH53" s="4"/>
      <c r="SFI53" s="4"/>
      <c r="SFJ53" s="4"/>
      <c r="SFK53" s="4"/>
      <c r="SFL53" s="4"/>
      <c r="SFM53" s="4"/>
      <c r="SFN53" s="4"/>
      <c r="SFO53" s="4"/>
      <c r="SFP53" s="4"/>
      <c r="SFQ53" s="4"/>
      <c r="SFR53" s="4"/>
      <c r="SFS53" s="4"/>
      <c r="SFT53" s="4"/>
      <c r="SFU53" s="4"/>
      <c r="SFV53" s="4"/>
      <c r="SFW53" s="4"/>
      <c r="SFX53" s="4"/>
      <c r="SFY53" s="4"/>
      <c r="SFZ53" s="4"/>
      <c r="SGA53" s="4"/>
      <c r="SGB53" s="4"/>
      <c r="SGC53" s="4"/>
      <c r="SGD53" s="4"/>
      <c r="SGE53" s="4"/>
      <c r="SGF53" s="4"/>
      <c r="SGG53" s="4"/>
      <c r="SGH53" s="4"/>
      <c r="SGI53" s="4"/>
      <c r="SGJ53" s="4"/>
      <c r="SGK53" s="4"/>
      <c r="SGL53" s="4"/>
      <c r="SGM53" s="4"/>
      <c r="SGN53" s="4"/>
      <c r="SGO53" s="4"/>
      <c r="SGP53" s="4"/>
      <c r="SGQ53" s="4"/>
      <c r="SGR53" s="4"/>
      <c r="SGS53" s="4"/>
      <c r="SGT53" s="4"/>
      <c r="SGU53" s="4"/>
      <c r="SGV53" s="4"/>
      <c r="SGW53" s="4"/>
      <c r="SGX53" s="4"/>
      <c r="SGY53" s="4"/>
      <c r="SGZ53" s="4"/>
      <c r="SHA53" s="4"/>
      <c r="SHB53" s="4"/>
      <c r="SHC53" s="4"/>
      <c r="SHD53" s="4"/>
      <c r="SHE53" s="4"/>
      <c r="SHF53" s="4"/>
      <c r="SHG53" s="4"/>
      <c r="SHH53" s="4"/>
      <c r="SHI53" s="4"/>
      <c r="SHJ53" s="4"/>
      <c r="SHK53" s="4"/>
      <c r="SHL53" s="4"/>
      <c r="SHM53" s="4"/>
      <c r="SHN53" s="4"/>
      <c r="SHO53" s="4"/>
      <c r="SHP53" s="4"/>
      <c r="SHQ53" s="4"/>
      <c r="SHR53" s="4"/>
      <c r="SHS53" s="4"/>
      <c r="SHT53" s="4"/>
      <c r="SHU53" s="4"/>
      <c r="SHV53" s="4"/>
      <c r="SHW53" s="4"/>
      <c r="SHX53" s="4"/>
      <c r="SHY53" s="4"/>
      <c r="SHZ53" s="4"/>
      <c r="SIA53" s="4"/>
      <c r="SIB53" s="4"/>
      <c r="SIC53" s="4"/>
      <c r="SID53" s="4"/>
      <c r="SIE53" s="4"/>
      <c r="SIF53" s="4"/>
      <c r="SIG53" s="4"/>
      <c r="SIH53" s="4"/>
      <c r="SII53" s="4"/>
      <c r="SIJ53" s="4"/>
      <c r="SIK53" s="4"/>
      <c r="SIL53" s="4"/>
      <c r="SIM53" s="4"/>
      <c r="SIN53" s="4"/>
      <c r="SIO53" s="4"/>
      <c r="SIP53" s="4"/>
      <c r="SIQ53" s="4"/>
      <c r="SIR53" s="4"/>
      <c r="SIS53" s="4"/>
      <c r="SIT53" s="4"/>
      <c r="SIU53" s="4"/>
      <c r="SIV53" s="4"/>
      <c r="SIW53" s="4"/>
      <c r="SIX53" s="4"/>
      <c r="SIY53" s="4"/>
      <c r="SIZ53" s="4"/>
      <c r="SJA53" s="4"/>
      <c r="SJB53" s="4"/>
      <c r="SJC53" s="4"/>
      <c r="SJD53" s="4"/>
      <c r="SJE53" s="4"/>
      <c r="SJF53" s="4"/>
      <c r="SJG53" s="4"/>
      <c r="SJH53" s="4"/>
      <c r="SJI53" s="4"/>
      <c r="SJJ53" s="4"/>
      <c r="SJK53" s="4"/>
      <c r="SJL53" s="4"/>
      <c r="SJM53" s="4"/>
      <c r="SJN53" s="4"/>
      <c r="SJO53" s="4"/>
      <c r="SJP53" s="4"/>
      <c r="SJQ53" s="4"/>
      <c r="SJR53" s="4"/>
      <c r="SJS53" s="4"/>
      <c r="SJT53" s="4"/>
      <c r="SJU53" s="4"/>
      <c r="SJV53" s="4"/>
      <c r="SJW53" s="4"/>
      <c r="SJX53" s="4"/>
      <c r="SJY53" s="4"/>
      <c r="SJZ53" s="4"/>
      <c r="SKA53" s="4"/>
      <c r="SKB53" s="4"/>
      <c r="SKC53" s="4"/>
      <c r="SKD53" s="4"/>
      <c r="SKE53" s="4"/>
      <c r="SKF53" s="4"/>
      <c r="SKG53" s="4"/>
      <c r="SKH53" s="4"/>
      <c r="SKI53" s="4"/>
      <c r="SKJ53" s="4"/>
      <c r="SKK53" s="4"/>
      <c r="SKL53" s="4"/>
      <c r="SKM53" s="4"/>
      <c r="SKN53" s="4"/>
      <c r="SKO53" s="4"/>
      <c r="SKP53" s="4"/>
      <c r="SKQ53" s="4"/>
      <c r="SKR53" s="4"/>
      <c r="SKS53" s="4"/>
      <c r="SKT53" s="4"/>
      <c r="SKU53" s="4"/>
      <c r="SKV53" s="4"/>
      <c r="SKW53" s="4"/>
      <c r="SKX53" s="4"/>
      <c r="SKY53" s="4"/>
      <c r="SKZ53" s="4"/>
      <c r="SLA53" s="4"/>
      <c r="SLB53" s="4"/>
      <c r="SLC53" s="4"/>
      <c r="SLD53" s="4"/>
      <c r="SLE53" s="4"/>
      <c r="SLF53" s="4"/>
      <c r="SLG53" s="4"/>
      <c r="SLH53" s="4"/>
      <c r="SLI53" s="4"/>
      <c r="SLJ53" s="4"/>
      <c r="SLK53" s="4"/>
      <c r="SLL53" s="4"/>
      <c r="SLM53" s="4"/>
      <c r="SLN53" s="4"/>
      <c r="SLO53" s="4"/>
      <c r="SLP53" s="4"/>
      <c r="SLQ53" s="4"/>
      <c r="SLR53" s="4"/>
      <c r="SLS53" s="4"/>
      <c r="SLT53" s="4"/>
      <c r="SLU53" s="4"/>
      <c r="SLV53" s="4"/>
      <c r="SLW53" s="4"/>
      <c r="SLX53" s="4"/>
      <c r="SLY53" s="4"/>
      <c r="SLZ53" s="4"/>
      <c r="SMA53" s="4"/>
      <c r="SMB53" s="4"/>
      <c r="SMC53" s="4"/>
      <c r="SMD53" s="4"/>
      <c r="SME53" s="4"/>
      <c r="SMF53" s="4"/>
      <c r="SMG53" s="4"/>
      <c r="SMH53" s="4"/>
      <c r="SMI53" s="4"/>
      <c r="SMJ53" s="4"/>
      <c r="SMK53" s="4"/>
      <c r="SML53" s="4"/>
      <c r="SMM53" s="4"/>
      <c r="SMN53" s="4"/>
      <c r="SMO53" s="4"/>
      <c r="SMP53" s="4"/>
      <c r="SMQ53" s="4"/>
      <c r="SMR53" s="4"/>
      <c r="SMS53" s="4"/>
      <c r="SMT53" s="4"/>
      <c r="SMU53" s="4"/>
      <c r="SMV53" s="4"/>
      <c r="SMW53" s="4"/>
      <c r="SMX53" s="4"/>
      <c r="SMY53" s="4"/>
      <c r="SMZ53" s="4"/>
      <c r="SNA53" s="4"/>
      <c r="SNB53" s="4"/>
      <c r="SNC53" s="4"/>
      <c r="SND53" s="4"/>
      <c r="SNE53" s="4"/>
      <c r="SNF53" s="4"/>
      <c r="SNG53" s="4"/>
      <c r="SNH53" s="4"/>
      <c r="SNI53" s="4"/>
      <c r="SNJ53" s="4"/>
      <c r="SNK53" s="4"/>
      <c r="SNL53" s="4"/>
      <c r="SNM53" s="4"/>
      <c r="SNN53" s="4"/>
      <c r="SNO53" s="4"/>
      <c r="SNP53" s="4"/>
      <c r="SNQ53" s="4"/>
      <c r="SNR53" s="4"/>
      <c r="SNS53" s="4"/>
      <c r="SNT53" s="4"/>
      <c r="SNU53" s="4"/>
      <c r="SNV53" s="4"/>
      <c r="SNW53" s="4"/>
      <c r="SNX53" s="4"/>
      <c r="SNY53" s="4"/>
      <c r="SNZ53" s="4"/>
      <c r="SOA53" s="4"/>
      <c r="SOB53" s="4"/>
      <c r="SOC53" s="4"/>
      <c r="SOD53" s="4"/>
      <c r="SOE53" s="4"/>
      <c r="SOF53" s="4"/>
      <c r="SOG53" s="4"/>
      <c r="SOH53" s="4"/>
      <c r="SOI53" s="4"/>
      <c r="SOJ53" s="4"/>
      <c r="SOK53" s="4"/>
      <c r="SOL53" s="4"/>
      <c r="SOM53" s="4"/>
      <c r="SON53" s="4"/>
      <c r="SOO53" s="4"/>
      <c r="SOP53" s="4"/>
      <c r="SOQ53" s="4"/>
      <c r="SOR53" s="4"/>
      <c r="SOS53" s="4"/>
      <c r="SOT53" s="4"/>
      <c r="SOU53" s="4"/>
      <c r="SOV53" s="4"/>
      <c r="SOW53" s="4"/>
      <c r="SOX53" s="4"/>
      <c r="SOY53" s="4"/>
      <c r="SOZ53" s="4"/>
      <c r="SPA53" s="4"/>
      <c r="SPB53" s="4"/>
      <c r="SPC53" s="4"/>
      <c r="SPD53" s="4"/>
      <c r="SPE53" s="4"/>
      <c r="SPF53" s="4"/>
      <c r="SPG53" s="4"/>
      <c r="SPH53" s="4"/>
      <c r="SPI53" s="4"/>
      <c r="SPJ53" s="4"/>
      <c r="SPK53" s="4"/>
      <c r="SPL53" s="4"/>
      <c r="SPM53" s="4"/>
      <c r="SPN53" s="4"/>
      <c r="SPO53" s="4"/>
      <c r="SPP53" s="4"/>
      <c r="SPQ53" s="4"/>
      <c r="SPR53" s="4"/>
      <c r="SPS53" s="4"/>
      <c r="SPT53" s="4"/>
      <c r="SPU53" s="4"/>
      <c r="SPV53" s="4"/>
      <c r="SPW53" s="4"/>
      <c r="SPX53" s="4"/>
      <c r="SPY53" s="4"/>
      <c r="SPZ53" s="4"/>
      <c r="SQA53" s="4"/>
      <c r="SQB53" s="4"/>
      <c r="SQC53" s="4"/>
      <c r="SQD53" s="4"/>
      <c r="SQE53" s="4"/>
      <c r="SQF53" s="4"/>
      <c r="SQG53" s="4"/>
      <c r="SQH53" s="4"/>
      <c r="SQI53" s="4"/>
      <c r="SQJ53" s="4"/>
      <c r="SQK53" s="4"/>
      <c r="SQL53" s="4"/>
      <c r="SQM53" s="4"/>
      <c r="SQN53" s="4"/>
      <c r="SQO53" s="4"/>
      <c r="SQP53" s="4"/>
      <c r="SQQ53" s="4"/>
      <c r="SQR53" s="4"/>
      <c r="SQS53" s="4"/>
      <c r="SQT53" s="4"/>
      <c r="SQU53" s="4"/>
      <c r="SQV53" s="4"/>
      <c r="SQW53" s="4"/>
      <c r="SQX53" s="4"/>
      <c r="SQY53" s="4"/>
      <c r="SQZ53" s="4"/>
      <c r="SRA53" s="4"/>
      <c r="SRB53" s="4"/>
      <c r="SRC53" s="4"/>
      <c r="SRD53" s="4"/>
      <c r="SRE53" s="4"/>
      <c r="SRF53" s="4"/>
      <c r="SRG53" s="4"/>
      <c r="SRH53" s="4"/>
      <c r="SRI53" s="4"/>
      <c r="SRJ53" s="4"/>
      <c r="SRK53" s="4"/>
      <c r="SRL53" s="4"/>
      <c r="SRM53" s="4"/>
      <c r="SRN53" s="4"/>
      <c r="SRO53" s="4"/>
      <c r="SRP53" s="4"/>
      <c r="SRQ53" s="4"/>
      <c r="SRR53" s="4"/>
      <c r="SRS53" s="4"/>
      <c r="SRT53" s="4"/>
      <c r="SRU53" s="4"/>
      <c r="SRV53" s="4"/>
      <c r="SRW53" s="4"/>
      <c r="SRX53" s="4"/>
      <c r="SRY53" s="4"/>
      <c r="SRZ53" s="4"/>
      <c r="SSA53" s="4"/>
      <c r="SSB53" s="4"/>
      <c r="SSC53" s="4"/>
      <c r="SSD53" s="4"/>
      <c r="SSE53" s="4"/>
      <c r="SSF53" s="4"/>
      <c r="SSG53" s="4"/>
      <c r="SSH53" s="4"/>
      <c r="SSI53" s="4"/>
      <c r="SSJ53" s="4"/>
      <c r="SSK53" s="4"/>
      <c r="SSL53" s="4"/>
      <c r="SSM53" s="4"/>
      <c r="SSN53" s="4"/>
      <c r="SSO53" s="4"/>
      <c r="SSP53" s="4"/>
      <c r="SSQ53" s="4"/>
      <c r="SSR53" s="4"/>
      <c r="SSS53" s="4"/>
      <c r="SST53" s="4"/>
      <c r="SSU53" s="4"/>
      <c r="SSV53" s="4"/>
      <c r="SSW53" s="4"/>
      <c r="SSX53" s="4"/>
      <c r="SSY53" s="4"/>
      <c r="SSZ53" s="4"/>
      <c r="STA53" s="4"/>
      <c r="STB53" s="4"/>
      <c r="STC53" s="4"/>
      <c r="STD53" s="4"/>
      <c r="STE53" s="4"/>
      <c r="STF53" s="4"/>
      <c r="STG53" s="4"/>
      <c r="STH53" s="4"/>
      <c r="STI53" s="4"/>
      <c r="STJ53" s="4"/>
      <c r="STK53" s="4"/>
      <c r="STL53" s="4"/>
      <c r="STM53" s="4"/>
      <c r="STN53" s="4"/>
      <c r="STO53" s="4"/>
      <c r="STP53" s="4"/>
      <c r="STQ53" s="4"/>
      <c r="STR53" s="4"/>
      <c r="STS53" s="4"/>
      <c r="STT53" s="4"/>
      <c r="STU53" s="4"/>
      <c r="STV53" s="4"/>
      <c r="STW53" s="4"/>
      <c r="STX53" s="4"/>
      <c r="STY53" s="4"/>
      <c r="STZ53" s="4"/>
      <c r="SUA53" s="4"/>
      <c r="SUB53" s="4"/>
      <c r="SUC53" s="4"/>
      <c r="SUD53" s="4"/>
      <c r="SUE53" s="4"/>
      <c r="SUF53" s="4"/>
      <c r="SUG53" s="4"/>
      <c r="SUH53" s="4"/>
      <c r="SUI53" s="4"/>
      <c r="SUJ53" s="4"/>
      <c r="SUK53" s="4"/>
      <c r="SUL53" s="4"/>
      <c r="SUM53" s="4"/>
      <c r="SUN53" s="4"/>
      <c r="SUO53" s="4"/>
      <c r="SUP53" s="4"/>
      <c r="SUQ53" s="4"/>
      <c r="SUR53" s="4"/>
      <c r="SUS53" s="4"/>
      <c r="SUT53" s="4"/>
      <c r="SUU53" s="4"/>
      <c r="SUV53" s="4"/>
      <c r="SUW53" s="4"/>
      <c r="SUX53" s="4"/>
      <c r="SUY53" s="4"/>
      <c r="SUZ53" s="4"/>
      <c r="SVA53" s="4"/>
      <c r="SVB53" s="4"/>
      <c r="SVC53" s="4"/>
      <c r="SVD53" s="4"/>
      <c r="SVE53" s="4"/>
      <c r="SVF53" s="4"/>
      <c r="SVG53" s="4"/>
      <c r="SVH53" s="4"/>
      <c r="SVI53" s="4"/>
      <c r="SVJ53" s="4"/>
      <c r="SVK53" s="4"/>
      <c r="SVL53" s="4"/>
      <c r="SVM53" s="4"/>
      <c r="SVN53" s="4"/>
      <c r="SVO53" s="4"/>
      <c r="SVP53" s="4"/>
      <c r="SVQ53" s="4"/>
      <c r="SVR53" s="4"/>
      <c r="SVS53" s="4"/>
      <c r="SVT53" s="4"/>
      <c r="SVU53" s="4"/>
      <c r="SVV53" s="4"/>
      <c r="SVW53" s="4"/>
      <c r="SVX53" s="4"/>
      <c r="SVY53" s="4"/>
      <c r="SVZ53" s="4"/>
      <c r="SWA53" s="4"/>
      <c r="SWB53" s="4"/>
      <c r="SWC53" s="4"/>
      <c r="SWD53" s="4"/>
      <c r="SWE53" s="4"/>
      <c r="SWF53" s="4"/>
      <c r="SWG53" s="4"/>
      <c r="SWH53" s="4"/>
      <c r="SWI53" s="4"/>
      <c r="SWJ53" s="4"/>
      <c r="SWK53" s="4"/>
      <c r="SWL53" s="4"/>
      <c r="SWM53" s="4"/>
      <c r="SWN53" s="4"/>
      <c r="SWO53" s="4"/>
      <c r="SWP53" s="4"/>
      <c r="SWQ53" s="4"/>
      <c r="SWR53" s="4"/>
      <c r="SWS53" s="4"/>
      <c r="SWT53" s="4"/>
      <c r="SWU53" s="4"/>
      <c r="SWV53" s="4"/>
      <c r="SWW53" s="4"/>
      <c r="SWX53" s="4"/>
      <c r="SWY53" s="4"/>
      <c r="SWZ53" s="4"/>
      <c r="SXA53" s="4"/>
      <c r="SXB53" s="4"/>
      <c r="SXC53" s="4"/>
      <c r="SXD53" s="4"/>
      <c r="SXE53" s="4"/>
      <c r="SXF53" s="4"/>
      <c r="SXG53" s="4"/>
      <c r="SXH53" s="4"/>
      <c r="SXI53" s="4"/>
      <c r="SXJ53" s="4"/>
      <c r="SXK53" s="4"/>
      <c r="SXL53" s="4"/>
      <c r="SXM53" s="4"/>
      <c r="SXN53" s="4"/>
      <c r="SXO53" s="4"/>
      <c r="SXP53" s="4"/>
      <c r="SXQ53" s="4"/>
      <c r="SXR53" s="4"/>
      <c r="SXS53" s="4"/>
      <c r="SXT53" s="4"/>
      <c r="SXU53" s="4"/>
      <c r="SXV53" s="4"/>
      <c r="SXW53" s="4"/>
      <c r="SXX53" s="4"/>
      <c r="SXY53" s="4"/>
      <c r="SXZ53" s="4"/>
      <c r="SYA53" s="4"/>
      <c r="SYB53" s="4"/>
      <c r="SYC53" s="4"/>
      <c r="SYD53" s="4"/>
      <c r="SYE53" s="4"/>
      <c r="SYF53" s="4"/>
      <c r="SYG53" s="4"/>
      <c r="SYH53" s="4"/>
      <c r="SYI53" s="4"/>
      <c r="SYJ53" s="4"/>
      <c r="SYK53" s="4"/>
      <c r="SYL53" s="4"/>
      <c r="SYM53" s="4"/>
      <c r="SYN53" s="4"/>
      <c r="SYO53" s="4"/>
      <c r="SYP53" s="4"/>
      <c r="SYQ53" s="4"/>
      <c r="SYR53" s="4"/>
      <c r="SYS53" s="4"/>
      <c r="SYT53" s="4"/>
      <c r="SYU53" s="4"/>
      <c r="SYV53" s="4"/>
      <c r="SYW53" s="4"/>
      <c r="SYX53" s="4"/>
      <c r="SYY53" s="4"/>
      <c r="SYZ53" s="4"/>
      <c r="SZA53" s="4"/>
      <c r="SZB53" s="4"/>
      <c r="SZC53" s="4"/>
      <c r="SZD53" s="4"/>
      <c r="SZE53" s="4"/>
      <c r="SZF53" s="4"/>
      <c r="SZG53" s="4"/>
      <c r="SZH53" s="4"/>
      <c r="SZI53" s="4"/>
      <c r="SZJ53" s="4"/>
      <c r="SZK53" s="4"/>
      <c r="SZL53" s="4"/>
      <c r="SZM53" s="4"/>
      <c r="SZN53" s="4"/>
      <c r="SZO53" s="4"/>
      <c r="SZP53" s="4"/>
      <c r="SZQ53" s="4"/>
      <c r="SZR53" s="4"/>
      <c r="SZS53" s="4"/>
      <c r="SZT53" s="4"/>
      <c r="SZU53" s="4"/>
      <c r="SZV53" s="4"/>
      <c r="SZW53" s="4"/>
      <c r="SZX53" s="4"/>
      <c r="SZY53" s="4"/>
      <c r="SZZ53" s="4"/>
      <c r="TAA53" s="4"/>
      <c r="TAB53" s="4"/>
      <c r="TAC53" s="4"/>
      <c r="TAD53" s="4"/>
      <c r="TAE53" s="4"/>
      <c r="TAF53" s="4"/>
      <c r="TAG53" s="4"/>
      <c r="TAH53" s="4"/>
      <c r="TAI53" s="4"/>
      <c r="TAJ53" s="4"/>
      <c r="TAK53" s="4"/>
      <c r="TAL53" s="4"/>
      <c r="TAM53" s="4"/>
      <c r="TAN53" s="4"/>
      <c r="TAO53" s="4"/>
      <c r="TAP53" s="4"/>
      <c r="TAQ53" s="4"/>
      <c r="TAR53" s="4"/>
      <c r="TAS53" s="4"/>
      <c r="TAT53" s="4"/>
      <c r="TAU53" s="4"/>
      <c r="TAV53" s="4"/>
      <c r="TAW53" s="4"/>
      <c r="TAX53" s="4"/>
      <c r="TAY53" s="4"/>
      <c r="TAZ53" s="4"/>
      <c r="TBA53" s="4"/>
      <c r="TBB53" s="4"/>
      <c r="TBC53" s="4"/>
      <c r="TBD53" s="4"/>
      <c r="TBE53" s="4"/>
      <c r="TBF53" s="4"/>
      <c r="TBG53" s="4"/>
      <c r="TBH53" s="4"/>
      <c r="TBI53" s="4"/>
      <c r="TBJ53" s="4"/>
      <c r="TBK53" s="4"/>
      <c r="TBL53" s="4"/>
      <c r="TBM53" s="4"/>
      <c r="TBN53" s="4"/>
      <c r="TBO53" s="4"/>
      <c r="TBP53" s="4"/>
      <c r="TBQ53" s="4"/>
      <c r="TBR53" s="4"/>
      <c r="TBS53" s="4"/>
      <c r="TBT53" s="4"/>
      <c r="TBU53" s="4"/>
      <c r="TBV53" s="4"/>
      <c r="TBW53" s="4"/>
      <c r="TBX53" s="4"/>
      <c r="TBY53" s="4"/>
      <c r="TBZ53" s="4"/>
      <c r="TCA53" s="4"/>
      <c r="TCB53" s="4"/>
      <c r="TCC53" s="4"/>
      <c r="TCD53" s="4"/>
      <c r="TCE53" s="4"/>
      <c r="TCF53" s="4"/>
      <c r="TCG53" s="4"/>
      <c r="TCH53" s="4"/>
      <c r="TCI53" s="4"/>
      <c r="TCJ53" s="4"/>
      <c r="TCK53" s="4"/>
      <c r="TCL53" s="4"/>
      <c r="TCM53" s="4"/>
      <c r="TCN53" s="4"/>
      <c r="TCO53" s="4"/>
      <c r="TCP53" s="4"/>
      <c r="TCQ53" s="4"/>
      <c r="TCR53" s="4"/>
      <c r="TCS53" s="4"/>
      <c r="TCT53" s="4"/>
      <c r="TCU53" s="4"/>
      <c r="TCV53" s="4"/>
      <c r="TCW53" s="4"/>
      <c r="TCX53" s="4"/>
      <c r="TCY53" s="4"/>
      <c r="TCZ53" s="4"/>
      <c r="TDA53" s="4"/>
      <c r="TDB53" s="4"/>
      <c r="TDC53" s="4"/>
      <c r="TDD53" s="4"/>
      <c r="TDE53" s="4"/>
      <c r="TDF53" s="4"/>
      <c r="TDG53" s="4"/>
      <c r="TDH53" s="4"/>
      <c r="TDI53" s="4"/>
      <c r="TDJ53" s="4"/>
      <c r="TDK53" s="4"/>
      <c r="TDL53" s="4"/>
      <c r="TDM53" s="4"/>
      <c r="TDN53" s="4"/>
      <c r="TDO53" s="4"/>
      <c r="TDP53" s="4"/>
      <c r="TDQ53" s="4"/>
      <c r="TDR53" s="4"/>
      <c r="TDS53" s="4"/>
      <c r="TDT53" s="4"/>
      <c r="TDU53" s="4"/>
      <c r="TDV53" s="4"/>
      <c r="TDW53" s="4"/>
      <c r="TDX53" s="4"/>
      <c r="TDY53" s="4"/>
      <c r="TDZ53" s="4"/>
      <c r="TEA53" s="4"/>
      <c r="TEB53" s="4"/>
      <c r="TEC53" s="4"/>
      <c r="TED53" s="4"/>
      <c r="TEE53" s="4"/>
      <c r="TEF53" s="4"/>
      <c r="TEG53" s="4"/>
      <c r="TEH53" s="4"/>
      <c r="TEI53" s="4"/>
      <c r="TEJ53" s="4"/>
      <c r="TEK53" s="4"/>
      <c r="TEL53" s="4"/>
      <c r="TEM53" s="4"/>
      <c r="TEN53" s="4"/>
      <c r="TEO53" s="4"/>
      <c r="TEP53" s="4"/>
      <c r="TEQ53" s="4"/>
      <c r="TER53" s="4"/>
      <c r="TES53" s="4"/>
      <c r="TET53" s="4"/>
      <c r="TEU53" s="4"/>
      <c r="TEV53" s="4"/>
      <c r="TEW53" s="4"/>
      <c r="TEX53" s="4"/>
      <c r="TEY53" s="4"/>
      <c r="TEZ53" s="4"/>
      <c r="TFA53" s="4"/>
      <c r="TFB53" s="4"/>
      <c r="TFC53" s="4"/>
      <c r="TFD53" s="4"/>
      <c r="TFE53" s="4"/>
      <c r="TFF53" s="4"/>
      <c r="TFG53" s="4"/>
      <c r="TFH53" s="4"/>
      <c r="TFI53" s="4"/>
      <c r="TFJ53" s="4"/>
      <c r="TFK53" s="4"/>
      <c r="TFL53" s="4"/>
      <c r="TFM53" s="4"/>
      <c r="TFN53" s="4"/>
      <c r="TFO53" s="4"/>
      <c r="TFP53" s="4"/>
      <c r="TFQ53" s="4"/>
      <c r="TFR53" s="4"/>
      <c r="TFS53" s="4"/>
      <c r="TFT53" s="4"/>
      <c r="TFU53" s="4"/>
      <c r="TFV53" s="4"/>
      <c r="TFW53" s="4"/>
      <c r="TFX53" s="4"/>
      <c r="TFY53" s="4"/>
      <c r="TFZ53" s="4"/>
      <c r="TGA53" s="4"/>
      <c r="TGB53" s="4"/>
      <c r="TGC53" s="4"/>
      <c r="TGD53" s="4"/>
      <c r="TGE53" s="4"/>
      <c r="TGF53" s="4"/>
      <c r="TGG53" s="4"/>
      <c r="TGH53" s="4"/>
      <c r="TGI53" s="4"/>
      <c r="TGJ53" s="4"/>
      <c r="TGK53" s="4"/>
      <c r="TGL53" s="4"/>
      <c r="TGM53" s="4"/>
      <c r="TGN53" s="4"/>
      <c r="TGO53" s="4"/>
      <c r="TGP53" s="4"/>
      <c r="TGQ53" s="4"/>
      <c r="TGR53" s="4"/>
      <c r="TGS53" s="4"/>
      <c r="TGT53" s="4"/>
      <c r="TGU53" s="4"/>
      <c r="TGV53" s="4"/>
      <c r="TGW53" s="4"/>
      <c r="TGX53" s="4"/>
      <c r="TGY53" s="4"/>
      <c r="TGZ53" s="4"/>
      <c r="THA53" s="4"/>
      <c r="THB53" s="4"/>
      <c r="THC53" s="4"/>
      <c r="THD53" s="4"/>
      <c r="THE53" s="4"/>
      <c r="THF53" s="4"/>
      <c r="THG53" s="4"/>
      <c r="THH53" s="4"/>
      <c r="THI53" s="4"/>
      <c r="THJ53" s="4"/>
      <c r="THK53" s="4"/>
      <c r="THL53" s="4"/>
      <c r="THM53" s="4"/>
      <c r="THN53" s="4"/>
      <c r="THO53" s="4"/>
      <c r="THP53" s="4"/>
      <c r="THQ53" s="4"/>
      <c r="THR53" s="4"/>
      <c r="THS53" s="4"/>
      <c r="THT53" s="4"/>
      <c r="THU53" s="4"/>
      <c r="THV53" s="4"/>
      <c r="THW53" s="4"/>
      <c r="THX53" s="4"/>
      <c r="THY53" s="4"/>
      <c r="THZ53" s="4"/>
      <c r="TIA53" s="4"/>
      <c r="TIB53" s="4"/>
      <c r="TIC53" s="4"/>
      <c r="TID53" s="4"/>
      <c r="TIE53" s="4"/>
      <c r="TIF53" s="4"/>
      <c r="TIG53" s="4"/>
      <c r="TIH53" s="4"/>
      <c r="TII53" s="4"/>
      <c r="TIJ53" s="4"/>
      <c r="TIK53" s="4"/>
      <c r="TIL53" s="4"/>
      <c r="TIM53" s="4"/>
      <c r="TIN53" s="4"/>
      <c r="TIO53" s="4"/>
      <c r="TIP53" s="4"/>
      <c r="TIQ53" s="4"/>
      <c r="TIR53" s="4"/>
      <c r="TIS53" s="4"/>
      <c r="TIT53" s="4"/>
      <c r="TIU53" s="4"/>
      <c r="TIV53" s="4"/>
      <c r="TIW53" s="4"/>
      <c r="TIX53" s="4"/>
      <c r="TIY53" s="4"/>
      <c r="TIZ53" s="4"/>
      <c r="TJA53" s="4"/>
      <c r="TJB53" s="4"/>
      <c r="TJC53" s="4"/>
      <c r="TJD53" s="4"/>
      <c r="TJE53" s="4"/>
      <c r="TJF53" s="4"/>
      <c r="TJG53" s="4"/>
      <c r="TJH53" s="4"/>
      <c r="TJI53" s="4"/>
      <c r="TJJ53" s="4"/>
      <c r="TJK53" s="4"/>
      <c r="TJL53" s="4"/>
      <c r="TJM53" s="4"/>
      <c r="TJN53" s="4"/>
      <c r="TJO53" s="4"/>
      <c r="TJP53" s="4"/>
      <c r="TJQ53" s="4"/>
      <c r="TJR53" s="4"/>
      <c r="TJS53" s="4"/>
      <c r="TJT53" s="4"/>
      <c r="TJU53" s="4"/>
      <c r="TJV53" s="4"/>
      <c r="TJW53" s="4"/>
      <c r="TJX53" s="4"/>
      <c r="TJY53" s="4"/>
      <c r="TJZ53" s="4"/>
      <c r="TKA53" s="4"/>
      <c r="TKB53" s="4"/>
      <c r="TKC53" s="4"/>
      <c r="TKD53" s="4"/>
      <c r="TKE53" s="4"/>
      <c r="TKF53" s="4"/>
      <c r="TKG53" s="4"/>
      <c r="TKH53" s="4"/>
      <c r="TKI53" s="4"/>
      <c r="TKJ53" s="4"/>
      <c r="TKK53" s="4"/>
      <c r="TKL53" s="4"/>
      <c r="TKM53" s="4"/>
      <c r="TKN53" s="4"/>
      <c r="TKO53" s="4"/>
      <c r="TKP53" s="4"/>
      <c r="TKQ53" s="4"/>
      <c r="TKR53" s="4"/>
      <c r="TKS53" s="4"/>
      <c r="TKT53" s="4"/>
      <c r="TKU53" s="4"/>
      <c r="TKV53" s="4"/>
      <c r="TKW53" s="4"/>
      <c r="TKX53" s="4"/>
      <c r="TKY53" s="4"/>
      <c r="TKZ53" s="4"/>
      <c r="TLA53" s="4"/>
      <c r="TLB53" s="4"/>
      <c r="TLC53" s="4"/>
      <c r="TLD53" s="4"/>
      <c r="TLE53" s="4"/>
      <c r="TLF53" s="4"/>
      <c r="TLG53" s="4"/>
      <c r="TLH53" s="4"/>
      <c r="TLI53" s="4"/>
      <c r="TLJ53" s="4"/>
      <c r="TLK53" s="4"/>
      <c r="TLL53" s="4"/>
      <c r="TLM53" s="4"/>
      <c r="TLN53" s="4"/>
      <c r="TLO53" s="4"/>
      <c r="TLP53" s="4"/>
      <c r="TLQ53" s="4"/>
      <c r="TLR53" s="4"/>
      <c r="TLS53" s="4"/>
      <c r="TLT53" s="4"/>
      <c r="TLU53" s="4"/>
      <c r="TLV53" s="4"/>
      <c r="TLW53" s="4"/>
      <c r="TLX53" s="4"/>
      <c r="TLY53" s="4"/>
      <c r="TLZ53" s="4"/>
      <c r="TMA53" s="4"/>
      <c r="TMB53" s="4"/>
      <c r="TMC53" s="4"/>
      <c r="TMD53" s="4"/>
      <c r="TME53" s="4"/>
      <c r="TMF53" s="4"/>
      <c r="TMG53" s="4"/>
      <c r="TMH53" s="4"/>
      <c r="TMI53" s="4"/>
      <c r="TMJ53" s="4"/>
      <c r="TMK53" s="4"/>
      <c r="TML53" s="4"/>
      <c r="TMM53" s="4"/>
      <c r="TMN53" s="4"/>
      <c r="TMO53" s="4"/>
      <c r="TMP53" s="4"/>
      <c r="TMQ53" s="4"/>
      <c r="TMR53" s="4"/>
      <c r="TMS53" s="4"/>
      <c r="TMT53" s="4"/>
      <c r="TMU53" s="4"/>
      <c r="TMV53" s="4"/>
      <c r="TMW53" s="4"/>
      <c r="TMX53" s="4"/>
      <c r="TMY53" s="4"/>
      <c r="TMZ53" s="4"/>
      <c r="TNA53" s="4"/>
      <c r="TNB53" s="4"/>
      <c r="TNC53" s="4"/>
      <c r="TND53" s="4"/>
      <c r="TNE53" s="4"/>
      <c r="TNF53" s="4"/>
      <c r="TNG53" s="4"/>
      <c r="TNH53" s="4"/>
      <c r="TNI53" s="4"/>
      <c r="TNJ53" s="4"/>
      <c r="TNK53" s="4"/>
      <c r="TNL53" s="4"/>
      <c r="TNM53" s="4"/>
      <c r="TNN53" s="4"/>
      <c r="TNO53" s="4"/>
      <c r="TNP53" s="4"/>
      <c r="TNQ53" s="4"/>
      <c r="TNR53" s="4"/>
      <c r="TNS53" s="4"/>
      <c r="TNT53" s="4"/>
      <c r="TNU53" s="4"/>
      <c r="TNV53" s="4"/>
      <c r="TNW53" s="4"/>
      <c r="TNX53" s="4"/>
      <c r="TNY53" s="4"/>
      <c r="TNZ53" s="4"/>
      <c r="TOA53" s="4"/>
      <c r="TOB53" s="4"/>
      <c r="TOC53" s="4"/>
      <c r="TOD53" s="4"/>
      <c r="TOE53" s="4"/>
      <c r="TOF53" s="4"/>
      <c r="TOG53" s="4"/>
      <c r="TOH53" s="4"/>
      <c r="TOI53" s="4"/>
      <c r="TOJ53" s="4"/>
      <c r="TOK53" s="4"/>
      <c r="TOL53" s="4"/>
      <c r="TOM53" s="4"/>
      <c r="TON53" s="4"/>
      <c r="TOO53" s="4"/>
      <c r="TOP53" s="4"/>
      <c r="TOQ53" s="4"/>
      <c r="TOR53" s="4"/>
      <c r="TOS53" s="4"/>
      <c r="TOT53" s="4"/>
      <c r="TOU53" s="4"/>
      <c r="TOV53" s="4"/>
      <c r="TOW53" s="4"/>
      <c r="TOX53" s="4"/>
      <c r="TOY53" s="4"/>
      <c r="TOZ53" s="4"/>
      <c r="TPA53" s="4"/>
      <c r="TPB53" s="4"/>
      <c r="TPC53" s="4"/>
      <c r="TPD53" s="4"/>
      <c r="TPE53" s="4"/>
      <c r="TPF53" s="4"/>
      <c r="TPG53" s="4"/>
      <c r="TPH53" s="4"/>
      <c r="TPI53" s="4"/>
      <c r="TPJ53" s="4"/>
      <c r="TPK53" s="4"/>
      <c r="TPL53" s="4"/>
      <c r="TPM53" s="4"/>
      <c r="TPN53" s="4"/>
      <c r="TPO53" s="4"/>
      <c r="TPP53" s="4"/>
      <c r="TPQ53" s="4"/>
      <c r="TPR53" s="4"/>
      <c r="TPS53" s="4"/>
      <c r="TPT53" s="4"/>
      <c r="TPU53" s="4"/>
      <c r="TPV53" s="4"/>
      <c r="TPW53" s="4"/>
      <c r="TPX53" s="4"/>
      <c r="TPY53" s="4"/>
      <c r="TPZ53" s="4"/>
      <c r="TQA53" s="4"/>
      <c r="TQB53" s="4"/>
      <c r="TQC53" s="4"/>
      <c r="TQD53" s="4"/>
      <c r="TQE53" s="4"/>
      <c r="TQF53" s="4"/>
      <c r="TQG53" s="4"/>
      <c r="TQH53" s="4"/>
      <c r="TQI53" s="4"/>
      <c r="TQJ53" s="4"/>
      <c r="TQK53" s="4"/>
      <c r="TQL53" s="4"/>
      <c r="TQM53" s="4"/>
      <c r="TQN53" s="4"/>
      <c r="TQO53" s="4"/>
      <c r="TQP53" s="4"/>
      <c r="TQQ53" s="4"/>
      <c r="TQR53" s="4"/>
      <c r="TQS53" s="4"/>
      <c r="TQT53" s="4"/>
      <c r="TQU53" s="4"/>
      <c r="TQV53" s="4"/>
      <c r="TQW53" s="4"/>
      <c r="TQX53" s="4"/>
      <c r="TQY53" s="4"/>
      <c r="TQZ53" s="4"/>
      <c r="TRA53" s="4"/>
      <c r="TRB53" s="4"/>
      <c r="TRC53" s="4"/>
      <c r="TRD53" s="4"/>
      <c r="TRE53" s="4"/>
      <c r="TRF53" s="4"/>
      <c r="TRG53" s="4"/>
      <c r="TRH53" s="4"/>
      <c r="TRI53" s="4"/>
      <c r="TRJ53" s="4"/>
      <c r="TRK53" s="4"/>
      <c r="TRL53" s="4"/>
      <c r="TRM53" s="4"/>
      <c r="TRN53" s="4"/>
      <c r="TRO53" s="4"/>
      <c r="TRP53" s="4"/>
      <c r="TRQ53" s="4"/>
      <c r="TRR53" s="4"/>
      <c r="TRS53" s="4"/>
      <c r="TRT53" s="4"/>
      <c r="TRU53" s="4"/>
      <c r="TRV53" s="4"/>
      <c r="TRW53" s="4"/>
      <c r="TRX53" s="4"/>
      <c r="TRY53" s="4"/>
      <c r="TRZ53" s="4"/>
      <c r="TSA53" s="4"/>
      <c r="TSB53" s="4"/>
      <c r="TSC53" s="4"/>
      <c r="TSD53" s="4"/>
      <c r="TSE53" s="4"/>
      <c r="TSF53" s="4"/>
      <c r="TSG53" s="4"/>
      <c r="TSH53" s="4"/>
      <c r="TSI53" s="4"/>
      <c r="TSJ53" s="4"/>
      <c r="TSK53" s="4"/>
      <c r="TSL53" s="4"/>
      <c r="TSM53" s="4"/>
      <c r="TSN53" s="4"/>
      <c r="TSO53" s="4"/>
      <c r="TSP53" s="4"/>
      <c r="TSQ53" s="4"/>
      <c r="TSR53" s="4"/>
      <c r="TSS53" s="4"/>
      <c r="TST53" s="4"/>
      <c r="TSU53" s="4"/>
      <c r="TSV53" s="4"/>
      <c r="TSW53" s="4"/>
      <c r="TSX53" s="4"/>
      <c r="TSY53" s="4"/>
      <c r="TSZ53" s="4"/>
      <c r="TTA53" s="4"/>
      <c r="TTB53" s="4"/>
      <c r="TTC53" s="4"/>
      <c r="TTD53" s="4"/>
      <c r="TTE53" s="4"/>
      <c r="TTF53" s="4"/>
      <c r="TTG53" s="4"/>
      <c r="TTH53" s="4"/>
      <c r="TTI53" s="4"/>
      <c r="TTJ53" s="4"/>
      <c r="TTK53" s="4"/>
      <c r="TTL53" s="4"/>
      <c r="TTM53" s="4"/>
      <c r="TTN53" s="4"/>
      <c r="TTO53" s="4"/>
      <c r="TTP53" s="4"/>
      <c r="TTQ53" s="4"/>
      <c r="TTR53" s="4"/>
      <c r="TTS53" s="4"/>
      <c r="TTT53" s="4"/>
      <c r="TTU53" s="4"/>
      <c r="TTV53" s="4"/>
      <c r="TTW53" s="4"/>
      <c r="TTX53" s="4"/>
      <c r="TTY53" s="4"/>
      <c r="TTZ53" s="4"/>
      <c r="TUA53" s="4"/>
      <c r="TUB53" s="4"/>
      <c r="TUC53" s="4"/>
      <c r="TUD53" s="4"/>
      <c r="TUE53" s="4"/>
      <c r="TUF53" s="4"/>
      <c r="TUG53" s="4"/>
      <c r="TUH53" s="4"/>
      <c r="TUI53" s="4"/>
      <c r="TUJ53" s="4"/>
      <c r="TUK53" s="4"/>
      <c r="TUL53" s="4"/>
      <c r="TUM53" s="4"/>
      <c r="TUN53" s="4"/>
      <c r="TUO53" s="4"/>
      <c r="TUP53" s="4"/>
      <c r="TUQ53" s="4"/>
      <c r="TUR53" s="4"/>
      <c r="TUS53" s="4"/>
      <c r="TUT53" s="4"/>
      <c r="TUU53" s="4"/>
      <c r="TUV53" s="4"/>
      <c r="TUW53" s="4"/>
      <c r="TUX53" s="4"/>
      <c r="TUY53" s="4"/>
      <c r="TUZ53" s="4"/>
      <c r="TVA53" s="4"/>
      <c r="TVB53" s="4"/>
      <c r="TVC53" s="4"/>
      <c r="TVD53" s="4"/>
      <c r="TVE53" s="4"/>
      <c r="TVF53" s="4"/>
      <c r="TVG53" s="4"/>
      <c r="TVH53" s="4"/>
      <c r="TVI53" s="4"/>
      <c r="TVJ53" s="4"/>
      <c r="TVK53" s="4"/>
      <c r="TVL53" s="4"/>
      <c r="TVM53" s="4"/>
      <c r="TVN53" s="4"/>
      <c r="TVO53" s="4"/>
      <c r="TVP53" s="4"/>
      <c r="TVQ53" s="4"/>
      <c r="TVR53" s="4"/>
      <c r="TVS53" s="4"/>
      <c r="TVT53" s="4"/>
      <c r="TVU53" s="4"/>
      <c r="TVV53" s="4"/>
      <c r="TVW53" s="4"/>
      <c r="TVX53" s="4"/>
      <c r="TVY53" s="4"/>
      <c r="TVZ53" s="4"/>
      <c r="TWA53" s="4"/>
      <c r="TWB53" s="4"/>
      <c r="TWC53" s="4"/>
      <c r="TWD53" s="4"/>
      <c r="TWE53" s="4"/>
      <c r="TWF53" s="4"/>
      <c r="TWG53" s="4"/>
      <c r="TWH53" s="4"/>
      <c r="TWI53" s="4"/>
      <c r="TWJ53" s="4"/>
      <c r="TWK53" s="4"/>
      <c r="TWL53" s="4"/>
      <c r="TWM53" s="4"/>
      <c r="TWN53" s="4"/>
      <c r="TWO53" s="4"/>
      <c r="TWP53" s="4"/>
      <c r="TWQ53" s="4"/>
      <c r="TWR53" s="4"/>
      <c r="TWS53" s="4"/>
      <c r="TWT53" s="4"/>
      <c r="TWU53" s="4"/>
      <c r="TWV53" s="4"/>
      <c r="TWW53" s="4"/>
      <c r="TWX53" s="4"/>
      <c r="TWY53" s="4"/>
      <c r="TWZ53" s="4"/>
      <c r="TXA53" s="4"/>
      <c r="TXB53" s="4"/>
      <c r="TXC53" s="4"/>
      <c r="TXD53" s="4"/>
      <c r="TXE53" s="4"/>
      <c r="TXF53" s="4"/>
      <c r="TXG53" s="4"/>
      <c r="TXH53" s="4"/>
      <c r="TXI53" s="4"/>
      <c r="TXJ53" s="4"/>
      <c r="TXK53" s="4"/>
      <c r="TXL53" s="4"/>
      <c r="TXM53" s="4"/>
      <c r="TXN53" s="4"/>
      <c r="TXO53" s="4"/>
      <c r="TXP53" s="4"/>
      <c r="TXQ53" s="4"/>
      <c r="TXR53" s="4"/>
      <c r="TXS53" s="4"/>
      <c r="TXT53" s="4"/>
      <c r="TXU53" s="4"/>
      <c r="TXV53" s="4"/>
      <c r="TXW53" s="4"/>
      <c r="TXX53" s="4"/>
      <c r="TXY53" s="4"/>
      <c r="TXZ53" s="4"/>
      <c r="TYA53" s="4"/>
      <c r="TYB53" s="4"/>
      <c r="TYC53" s="4"/>
      <c r="TYD53" s="4"/>
      <c r="TYE53" s="4"/>
      <c r="TYF53" s="4"/>
      <c r="TYG53" s="4"/>
      <c r="TYH53" s="4"/>
      <c r="TYI53" s="4"/>
      <c r="TYJ53" s="4"/>
      <c r="TYK53" s="4"/>
      <c r="TYL53" s="4"/>
      <c r="TYM53" s="4"/>
      <c r="TYN53" s="4"/>
      <c r="TYO53" s="4"/>
      <c r="TYP53" s="4"/>
      <c r="TYQ53" s="4"/>
      <c r="TYR53" s="4"/>
      <c r="TYS53" s="4"/>
      <c r="TYT53" s="4"/>
      <c r="TYU53" s="4"/>
      <c r="TYV53" s="4"/>
      <c r="TYW53" s="4"/>
      <c r="TYX53" s="4"/>
      <c r="TYY53" s="4"/>
      <c r="TYZ53" s="4"/>
      <c r="TZA53" s="4"/>
      <c r="TZB53" s="4"/>
      <c r="TZC53" s="4"/>
      <c r="TZD53" s="4"/>
      <c r="TZE53" s="4"/>
      <c r="TZF53" s="4"/>
      <c r="TZG53" s="4"/>
      <c r="TZH53" s="4"/>
      <c r="TZI53" s="4"/>
      <c r="TZJ53" s="4"/>
      <c r="TZK53" s="4"/>
      <c r="TZL53" s="4"/>
      <c r="TZM53" s="4"/>
      <c r="TZN53" s="4"/>
      <c r="TZO53" s="4"/>
      <c r="TZP53" s="4"/>
      <c r="TZQ53" s="4"/>
      <c r="TZR53" s="4"/>
      <c r="TZS53" s="4"/>
      <c r="TZT53" s="4"/>
      <c r="TZU53" s="4"/>
      <c r="TZV53" s="4"/>
      <c r="TZW53" s="4"/>
      <c r="TZX53" s="4"/>
      <c r="TZY53" s="4"/>
      <c r="TZZ53" s="4"/>
      <c r="UAA53" s="4"/>
      <c r="UAB53" s="4"/>
      <c r="UAC53" s="4"/>
      <c r="UAD53" s="4"/>
      <c r="UAE53" s="4"/>
      <c r="UAF53" s="4"/>
      <c r="UAG53" s="4"/>
      <c r="UAH53" s="4"/>
      <c r="UAI53" s="4"/>
      <c r="UAJ53" s="4"/>
      <c r="UAK53" s="4"/>
      <c r="UAL53" s="4"/>
      <c r="UAM53" s="4"/>
      <c r="UAN53" s="4"/>
      <c r="UAO53" s="4"/>
      <c r="UAP53" s="4"/>
      <c r="UAQ53" s="4"/>
      <c r="UAR53" s="4"/>
      <c r="UAS53" s="4"/>
      <c r="UAT53" s="4"/>
      <c r="UAU53" s="4"/>
      <c r="UAV53" s="4"/>
      <c r="UAW53" s="4"/>
      <c r="UAX53" s="4"/>
      <c r="UAY53" s="4"/>
      <c r="UAZ53" s="4"/>
      <c r="UBA53" s="4"/>
      <c r="UBB53" s="4"/>
      <c r="UBC53" s="4"/>
      <c r="UBD53" s="4"/>
      <c r="UBE53" s="4"/>
      <c r="UBF53" s="4"/>
      <c r="UBG53" s="4"/>
      <c r="UBH53" s="4"/>
      <c r="UBI53" s="4"/>
      <c r="UBJ53" s="4"/>
      <c r="UBK53" s="4"/>
      <c r="UBL53" s="4"/>
      <c r="UBM53" s="4"/>
      <c r="UBN53" s="4"/>
      <c r="UBO53" s="4"/>
      <c r="UBP53" s="4"/>
      <c r="UBQ53" s="4"/>
      <c r="UBR53" s="4"/>
      <c r="UBS53" s="4"/>
      <c r="UBT53" s="4"/>
      <c r="UBU53" s="4"/>
      <c r="UBV53" s="4"/>
      <c r="UBW53" s="4"/>
      <c r="UBX53" s="4"/>
      <c r="UBY53" s="4"/>
      <c r="UBZ53" s="4"/>
      <c r="UCA53" s="4"/>
      <c r="UCB53" s="4"/>
      <c r="UCC53" s="4"/>
      <c r="UCD53" s="4"/>
      <c r="UCE53" s="4"/>
      <c r="UCF53" s="4"/>
      <c r="UCG53" s="4"/>
      <c r="UCH53" s="4"/>
      <c r="UCI53" s="4"/>
      <c r="UCJ53" s="4"/>
      <c r="UCK53" s="4"/>
      <c r="UCL53" s="4"/>
      <c r="UCM53" s="4"/>
      <c r="UCN53" s="4"/>
      <c r="UCO53" s="4"/>
      <c r="UCP53" s="4"/>
      <c r="UCQ53" s="4"/>
      <c r="UCR53" s="4"/>
      <c r="UCS53" s="4"/>
      <c r="UCT53" s="4"/>
      <c r="UCU53" s="4"/>
      <c r="UCV53" s="4"/>
      <c r="UCW53" s="4"/>
      <c r="UCX53" s="4"/>
      <c r="UCY53" s="4"/>
      <c r="UCZ53" s="4"/>
      <c r="UDA53" s="4"/>
      <c r="UDB53" s="4"/>
      <c r="UDC53" s="4"/>
      <c r="UDD53" s="4"/>
      <c r="UDE53" s="4"/>
      <c r="UDF53" s="4"/>
      <c r="UDG53" s="4"/>
      <c r="UDH53" s="4"/>
      <c r="UDI53" s="4"/>
      <c r="UDJ53" s="4"/>
      <c r="UDK53" s="4"/>
      <c r="UDL53" s="4"/>
      <c r="UDM53" s="4"/>
      <c r="UDN53" s="4"/>
      <c r="UDO53" s="4"/>
      <c r="UDP53" s="4"/>
      <c r="UDQ53" s="4"/>
      <c r="UDR53" s="4"/>
      <c r="UDS53" s="4"/>
      <c r="UDT53" s="4"/>
      <c r="UDU53" s="4"/>
      <c r="UDV53" s="4"/>
      <c r="UDW53" s="4"/>
      <c r="UDX53" s="4"/>
      <c r="UDY53" s="4"/>
      <c r="UDZ53" s="4"/>
      <c r="UEA53" s="4"/>
      <c r="UEB53" s="4"/>
      <c r="UEC53" s="4"/>
      <c r="UED53" s="4"/>
      <c r="UEE53" s="4"/>
      <c r="UEF53" s="4"/>
      <c r="UEG53" s="4"/>
      <c r="UEH53" s="4"/>
      <c r="UEI53" s="4"/>
      <c r="UEJ53" s="4"/>
      <c r="UEK53" s="4"/>
      <c r="UEL53" s="4"/>
      <c r="UEM53" s="4"/>
      <c r="UEN53" s="4"/>
      <c r="UEO53" s="4"/>
      <c r="UEP53" s="4"/>
      <c r="UEQ53" s="4"/>
      <c r="UER53" s="4"/>
      <c r="UES53" s="4"/>
      <c r="UET53" s="4"/>
      <c r="UEU53" s="4"/>
      <c r="UEV53" s="4"/>
      <c r="UEW53" s="4"/>
      <c r="UEX53" s="4"/>
      <c r="UEY53" s="4"/>
      <c r="UEZ53" s="4"/>
      <c r="UFA53" s="4"/>
      <c r="UFB53" s="4"/>
      <c r="UFC53" s="4"/>
      <c r="UFD53" s="4"/>
      <c r="UFE53" s="4"/>
      <c r="UFF53" s="4"/>
      <c r="UFG53" s="4"/>
      <c r="UFH53" s="4"/>
      <c r="UFI53" s="4"/>
      <c r="UFJ53" s="4"/>
      <c r="UFK53" s="4"/>
      <c r="UFL53" s="4"/>
      <c r="UFM53" s="4"/>
      <c r="UFN53" s="4"/>
      <c r="UFO53" s="4"/>
      <c r="UFP53" s="4"/>
      <c r="UFQ53" s="4"/>
      <c r="UFR53" s="4"/>
      <c r="UFS53" s="4"/>
      <c r="UFT53" s="4"/>
      <c r="UFU53" s="4"/>
      <c r="UFV53" s="4"/>
      <c r="UFW53" s="4"/>
      <c r="UFX53" s="4"/>
      <c r="UFY53" s="4"/>
      <c r="UFZ53" s="4"/>
      <c r="UGA53" s="4"/>
      <c r="UGB53" s="4"/>
      <c r="UGC53" s="4"/>
      <c r="UGD53" s="4"/>
      <c r="UGE53" s="4"/>
      <c r="UGF53" s="4"/>
      <c r="UGG53" s="4"/>
      <c r="UGH53" s="4"/>
      <c r="UGI53" s="4"/>
      <c r="UGJ53" s="4"/>
      <c r="UGK53" s="4"/>
      <c r="UGL53" s="4"/>
      <c r="UGM53" s="4"/>
      <c r="UGN53" s="4"/>
      <c r="UGO53" s="4"/>
      <c r="UGP53" s="4"/>
      <c r="UGQ53" s="4"/>
      <c r="UGR53" s="4"/>
      <c r="UGS53" s="4"/>
      <c r="UGT53" s="4"/>
      <c r="UGU53" s="4"/>
      <c r="UGV53" s="4"/>
      <c r="UGW53" s="4"/>
      <c r="UGX53" s="4"/>
      <c r="UGY53" s="4"/>
      <c r="UGZ53" s="4"/>
      <c r="UHA53" s="4"/>
      <c r="UHB53" s="4"/>
      <c r="UHC53" s="4"/>
      <c r="UHD53" s="4"/>
      <c r="UHE53" s="4"/>
      <c r="UHF53" s="4"/>
      <c r="UHG53" s="4"/>
      <c r="UHH53" s="4"/>
      <c r="UHI53" s="4"/>
      <c r="UHJ53" s="4"/>
      <c r="UHK53" s="4"/>
      <c r="UHL53" s="4"/>
      <c r="UHM53" s="4"/>
      <c r="UHN53" s="4"/>
      <c r="UHO53" s="4"/>
      <c r="UHP53" s="4"/>
      <c r="UHQ53" s="4"/>
      <c r="UHR53" s="4"/>
      <c r="UHS53" s="4"/>
      <c r="UHT53" s="4"/>
      <c r="UHU53" s="4"/>
      <c r="UHV53" s="4"/>
      <c r="UHW53" s="4"/>
      <c r="UHX53" s="4"/>
      <c r="UHY53" s="4"/>
      <c r="UHZ53" s="4"/>
      <c r="UIA53" s="4"/>
      <c r="UIB53" s="4"/>
      <c r="UIC53" s="4"/>
      <c r="UID53" s="4"/>
      <c r="UIE53" s="4"/>
      <c r="UIF53" s="4"/>
      <c r="UIG53" s="4"/>
      <c r="UIH53" s="4"/>
      <c r="UII53" s="4"/>
      <c r="UIJ53" s="4"/>
      <c r="UIK53" s="4"/>
      <c r="UIL53" s="4"/>
      <c r="UIM53" s="4"/>
      <c r="UIN53" s="4"/>
      <c r="UIO53" s="4"/>
      <c r="UIP53" s="4"/>
      <c r="UIQ53" s="4"/>
      <c r="UIR53" s="4"/>
      <c r="UIS53" s="4"/>
      <c r="UIT53" s="4"/>
      <c r="UIU53" s="4"/>
      <c r="UIV53" s="4"/>
      <c r="UIW53" s="4"/>
      <c r="UIX53" s="4"/>
      <c r="UIY53" s="4"/>
      <c r="UIZ53" s="4"/>
      <c r="UJA53" s="4"/>
      <c r="UJB53" s="4"/>
      <c r="UJC53" s="4"/>
      <c r="UJD53" s="4"/>
      <c r="UJE53" s="4"/>
      <c r="UJF53" s="4"/>
      <c r="UJG53" s="4"/>
      <c r="UJH53" s="4"/>
      <c r="UJI53" s="4"/>
      <c r="UJJ53" s="4"/>
      <c r="UJK53" s="4"/>
      <c r="UJL53" s="4"/>
      <c r="UJM53" s="4"/>
      <c r="UJN53" s="4"/>
      <c r="UJO53" s="4"/>
      <c r="UJP53" s="4"/>
      <c r="UJQ53" s="4"/>
      <c r="UJR53" s="4"/>
      <c r="UJS53" s="4"/>
      <c r="UJT53" s="4"/>
      <c r="UJU53" s="4"/>
      <c r="UJV53" s="4"/>
      <c r="UJW53" s="4"/>
      <c r="UJX53" s="4"/>
      <c r="UJY53" s="4"/>
      <c r="UJZ53" s="4"/>
      <c r="UKA53" s="4"/>
      <c r="UKB53" s="4"/>
      <c r="UKC53" s="4"/>
      <c r="UKD53" s="4"/>
      <c r="UKE53" s="4"/>
      <c r="UKF53" s="4"/>
      <c r="UKG53" s="4"/>
      <c r="UKH53" s="4"/>
      <c r="UKI53" s="4"/>
      <c r="UKJ53" s="4"/>
      <c r="UKK53" s="4"/>
      <c r="UKL53" s="4"/>
      <c r="UKM53" s="4"/>
      <c r="UKN53" s="4"/>
      <c r="UKO53" s="4"/>
      <c r="UKP53" s="4"/>
      <c r="UKQ53" s="4"/>
      <c r="UKR53" s="4"/>
      <c r="UKS53" s="4"/>
      <c r="UKT53" s="4"/>
      <c r="UKU53" s="4"/>
      <c r="UKV53" s="4"/>
      <c r="UKW53" s="4"/>
      <c r="UKX53" s="4"/>
      <c r="UKY53" s="4"/>
      <c r="UKZ53" s="4"/>
      <c r="ULA53" s="4"/>
      <c r="ULB53" s="4"/>
      <c r="ULC53" s="4"/>
      <c r="ULD53" s="4"/>
      <c r="ULE53" s="4"/>
      <c r="ULF53" s="4"/>
      <c r="ULG53" s="4"/>
      <c r="ULH53" s="4"/>
      <c r="ULI53" s="4"/>
      <c r="ULJ53" s="4"/>
      <c r="ULK53" s="4"/>
      <c r="ULL53" s="4"/>
      <c r="ULM53" s="4"/>
      <c r="ULN53" s="4"/>
      <c r="ULO53" s="4"/>
      <c r="ULP53" s="4"/>
      <c r="ULQ53" s="4"/>
      <c r="ULR53" s="4"/>
      <c r="ULS53" s="4"/>
      <c r="ULT53" s="4"/>
      <c r="ULU53" s="4"/>
      <c r="ULV53" s="4"/>
      <c r="ULW53" s="4"/>
      <c r="ULX53" s="4"/>
      <c r="ULY53" s="4"/>
      <c r="ULZ53" s="4"/>
      <c r="UMA53" s="4"/>
      <c r="UMB53" s="4"/>
      <c r="UMC53" s="4"/>
      <c r="UMD53" s="4"/>
      <c r="UME53" s="4"/>
      <c r="UMF53" s="4"/>
      <c r="UMG53" s="4"/>
      <c r="UMH53" s="4"/>
      <c r="UMI53" s="4"/>
      <c r="UMJ53" s="4"/>
      <c r="UMK53" s="4"/>
      <c r="UML53" s="4"/>
      <c r="UMM53" s="4"/>
      <c r="UMN53" s="4"/>
      <c r="UMO53" s="4"/>
      <c r="UMP53" s="4"/>
      <c r="UMQ53" s="4"/>
      <c r="UMR53" s="4"/>
      <c r="UMS53" s="4"/>
      <c r="UMT53" s="4"/>
      <c r="UMU53" s="4"/>
      <c r="UMV53" s="4"/>
      <c r="UMW53" s="4"/>
      <c r="UMX53" s="4"/>
      <c r="UMY53" s="4"/>
      <c r="UMZ53" s="4"/>
      <c r="UNA53" s="4"/>
      <c r="UNB53" s="4"/>
      <c r="UNC53" s="4"/>
      <c r="UND53" s="4"/>
      <c r="UNE53" s="4"/>
      <c r="UNF53" s="4"/>
      <c r="UNG53" s="4"/>
      <c r="UNH53" s="4"/>
      <c r="UNI53" s="4"/>
      <c r="UNJ53" s="4"/>
      <c r="UNK53" s="4"/>
      <c r="UNL53" s="4"/>
      <c r="UNM53" s="4"/>
      <c r="UNN53" s="4"/>
      <c r="UNO53" s="4"/>
      <c r="UNP53" s="4"/>
      <c r="UNQ53" s="4"/>
      <c r="UNR53" s="4"/>
      <c r="UNS53" s="4"/>
      <c r="UNT53" s="4"/>
      <c r="UNU53" s="4"/>
      <c r="UNV53" s="4"/>
      <c r="UNW53" s="4"/>
      <c r="UNX53" s="4"/>
      <c r="UNY53" s="4"/>
      <c r="UNZ53" s="4"/>
      <c r="UOA53" s="4"/>
      <c r="UOB53" s="4"/>
      <c r="UOC53" s="4"/>
      <c r="UOD53" s="4"/>
      <c r="UOE53" s="4"/>
      <c r="UOF53" s="4"/>
      <c r="UOG53" s="4"/>
      <c r="UOH53" s="4"/>
      <c r="UOI53" s="4"/>
      <c r="UOJ53" s="4"/>
      <c r="UOK53" s="4"/>
      <c r="UOL53" s="4"/>
      <c r="UOM53" s="4"/>
      <c r="UON53" s="4"/>
      <c r="UOO53" s="4"/>
      <c r="UOP53" s="4"/>
      <c r="UOQ53" s="4"/>
      <c r="UOR53" s="4"/>
      <c r="UOS53" s="4"/>
      <c r="UOT53" s="4"/>
      <c r="UOU53" s="4"/>
      <c r="UOV53" s="4"/>
      <c r="UOW53" s="4"/>
      <c r="UOX53" s="4"/>
      <c r="UOY53" s="4"/>
      <c r="UOZ53" s="4"/>
      <c r="UPA53" s="4"/>
      <c r="UPB53" s="4"/>
      <c r="UPC53" s="4"/>
      <c r="UPD53" s="4"/>
      <c r="UPE53" s="4"/>
      <c r="UPF53" s="4"/>
      <c r="UPG53" s="4"/>
      <c r="UPH53" s="4"/>
      <c r="UPI53" s="4"/>
      <c r="UPJ53" s="4"/>
      <c r="UPK53" s="4"/>
      <c r="UPL53" s="4"/>
      <c r="UPM53" s="4"/>
      <c r="UPN53" s="4"/>
      <c r="UPO53" s="4"/>
      <c r="UPP53" s="4"/>
      <c r="UPQ53" s="4"/>
      <c r="UPR53" s="4"/>
      <c r="UPS53" s="4"/>
      <c r="UPT53" s="4"/>
      <c r="UPU53" s="4"/>
      <c r="UPV53" s="4"/>
      <c r="UPW53" s="4"/>
      <c r="UPX53" s="4"/>
      <c r="UPY53" s="4"/>
      <c r="UPZ53" s="4"/>
      <c r="UQA53" s="4"/>
      <c r="UQB53" s="4"/>
      <c r="UQC53" s="4"/>
      <c r="UQD53" s="4"/>
      <c r="UQE53" s="4"/>
      <c r="UQF53" s="4"/>
      <c r="UQG53" s="4"/>
      <c r="UQH53" s="4"/>
      <c r="UQI53" s="4"/>
      <c r="UQJ53" s="4"/>
      <c r="UQK53" s="4"/>
      <c r="UQL53" s="4"/>
      <c r="UQM53" s="4"/>
      <c r="UQN53" s="4"/>
      <c r="UQO53" s="4"/>
      <c r="UQP53" s="4"/>
      <c r="UQQ53" s="4"/>
      <c r="UQR53" s="4"/>
      <c r="UQS53" s="4"/>
      <c r="UQT53" s="4"/>
      <c r="UQU53" s="4"/>
      <c r="UQV53" s="4"/>
      <c r="UQW53" s="4"/>
      <c r="UQX53" s="4"/>
      <c r="UQY53" s="4"/>
      <c r="UQZ53" s="4"/>
      <c r="URA53" s="4"/>
      <c r="URB53" s="4"/>
      <c r="URC53" s="4"/>
      <c r="URD53" s="4"/>
      <c r="URE53" s="4"/>
      <c r="URF53" s="4"/>
      <c r="URG53" s="4"/>
      <c r="URH53" s="4"/>
      <c r="URI53" s="4"/>
      <c r="URJ53" s="4"/>
      <c r="URK53" s="4"/>
      <c r="URL53" s="4"/>
      <c r="URM53" s="4"/>
      <c r="URN53" s="4"/>
      <c r="URO53" s="4"/>
      <c r="URP53" s="4"/>
      <c r="URQ53" s="4"/>
      <c r="URR53" s="4"/>
      <c r="URS53" s="4"/>
      <c r="URT53" s="4"/>
      <c r="URU53" s="4"/>
      <c r="URV53" s="4"/>
      <c r="URW53" s="4"/>
      <c r="URX53" s="4"/>
      <c r="URY53" s="4"/>
      <c r="URZ53" s="4"/>
      <c r="USA53" s="4"/>
      <c r="USB53" s="4"/>
      <c r="USC53" s="4"/>
      <c r="USD53" s="4"/>
      <c r="USE53" s="4"/>
      <c r="USF53" s="4"/>
      <c r="USG53" s="4"/>
      <c r="USH53" s="4"/>
      <c r="USI53" s="4"/>
      <c r="USJ53" s="4"/>
      <c r="USK53" s="4"/>
      <c r="USL53" s="4"/>
      <c r="USM53" s="4"/>
      <c r="USN53" s="4"/>
      <c r="USO53" s="4"/>
      <c r="USP53" s="4"/>
      <c r="USQ53" s="4"/>
      <c r="USR53" s="4"/>
      <c r="USS53" s="4"/>
      <c r="UST53" s="4"/>
      <c r="USU53" s="4"/>
      <c r="USV53" s="4"/>
      <c r="USW53" s="4"/>
      <c r="USX53" s="4"/>
      <c r="USY53" s="4"/>
      <c r="USZ53" s="4"/>
      <c r="UTA53" s="4"/>
      <c r="UTB53" s="4"/>
      <c r="UTC53" s="4"/>
      <c r="UTD53" s="4"/>
      <c r="UTE53" s="4"/>
      <c r="UTF53" s="4"/>
      <c r="UTG53" s="4"/>
      <c r="UTH53" s="4"/>
      <c r="UTI53" s="4"/>
      <c r="UTJ53" s="4"/>
      <c r="UTK53" s="4"/>
      <c r="UTL53" s="4"/>
      <c r="UTM53" s="4"/>
      <c r="UTN53" s="4"/>
      <c r="UTO53" s="4"/>
      <c r="UTP53" s="4"/>
      <c r="UTQ53" s="4"/>
      <c r="UTR53" s="4"/>
      <c r="UTS53" s="4"/>
      <c r="UTT53" s="4"/>
      <c r="UTU53" s="4"/>
      <c r="UTV53" s="4"/>
      <c r="UTW53" s="4"/>
      <c r="UTX53" s="4"/>
      <c r="UTY53" s="4"/>
      <c r="UTZ53" s="4"/>
      <c r="UUA53" s="4"/>
      <c r="UUB53" s="4"/>
      <c r="UUC53" s="4"/>
      <c r="UUD53" s="4"/>
      <c r="UUE53" s="4"/>
      <c r="UUF53" s="4"/>
      <c r="UUG53" s="4"/>
      <c r="UUH53" s="4"/>
      <c r="UUI53" s="4"/>
      <c r="UUJ53" s="4"/>
      <c r="UUK53" s="4"/>
      <c r="UUL53" s="4"/>
      <c r="UUM53" s="4"/>
      <c r="UUN53" s="4"/>
      <c r="UUO53" s="4"/>
      <c r="UUP53" s="4"/>
      <c r="UUQ53" s="4"/>
      <c r="UUR53" s="4"/>
      <c r="UUS53" s="4"/>
      <c r="UUT53" s="4"/>
      <c r="UUU53" s="4"/>
      <c r="UUV53" s="4"/>
      <c r="UUW53" s="4"/>
      <c r="UUX53" s="4"/>
      <c r="UUY53" s="4"/>
      <c r="UUZ53" s="4"/>
      <c r="UVA53" s="4"/>
      <c r="UVB53" s="4"/>
      <c r="UVC53" s="4"/>
      <c r="UVD53" s="4"/>
      <c r="UVE53" s="4"/>
      <c r="UVF53" s="4"/>
      <c r="UVG53" s="4"/>
      <c r="UVH53" s="4"/>
      <c r="UVI53" s="4"/>
      <c r="UVJ53" s="4"/>
      <c r="UVK53" s="4"/>
      <c r="UVL53" s="4"/>
      <c r="UVM53" s="4"/>
      <c r="UVN53" s="4"/>
      <c r="UVO53" s="4"/>
      <c r="UVP53" s="4"/>
      <c r="UVQ53" s="4"/>
      <c r="UVR53" s="4"/>
      <c r="UVS53" s="4"/>
      <c r="UVT53" s="4"/>
      <c r="UVU53" s="4"/>
      <c r="UVV53" s="4"/>
      <c r="UVW53" s="4"/>
      <c r="UVX53" s="4"/>
      <c r="UVY53" s="4"/>
      <c r="UVZ53" s="4"/>
      <c r="UWA53" s="4"/>
      <c r="UWB53" s="4"/>
      <c r="UWC53" s="4"/>
      <c r="UWD53" s="4"/>
      <c r="UWE53" s="4"/>
      <c r="UWF53" s="4"/>
      <c r="UWG53" s="4"/>
      <c r="UWH53" s="4"/>
      <c r="UWI53" s="4"/>
      <c r="UWJ53" s="4"/>
      <c r="UWK53" s="4"/>
      <c r="UWL53" s="4"/>
      <c r="UWM53" s="4"/>
      <c r="UWN53" s="4"/>
      <c r="UWO53" s="4"/>
      <c r="UWP53" s="4"/>
      <c r="UWQ53" s="4"/>
      <c r="UWR53" s="4"/>
      <c r="UWS53" s="4"/>
      <c r="UWT53" s="4"/>
      <c r="UWU53" s="4"/>
      <c r="UWV53" s="4"/>
      <c r="UWW53" s="4"/>
      <c r="UWX53" s="4"/>
      <c r="UWY53" s="4"/>
      <c r="UWZ53" s="4"/>
      <c r="UXA53" s="4"/>
      <c r="UXB53" s="4"/>
      <c r="UXC53" s="4"/>
      <c r="UXD53" s="4"/>
      <c r="UXE53" s="4"/>
      <c r="UXF53" s="4"/>
      <c r="UXG53" s="4"/>
      <c r="UXH53" s="4"/>
      <c r="UXI53" s="4"/>
      <c r="UXJ53" s="4"/>
      <c r="UXK53" s="4"/>
      <c r="UXL53" s="4"/>
      <c r="UXM53" s="4"/>
      <c r="UXN53" s="4"/>
      <c r="UXO53" s="4"/>
      <c r="UXP53" s="4"/>
      <c r="UXQ53" s="4"/>
      <c r="UXR53" s="4"/>
      <c r="UXS53" s="4"/>
      <c r="UXT53" s="4"/>
      <c r="UXU53" s="4"/>
      <c r="UXV53" s="4"/>
      <c r="UXW53" s="4"/>
      <c r="UXX53" s="4"/>
      <c r="UXY53" s="4"/>
      <c r="UXZ53" s="4"/>
      <c r="UYA53" s="4"/>
      <c r="UYB53" s="4"/>
      <c r="UYC53" s="4"/>
      <c r="UYD53" s="4"/>
      <c r="UYE53" s="4"/>
      <c r="UYF53" s="4"/>
      <c r="UYG53" s="4"/>
      <c r="UYH53" s="4"/>
      <c r="UYI53" s="4"/>
      <c r="UYJ53" s="4"/>
      <c r="UYK53" s="4"/>
      <c r="UYL53" s="4"/>
      <c r="UYM53" s="4"/>
      <c r="UYN53" s="4"/>
      <c r="UYO53" s="4"/>
      <c r="UYP53" s="4"/>
      <c r="UYQ53" s="4"/>
      <c r="UYR53" s="4"/>
      <c r="UYS53" s="4"/>
      <c r="UYT53" s="4"/>
      <c r="UYU53" s="4"/>
      <c r="UYV53" s="4"/>
      <c r="UYW53" s="4"/>
      <c r="UYX53" s="4"/>
      <c r="UYY53" s="4"/>
      <c r="UYZ53" s="4"/>
      <c r="UZA53" s="4"/>
      <c r="UZB53" s="4"/>
      <c r="UZC53" s="4"/>
      <c r="UZD53" s="4"/>
      <c r="UZE53" s="4"/>
      <c r="UZF53" s="4"/>
      <c r="UZG53" s="4"/>
      <c r="UZH53" s="4"/>
      <c r="UZI53" s="4"/>
      <c r="UZJ53" s="4"/>
      <c r="UZK53" s="4"/>
      <c r="UZL53" s="4"/>
      <c r="UZM53" s="4"/>
      <c r="UZN53" s="4"/>
      <c r="UZO53" s="4"/>
      <c r="UZP53" s="4"/>
      <c r="UZQ53" s="4"/>
      <c r="UZR53" s="4"/>
      <c r="UZS53" s="4"/>
      <c r="UZT53" s="4"/>
      <c r="UZU53" s="4"/>
      <c r="UZV53" s="4"/>
      <c r="UZW53" s="4"/>
      <c r="UZX53" s="4"/>
      <c r="UZY53" s="4"/>
      <c r="UZZ53" s="4"/>
      <c r="VAA53" s="4"/>
      <c r="VAB53" s="4"/>
      <c r="VAC53" s="4"/>
      <c r="VAD53" s="4"/>
      <c r="VAE53" s="4"/>
      <c r="VAF53" s="4"/>
      <c r="VAG53" s="4"/>
      <c r="VAH53" s="4"/>
      <c r="VAI53" s="4"/>
      <c r="VAJ53" s="4"/>
      <c r="VAK53" s="4"/>
      <c r="VAL53" s="4"/>
      <c r="VAM53" s="4"/>
      <c r="VAN53" s="4"/>
      <c r="VAO53" s="4"/>
      <c r="VAP53" s="4"/>
      <c r="VAQ53" s="4"/>
      <c r="VAR53" s="4"/>
      <c r="VAS53" s="4"/>
      <c r="VAT53" s="4"/>
      <c r="VAU53" s="4"/>
      <c r="VAV53" s="4"/>
      <c r="VAW53" s="4"/>
      <c r="VAX53" s="4"/>
      <c r="VAY53" s="4"/>
      <c r="VAZ53" s="4"/>
      <c r="VBA53" s="4"/>
      <c r="VBB53" s="4"/>
      <c r="VBC53" s="4"/>
      <c r="VBD53" s="4"/>
      <c r="VBE53" s="4"/>
      <c r="VBF53" s="4"/>
      <c r="VBG53" s="4"/>
      <c r="VBH53" s="4"/>
      <c r="VBI53" s="4"/>
      <c r="VBJ53" s="4"/>
      <c r="VBK53" s="4"/>
      <c r="VBL53" s="4"/>
      <c r="VBM53" s="4"/>
      <c r="VBN53" s="4"/>
      <c r="VBO53" s="4"/>
      <c r="VBP53" s="4"/>
      <c r="VBQ53" s="4"/>
      <c r="VBR53" s="4"/>
      <c r="VBS53" s="4"/>
      <c r="VBT53" s="4"/>
      <c r="VBU53" s="4"/>
      <c r="VBV53" s="4"/>
      <c r="VBW53" s="4"/>
      <c r="VBX53" s="4"/>
      <c r="VBY53" s="4"/>
      <c r="VBZ53" s="4"/>
      <c r="VCA53" s="4"/>
      <c r="VCB53" s="4"/>
      <c r="VCC53" s="4"/>
      <c r="VCD53" s="4"/>
      <c r="VCE53" s="4"/>
      <c r="VCF53" s="4"/>
      <c r="VCG53" s="4"/>
      <c r="VCH53" s="4"/>
      <c r="VCI53" s="4"/>
      <c r="VCJ53" s="4"/>
      <c r="VCK53" s="4"/>
      <c r="VCL53" s="4"/>
      <c r="VCM53" s="4"/>
      <c r="VCN53" s="4"/>
      <c r="VCO53" s="4"/>
      <c r="VCP53" s="4"/>
      <c r="VCQ53" s="4"/>
      <c r="VCR53" s="4"/>
      <c r="VCS53" s="4"/>
      <c r="VCT53" s="4"/>
      <c r="VCU53" s="4"/>
      <c r="VCV53" s="4"/>
      <c r="VCW53" s="4"/>
      <c r="VCX53" s="4"/>
      <c r="VCY53" s="4"/>
      <c r="VCZ53" s="4"/>
      <c r="VDA53" s="4"/>
      <c r="VDB53" s="4"/>
      <c r="VDC53" s="4"/>
      <c r="VDD53" s="4"/>
      <c r="VDE53" s="4"/>
      <c r="VDF53" s="4"/>
      <c r="VDG53" s="4"/>
      <c r="VDH53" s="4"/>
      <c r="VDI53" s="4"/>
      <c r="VDJ53" s="4"/>
      <c r="VDK53" s="4"/>
      <c r="VDL53" s="4"/>
      <c r="VDM53" s="4"/>
      <c r="VDN53" s="4"/>
      <c r="VDO53" s="4"/>
      <c r="VDP53" s="4"/>
      <c r="VDQ53" s="4"/>
      <c r="VDR53" s="4"/>
      <c r="VDS53" s="4"/>
      <c r="VDT53" s="4"/>
      <c r="VDU53" s="4"/>
      <c r="VDV53" s="4"/>
      <c r="VDW53" s="4"/>
      <c r="VDX53" s="4"/>
      <c r="VDY53" s="4"/>
      <c r="VDZ53" s="4"/>
      <c r="VEA53" s="4"/>
      <c r="VEB53" s="4"/>
      <c r="VEC53" s="4"/>
      <c r="VED53" s="4"/>
      <c r="VEE53" s="4"/>
      <c r="VEF53" s="4"/>
      <c r="VEG53" s="4"/>
      <c r="VEH53" s="4"/>
      <c r="VEI53" s="4"/>
      <c r="VEJ53" s="4"/>
      <c r="VEK53" s="4"/>
      <c r="VEL53" s="4"/>
      <c r="VEM53" s="4"/>
      <c r="VEN53" s="4"/>
      <c r="VEO53" s="4"/>
      <c r="VEP53" s="4"/>
      <c r="VEQ53" s="4"/>
      <c r="VER53" s="4"/>
      <c r="VES53" s="4"/>
      <c r="VET53" s="4"/>
      <c r="VEU53" s="4"/>
      <c r="VEV53" s="4"/>
      <c r="VEW53" s="4"/>
      <c r="VEX53" s="4"/>
      <c r="VEY53" s="4"/>
      <c r="VEZ53" s="4"/>
      <c r="VFA53" s="4"/>
      <c r="VFB53" s="4"/>
      <c r="VFC53" s="4"/>
      <c r="VFD53" s="4"/>
      <c r="VFE53" s="4"/>
      <c r="VFF53" s="4"/>
      <c r="VFG53" s="4"/>
      <c r="VFH53" s="4"/>
      <c r="VFI53" s="4"/>
      <c r="VFJ53" s="4"/>
      <c r="VFK53" s="4"/>
      <c r="VFL53" s="4"/>
      <c r="VFM53" s="4"/>
      <c r="VFN53" s="4"/>
      <c r="VFO53" s="4"/>
      <c r="VFP53" s="4"/>
      <c r="VFQ53" s="4"/>
      <c r="VFR53" s="4"/>
      <c r="VFS53" s="4"/>
      <c r="VFT53" s="4"/>
      <c r="VFU53" s="4"/>
      <c r="VFV53" s="4"/>
      <c r="VFW53" s="4"/>
      <c r="VFX53" s="4"/>
      <c r="VFY53" s="4"/>
      <c r="VFZ53" s="4"/>
      <c r="VGA53" s="4"/>
      <c r="VGB53" s="4"/>
      <c r="VGC53" s="4"/>
      <c r="VGD53" s="4"/>
      <c r="VGE53" s="4"/>
      <c r="VGF53" s="4"/>
      <c r="VGG53" s="4"/>
      <c r="VGH53" s="4"/>
      <c r="VGI53" s="4"/>
      <c r="VGJ53" s="4"/>
      <c r="VGK53" s="4"/>
      <c r="VGL53" s="4"/>
      <c r="VGM53" s="4"/>
      <c r="VGN53" s="4"/>
      <c r="VGO53" s="4"/>
      <c r="VGP53" s="4"/>
      <c r="VGQ53" s="4"/>
      <c r="VGR53" s="4"/>
      <c r="VGS53" s="4"/>
      <c r="VGT53" s="4"/>
      <c r="VGU53" s="4"/>
      <c r="VGV53" s="4"/>
      <c r="VGW53" s="4"/>
      <c r="VGX53" s="4"/>
      <c r="VGY53" s="4"/>
      <c r="VGZ53" s="4"/>
      <c r="VHA53" s="4"/>
      <c r="VHB53" s="4"/>
      <c r="VHC53" s="4"/>
      <c r="VHD53" s="4"/>
      <c r="VHE53" s="4"/>
      <c r="VHF53" s="4"/>
      <c r="VHG53" s="4"/>
      <c r="VHH53" s="4"/>
      <c r="VHI53" s="4"/>
      <c r="VHJ53" s="4"/>
      <c r="VHK53" s="4"/>
      <c r="VHL53" s="4"/>
      <c r="VHM53" s="4"/>
      <c r="VHN53" s="4"/>
      <c r="VHO53" s="4"/>
      <c r="VHP53" s="4"/>
      <c r="VHQ53" s="4"/>
      <c r="VHR53" s="4"/>
      <c r="VHS53" s="4"/>
      <c r="VHT53" s="4"/>
      <c r="VHU53" s="4"/>
      <c r="VHV53" s="4"/>
      <c r="VHW53" s="4"/>
      <c r="VHX53" s="4"/>
      <c r="VHY53" s="4"/>
      <c r="VHZ53" s="4"/>
      <c r="VIA53" s="4"/>
      <c r="VIB53" s="4"/>
      <c r="VIC53" s="4"/>
      <c r="VID53" s="4"/>
      <c r="VIE53" s="4"/>
      <c r="VIF53" s="4"/>
      <c r="VIG53" s="4"/>
      <c r="VIH53" s="4"/>
      <c r="VII53" s="4"/>
      <c r="VIJ53" s="4"/>
      <c r="VIK53" s="4"/>
      <c r="VIL53" s="4"/>
      <c r="VIM53" s="4"/>
      <c r="VIN53" s="4"/>
      <c r="VIO53" s="4"/>
      <c r="VIP53" s="4"/>
      <c r="VIQ53" s="4"/>
      <c r="VIR53" s="4"/>
      <c r="VIS53" s="4"/>
      <c r="VIT53" s="4"/>
      <c r="VIU53" s="4"/>
      <c r="VIV53" s="4"/>
      <c r="VIW53" s="4"/>
      <c r="VIX53" s="4"/>
      <c r="VIY53" s="4"/>
      <c r="VIZ53" s="4"/>
      <c r="VJA53" s="4"/>
      <c r="VJB53" s="4"/>
      <c r="VJC53" s="4"/>
      <c r="VJD53" s="4"/>
      <c r="VJE53" s="4"/>
      <c r="VJF53" s="4"/>
      <c r="VJG53" s="4"/>
      <c r="VJH53" s="4"/>
      <c r="VJI53" s="4"/>
      <c r="VJJ53" s="4"/>
      <c r="VJK53" s="4"/>
      <c r="VJL53" s="4"/>
      <c r="VJM53" s="4"/>
      <c r="VJN53" s="4"/>
      <c r="VJO53" s="4"/>
      <c r="VJP53" s="4"/>
      <c r="VJQ53" s="4"/>
      <c r="VJR53" s="4"/>
      <c r="VJS53" s="4"/>
      <c r="VJT53" s="4"/>
      <c r="VJU53" s="4"/>
      <c r="VJV53" s="4"/>
      <c r="VJW53" s="4"/>
      <c r="VJX53" s="4"/>
      <c r="VJY53" s="4"/>
      <c r="VJZ53" s="4"/>
      <c r="VKA53" s="4"/>
      <c r="VKB53" s="4"/>
      <c r="VKC53" s="4"/>
      <c r="VKD53" s="4"/>
      <c r="VKE53" s="4"/>
      <c r="VKF53" s="4"/>
      <c r="VKG53" s="4"/>
      <c r="VKH53" s="4"/>
      <c r="VKI53" s="4"/>
      <c r="VKJ53" s="4"/>
      <c r="VKK53" s="4"/>
      <c r="VKL53" s="4"/>
      <c r="VKM53" s="4"/>
      <c r="VKN53" s="4"/>
      <c r="VKO53" s="4"/>
      <c r="VKP53" s="4"/>
      <c r="VKQ53" s="4"/>
      <c r="VKR53" s="4"/>
      <c r="VKS53" s="4"/>
      <c r="VKT53" s="4"/>
      <c r="VKU53" s="4"/>
      <c r="VKV53" s="4"/>
      <c r="VKW53" s="4"/>
      <c r="VKX53" s="4"/>
      <c r="VKY53" s="4"/>
      <c r="VKZ53" s="4"/>
      <c r="VLA53" s="4"/>
      <c r="VLB53" s="4"/>
      <c r="VLC53" s="4"/>
      <c r="VLD53" s="4"/>
      <c r="VLE53" s="4"/>
      <c r="VLF53" s="4"/>
      <c r="VLG53" s="4"/>
      <c r="VLH53" s="4"/>
      <c r="VLI53" s="4"/>
      <c r="VLJ53" s="4"/>
      <c r="VLK53" s="4"/>
      <c r="VLL53" s="4"/>
      <c r="VLM53" s="4"/>
      <c r="VLN53" s="4"/>
      <c r="VLO53" s="4"/>
      <c r="VLP53" s="4"/>
      <c r="VLQ53" s="4"/>
      <c r="VLR53" s="4"/>
      <c r="VLS53" s="4"/>
      <c r="VLT53" s="4"/>
      <c r="VLU53" s="4"/>
      <c r="VLV53" s="4"/>
      <c r="VLW53" s="4"/>
      <c r="VLX53" s="4"/>
      <c r="VLY53" s="4"/>
      <c r="VLZ53" s="4"/>
      <c r="VMA53" s="4"/>
      <c r="VMB53" s="4"/>
      <c r="VMC53" s="4"/>
      <c r="VMD53" s="4"/>
      <c r="VME53" s="4"/>
      <c r="VMF53" s="4"/>
      <c r="VMG53" s="4"/>
      <c r="VMH53" s="4"/>
      <c r="VMI53" s="4"/>
      <c r="VMJ53" s="4"/>
      <c r="VMK53" s="4"/>
      <c r="VML53" s="4"/>
      <c r="VMM53" s="4"/>
      <c r="VMN53" s="4"/>
      <c r="VMO53" s="4"/>
      <c r="VMP53" s="4"/>
      <c r="VMQ53" s="4"/>
      <c r="VMR53" s="4"/>
      <c r="VMS53" s="4"/>
      <c r="VMT53" s="4"/>
      <c r="VMU53" s="4"/>
      <c r="VMV53" s="4"/>
      <c r="VMW53" s="4"/>
      <c r="VMX53" s="4"/>
      <c r="VMY53" s="4"/>
      <c r="VMZ53" s="4"/>
      <c r="VNA53" s="4"/>
      <c r="VNB53" s="4"/>
      <c r="VNC53" s="4"/>
      <c r="VND53" s="4"/>
      <c r="VNE53" s="4"/>
      <c r="VNF53" s="4"/>
      <c r="VNG53" s="4"/>
      <c r="VNH53" s="4"/>
      <c r="VNI53" s="4"/>
      <c r="VNJ53" s="4"/>
      <c r="VNK53" s="4"/>
      <c r="VNL53" s="4"/>
      <c r="VNM53" s="4"/>
      <c r="VNN53" s="4"/>
      <c r="VNO53" s="4"/>
      <c r="VNP53" s="4"/>
      <c r="VNQ53" s="4"/>
      <c r="VNR53" s="4"/>
      <c r="VNS53" s="4"/>
      <c r="VNT53" s="4"/>
      <c r="VNU53" s="4"/>
      <c r="VNV53" s="4"/>
      <c r="VNW53" s="4"/>
      <c r="VNX53" s="4"/>
      <c r="VNY53" s="4"/>
      <c r="VNZ53" s="4"/>
      <c r="VOA53" s="4"/>
      <c r="VOB53" s="4"/>
      <c r="VOC53" s="4"/>
      <c r="VOD53" s="4"/>
      <c r="VOE53" s="4"/>
      <c r="VOF53" s="4"/>
      <c r="VOG53" s="4"/>
      <c r="VOH53" s="4"/>
      <c r="VOI53" s="4"/>
      <c r="VOJ53" s="4"/>
      <c r="VOK53" s="4"/>
      <c r="VOL53" s="4"/>
      <c r="VOM53" s="4"/>
      <c r="VON53" s="4"/>
      <c r="VOO53" s="4"/>
      <c r="VOP53" s="4"/>
      <c r="VOQ53" s="4"/>
      <c r="VOR53" s="4"/>
      <c r="VOS53" s="4"/>
      <c r="VOT53" s="4"/>
      <c r="VOU53" s="4"/>
      <c r="VOV53" s="4"/>
      <c r="VOW53" s="4"/>
      <c r="VOX53" s="4"/>
      <c r="VOY53" s="4"/>
      <c r="VOZ53" s="4"/>
      <c r="VPA53" s="4"/>
      <c r="VPB53" s="4"/>
      <c r="VPC53" s="4"/>
      <c r="VPD53" s="4"/>
      <c r="VPE53" s="4"/>
      <c r="VPF53" s="4"/>
      <c r="VPG53" s="4"/>
      <c r="VPH53" s="4"/>
      <c r="VPI53" s="4"/>
      <c r="VPJ53" s="4"/>
      <c r="VPK53" s="4"/>
      <c r="VPL53" s="4"/>
      <c r="VPM53" s="4"/>
      <c r="VPN53" s="4"/>
      <c r="VPO53" s="4"/>
      <c r="VPP53" s="4"/>
      <c r="VPQ53" s="4"/>
      <c r="VPR53" s="4"/>
      <c r="VPS53" s="4"/>
      <c r="VPT53" s="4"/>
      <c r="VPU53" s="4"/>
      <c r="VPV53" s="4"/>
      <c r="VPW53" s="4"/>
      <c r="VPX53" s="4"/>
      <c r="VPY53" s="4"/>
      <c r="VPZ53" s="4"/>
      <c r="VQA53" s="4"/>
      <c r="VQB53" s="4"/>
      <c r="VQC53" s="4"/>
      <c r="VQD53" s="4"/>
      <c r="VQE53" s="4"/>
      <c r="VQF53" s="4"/>
      <c r="VQG53" s="4"/>
      <c r="VQH53" s="4"/>
      <c r="VQI53" s="4"/>
      <c r="VQJ53" s="4"/>
      <c r="VQK53" s="4"/>
      <c r="VQL53" s="4"/>
      <c r="VQM53" s="4"/>
      <c r="VQN53" s="4"/>
      <c r="VQO53" s="4"/>
      <c r="VQP53" s="4"/>
      <c r="VQQ53" s="4"/>
      <c r="VQR53" s="4"/>
      <c r="VQS53" s="4"/>
      <c r="VQT53" s="4"/>
      <c r="VQU53" s="4"/>
      <c r="VQV53" s="4"/>
      <c r="VQW53" s="4"/>
      <c r="VQX53" s="4"/>
      <c r="VQY53" s="4"/>
      <c r="VQZ53" s="4"/>
      <c r="VRA53" s="4"/>
      <c r="VRB53" s="4"/>
      <c r="VRC53" s="4"/>
      <c r="VRD53" s="4"/>
      <c r="VRE53" s="4"/>
      <c r="VRF53" s="4"/>
      <c r="VRG53" s="4"/>
      <c r="VRH53" s="4"/>
      <c r="VRI53" s="4"/>
      <c r="VRJ53" s="4"/>
      <c r="VRK53" s="4"/>
      <c r="VRL53" s="4"/>
      <c r="VRM53" s="4"/>
      <c r="VRN53" s="4"/>
      <c r="VRO53" s="4"/>
      <c r="VRP53" s="4"/>
      <c r="VRQ53" s="4"/>
      <c r="VRR53" s="4"/>
      <c r="VRS53" s="4"/>
      <c r="VRT53" s="4"/>
      <c r="VRU53" s="4"/>
      <c r="VRV53" s="4"/>
      <c r="VRW53" s="4"/>
      <c r="VRX53" s="4"/>
      <c r="VRY53" s="4"/>
      <c r="VRZ53" s="4"/>
      <c r="VSA53" s="4"/>
      <c r="VSB53" s="4"/>
      <c r="VSC53" s="4"/>
      <c r="VSD53" s="4"/>
      <c r="VSE53" s="4"/>
      <c r="VSF53" s="4"/>
      <c r="VSG53" s="4"/>
      <c r="VSH53" s="4"/>
      <c r="VSI53" s="4"/>
      <c r="VSJ53" s="4"/>
      <c r="VSK53" s="4"/>
      <c r="VSL53" s="4"/>
      <c r="VSM53" s="4"/>
      <c r="VSN53" s="4"/>
      <c r="VSO53" s="4"/>
      <c r="VSP53" s="4"/>
      <c r="VSQ53" s="4"/>
      <c r="VSR53" s="4"/>
      <c r="VSS53" s="4"/>
      <c r="VST53" s="4"/>
      <c r="VSU53" s="4"/>
      <c r="VSV53" s="4"/>
      <c r="VSW53" s="4"/>
      <c r="VSX53" s="4"/>
      <c r="VSY53" s="4"/>
      <c r="VSZ53" s="4"/>
      <c r="VTA53" s="4"/>
      <c r="VTB53" s="4"/>
      <c r="VTC53" s="4"/>
      <c r="VTD53" s="4"/>
      <c r="VTE53" s="4"/>
      <c r="VTF53" s="4"/>
      <c r="VTG53" s="4"/>
      <c r="VTH53" s="4"/>
      <c r="VTI53" s="4"/>
      <c r="VTJ53" s="4"/>
      <c r="VTK53" s="4"/>
      <c r="VTL53" s="4"/>
      <c r="VTM53" s="4"/>
      <c r="VTN53" s="4"/>
      <c r="VTO53" s="4"/>
      <c r="VTP53" s="4"/>
      <c r="VTQ53" s="4"/>
      <c r="VTR53" s="4"/>
      <c r="VTS53" s="4"/>
      <c r="VTT53" s="4"/>
      <c r="VTU53" s="4"/>
      <c r="VTV53" s="4"/>
      <c r="VTW53" s="4"/>
      <c r="VTX53" s="4"/>
      <c r="VTY53" s="4"/>
      <c r="VTZ53" s="4"/>
      <c r="VUA53" s="4"/>
      <c r="VUB53" s="4"/>
      <c r="VUC53" s="4"/>
      <c r="VUD53" s="4"/>
      <c r="VUE53" s="4"/>
      <c r="VUF53" s="4"/>
      <c r="VUG53" s="4"/>
      <c r="VUH53" s="4"/>
      <c r="VUI53" s="4"/>
      <c r="VUJ53" s="4"/>
      <c r="VUK53" s="4"/>
      <c r="VUL53" s="4"/>
      <c r="VUM53" s="4"/>
      <c r="VUN53" s="4"/>
      <c r="VUO53" s="4"/>
      <c r="VUP53" s="4"/>
      <c r="VUQ53" s="4"/>
      <c r="VUR53" s="4"/>
      <c r="VUS53" s="4"/>
      <c r="VUT53" s="4"/>
      <c r="VUU53" s="4"/>
      <c r="VUV53" s="4"/>
      <c r="VUW53" s="4"/>
      <c r="VUX53" s="4"/>
      <c r="VUY53" s="4"/>
      <c r="VUZ53" s="4"/>
      <c r="VVA53" s="4"/>
      <c r="VVB53" s="4"/>
      <c r="VVC53" s="4"/>
      <c r="VVD53" s="4"/>
      <c r="VVE53" s="4"/>
      <c r="VVF53" s="4"/>
      <c r="VVG53" s="4"/>
      <c r="VVH53" s="4"/>
      <c r="VVI53" s="4"/>
      <c r="VVJ53" s="4"/>
      <c r="VVK53" s="4"/>
      <c r="VVL53" s="4"/>
      <c r="VVM53" s="4"/>
      <c r="VVN53" s="4"/>
      <c r="VVO53" s="4"/>
      <c r="VVP53" s="4"/>
      <c r="VVQ53" s="4"/>
      <c r="VVR53" s="4"/>
      <c r="VVS53" s="4"/>
      <c r="VVT53" s="4"/>
      <c r="VVU53" s="4"/>
      <c r="VVV53" s="4"/>
      <c r="VVW53" s="4"/>
      <c r="VVX53" s="4"/>
      <c r="VVY53" s="4"/>
      <c r="VVZ53" s="4"/>
      <c r="VWA53" s="4"/>
      <c r="VWB53" s="4"/>
      <c r="VWC53" s="4"/>
      <c r="VWD53" s="4"/>
      <c r="VWE53" s="4"/>
      <c r="VWF53" s="4"/>
      <c r="VWG53" s="4"/>
      <c r="VWH53" s="4"/>
      <c r="VWI53" s="4"/>
      <c r="VWJ53" s="4"/>
      <c r="VWK53" s="4"/>
      <c r="VWL53" s="4"/>
      <c r="VWM53" s="4"/>
      <c r="VWN53" s="4"/>
      <c r="VWO53" s="4"/>
      <c r="VWP53" s="4"/>
      <c r="VWQ53" s="4"/>
      <c r="VWR53" s="4"/>
      <c r="VWS53" s="4"/>
      <c r="VWT53" s="4"/>
      <c r="VWU53" s="4"/>
      <c r="VWV53" s="4"/>
      <c r="VWW53" s="4"/>
      <c r="VWX53" s="4"/>
      <c r="VWY53" s="4"/>
      <c r="VWZ53" s="4"/>
      <c r="VXA53" s="4"/>
      <c r="VXB53" s="4"/>
      <c r="VXC53" s="4"/>
      <c r="VXD53" s="4"/>
      <c r="VXE53" s="4"/>
      <c r="VXF53" s="4"/>
      <c r="VXG53" s="4"/>
      <c r="VXH53" s="4"/>
      <c r="VXI53" s="4"/>
      <c r="VXJ53" s="4"/>
      <c r="VXK53" s="4"/>
      <c r="VXL53" s="4"/>
      <c r="VXM53" s="4"/>
      <c r="VXN53" s="4"/>
      <c r="VXO53" s="4"/>
      <c r="VXP53" s="4"/>
      <c r="VXQ53" s="4"/>
      <c r="VXR53" s="4"/>
      <c r="VXS53" s="4"/>
      <c r="VXT53" s="4"/>
      <c r="VXU53" s="4"/>
      <c r="VXV53" s="4"/>
      <c r="VXW53" s="4"/>
      <c r="VXX53" s="4"/>
      <c r="VXY53" s="4"/>
      <c r="VXZ53" s="4"/>
      <c r="VYA53" s="4"/>
      <c r="VYB53" s="4"/>
      <c r="VYC53" s="4"/>
      <c r="VYD53" s="4"/>
      <c r="VYE53" s="4"/>
      <c r="VYF53" s="4"/>
      <c r="VYG53" s="4"/>
      <c r="VYH53" s="4"/>
      <c r="VYI53" s="4"/>
      <c r="VYJ53" s="4"/>
      <c r="VYK53" s="4"/>
      <c r="VYL53" s="4"/>
      <c r="VYM53" s="4"/>
      <c r="VYN53" s="4"/>
      <c r="VYO53" s="4"/>
      <c r="VYP53" s="4"/>
      <c r="VYQ53" s="4"/>
      <c r="VYR53" s="4"/>
      <c r="VYS53" s="4"/>
      <c r="VYT53" s="4"/>
      <c r="VYU53" s="4"/>
      <c r="VYV53" s="4"/>
      <c r="VYW53" s="4"/>
      <c r="VYX53" s="4"/>
      <c r="VYY53" s="4"/>
      <c r="VYZ53" s="4"/>
      <c r="VZA53" s="4"/>
      <c r="VZB53" s="4"/>
      <c r="VZC53" s="4"/>
      <c r="VZD53" s="4"/>
      <c r="VZE53" s="4"/>
      <c r="VZF53" s="4"/>
      <c r="VZG53" s="4"/>
      <c r="VZH53" s="4"/>
      <c r="VZI53" s="4"/>
      <c r="VZJ53" s="4"/>
      <c r="VZK53" s="4"/>
      <c r="VZL53" s="4"/>
      <c r="VZM53" s="4"/>
      <c r="VZN53" s="4"/>
      <c r="VZO53" s="4"/>
      <c r="VZP53" s="4"/>
      <c r="VZQ53" s="4"/>
      <c r="VZR53" s="4"/>
      <c r="VZS53" s="4"/>
      <c r="VZT53" s="4"/>
      <c r="VZU53" s="4"/>
      <c r="VZV53" s="4"/>
      <c r="VZW53" s="4"/>
      <c r="VZX53" s="4"/>
      <c r="VZY53" s="4"/>
      <c r="VZZ53" s="4"/>
      <c r="WAA53" s="4"/>
      <c r="WAB53" s="4"/>
      <c r="WAC53" s="4"/>
      <c r="WAD53" s="4"/>
      <c r="WAE53" s="4"/>
      <c r="WAF53" s="4"/>
      <c r="WAG53" s="4"/>
      <c r="WAH53" s="4"/>
      <c r="WAI53" s="4"/>
      <c r="WAJ53" s="4"/>
      <c r="WAK53" s="4"/>
      <c r="WAL53" s="4"/>
      <c r="WAM53" s="4"/>
      <c r="WAN53" s="4"/>
      <c r="WAO53" s="4"/>
      <c r="WAP53" s="4"/>
      <c r="WAQ53" s="4"/>
      <c r="WAR53" s="4"/>
      <c r="WAS53" s="4"/>
      <c r="WAT53" s="4"/>
      <c r="WAU53" s="4"/>
      <c r="WAV53" s="4"/>
      <c r="WAW53" s="4"/>
      <c r="WAX53" s="4"/>
      <c r="WAY53" s="4"/>
      <c r="WAZ53" s="4"/>
      <c r="WBA53" s="4"/>
      <c r="WBB53" s="4"/>
      <c r="WBC53" s="4"/>
      <c r="WBD53" s="4"/>
      <c r="WBE53" s="4"/>
      <c r="WBF53" s="4"/>
      <c r="WBG53" s="4"/>
      <c r="WBH53" s="4"/>
      <c r="WBI53" s="4"/>
      <c r="WBJ53" s="4"/>
      <c r="WBK53" s="4"/>
      <c r="WBL53" s="4"/>
      <c r="WBM53" s="4"/>
      <c r="WBN53" s="4"/>
      <c r="WBO53" s="4"/>
      <c r="WBP53" s="4"/>
      <c r="WBQ53" s="4"/>
      <c r="WBR53" s="4"/>
      <c r="WBS53" s="4"/>
      <c r="WBT53" s="4"/>
      <c r="WBU53" s="4"/>
      <c r="WBV53" s="4"/>
      <c r="WBW53" s="4"/>
      <c r="WBX53" s="4"/>
      <c r="WBY53" s="4"/>
      <c r="WBZ53" s="4"/>
      <c r="WCA53" s="4"/>
      <c r="WCB53" s="4"/>
      <c r="WCC53" s="4"/>
      <c r="WCD53" s="4"/>
      <c r="WCE53" s="4"/>
      <c r="WCF53" s="4"/>
      <c r="WCG53" s="4"/>
      <c r="WCH53" s="4"/>
      <c r="WCI53" s="4"/>
      <c r="WCJ53" s="4"/>
      <c r="WCK53" s="4"/>
      <c r="WCL53" s="4"/>
      <c r="WCM53" s="4"/>
      <c r="WCN53" s="4"/>
      <c r="WCO53" s="4"/>
      <c r="WCP53" s="4"/>
      <c r="WCQ53" s="4"/>
      <c r="WCR53" s="4"/>
      <c r="WCS53" s="4"/>
      <c r="WCT53" s="4"/>
      <c r="WCU53" s="4"/>
      <c r="WCV53" s="4"/>
      <c r="WCW53" s="4"/>
      <c r="WCX53" s="4"/>
      <c r="WCY53" s="4"/>
      <c r="WCZ53" s="4"/>
      <c r="WDA53" s="4"/>
      <c r="WDB53" s="4"/>
      <c r="WDC53" s="4"/>
      <c r="WDD53" s="4"/>
      <c r="WDE53" s="4"/>
      <c r="WDF53" s="4"/>
      <c r="WDG53" s="4"/>
      <c r="WDH53" s="4"/>
      <c r="WDI53" s="4"/>
      <c r="WDJ53" s="4"/>
      <c r="WDK53" s="4"/>
      <c r="WDL53" s="4"/>
      <c r="WDM53" s="4"/>
      <c r="WDN53" s="4"/>
      <c r="WDO53" s="4"/>
      <c r="WDP53" s="4"/>
      <c r="WDQ53" s="4"/>
      <c r="WDR53" s="4"/>
      <c r="WDS53" s="4"/>
      <c r="WDT53" s="4"/>
      <c r="WDU53" s="4"/>
      <c r="WDV53" s="4"/>
      <c r="WDW53" s="4"/>
      <c r="WDX53" s="4"/>
      <c r="WDY53" s="4"/>
      <c r="WDZ53" s="4"/>
      <c r="WEA53" s="4"/>
      <c r="WEB53" s="4"/>
      <c r="WEC53" s="4"/>
      <c r="WED53" s="4"/>
      <c r="WEE53" s="4"/>
      <c r="WEF53" s="4"/>
      <c r="WEG53" s="4"/>
      <c r="WEH53" s="4"/>
      <c r="WEI53" s="4"/>
      <c r="WEJ53" s="4"/>
      <c r="WEK53" s="4"/>
      <c r="WEL53" s="4"/>
      <c r="WEM53" s="4"/>
      <c r="WEN53" s="4"/>
      <c r="WEO53" s="4"/>
      <c r="WEP53" s="4"/>
      <c r="WEQ53" s="4"/>
      <c r="WER53" s="4"/>
      <c r="WES53" s="4"/>
      <c r="WET53" s="4"/>
      <c r="WEU53" s="4"/>
      <c r="WEV53" s="4"/>
      <c r="WEW53" s="4"/>
      <c r="WEX53" s="4"/>
      <c r="WEY53" s="4"/>
      <c r="WEZ53" s="4"/>
      <c r="WFA53" s="4"/>
      <c r="WFB53" s="4"/>
      <c r="WFC53" s="4"/>
      <c r="WFD53" s="4"/>
      <c r="WFE53" s="4"/>
      <c r="WFF53" s="4"/>
      <c r="WFG53" s="4"/>
      <c r="WFH53" s="4"/>
      <c r="WFI53" s="4"/>
      <c r="WFJ53" s="4"/>
      <c r="WFK53" s="4"/>
      <c r="WFL53" s="4"/>
      <c r="WFM53" s="4"/>
      <c r="WFN53" s="4"/>
      <c r="WFO53" s="4"/>
      <c r="WFP53" s="4"/>
      <c r="WFQ53" s="4"/>
      <c r="WFR53" s="4"/>
      <c r="WFS53" s="4"/>
      <c r="WFT53" s="4"/>
      <c r="WFU53" s="4"/>
      <c r="WFV53" s="4"/>
      <c r="WFW53" s="4"/>
      <c r="WFX53" s="4"/>
      <c r="WFY53" s="4"/>
      <c r="WFZ53" s="4"/>
      <c r="WGA53" s="4"/>
      <c r="WGB53" s="4"/>
      <c r="WGC53" s="4"/>
      <c r="WGD53" s="4"/>
      <c r="WGE53" s="4"/>
      <c r="WGF53" s="4"/>
      <c r="WGG53" s="4"/>
      <c r="WGH53" s="4"/>
      <c r="WGI53" s="4"/>
      <c r="WGJ53" s="4"/>
      <c r="WGK53" s="4"/>
      <c r="WGL53" s="4"/>
      <c r="WGM53" s="4"/>
      <c r="WGN53" s="4"/>
      <c r="WGO53" s="4"/>
      <c r="WGP53" s="4"/>
      <c r="WGQ53" s="4"/>
      <c r="WGR53" s="4"/>
      <c r="WGS53" s="4"/>
      <c r="WGT53" s="4"/>
      <c r="WGU53" s="4"/>
      <c r="WGV53" s="4"/>
      <c r="WGW53" s="4"/>
      <c r="WGX53" s="4"/>
      <c r="WGY53" s="4"/>
      <c r="WGZ53" s="4"/>
      <c r="WHA53" s="4"/>
      <c r="WHB53" s="4"/>
      <c r="WHC53" s="4"/>
      <c r="WHD53" s="4"/>
      <c r="WHE53" s="4"/>
      <c r="WHF53" s="4"/>
      <c r="WHG53" s="4"/>
      <c r="WHH53" s="4"/>
      <c r="WHI53" s="4"/>
      <c r="WHJ53" s="4"/>
      <c r="WHK53" s="4"/>
      <c r="WHL53" s="4"/>
      <c r="WHM53" s="4"/>
      <c r="WHN53" s="4"/>
      <c r="WHO53" s="4"/>
      <c r="WHP53" s="4"/>
      <c r="WHQ53" s="4"/>
      <c r="WHR53" s="4"/>
      <c r="WHS53" s="4"/>
      <c r="WHT53" s="4"/>
      <c r="WHU53" s="4"/>
      <c r="WHV53" s="4"/>
      <c r="WHW53" s="4"/>
      <c r="WHX53" s="4"/>
      <c r="WHY53" s="4"/>
      <c r="WHZ53" s="4"/>
      <c r="WIA53" s="4"/>
      <c r="WIB53" s="4"/>
      <c r="WIC53" s="4"/>
      <c r="WID53" s="4"/>
      <c r="WIE53" s="4"/>
      <c r="WIF53" s="4"/>
      <c r="WIG53" s="4"/>
      <c r="WIH53" s="4"/>
      <c r="WII53" s="4"/>
      <c r="WIJ53" s="4"/>
      <c r="WIK53" s="4"/>
      <c r="WIL53" s="4"/>
      <c r="WIM53" s="4"/>
      <c r="WIN53" s="4"/>
      <c r="WIO53" s="4"/>
      <c r="WIP53" s="4"/>
      <c r="WIQ53" s="4"/>
      <c r="WIR53" s="4"/>
      <c r="WIS53" s="4"/>
      <c r="WIT53" s="4"/>
      <c r="WIU53" s="4"/>
      <c r="WIV53" s="4"/>
      <c r="WIW53" s="4"/>
      <c r="WIX53" s="4"/>
      <c r="WIY53" s="4"/>
      <c r="WIZ53" s="4"/>
      <c r="WJA53" s="4"/>
      <c r="WJB53" s="4"/>
      <c r="WJC53" s="4"/>
      <c r="WJD53" s="4"/>
      <c r="WJE53" s="4"/>
      <c r="WJF53" s="4"/>
      <c r="WJG53" s="4"/>
      <c r="WJH53" s="4"/>
      <c r="WJI53" s="4"/>
      <c r="WJJ53" s="4"/>
      <c r="WJK53" s="4"/>
      <c r="WJL53" s="4"/>
      <c r="WJM53" s="4"/>
      <c r="WJN53" s="4"/>
      <c r="WJO53" s="4"/>
      <c r="WJP53" s="4"/>
      <c r="WJQ53" s="4"/>
      <c r="WJR53" s="4"/>
      <c r="WJS53" s="4"/>
      <c r="WJT53" s="4"/>
      <c r="WJU53" s="4"/>
      <c r="WJV53" s="4"/>
      <c r="WJW53" s="4"/>
      <c r="WJX53" s="4"/>
      <c r="WJY53" s="4"/>
      <c r="WJZ53" s="4"/>
      <c r="WKA53" s="4"/>
      <c r="WKB53" s="4"/>
      <c r="WKC53" s="4"/>
      <c r="WKD53" s="4"/>
      <c r="WKE53" s="4"/>
      <c r="WKF53" s="4"/>
      <c r="WKG53" s="4"/>
      <c r="WKH53" s="4"/>
      <c r="WKI53" s="4"/>
      <c r="WKJ53" s="4"/>
      <c r="WKK53" s="4"/>
      <c r="WKL53" s="4"/>
      <c r="WKM53" s="4"/>
      <c r="WKN53" s="4"/>
      <c r="WKO53" s="4"/>
      <c r="WKP53" s="4"/>
      <c r="WKQ53" s="4"/>
      <c r="WKR53" s="4"/>
      <c r="WKS53" s="4"/>
      <c r="WKT53" s="4"/>
      <c r="WKU53" s="4"/>
      <c r="WKV53" s="4"/>
      <c r="WKW53" s="4"/>
      <c r="WKX53" s="4"/>
      <c r="WKY53" s="4"/>
      <c r="WKZ53" s="4"/>
      <c r="WLA53" s="4"/>
      <c r="WLB53" s="4"/>
      <c r="WLC53" s="4"/>
      <c r="WLD53" s="4"/>
      <c r="WLE53" s="4"/>
      <c r="WLF53" s="4"/>
      <c r="WLG53" s="4"/>
      <c r="WLH53" s="4"/>
      <c r="WLI53" s="4"/>
      <c r="WLJ53" s="4"/>
      <c r="WLK53" s="4"/>
      <c r="WLL53" s="4"/>
      <c r="WLM53" s="4"/>
      <c r="WLN53" s="4"/>
      <c r="WLO53" s="4"/>
      <c r="WLP53" s="4"/>
      <c r="WLQ53" s="4"/>
      <c r="WLR53" s="4"/>
      <c r="WLS53" s="4"/>
      <c r="WLT53" s="4"/>
      <c r="WLU53" s="4"/>
      <c r="WLV53" s="4"/>
      <c r="WLW53" s="4"/>
      <c r="WLX53" s="4"/>
      <c r="WLY53" s="4"/>
      <c r="WLZ53" s="4"/>
      <c r="WMA53" s="4"/>
      <c r="WMB53" s="4"/>
      <c r="WMC53" s="4"/>
      <c r="WMD53" s="4"/>
      <c r="WME53" s="4"/>
      <c r="WMF53" s="4"/>
      <c r="WMG53" s="4"/>
      <c r="WMH53" s="4"/>
      <c r="WMI53" s="4"/>
      <c r="WMJ53" s="4"/>
      <c r="WMK53" s="4"/>
      <c r="WML53" s="4"/>
      <c r="WMM53" s="4"/>
      <c r="WMN53" s="4"/>
      <c r="WMO53" s="4"/>
      <c r="WMP53" s="4"/>
      <c r="WMQ53" s="4"/>
      <c r="WMR53" s="4"/>
      <c r="WMS53" s="4"/>
      <c r="WMT53" s="4"/>
      <c r="WMU53" s="4"/>
      <c r="WMV53" s="4"/>
      <c r="WMW53" s="4"/>
      <c r="WMX53" s="4"/>
      <c r="WMY53" s="4"/>
      <c r="WMZ53" s="4"/>
      <c r="WNA53" s="4"/>
      <c r="WNB53" s="4"/>
      <c r="WNC53" s="4"/>
      <c r="WND53" s="4"/>
      <c r="WNE53" s="4"/>
      <c r="WNF53" s="4"/>
      <c r="WNG53" s="4"/>
      <c r="WNH53" s="4"/>
      <c r="WNI53" s="4"/>
      <c r="WNJ53" s="4"/>
      <c r="WNK53" s="4"/>
      <c r="WNL53" s="4"/>
      <c r="WNM53" s="4"/>
      <c r="WNN53" s="4"/>
      <c r="WNO53" s="4"/>
      <c r="WNP53" s="4"/>
      <c r="WNQ53" s="4"/>
      <c r="WNR53" s="4"/>
      <c r="WNS53" s="4"/>
      <c r="WNT53" s="4"/>
      <c r="WNU53" s="4"/>
      <c r="WNV53" s="4"/>
      <c r="WNW53" s="4"/>
      <c r="WNX53" s="4"/>
      <c r="WNY53" s="4"/>
      <c r="WNZ53" s="4"/>
      <c r="WOA53" s="4"/>
      <c r="WOB53" s="4"/>
      <c r="WOC53" s="4"/>
      <c r="WOD53" s="4"/>
      <c r="WOE53" s="4"/>
      <c r="WOF53" s="4"/>
      <c r="WOG53" s="4"/>
      <c r="WOH53" s="4"/>
      <c r="WOI53" s="4"/>
      <c r="WOJ53" s="4"/>
      <c r="WOK53" s="4"/>
      <c r="WOL53" s="4"/>
      <c r="WOM53" s="4"/>
      <c r="WON53" s="4"/>
      <c r="WOO53" s="4"/>
      <c r="WOP53" s="4"/>
      <c r="WOQ53" s="4"/>
      <c r="WOR53" s="4"/>
      <c r="WOS53" s="4"/>
      <c r="WOT53" s="4"/>
      <c r="WOU53" s="4"/>
      <c r="WOV53" s="4"/>
      <c r="WOW53" s="4"/>
      <c r="WOX53" s="4"/>
      <c r="WOY53" s="4"/>
      <c r="WOZ53" s="4"/>
      <c r="WPA53" s="4"/>
      <c r="WPB53" s="4"/>
      <c r="WPC53" s="4"/>
      <c r="WPD53" s="4"/>
      <c r="WPE53" s="4"/>
      <c r="WPF53" s="4"/>
      <c r="WPG53" s="4"/>
      <c r="WPH53" s="4"/>
      <c r="WPI53" s="4"/>
      <c r="WPJ53" s="4"/>
      <c r="WPK53" s="4"/>
      <c r="WPL53" s="4"/>
      <c r="WPM53" s="4"/>
      <c r="WPN53" s="4"/>
      <c r="WPO53" s="4"/>
      <c r="WPP53" s="4"/>
      <c r="WPQ53" s="4"/>
      <c r="WPR53" s="4"/>
      <c r="WPS53" s="4"/>
      <c r="WPT53" s="4"/>
      <c r="WPU53" s="4"/>
      <c r="WPV53" s="4"/>
      <c r="WPW53" s="4"/>
      <c r="WPX53" s="4"/>
      <c r="WPY53" s="4"/>
      <c r="WPZ53" s="4"/>
      <c r="WQA53" s="4"/>
      <c r="WQB53" s="4"/>
      <c r="WQC53" s="4"/>
      <c r="WQD53" s="4"/>
      <c r="WQE53" s="4"/>
      <c r="WQF53" s="4"/>
      <c r="WQG53" s="4"/>
      <c r="WQH53" s="4"/>
      <c r="WQI53" s="4"/>
      <c r="WQJ53" s="4"/>
      <c r="WQK53" s="4"/>
      <c r="WQL53" s="4"/>
      <c r="WQM53" s="4"/>
      <c r="WQN53" s="4"/>
      <c r="WQO53" s="4"/>
      <c r="WQP53" s="4"/>
      <c r="WQQ53" s="4"/>
      <c r="WQR53" s="4"/>
      <c r="WQS53" s="4"/>
      <c r="WQT53" s="4"/>
      <c r="WQU53" s="4"/>
      <c r="WQV53" s="4"/>
      <c r="WQW53" s="4"/>
      <c r="WQX53" s="4"/>
      <c r="WQY53" s="4"/>
      <c r="WQZ53" s="4"/>
      <c r="WRA53" s="4"/>
      <c r="WRB53" s="4"/>
      <c r="WRC53" s="4"/>
      <c r="WRD53" s="4"/>
      <c r="WRE53" s="4"/>
      <c r="WRF53" s="4"/>
      <c r="WRG53" s="4"/>
      <c r="WRH53" s="4"/>
      <c r="WRI53" s="4"/>
      <c r="WRJ53" s="4"/>
      <c r="WRK53" s="4"/>
      <c r="WRL53" s="4"/>
      <c r="WRM53" s="4"/>
      <c r="WRN53" s="4"/>
      <c r="WRO53" s="4"/>
      <c r="WRP53" s="4"/>
      <c r="WRQ53" s="4"/>
      <c r="WRR53" s="4"/>
      <c r="WRS53" s="4"/>
      <c r="WRT53" s="4"/>
      <c r="WRU53" s="4"/>
      <c r="WRV53" s="4"/>
      <c r="WRW53" s="4"/>
      <c r="WRX53" s="4"/>
      <c r="WRY53" s="4"/>
      <c r="WRZ53" s="4"/>
      <c r="WSA53" s="4"/>
      <c r="WSB53" s="4"/>
      <c r="WSC53" s="4"/>
      <c r="WSD53" s="4"/>
      <c r="WSE53" s="4"/>
      <c r="WSF53" s="4"/>
      <c r="WSG53" s="4"/>
      <c r="WSH53" s="4"/>
      <c r="WSI53" s="4"/>
      <c r="WSJ53" s="4"/>
      <c r="WSK53" s="4"/>
      <c r="WSL53" s="4"/>
      <c r="WSM53" s="4"/>
      <c r="WSN53" s="4"/>
      <c r="WSO53" s="4"/>
      <c r="WSP53" s="4"/>
      <c r="WSQ53" s="4"/>
      <c r="WSR53" s="4"/>
      <c r="WSS53" s="4"/>
      <c r="WST53" s="4"/>
      <c r="WSU53" s="4"/>
      <c r="WSV53" s="4"/>
      <c r="WSW53" s="4"/>
      <c r="WSX53" s="4"/>
      <c r="WSY53" s="4"/>
      <c r="WSZ53" s="4"/>
      <c r="WTA53" s="4"/>
      <c r="WTB53" s="4"/>
      <c r="WTC53" s="4"/>
      <c r="WTD53" s="4"/>
      <c r="WTE53" s="4"/>
      <c r="WTF53" s="4"/>
      <c r="WTG53" s="4"/>
      <c r="WTH53" s="4"/>
      <c r="WTI53" s="4"/>
      <c r="WTJ53" s="4"/>
      <c r="WTK53" s="4"/>
      <c r="WTL53" s="4"/>
      <c r="WTM53" s="4"/>
      <c r="WTN53" s="4"/>
      <c r="WTO53" s="4"/>
      <c r="WTP53" s="4"/>
      <c r="WTQ53" s="4"/>
      <c r="WTR53" s="4"/>
      <c r="WTS53" s="4"/>
      <c r="WTT53" s="4"/>
      <c r="WTU53" s="4"/>
      <c r="WTV53" s="4"/>
      <c r="WTW53" s="4"/>
      <c r="WTX53" s="4"/>
      <c r="WTY53" s="4"/>
      <c r="WTZ53" s="4"/>
      <c r="WUA53" s="4"/>
      <c r="WUB53" s="4"/>
      <c r="WUC53" s="4"/>
      <c r="WUD53" s="4"/>
      <c r="WUE53" s="4"/>
      <c r="WUF53" s="4"/>
      <c r="WUG53" s="4"/>
      <c r="WUH53" s="4"/>
      <c r="WUI53" s="4"/>
      <c r="WUJ53" s="4"/>
      <c r="WUK53" s="4"/>
      <c r="WUL53" s="4"/>
      <c r="WUM53" s="4"/>
      <c r="WUN53" s="4"/>
      <c r="WUO53" s="4"/>
      <c r="WUP53" s="4"/>
      <c r="WUQ53" s="4"/>
      <c r="WUR53" s="4"/>
      <c r="WUS53" s="4"/>
      <c r="WUT53" s="4"/>
      <c r="WUU53" s="4"/>
      <c r="WUV53" s="4"/>
      <c r="WUW53" s="4"/>
      <c r="WUX53" s="4"/>
      <c r="WUY53" s="4"/>
      <c r="WUZ53" s="4"/>
      <c r="WVA53" s="4"/>
      <c r="WVB53" s="4"/>
      <c r="WVC53" s="4"/>
      <c r="WVD53" s="4"/>
      <c r="WVE53" s="4"/>
      <c r="WVF53" s="4"/>
      <c r="WVG53" s="4"/>
      <c r="WVH53" s="4"/>
      <c r="WVI53" s="4"/>
      <c r="WVJ53" s="4"/>
      <c r="WVK53" s="4"/>
      <c r="WVL53" s="4"/>
      <c r="WVM53" s="4"/>
      <c r="WVN53" s="4"/>
      <c r="WVO53" s="4"/>
      <c r="WVP53" s="4"/>
      <c r="WVQ53" s="4"/>
      <c r="WVR53" s="4"/>
      <c r="WVS53" s="4"/>
      <c r="WVT53" s="4"/>
      <c r="WVU53" s="4"/>
      <c r="WVV53" s="4"/>
      <c r="WVW53" s="4"/>
      <c r="WVX53" s="4"/>
      <c r="WVY53" s="4"/>
      <c r="WVZ53" s="4"/>
      <c r="WWA53" s="4"/>
      <c r="WWB53" s="4"/>
      <c r="WWC53" s="4"/>
      <c r="WWD53" s="4"/>
      <c r="WWE53" s="4"/>
      <c r="WWF53" s="4"/>
      <c r="WWG53" s="4"/>
      <c r="WWH53" s="4"/>
      <c r="WWI53" s="4"/>
      <c r="WWJ53" s="4"/>
      <c r="WWK53" s="4"/>
      <c r="WWL53" s="4"/>
      <c r="WWM53" s="4"/>
      <c r="WWN53" s="4"/>
      <c r="WWO53" s="4"/>
      <c r="WWP53" s="4"/>
      <c r="WWQ53" s="4"/>
      <c r="WWR53" s="4"/>
      <c r="WWS53" s="4"/>
      <c r="WWT53" s="4"/>
      <c r="WWU53" s="4"/>
      <c r="WWV53" s="4"/>
      <c r="WWW53" s="4"/>
      <c r="WWX53" s="4"/>
      <c r="WWY53" s="4"/>
      <c r="WWZ53" s="4"/>
      <c r="WXA53" s="4"/>
      <c r="WXB53" s="4"/>
      <c r="WXC53" s="4"/>
      <c r="WXD53" s="4"/>
      <c r="WXE53" s="4"/>
      <c r="WXF53" s="4"/>
      <c r="WXG53" s="4"/>
      <c r="WXH53" s="4"/>
      <c r="WXI53" s="4"/>
      <c r="WXJ53" s="4"/>
      <c r="WXK53" s="4"/>
      <c r="WXL53" s="4"/>
      <c r="WXM53" s="4"/>
      <c r="WXN53" s="4"/>
      <c r="WXO53" s="4"/>
      <c r="WXP53" s="4"/>
      <c r="WXQ53" s="4"/>
      <c r="WXR53" s="4"/>
      <c r="WXS53" s="4"/>
      <c r="WXT53" s="4"/>
      <c r="WXU53" s="4"/>
      <c r="WXV53" s="4"/>
      <c r="WXW53" s="4"/>
      <c r="WXX53" s="4"/>
      <c r="WXY53" s="4"/>
      <c r="WXZ53" s="4"/>
      <c r="WYA53" s="4"/>
      <c r="WYB53" s="4"/>
      <c r="WYC53" s="4"/>
      <c r="WYD53" s="4"/>
      <c r="WYE53" s="4"/>
      <c r="WYF53" s="4"/>
      <c r="WYG53" s="4"/>
      <c r="WYH53" s="4"/>
      <c r="WYI53" s="4"/>
      <c r="WYJ53" s="4"/>
      <c r="WYK53" s="4"/>
      <c r="WYL53" s="4"/>
      <c r="WYM53" s="4"/>
      <c r="WYN53" s="4"/>
      <c r="WYO53" s="4"/>
      <c r="WYP53" s="4"/>
      <c r="WYQ53" s="4"/>
      <c r="WYR53" s="4"/>
      <c r="WYS53" s="4"/>
      <c r="WYT53" s="4"/>
      <c r="WYU53" s="4"/>
      <c r="WYV53" s="4"/>
      <c r="WYW53" s="4"/>
      <c r="WYX53" s="4"/>
      <c r="WYY53" s="4"/>
      <c r="WYZ53" s="4"/>
      <c r="WZA53" s="4"/>
      <c r="WZB53" s="4"/>
      <c r="WZC53" s="4"/>
      <c r="WZD53" s="4"/>
      <c r="WZE53" s="4"/>
      <c r="WZF53" s="4"/>
      <c r="WZG53" s="4"/>
      <c r="WZH53" s="4"/>
      <c r="WZI53" s="4"/>
      <c r="WZJ53" s="4"/>
      <c r="WZK53" s="4"/>
      <c r="WZL53" s="4"/>
      <c r="WZM53" s="4"/>
      <c r="WZN53" s="4"/>
      <c r="WZO53" s="4"/>
      <c r="WZP53" s="4"/>
      <c r="WZQ53" s="4"/>
      <c r="WZR53" s="4"/>
      <c r="WZS53" s="4"/>
      <c r="WZT53" s="4"/>
      <c r="WZU53" s="4"/>
      <c r="WZV53" s="4"/>
      <c r="WZW53" s="4"/>
      <c r="WZX53" s="4"/>
      <c r="WZY53" s="4"/>
      <c r="WZZ53" s="4"/>
      <c r="XAA53" s="4"/>
      <c r="XAB53" s="4"/>
      <c r="XAC53" s="4"/>
      <c r="XAD53" s="4"/>
      <c r="XAE53" s="4"/>
      <c r="XAF53" s="4"/>
      <c r="XAG53" s="4"/>
      <c r="XAH53" s="4"/>
      <c r="XAI53" s="4"/>
      <c r="XAJ53" s="4"/>
      <c r="XAK53" s="4"/>
      <c r="XAL53" s="4"/>
      <c r="XAM53" s="4"/>
      <c r="XAN53" s="4"/>
      <c r="XAO53" s="4"/>
      <c r="XAP53" s="4"/>
      <c r="XAQ53" s="4"/>
      <c r="XAR53" s="4"/>
      <c r="XAS53" s="4"/>
      <c r="XAT53" s="4"/>
      <c r="XAU53" s="4"/>
      <c r="XAV53" s="4"/>
      <c r="XAW53" s="4"/>
      <c r="XAX53" s="4"/>
      <c r="XAY53" s="4"/>
      <c r="XAZ53" s="4"/>
      <c r="XBA53" s="4"/>
      <c r="XBB53" s="4"/>
      <c r="XBC53" s="4"/>
      <c r="XBD53" s="4"/>
      <c r="XBE53" s="4"/>
      <c r="XBF53" s="4"/>
      <c r="XBG53" s="4"/>
      <c r="XBH53" s="4"/>
      <c r="XBI53" s="4"/>
      <c r="XBJ53" s="4"/>
      <c r="XBK53" s="4"/>
      <c r="XBL53" s="4"/>
      <c r="XBM53" s="4"/>
      <c r="XBN53" s="4"/>
      <c r="XBO53" s="4"/>
      <c r="XBP53" s="4"/>
      <c r="XBQ53" s="4"/>
      <c r="XBR53" s="4"/>
      <c r="XBS53" s="4"/>
      <c r="XBT53" s="4"/>
      <c r="XBU53" s="4"/>
      <c r="XBV53" s="4"/>
      <c r="XBW53" s="4"/>
      <c r="XBX53" s="4"/>
      <c r="XBY53" s="4"/>
      <c r="XBZ53" s="4"/>
      <c r="XCA53" s="4"/>
      <c r="XCB53" s="4"/>
      <c r="XCC53" s="4"/>
      <c r="XCD53" s="4"/>
      <c r="XCE53" s="4"/>
      <c r="XCF53" s="4"/>
      <c r="XCG53" s="4"/>
      <c r="XCH53" s="4"/>
      <c r="XCI53" s="4"/>
      <c r="XCJ53" s="4"/>
      <c r="XCK53" s="4"/>
      <c r="XCL53" s="4"/>
      <c r="XCM53" s="4"/>
      <c r="XCN53" s="4"/>
      <c r="XCO53" s="4"/>
      <c r="XCP53" s="4"/>
      <c r="XCQ53" s="4"/>
      <c r="XCR53" s="4"/>
      <c r="XCS53" s="4"/>
      <c r="XCT53" s="4"/>
      <c r="XCU53" s="4"/>
      <c r="XCV53" s="4"/>
      <c r="XCW53" s="4"/>
      <c r="XCX53" s="4"/>
      <c r="XCY53" s="4"/>
      <c r="XCZ53" s="4"/>
      <c r="XDA53" s="4"/>
      <c r="XDB53" s="4"/>
      <c r="XDC53" s="4"/>
      <c r="XDD53" s="4"/>
      <c r="XDE53" s="4"/>
      <c r="XDF53" s="4"/>
      <c r="XDG53" s="4"/>
      <c r="XDH53" s="4"/>
      <c r="XDI53" s="4"/>
      <c r="XDJ53" s="4"/>
      <c r="XDK53" s="4"/>
      <c r="XDL53" s="4"/>
      <c r="XDM53" s="4"/>
      <c r="XDN53" s="4"/>
      <c r="XDO53" s="4"/>
      <c r="XDP53" s="4"/>
      <c r="XDQ53" s="4"/>
      <c r="XDR53" s="4"/>
      <c r="XDS53" s="4"/>
      <c r="XDT53" s="4"/>
      <c r="XDU53" s="4"/>
      <c r="XDV53" s="4"/>
      <c r="XDW53" s="4"/>
      <c r="XDX53" s="4"/>
      <c r="XDY53" s="4"/>
      <c r="XDZ53" s="4"/>
      <c r="XEA53" s="4"/>
      <c r="XEB53" s="4"/>
      <c r="XEC53" s="4"/>
      <c r="XED53" s="4"/>
      <c r="XEE53" s="4"/>
      <c r="XEF53" s="4"/>
      <c r="XEG53" s="4"/>
      <c r="XEH53" s="4"/>
      <c r="XEI53" s="4"/>
      <c r="XEJ53" s="4"/>
      <c r="XEK53" s="4"/>
      <c r="XEL53" s="4"/>
      <c r="XEM53" s="4"/>
      <c r="XEN53" s="4"/>
      <c r="XEO53" s="4"/>
      <c r="XEP53" s="4"/>
      <c r="XEQ53" s="4"/>
      <c r="XER53" s="4"/>
      <c r="XES53" s="4"/>
      <c r="XET53" s="4"/>
      <c r="XEU53" s="4"/>
      <c r="XEV53" s="4"/>
      <c r="XEW53" s="4"/>
      <c r="XEX53" s="4"/>
      <c r="XEY53" s="4"/>
      <c r="XEZ53" s="4"/>
      <c r="XFA53" s="4"/>
      <c r="XFB53" s="4"/>
      <c r="XFC53" s="4"/>
      <c r="XFD53" s="4"/>
    </row>
    <row r="54" spans="1:13 1026:16384" x14ac:dyDescent="0.3">
      <c r="A54" s="40" t="s">
        <v>55</v>
      </c>
      <c r="B54" s="71" t="s">
        <v>56</v>
      </c>
      <c r="C54" s="71" t="s">
        <v>57</v>
      </c>
      <c r="D54" s="71" t="s">
        <v>58</v>
      </c>
      <c r="F54" s="4"/>
      <c r="AML54" s="4"/>
      <c r="AMM54" s="4"/>
      <c r="AMN54" s="4"/>
      <c r="AMO54" s="4"/>
      <c r="AMP54" s="4"/>
      <c r="AMQ54" s="4"/>
      <c r="AMR54" s="4"/>
      <c r="AMS54" s="4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  <c r="ASV54" s="4"/>
      <c r="ASW54" s="4"/>
      <c r="ASX54" s="4"/>
      <c r="ASY54" s="4"/>
      <c r="ASZ54" s="4"/>
      <c r="ATA54" s="4"/>
      <c r="ATB54" s="4"/>
      <c r="ATC54" s="4"/>
      <c r="ATD54" s="4"/>
      <c r="ATE54" s="4"/>
      <c r="ATF54" s="4"/>
      <c r="ATG54" s="4"/>
      <c r="ATH54" s="4"/>
      <c r="ATI54" s="4"/>
      <c r="ATJ54" s="4"/>
      <c r="ATK54" s="4"/>
      <c r="ATL54" s="4"/>
      <c r="ATM54" s="4"/>
      <c r="ATN54" s="4"/>
      <c r="ATO54" s="4"/>
      <c r="ATP54" s="4"/>
      <c r="ATQ54" s="4"/>
      <c r="ATR54" s="4"/>
      <c r="ATS54" s="4"/>
      <c r="ATT54" s="4"/>
      <c r="ATU54" s="4"/>
      <c r="ATV54" s="4"/>
      <c r="ATW54" s="4"/>
      <c r="ATX54" s="4"/>
      <c r="ATY54" s="4"/>
      <c r="ATZ54" s="4"/>
      <c r="AUA54" s="4"/>
      <c r="AUB54" s="4"/>
      <c r="AUC54" s="4"/>
      <c r="AUD54" s="4"/>
      <c r="AUE54" s="4"/>
      <c r="AUF54" s="4"/>
      <c r="AUG54" s="4"/>
      <c r="AUH54" s="4"/>
      <c r="AUI54" s="4"/>
      <c r="AUJ54" s="4"/>
      <c r="AUK54" s="4"/>
      <c r="AUL54" s="4"/>
      <c r="AUM54" s="4"/>
      <c r="AUN54" s="4"/>
      <c r="AUO54" s="4"/>
      <c r="AUP54" s="4"/>
      <c r="AUQ54" s="4"/>
      <c r="AUR54" s="4"/>
      <c r="AUS54" s="4"/>
      <c r="AUT54" s="4"/>
      <c r="AUU54" s="4"/>
      <c r="AUV54" s="4"/>
      <c r="AUW54" s="4"/>
      <c r="AUX54" s="4"/>
      <c r="AUY54" s="4"/>
      <c r="AUZ54" s="4"/>
      <c r="AVA54" s="4"/>
      <c r="AVB54" s="4"/>
      <c r="AVC54" s="4"/>
      <c r="AVD54" s="4"/>
      <c r="AVE54" s="4"/>
      <c r="AVF54" s="4"/>
      <c r="AVG54" s="4"/>
      <c r="AVH54" s="4"/>
      <c r="AVI54" s="4"/>
      <c r="AVJ54" s="4"/>
      <c r="AVK54" s="4"/>
      <c r="AVL54" s="4"/>
      <c r="AVM54" s="4"/>
      <c r="AVN54" s="4"/>
      <c r="AVO54" s="4"/>
      <c r="AVP54" s="4"/>
      <c r="AVQ54" s="4"/>
      <c r="AVR54" s="4"/>
      <c r="AVS54" s="4"/>
      <c r="AVT54" s="4"/>
      <c r="AVU54" s="4"/>
      <c r="AVV54" s="4"/>
      <c r="AVW54" s="4"/>
      <c r="AVX54" s="4"/>
      <c r="AVY54" s="4"/>
      <c r="AVZ54" s="4"/>
      <c r="AWA54" s="4"/>
      <c r="AWB54" s="4"/>
      <c r="AWC54" s="4"/>
      <c r="AWD54" s="4"/>
      <c r="AWE54" s="4"/>
      <c r="AWF54" s="4"/>
      <c r="AWG54" s="4"/>
      <c r="AWH54" s="4"/>
      <c r="AWI54" s="4"/>
      <c r="AWJ54" s="4"/>
      <c r="AWK54" s="4"/>
      <c r="AWL54" s="4"/>
      <c r="AWM54" s="4"/>
      <c r="AWN54" s="4"/>
      <c r="AWO54" s="4"/>
      <c r="AWP54" s="4"/>
      <c r="AWQ54" s="4"/>
      <c r="AWR54" s="4"/>
      <c r="AWS54" s="4"/>
      <c r="AWT54" s="4"/>
      <c r="AWU54" s="4"/>
      <c r="AWV54" s="4"/>
      <c r="AWW54" s="4"/>
      <c r="AWX54" s="4"/>
      <c r="AWY54" s="4"/>
      <c r="AWZ54" s="4"/>
      <c r="AXA54" s="4"/>
      <c r="AXB54" s="4"/>
      <c r="AXC54" s="4"/>
      <c r="AXD54" s="4"/>
      <c r="AXE54" s="4"/>
      <c r="AXF54" s="4"/>
      <c r="AXG54" s="4"/>
      <c r="AXH54" s="4"/>
      <c r="AXI54" s="4"/>
      <c r="AXJ54" s="4"/>
      <c r="AXK54" s="4"/>
      <c r="AXL54" s="4"/>
      <c r="AXM54" s="4"/>
      <c r="AXN54" s="4"/>
      <c r="AXO54" s="4"/>
      <c r="AXP54" s="4"/>
      <c r="AXQ54" s="4"/>
      <c r="AXR54" s="4"/>
      <c r="AXS54" s="4"/>
      <c r="AXT54" s="4"/>
      <c r="AXU54" s="4"/>
      <c r="AXV54" s="4"/>
      <c r="AXW54" s="4"/>
      <c r="AXX54" s="4"/>
      <c r="AXY54" s="4"/>
      <c r="AXZ54" s="4"/>
      <c r="AYA54" s="4"/>
      <c r="AYB54" s="4"/>
      <c r="AYC54" s="4"/>
      <c r="AYD54" s="4"/>
      <c r="AYE54" s="4"/>
      <c r="AYF54" s="4"/>
      <c r="AYG54" s="4"/>
      <c r="AYH54" s="4"/>
      <c r="AYI54" s="4"/>
      <c r="AYJ54" s="4"/>
      <c r="AYK54" s="4"/>
      <c r="AYL54" s="4"/>
      <c r="AYM54" s="4"/>
      <c r="AYN54" s="4"/>
      <c r="AYO54" s="4"/>
      <c r="AYP54" s="4"/>
      <c r="AYQ54" s="4"/>
      <c r="AYR54" s="4"/>
      <c r="AYS54" s="4"/>
      <c r="AYT54" s="4"/>
      <c r="AYU54" s="4"/>
      <c r="AYV54" s="4"/>
      <c r="AYW54" s="4"/>
      <c r="AYX54" s="4"/>
      <c r="AYY54" s="4"/>
      <c r="AYZ54" s="4"/>
      <c r="AZA54" s="4"/>
      <c r="AZB54" s="4"/>
      <c r="AZC54" s="4"/>
      <c r="AZD54" s="4"/>
      <c r="AZE54" s="4"/>
      <c r="AZF54" s="4"/>
      <c r="AZG54" s="4"/>
      <c r="AZH54" s="4"/>
      <c r="AZI54" s="4"/>
      <c r="AZJ54" s="4"/>
      <c r="AZK54" s="4"/>
      <c r="AZL54" s="4"/>
      <c r="AZM54" s="4"/>
      <c r="AZN54" s="4"/>
      <c r="AZO54" s="4"/>
      <c r="AZP54" s="4"/>
      <c r="AZQ54" s="4"/>
      <c r="AZR54" s="4"/>
      <c r="AZS54" s="4"/>
      <c r="AZT54" s="4"/>
      <c r="AZU54" s="4"/>
      <c r="AZV54" s="4"/>
      <c r="AZW54" s="4"/>
      <c r="AZX54" s="4"/>
      <c r="AZY54" s="4"/>
      <c r="AZZ54" s="4"/>
      <c r="BAA54" s="4"/>
      <c r="BAB54" s="4"/>
      <c r="BAC54" s="4"/>
      <c r="BAD54" s="4"/>
      <c r="BAE54" s="4"/>
      <c r="BAF54" s="4"/>
      <c r="BAG54" s="4"/>
      <c r="BAH54" s="4"/>
      <c r="BAI54" s="4"/>
      <c r="BAJ54" s="4"/>
      <c r="BAK54" s="4"/>
      <c r="BAL54" s="4"/>
      <c r="BAM54" s="4"/>
      <c r="BAN54" s="4"/>
      <c r="BAO54" s="4"/>
      <c r="BAP54" s="4"/>
      <c r="BAQ54" s="4"/>
      <c r="BAR54" s="4"/>
      <c r="BAS54" s="4"/>
      <c r="BAT54" s="4"/>
      <c r="BAU54" s="4"/>
      <c r="BAV54" s="4"/>
      <c r="BAW54" s="4"/>
      <c r="BAX54" s="4"/>
      <c r="BAY54" s="4"/>
      <c r="BAZ54" s="4"/>
      <c r="BBA54" s="4"/>
      <c r="BBB54" s="4"/>
      <c r="BBC54" s="4"/>
      <c r="BBD54" s="4"/>
      <c r="BBE54" s="4"/>
      <c r="BBF54" s="4"/>
      <c r="BBG54" s="4"/>
      <c r="BBH54" s="4"/>
      <c r="BBI54" s="4"/>
      <c r="BBJ54" s="4"/>
      <c r="BBK54" s="4"/>
      <c r="BBL54" s="4"/>
      <c r="BBM54" s="4"/>
      <c r="BBN54" s="4"/>
      <c r="BBO54" s="4"/>
      <c r="BBP54" s="4"/>
      <c r="BBQ54" s="4"/>
      <c r="BBR54" s="4"/>
      <c r="BBS54" s="4"/>
      <c r="BBT54" s="4"/>
      <c r="BBU54" s="4"/>
      <c r="BBV54" s="4"/>
      <c r="BBW54" s="4"/>
      <c r="BBX54" s="4"/>
      <c r="BBY54" s="4"/>
      <c r="BBZ54" s="4"/>
      <c r="BCA54" s="4"/>
      <c r="BCB54" s="4"/>
      <c r="BCC54" s="4"/>
      <c r="BCD54" s="4"/>
      <c r="BCE54" s="4"/>
      <c r="BCF54" s="4"/>
      <c r="BCG54" s="4"/>
      <c r="BCH54" s="4"/>
      <c r="BCI54" s="4"/>
      <c r="BCJ54" s="4"/>
      <c r="BCK54" s="4"/>
      <c r="BCL54" s="4"/>
      <c r="BCM54" s="4"/>
      <c r="BCN54" s="4"/>
      <c r="BCO54" s="4"/>
      <c r="BCP54" s="4"/>
      <c r="BCQ54" s="4"/>
      <c r="BCR54" s="4"/>
      <c r="BCS54" s="4"/>
      <c r="BCT54" s="4"/>
      <c r="BCU54" s="4"/>
      <c r="BCV54" s="4"/>
      <c r="BCW54" s="4"/>
      <c r="BCX54" s="4"/>
      <c r="BCY54" s="4"/>
      <c r="BCZ54" s="4"/>
      <c r="BDA54" s="4"/>
      <c r="BDB54" s="4"/>
      <c r="BDC54" s="4"/>
      <c r="BDD54" s="4"/>
      <c r="BDE54" s="4"/>
      <c r="BDF54" s="4"/>
      <c r="BDG54" s="4"/>
      <c r="BDH54" s="4"/>
      <c r="BDI54" s="4"/>
      <c r="BDJ54" s="4"/>
      <c r="BDK54" s="4"/>
      <c r="BDL54" s="4"/>
      <c r="BDM54" s="4"/>
      <c r="BDN54" s="4"/>
      <c r="BDO54" s="4"/>
      <c r="BDP54" s="4"/>
      <c r="BDQ54" s="4"/>
      <c r="BDR54" s="4"/>
      <c r="BDS54" s="4"/>
      <c r="BDT54" s="4"/>
      <c r="BDU54" s="4"/>
      <c r="BDV54" s="4"/>
      <c r="BDW54" s="4"/>
      <c r="BDX54" s="4"/>
      <c r="BDY54" s="4"/>
      <c r="BDZ54" s="4"/>
      <c r="BEA54" s="4"/>
      <c r="BEB54" s="4"/>
      <c r="BEC54" s="4"/>
      <c r="BED54" s="4"/>
      <c r="BEE54" s="4"/>
      <c r="BEF54" s="4"/>
      <c r="BEG54" s="4"/>
      <c r="BEH54" s="4"/>
      <c r="BEI54" s="4"/>
      <c r="BEJ54" s="4"/>
      <c r="BEK54" s="4"/>
      <c r="BEL54" s="4"/>
      <c r="BEM54" s="4"/>
      <c r="BEN54" s="4"/>
      <c r="BEO54" s="4"/>
      <c r="BEP54" s="4"/>
      <c r="BEQ54" s="4"/>
      <c r="BER54" s="4"/>
      <c r="BES54" s="4"/>
      <c r="BET54" s="4"/>
      <c r="BEU54" s="4"/>
      <c r="BEV54" s="4"/>
      <c r="BEW54" s="4"/>
      <c r="BEX54" s="4"/>
      <c r="BEY54" s="4"/>
      <c r="BEZ54" s="4"/>
      <c r="BFA54" s="4"/>
      <c r="BFB54" s="4"/>
      <c r="BFC54" s="4"/>
      <c r="BFD54" s="4"/>
      <c r="BFE54" s="4"/>
      <c r="BFF54" s="4"/>
      <c r="BFG54" s="4"/>
      <c r="BFH54" s="4"/>
      <c r="BFI54" s="4"/>
      <c r="BFJ54" s="4"/>
      <c r="BFK54" s="4"/>
      <c r="BFL54" s="4"/>
      <c r="BFM54" s="4"/>
      <c r="BFN54" s="4"/>
      <c r="BFO54" s="4"/>
      <c r="BFP54" s="4"/>
      <c r="BFQ54" s="4"/>
      <c r="BFR54" s="4"/>
      <c r="BFS54" s="4"/>
      <c r="BFT54" s="4"/>
      <c r="BFU54" s="4"/>
      <c r="BFV54" s="4"/>
      <c r="BFW54" s="4"/>
      <c r="BFX54" s="4"/>
      <c r="BFY54" s="4"/>
      <c r="BFZ54" s="4"/>
      <c r="BGA54" s="4"/>
      <c r="BGB54" s="4"/>
      <c r="BGC54" s="4"/>
      <c r="BGD54" s="4"/>
      <c r="BGE54" s="4"/>
      <c r="BGF54" s="4"/>
      <c r="BGG54" s="4"/>
      <c r="BGH54" s="4"/>
      <c r="BGI54" s="4"/>
      <c r="BGJ54" s="4"/>
      <c r="BGK54" s="4"/>
      <c r="BGL54" s="4"/>
      <c r="BGM54" s="4"/>
      <c r="BGN54" s="4"/>
      <c r="BGO54" s="4"/>
      <c r="BGP54" s="4"/>
      <c r="BGQ54" s="4"/>
      <c r="BGR54" s="4"/>
      <c r="BGS54" s="4"/>
      <c r="BGT54" s="4"/>
      <c r="BGU54" s="4"/>
      <c r="BGV54" s="4"/>
      <c r="BGW54" s="4"/>
      <c r="BGX54" s="4"/>
      <c r="BGY54" s="4"/>
      <c r="BGZ54" s="4"/>
      <c r="BHA54" s="4"/>
      <c r="BHB54" s="4"/>
      <c r="BHC54" s="4"/>
      <c r="BHD54" s="4"/>
      <c r="BHE54" s="4"/>
      <c r="BHF54" s="4"/>
      <c r="BHG54" s="4"/>
      <c r="BHH54" s="4"/>
      <c r="BHI54" s="4"/>
      <c r="BHJ54" s="4"/>
      <c r="BHK54" s="4"/>
      <c r="BHL54" s="4"/>
      <c r="BHM54" s="4"/>
      <c r="BHN54" s="4"/>
      <c r="BHO54" s="4"/>
      <c r="BHP54" s="4"/>
      <c r="BHQ54" s="4"/>
      <c r="BHR54" s="4"/>
      <c r="BHS54" s="4"/>
      <c r="BHT54" s="4"/>
      <c r="BHU54" s="4"/>
      <c r="BHV54" s="4"/>
      <c r="BHW54" s="4"/>
      <c r="BHX54" s="4"/>
      <c r="BHY54" s="4"/>
      <c r="BHZ54" s="4"/>
      <c r="BIA54" s="4"/>
      <c r="BIB54" s="4"/>
      <c r="BIC54" s="4"/>
      <c r="BID54" s="4"/>
      <c r="BIE54" s="4"/>
      <c r="BIF54" s="4"/>
      <c r="BIG54" s="4"/>
      <c r="BIH54" s="4"/>
      <c r="BII54" s="4"/>
      <c r="BIJ54" s="4"/>
      <c r="BIK54" s="4"/>
      <c r="BIL54" s="4"/>
      <c r="BIM54" s="4"/>
      <c r="BIN54" s="4"/>
      <c r="BIO54" s="4"/>
      <c r="BIP54" s="4"/>
      <c r="BIQ54" s="4"/>
      <c r="BIR54" s="4"/>
      <c r="BIS54" s="4"/>
      <c r="BIT54" s="4"/>
      <c r="BIU54" s="4"/>
      <c r="BIV54" s="4"/>
      <c r="BIW54" s="4"/>
      <c r="BIX54" s="4"/>
      <c r="BIY54" s="4"/>
      <c r="BIZ54" s="4"/>
      <c r="BJA54" s="4"/>
      <c r="BJB54" s="4"/>
      <c r="BJC54" s="4"/>
      <c r="BJD54" s="4"/>
      <c r="BJE54" s="4"/>
      <c r="BJF54" s="4"/>
      <c r="BJG54" s="4"/>
      <c r="BJH54" s="4"/>
      <c r="BJI54" s="4"/>
      <c r="BJJ54" s="4"/>
      <c r="BJK54" s="4"/>
      <c r="BJL54" s="4"/>
      <c r="BJM54" s="4"/>
      <c r="BJN54" s="4"/>
      <c r="BJO54" s="4"/>
      <c r="BJP54" s="4"/>
      <c r="BJQ54" s="4"/>
      <c r="BJR54" s="4"/>
      <c r="BJS54" s="4"/>
      <c r="BJT54" s="4"/>
      <c r="BJU54" s="4"/>
      <c r="BJV54" s="4"/>
      <c r="BJW54" s="4"/>
      <c r="BJX54" s="4"/>
      <c r="BJY54" s="4"/>
      <c r="BJZ54" s="4"/>
      <c r="BKA54" s="4"/>
      <c r="BKB54" s="4"/>
      <c r="BKC54" s="4"/>
      <c r="BKD54" s="4"/>
      <c r="BKE54" s="4"/>
      <c r="BKF54" s="4"/>
      <c r="BKG54" s="4"/>
      <c r="BKH54" s="4"/>
      <c r="BKI54" s="4"/>
      <c r="BKJ54" s="4"/>
      <c r="BKK54" s="4"/>
      <c r="BKL54" s="4"/>
      <c r="BKM54" s="4"/>
      <c r="BKN54" s="4"/>
      <c r="BKO54" s="4"/>
      <c r="BKP54" s="4"/>
      <c r="BKQ54" s="4"/>
      <c r="BKR54" s="4"/>
      <c r="BKS54" s="4"/>
      <c r="BKT54" s="4"/>
      <c r="BKU54" s="4"/>
      <c r="BKV54" s="4"/>
      <c r="BKW54" s="4"/>
      <c r="BKX54" s="4"/>
      <c r="BKY54" s="4"/>
      <c r="BKZ54" s="4"/>
      <c r="BLA54" s="4"/>
      <c r="BLB54" s="4"/>
      <c r="BLC54" s="4"/>
      <c r="BLD54" s="4"/>
      <c r="BLE54" s="4"/>
      <c r="BLF54" s="4"/>
      <c r="BLG54" s="4"/>
      <c r="BLH54" s="4"/>
      <c r="BLI54" s="4"/>
      <c r="BLJ54" s="4"/>
      <c r="BLK54" s="4"/>
      <c r="BLL54" s="4"/>
      <c r="BLM54" s="4"/>
      <c r="BLN54" s="4"/>
      <c r="BLO54" s="4"/>
      <c r="BLP54" s="4"/>
      <c r="BLQ54" s="4"/>
      <c r="BLR54" s="4"/>
      <c r="BLS54" s="4"/>
      <c r="BLT54" s="4"/>
      <c r="BLU54" s="4"/>
      <c r="BLV54" s="4"/>
      <c r="BLW54" s="4"/>
      <c r="BLX54" s="4"/>
      <c r="BLY54" s="4"/>
      <c r="BLZ54" s="4"/>
      <c r="BMA54" s="4"/>
      <c r="BMB54" s="4"/>
      <c r="BMC54" s="4"/>
      <c r="BMD54" s="4"/>
      <c r="BME54" s="4"/>
      <c r="BMF54" s="4"/>
      <c r="BMG54" s="4"/>
      <c r="BMH54" s="4"/>
      <c r="BMI54" s="4"/>
      <c r="BMJ54" s="4"/>
      <c r="BMK54" s="4"/>
      <c r="BML54" s="4"/>
      <c r="BMM54" s="4"/>
      <c r="BMN54" s="4"/>
      <c r="BMO54" s="4"/>
      <c r="BMP54" s="4"/>
      <c r="BMQ54" s="4"/>
      <c r="BMR54" s="4"/>
      <c r="BMS54" s="4"/>
      <c r="BMT54" s="4"/>
      <c r="BMU54" s="4"/>
      <c r="BMV54" s="4"/>
      <c r="BMW54" s="4"/>
      <c r="BMX54" s="4"/>
      <c r="BMY54" s="4"/>
      <c r="BMZ54" s="4"/>
      <c r="BNA54" s="4"/>
      <c r="BNB54" s="4"/>
      <c r="BNC54" s="4"/>
      <c r="BND54" s="4"/>
      <c r="BNE54" s="4"/>
      <c r="BNF54" s="4"/>
      <c r="BNG54" s="4"/>
      <c r="BNH54" s="4"/>
      <c r="BNI54" s="4"/>
      <c r="BNJ54" s="4"/>
      <c r="BNK54" s="4"/>
      <c r="BNL54" s="4"/>
      <c r="BNM54" s="4"/>
      <c r="BNN54" s="4"/>
      <c r="BNO54" s="4"/>
      <c r="BNP54" s="4"/>
      <c r="BNQ54" s="4"/>
      <c r="BNR54" s="4"/>
      <c r="BNS54" s="4"/>
      <c r="BNT54" s="4"/>
      <c r="BNU54" s="4"/>
      <c r="BNV54" s="4"/>
      <c r="BNW54" s="4"/>
      <c r="BNX54" s="4"/>
      <c r="BNY54" s="4"/>
      <c r="BNZ54" s="4"/>
      <c r="BOA54" s="4"/>
      <c r="BOB54" s="4"/>
      <c r="BOC54" s="4"/>
      <c r="BOD54" s="4"/>
      <c r="BOE54" s="4"/>
      <c r="BOF54" s="4"/>
      <c r="BOG54" s="4"/>
      <c r="BOH54" s="4"/>
      <c r="BOI54" s="4"/>
      <c r="BOJ54" s="4"/>
      <c r="BOK54" s="4"/>
      <c r="BOL54" s="4"/>
      <c r="BOM54" s="4"/>
      <c r="BON54" s="4"/>
      <c r="BOO54" s="4"/>
      <c r="BOP54" s="4"/>
      <c r="BOQ54" s="4"/>
      <c r="BOR54" s="4"/>
      <c r="BOS54" s="4"/>
      <c r="BOT54" s="4"/>
      <c r="BOU54" s="4"/>
      <c r="BOV54" s="4"/>
      <c r="BOW54" s="4"/>
      <c r="BOX54" s="4"/>
      <c r="BOY54" s="4"/>
      <c r="BOZ54" s="4"/>
      <c r="BPA54" s="4"/>
      <c r="BPB54" s="4"/>
      <c r="BPC54" s="4"/>
      <c r="BPD54" s="4"/>
      <c r="BPE54" s="4"/>
      <c r="BPF54" s="4"/>
      <c r="BPG54" s="4"/>
      <c r="BPH54" s="4"/>
      <c r="BPI54" s="4"/>
      <c r="BPJ54" s="4"/>
      <c r="BPK54" s="4"/>
      <c r="BPL54" s="4"/>
      <c r="BPM54" s="4"/>
      <c r="BPN54" s="4"/>
      <c r="BPO54" s="4"/>
      <c r="BPP54" s="4"/>
      <c r="BPQ54" s="4"/>
      <c r="BPR54" s="4"/>
      <c r="BPS54" s="4"/>
      <c r="BPT54" s="4"/>
      <c r="BPU54" s="4"/>
      <c r="BPV54" s="4"/>
      <c r="BPW54" s="4"/>
      <c r="BPX54" s="4"/>
      <c r="BPY54" s="4"/>
      <c r="BPZ54" s="4"/>
      <c r="BQA54" s="4"/>
      <c r="BQB54" s="4"/>
      <c r="BQC54" s="4"/>
      <c r="BQD54" s="4"/>
      <c r="BQE54" s="4"/>
      <c r="BQF54" s="4"/>
      <c r="BQG54" s="4"/>
      <c r="BQH54" s="4"/>
      <c r="BQI54" s="4"/>
      <c r="BQJ54" s="4"/>
      <c r="BQK54" s="4"/>
      <c r="BQL54" s="4"/>
      <c r="BQM54" s="4"/>
      <c r="BQN54" s="4"/>
      <c r="BQO54" s="4"/>
      <c r="BQP54" s="4"/>
      <c r="BQQ54" s="4"/>
      <c r="BQR54" s="4"/>
      <c r="BQS54" s="4"/>
      <c r="BQT54" s="4"/>
      <c r="BQU54" s="4"/>
      <c r="BQV54" s="4"/>
      <c r="BQW54" s="4"/>
      <c r="BQX54" s="4"/>
      <c r="BQY54" s="4"/>
      <c r="BQZ54" s="4"/>
      <c r="BRA54" s="4"/>
      <c r="BRB54" s="4"/>
      <c r="BRC54" s="4"/>
      <c r="BRD54" s="4"/>
      <c r="BRE54" s="4"/>
      <c r="BRF54" s="4"/>
      <c r="BRG54" s="4"/>
      <c r="BRH54" s="4"/>
      <c r="BRI54" s="4"/>
      <c r="BRJ54" s="4"/>
      <c r="BRK54" s="4"/>
      <c r="BRL54" s="4"/>
      <c r="BRM54" s="4"/>
      <c r="BRN54" s="4"/>
      <c r="BRO54" s="4"/>
      <c r="BRP54" s="4"/>
      <c r="BRQ54" s="4"/>
      <c r="BRR54" s="4"/>
      <c r="BRS54" s="4"/>
      <c r="BRT54" s="4"/>
      <c r="BRU54" s="4"/>
      <c r="BRV54" s="4"/>
      <c r="BRW54" s="4"/>
      <c r="BRX54" s="4"/>
      <c r="BRY54" s="4"/>
      <c r="BRZ54" s="4"/>
      <c r="BSA54" s="4"/>
      <c r="BSB54" s="4"/>
      <c r="BSC54" s="4"/>
      <c r="BSD54" s="4"/>
      <c r="BSE54" s="4"/>
      <c r="BSF54" s="4"/>
      <c r="BSG54" s="4"/>
      <c r="BSH54" s="4"/>
      <c r="BSI54" s="4"/>
      <c r="BSJ54" s="4"/>
      <c r="BSK54" s="4"/>
      <c r="BSL54" s="4"/>
      <c r="BSM54" s="4"/>
      <c r="BSN54" s="4"/>
      <c r="BSO54" s="4"/>
      <c r="BSP54" s="4"/>
      <c r="BSQ54" s="4"/>
      <c r="BSR54" s="4"/>
      <c r="BSS54" s="4"/>
      <c r="BST54" s="4"/>
      <c r="BSU54" s="4"/>
      <c r="BSV54" s="4"/>
      <c r="BSW54" s="4"/>
      <c r="BSX54" s="4"/>
      <c r="BSY54" s="4"/>
      <c r="BSZ54" s="4"/>
      <c r="BTA54" s="4"/>
      <c r="BTB54" s="4"/>
      <c r="BTC54" s="4"/>
      <c r="BTD54" s="4"/>
      <c r="BTE54" s="4"/>
      <c r="BTF54" s="4"/>
      <c r="BTG54" s="4"/>
      <c r="BTH54" s="4"/>
      <c r="BTI54" s="4"/>
      <c r="BTJ54" s="4"/>
      <c r="BTK54" s="4"/>
      <c r="BTL54" s="4"/>
      <c r="BTM54" s="4"/>
      <c r="BTN54" s="4"/>
      <c r="BTO54" s="4"/>
      <c r="BTP54" s="4"/>
      <c r="BTQ54" s="4"/>
      <c r="BTR54" s="4"/>
      <c r="BTS54" s="4"/>
      <c r="BTT54" s="4"/>
      <c r="BTU54" s="4"/>
      <c r="BTV54" s="4"/>
      <c r="BTW54" s="4"/>
      <c r="BTX54" s="4"/>
      <c r="BTY54" s="4"/>
      <c r="BTZ54" s="4"/>
      <c r="BUA54" s="4"/>
      <c r="BUB54" s="4"/>
      <c r="BUC54" s="4"/>
      <c r="BUD54" s="4"/>
      <c r="BUE54" s="4"/>
      <c r="BUF54" s="4"/>
      <c r="BUG54" s="4"/>
      <c r="BUH54" s="4"/>
      <c r="BUI54" s="4"/>
      <c r="BUJ54" s="4"/>
      <c r="BUK54" s="4"/>
      <c r="BUL54" s="4"/>
      <c r="BUM54" s="4"/>
      <c r="BUN54" s="4"/>
      <c r="BUO54" s="4"/>
      <c r="BUP54" s="4"/>
      <c r="BUQ54" s="4"/>
      <c r="BUR54" s="4"/>
      <c r="BUS54" s="4"/>
      <c r="BUT54" s="4"/>
      <c r="BUU54" s="4"/>
      <c r="BUV54" s="4"/>
      <c r="BUW54" s="4"/>
      <c r="BUX54" s="4"/>
      <c r="BUY54" s="4"/>
      <c r="BUZ54" s="4"/>
      <c r="BVA54" s="4"/>
      <c r="BVB54" s="4"/>
      <c r="BVC54" s="4"/>
      <c r="BVD54" s="4"/>
      <c r="BVE54" s="4"/>
      <c r="BVF54" s="4"/>
      <c r="BVG54" s="4"/>
      <c r="BVH54" s="4"/>
      <c r="BVI54" s="4"/>
      <c r="BVJ54" s="4"/>
      <c r="BVK54" s="4"/>
      <c r="BVL54" s="4"/>
      <c r="BVM54" s="4"/>
      <c r="BVN54" s="4"/>
      <c r="BVO54" s="4"/>
      <c r="BVP54" s="4"/>
      <c r="BVQ54" s="4"/>
      <c r="BVR54" s="4"/>
      <c r="BVS54" s="4"/>
      <c r="BVT54" s="4"/>
      <c r="BVU54" s="4"/>
      <c r="BVV54" s="4"/>
      <c r="BVW54" s="4"/>
      <c r="BVX54" s="4"/>
      <c r="BVY54" s="4"/>
      <c r="BVZ54" s="4"/>
      <c r="BWA54" s="4"/>
      <c r="BWB54" s="4"/>
      <c r="BWC54" s="4"/>
      <c r="BWD54" s="4"/>
      <c r="BWE54" s="4"/>
      <c r="BWF54" s="4"/>
      <c r="BWG54" s="4"/>
      <c r="BWH54" s="4"/>
      <c r="BWI54" s="4"/>
      <c r="BWJ54" s="4"/>
      <c r="BWK54" s="4"/>
      <c r="BWL54" s="4"/>
      <c r="BWM54" s="4"/>
      <c r="BWN54" s="4"/>
      <c r="BWO54" s="4"/>
      <c r="BWP54" s="4"/>
      <c r="BWQ54" s="4"/>
      <c r="BWR54" s="4"/>
      <c r="BWS54" s="4"/>
      <c r="BWT54" s="4"/>
      <c r="BWU54" s="4"/>
      <c r="BWV54" s="4"/>
      <c r="BWW54" s="4"/>
      <c r="BWX54" s="4"/>
      <c r="BWY54" s="4"/>
      <c r="BWZ54" s="4"/>
      <c r="BXA54" s="4"/>
      <c r="BXB54" s="4"/>
      <c r="BXC54" s="4"/>
      <c r="BXD54" s="4"/>
      <c r="BXE54" s="4"/>
      <c r="BXF54" s="4"/>
      <c r="BXG54" s="4"/>
      <c r="BXH54" s="4"/>
      <c r="BXI54" s="4"/>
      <c r="BXJ54" s="4"/>
      <c r="BXK54" s="4"/>
      <c r="BXL54" s="4"/>
      <c r="BXM54" s="4"/>
      <c r="BXN54" s="4"/>
      <c r="BXO54" s="4"/>
      <c r="BXP54" s="4"/>
      <c r="BXQ54" s="4"/>
      <c r="BXR54" s="4"/>
      <c r="BXS54" s="4"/>
      <c r="BXT54" s="4"/>
      <c r="BXU54" s="4"/>
      <c r="BXV54" s="4"/>
      <c r="BXW54" s="4"/>
      <c r="BXX54" s="4"/>
      <c r="BXY54" s="4"/>
      <c r="BXZ54" s="4"/>
      <c r="BYA54" s="4"/>
      <c r="BYB54" s="4"/>
      <c r="BYC54" s="4"/>
      <c r="BYD54" s="4"/>
      <c r="BYE54" s="4"/>
      <c r="BYF54" s="4"/>
      <c r="BYG54" s="4"/>
      <c r="BYH54" s="4"/>
      <c r="BYI54" s="4"/>
      <c r="BYJ54" s="4"/>
      <c r="BYK54" s="4"/>
      <c r="BYL54" s="4"/>
      <c r="BYM54" s="4"/>
      <c r="BYN54" s="4"/>
      <c r="BYO54" s="4"/>
      <c r="BYP54" s="4"/>
      <c r="BYQ54" s="4"/>
      <c r="BYR54" s="4"/>
      <c r="BYS54" s="4"/>
      <c r="BYT54" s="4"/>
      <c r="BYU54" s="4"/>
      <c r="BYV54" s="4"/>
      <c r="BYW54" s="4"/>
      <c r="BYX54" s="4"/>
      <c r="BYY54" s="4"/>
      <c r="BYZ54" s="4"/>
      <c r="BZA54" s="4"/>
      <c r="BZB54" s="4"/>
      <c r="BZC54" s="4"/>
      <c r="BZD54" s="4"/>
      <c r="BZE54" s="4"/>
      <c r="BZF54" s="4"/>
      <c r="BZG54" s="4"/>
      <c r="BZH54" s="4"/>
      <c r="BZI54" s="4"/>
      <c r="BZJ54" s="4"/>
      <c r="BZK54" s="4"/>
      <c r="BZL54" s="4"/>
      <c r="BZM54" s="4"/>
      <c r="BZN54" s="4"/>
      <c r="BZO54" s="4"/>
      <c r="BZP54" s="4"/>
      <c r="BZQ54" s="4"/>
      <c r="BZR54" s="4"/>
      <c r="BZS54" s="4"/>
      <c r="BZT54" s="4"/>
      <c r="BZU54" s="4"/>
      <c r="BZV54" s="4"/>
      <c r="BZW54" s="4"/>
      <c r="BZX54" s="4"/>
      <c r="BZY54" s="4"/>
      <c r="BZZ54" s="4"/>
      <c r="CAA54" s="4"/>
      <c r="CAB54" s="4"/>
      <c r="CAC54" s="4"/>
      <c r="CAD54" s="4"/>
      <c r="CAE54" s="4"/>
      <c r="CAF54" s="4"/>
      <c r="CAG54" s="4"/>
      <c r="CAH54" s="4"/>
      <c r="CAI54" s="4"/>
      <c r="CAJ54" s="4"/>
      <c r="CAK54" s="4"/>
      <c r="CAL54" s="4"/>
      <c r="CAM54" s="4"/>
      <c r="CAN54" s="4"/>
      <c r="CAO54" s="4"/>
      <c r="CAP54" s="4"/>
      <c r="CAQ54" s="4"/>
      <c r="CAR54" s="4"/>
      <c r="CAS54" s="4"/>
      <c r="CAT54" s="4"/>
      <c r="CAU54" s="4"/>
      <c r="CAV54" s="4"/>
      <c r="CAW54" s="4"/>
      <c r="CAX54" s="4"/>
      <c r="CAY54" s="4"/>
      <c r="CAZ54" s="4"/>
      <c r="CBA54" s="4"/>
      <c r="CBB54" s="4"/>
      <c r="CBC54" s="4"/>
      <c r="CBD54" s="4"/>
      <c r="CBE54" s="4"/>
      <c r="CBF54" s="4"/>
      <c r="CBG54" s="4"/>
      <c r="CBH54" s="4"/>
      <c r="CBI54" s="4"/>
      <c r="CBJ54" s="4"/>
      <c r="CBK54" s="4"/>
      <c r="CBL54" s="4"/>
      <c r="CBM54" s="4"/>
      <c r="CBN54" s="4"/>
      <c r="CBO54" s="4"/>
      <c r="CBP54" s="4"/>
      <c r="CBQ54" s="4"/>
      <c r="CBR54" s="4"/>
      <c r="CBS54" s="4"/>
      <c r="CBT54" s="4"/>
      <c r="CBU54" s="4"/>
      <c r="CBV54" s="4"/>
      <c r="CBW54" s="4"/>
      <c r="CBX54" s="4"/>
      <c r="CBY54" s="4"/>
      <c r="CBZ54" s="4"/>
      <c r="CCA54" s="4"/>
      <c r="CCB54" s="4"/>
      <c r="CCC54" s="4"/>
      <c r="CCD54" s="4"/>
      <c r="CCE54" s="4"/>
      <c r="CCF54" s="4"/>
      <c r="CCG54" s="4"/>
      <c r="CCH54" s="4"/>
      <c r="CCI54" s="4"/>
      <c r="CCJ54" s="4"/>
      <c r="CCK54" s="4"/>
      <c r="CCL54" s="4"/>
      <c r="CCM54" s="4"/>
      <c r="CCN54" s="4"/>
      <c r="CCO54" s="4"/>
      <c r="CCP54" s="4"/>
      <c r="CCQ54" s="4"/>
      <c r="CCR54" s="4"/>
      <c r="CCS54" s="4"/>
      <c r="CCT54" s="4"/>
      <c r="CCU54" s="4"/>
      <c r="CCV54" s="4"/>
      <c r="CCW54" s="4"/>
      <c r="CCX54" s="4"/>
      <c r="CCY54" s="4"/>
      <c r="CCZ54" s="4"/>
      <c r="CDA54" s="4"/>
      <c r="CDB54" s="4"/>
      <c r="CDC54" s="4"/>
      <c r="CDD54" s="4"/>
      <c r="CDE54" s="4"/>
      <c r="CDF54" s="4"/>
      <c r="CDG54" s="4"/>
      <c r="CDH54" s="4"/>
      <c r="CDI54" s="4"/>
      <c r="CDJ54" s="4"/>
      <c r="CDK54" s="4"/>
      <c r="CDL54" s="4"/>
      <c r="CDM54" s="4"/>
      <c r="CDN54" s="4"/>
      <c r="CDO54" s="4"/>
      <c r="CDP54" s="4"/>
      <c r="CDQ54" s="4"/>
      <c r="CDR54" s="4"/>
      <c r="CDS54" s="4"/>
      <c r="CDT54" s="4"/>
      <c r="CDU54" s="4"/>
      <c r="CDV54" s="4"/>
      <c r="CDW54" s="4"/>
      <c r="CDX54" s="4"/>
      <c r="CDY54" s="4"/>
      <c r="CDZ54" s="4"/>
      <c r="CEA54" s="4"/>
      <c r="CEB54" s="4"/>
      <c r="CEC54" s="4"/>
      <c r="CED54" s="4"/>
      <c r="CEE54" s="4"/>
      <c r="CEF54" s="4"/>
      <c r="CEG54" s="4"/>
      <c r="CEH54" s="4"/>
      <c r="CEI54" s="4"/>
      <c r="CEJ54" s="4"/>
      <c r="CEK54" s="4"/>
      <c r="CEL54" s="4"/>
      <c r="CEM54" s="4"/>
      <c r="CEN54" s="4"/>
      <c r="CEO54" s="4"/>
      <c r="CEP54" s="4"/>
      <c r="CEQ54" s="4"/>
      <c r="CER54" s="4"/>
      <c r="CES54" s="4"/>
      <c r="CET54" s="4"/>
      <c r="CEU54" s="4"/>
      <c r="CEV54" s="4"/>
      <c r="CEW54" s="4"/>
      <c r="CEX54" s="4"/>
      <c r="CEY54" s="4"/>
      <c r="CEZ54" s="4"/>
      <c r="CFA54" s="4"/>
      <c r="CFB54" s="4"/>
      <c r="CFC54" s="4"/>
      <c r="CFD54" s="4"/>
      <c r="CFE54" s="4"/>
      <c r="CFF54" s="4"/>
      <c r="CFG54" s="4"/>
      <c r="CFH54" s="4"/>
      <c r="CFI54" s="4"/>
      <c r="CFJ54" s="4"/>
      <c r="CFK54" s="4"/>
      <c r="CFL54" s="4"/>
      <c r="CFM54" s="4"/>
      <c r="CFN54" s="4"/>
      <c r="CFO54" s="4"/>
      <c r="CFP54" s="4"/>
      <c r="CFQ54" s="4"/>
      <c r="CFR54" s="4"/>
      <c r="CFS54" s="4"/>
      <c r="CFT54" s="4"/>
      <c r="CFU54" s="4"/>
      <c r="CFV54" s="4"/>
      <c r="CFW54" s="4"/>
      <c r="CFX54" s="4"/>
      <c r="CFY54" s="4"/>
      <c r="CFZ54" s="4"/>
      <c r="CGA54" s="4"/>
      <c r="CGB54" s="4"/>
      <c r="CGC54" s="4"/>
      <c r="CGD54" s="4"/>
      <c r="CGE54" s="4"/>
      <c r="CGF54" s="4"/>
      <c r="CGG54" s="4"/>
      <c r="CGH54" s="4"/>
      <c r="CGI54" s="4"/>
      <c r="CGJ54" s="4"/>
      <c r="CGK54" s="4"/>
      <c r="CGL54" s="4"/>
      <c r="CGM54" s="4"/>
      <c r="CGN54" s="4"/>
      <c r="CGO54" s="4"/>
      <c r="CGP54" s="4"/>
      <c r="CGQ54" s="4"/>
      <c r="CGR54" s="4"/>
      <c r="CGS54" s="4"/>
      <c r="CGT54" s="4"/>
      <c r="CGU54" s="4"/>
      <c r="CGV54" s="4"/>
      <c r="CGW54" s="4"/>
      <c r="CGX54" s="4"/>
      <c r="CGY54" s="4"/>
      <c r="CGZ54" s="4"/>
      <c r="CHA54" s="4"/>
      <c r="CHB54" s="4"/>
      <c r="CHC54" s="4"/>
      <c r="CHD54" s="4"/>
      <c r="CHE54" s="4"/>
      <c r="CHF54" s="4"/>
      <c r="CHG54" s="4"/>
      <c r="CHH54" s="4"/>
      <c r="CHI54" s="4"/>
      <c r="CHJ54" s="4"/>
      <c r="CHK54" s="4"/>
      <c r="CHL54" s="4"/>
      <c r="CHM54" s="4"/>
      <c r="CHN54" s="4"/>
      <c r="CHO54" s="4"/>
      <c r="CHP54" s="4"/>
      <c r="CHQ54" s="4"/>
      <c r="CHR54" s="4"/>
      <c r="CHS54" s="4"/>
      <c r="CHT54" s="4"/>
      <c r="CHU54" s="4"/>
      <c r="CHV54" s="4"/>
      <c r="CHW54" s="4"/>
      <c r="CHX54" s="4"/>
      <c r="CHY54" s="4"/>
      <c r="CHZ54" s="4"/>
      <c r="CIA54" s="4"/>
      <c r="CIB54" s="4"/>
      <c r="CIC54" s="4"/>
      <c r="CID54" s="4"/>
      <c r="CIE54" s="4"/>
      <c r="CIF54" s="4"/>
      <c r="CIG54" s="4"/>
      <c r="CIH54" s="4"/>
      <c r="CII54" s="4"/>
      <c r="CIJ54" s="4"/>
      <c r="CIK54" s="4"/>
      <c r="CIL54" s="4"/>
      <c r="CIM54" s="4"/>
      <c r="CIN54" s="4"/>
      <c r="CIO54" s="4"/>
      <c r="CIP54" s="4"/>
      <c r="CIQ54" s="4"/>
      <c r="CIR54" s="4"/>
      <c r="CIS54" s="4"/>
      <c r="CIT54" s="4"/>
      <c r="CIU54" s="4"/>
      <c r="CIV54" s="4"/>
      <c r="CIW54" s="4"/>
      <c r="CIX54" s="4"/>
      <c r="CIY54" s="4"/>
      <c r="CIZ54" s="4"/>
      <c r="CJA54" s="4"/>
      <c r="CJB54" s="4"/>
      <c r="CJC54" s="4"/>
      <c r="CJD54" s="4"/>
      <c r="CJE54" s="4"/>
      <c r="CJF54" s="4"/>
      <c r="CJG54" s="4"/>
      <c r="CJH54" s="4"/>
      <c r="CJI54" s="4"/>
      <c r="CJJ54" s="4"/>
      <c r="CJK54" s="4"/>
      <c r="CJL54" s="4"/>
      <c r="CJM54" s="4"/>
      <c r="CJN54" s="4"/>
      <c r="CJO54" s="4"/>
      <c r="CJP54" s="4"/>
      <c r="CJQ54" s="4"/>
      <c r="CJR54" s="4"/>
      <c r="CJS54" s="4"/>
      <c r="CJT54" s="4"/>
      <c r="CJU54" s="4"/>
      <c r="CJV54" s="4"/>
      <c r="CJW54" s="4"/>
      <c r="CJX54" s="4"/>
      <c r="CJY54" s="4"/>
      <c r="CJZ54" s="4"/>
      <c r="CKA54" s="4"/>
      <c r="CKB54" s="4"/>
      <c r="CKC54" s="4"/>
      <c r="CKD54" s="4"/>
      <c r="CKE54" s="4"/>
      <c r="CKF54" s="4"/>
      <c r="CKG54" s="4"/>
      <c r="CKH54" s="4"/>
      <c r="CKI54" s="4"/>
      <c r="CKJ54" s="4"/>
      <c r="CKK54" s="4"/>
      <c r="CKL54" s="4"/>
      <c r="CKM54" s="4"/>
      <c r="CKN54" s="4"/>
      <c r="CKO54" s="4"/>
      <c r="CKP54" s="4"/>
      <c r="CKQ54" s="4"/>
      <c r="CKR54" s="4"/>
      <c r="CKS54" s="4"/>
      <c r="CKT54" s="4"/>
      <c r="CKU54" s="4"/>
      <c r="CKV54" s="4"/>
      <c r="CKW54" s="4"/>
      <c r="CKX54" s="4"/>
      <c r="CKY54" s="4"/>
      <c r="CKZ54" s="4"/>
      <c r="CLA54" s="4"/>
      <c r="CLB54" s="4"/>
      <c r="CLC54" s="4"/>
      <c r="CLD54" s="4"/>
      <c r="CLE54" s="4"/>
      <c r="CLF54" s="4"/>
      <c r="CLG54" s="4"/>
      <c r="CLH54" s="4"/>
      <c r="CLI54" s="4"/>
      <c r="CLJ54" s="4"/>
      <c r="CLK54" s="4"/>
      <c r="CLL54" s="4"/>
      <c r="CLM54" s="4"/>
      <c r="CLN54" s="4"/>
      <c r="CLO54" s="4"/>
      <c r="CLP54" s="4"/>
      <c r="CLQ54" s="4"/>
      <c r="CLR54" s="4"/>
      <c r="CLS54" s="4"/>
      <c r="CLT54" s="4"/>
      <c r="CLU54" s="4"/>
      <c r="CLV54" s="4"/>
      <c r="CLW54" s="4"/>
      <c r="CLX54" s="4"/>
      <c r="CLY54" s="4"/>
      <c r="CLZ54" s="4"/>
      <c r="CMA54" s="4"/>
      <c r="CMB54" s="4"/>
      <c r="CMC54" s="4"/>
      <c r="CMD54" s="4"/>
      <c r="CME54" s="4"/>
      <c r="CMF54" s="4"/>
      <c r="CMG54" s="4"/>
      <c r="CMH54" s="4"/>
      <c r="CMI54" s="4"/>
      <c r="CMJ54" s="4"/>
      <c r="CMK54" s="4"/>
      <c r="CML54" s="4"/>
      <c r="CMM54" s="4"/>
      <c r="CMN54" s="4"/>
      <c r="CMO54" s="4"/>
      <c r="CMP54" s="4"/>
      <c r="CMQ54" s="4"/>
      <c r="CMR54" s="4"/>
      <c r="CMS54" s="4"/>
      <c r="CMT54" s="4"/>
      <c r="CMU54" s="4"/>
      <c r="CMV54" s="4"/>
      <c r="CMW54" s="4"/>
      <c r="CMX54" s="4"/>
      <c r="CMY54" s="4"/>
      <c r="CMZ54" s="4"/>
      <c r="CNA54" s="4"/>
      <c r="CNB54" s="4"/>
      <c r="CNC54" s="4"/>
      <c r="CND54" s="4"/>
      <c r="CNE54" s="4"/>
      <c r="CNF54" s="4"/>
      <c r="CNG54" s="4"/>
      <c r="CNH54" s="4"/>
      <c r="CNI54" s="4"/>
      <c r="CNJ54" s="4"/>
      <c r="CNK54" s="4"/>
      <c r="CNL54" s="4"/>
      <c r="CNM54" s="4"/>
      <c r="CNN54" s="4"/>
      <c r="CNO54" s="4"/>
      <c r="CNP54" s="4"/>
      <c r="CNQ54" s="4"/>
      <c r="CNR54" s="4"/>
      <c r="CNS54" s="4"/>
      <c r="CNT54" s="4"/>
      <c r="CNU54" s="4"/>
      <c r="CNV54" s="4"/>
      <c r="CNW54" s="4"/>
      <c r="CNX54" s="4"/>
      <c r="CNY54" s="4"/>
      <c r="CNZ54" s="4"/>
      <c r="COA54" s="4"/>
      <c r="COB54" s="4"/>
      <c r="COC54" s="4"/>
      <c r="COD54" s="4"/>
      <c r="COE54" s="4"/>
      <c r="COF54" s="4"/>
      <c r="COG54" s="4"/>
      <c r="COH54" s="4"/>
      <c r="COI54" s="4"/>
      <c r="COJ54" s="4"/>
      <c r="COK54" s="4"/>
      <c r="COL54" s="4"/>
      <c r="COM54" s="4"/>
      <c r="CON54" s="4"/>
      <c r="COO54" s="4"/>
      <c r="COP54" s="4"/>
      <c r="COQ54" s="4"/>
      <c r="COR54" s="4"/>
      <c r="COS54" s="4"/>
      <c r="COT54" s="4"/>
      <c r="COU54" s="4"/>
      <c r="COV54" s="4"/>
      <c r="COW54" s="4"/>
      <c r="COX54" s="4"/>
      <c r="COY54" s="4"/>
      <c r="COZ54" s="4"/>
      <c r="CPA54" s="4"/>
      <c r="CPB54" s="4"/>
      <c r="CPC54" s="4"/>
      <c r="CPD54" s="4"/>
      <c r="CPE54" s="4"/>
      <c r="CPF54" s="4"/>
      <c r="CPG54" s="4"/>
      <c r="CPH54" s="4"/>
      <c r="CPI54" s="4"/>
      <c r="CPJ54" s="4"/>
      <c r="CPK54" s="4"/>
      <c r="CPL54" s="4"/>
      <c r="CPM54" s="4"/>
      <c r="CPN54" s="4"/>
      <c r="CPO54" s="4"/>
      <c r="CPP54" s="4"/>
      <c r="CPQ54" s="4"/>
      <c r="CPR54" s="4"/>
      <c r="CPS54" s="4"/>
      <c r="CPT54" s="4"/>
      <c r="CPU54" s="4"/>
      <c r="CPV54" s="4"/>
      <c r="CPW54" s="4"/>
      <c r="CPX54" s="4"/>
      <c r="CPY54" s="4"/>
      <c r="CPZ54" s="4"/>
      <c r="CQA54" s="4"/>
      <c r="CQB54" s="4"/>
      <c r="CQC54" s="4"/>
      <c r="CQD54" s="4"/>
      <c r="CQE54" s="4"/>
      <c r="CQF54" s="4"/>
      <c r="CQG54" s="4"/>
      <c r="CQH54" s="4"/>
      <c r="CQI54" s="4"/>
      <c r="CQJ54" s="4"/>
      <c r="CQK54" s="4"/>
      <c r="CQL54" s="4"/>
      <c r="CQM54" s="4"/>
      <c r="CQN54" s="4"/>
      <c r="CQO54" s="4"/>
      <c r="CQP54" s="4"/>
      <c r="CQQ54" s="4"/>
      <c r="CQR54" s="4"/>
      <c r="CQS54" s="4"/>
      <c r="CQT54" s="4"/>
      <c r="CQU54" s="4"/>
      <c r="CQV54" s="4"/>
      <c r="CQW54" s="4"/>
      <c r="CQX54" s="4"/>
      <c r="CQY54" s="4"/>
      <c r="CQZ54" s="4"/>
      <c r="CRA54" s="4"/>
      <c r="CRB54" s="4"/>
      <c r="CRC54" s="4"/>
      <c r="CRD54" s="4"/>
      <c r="CRE54" s="4"/>
      <c r="CRF54" s="4"/>
      <c r="CRG54" s="4"/>
      <c r="CRH54" s="4"/>
      <c r="CRI54" s="4"/>
      <c r="CRJ54" s="4"/>
      <c r="CRK54" s="4"/>
      <c r="CRL54" s="4"/>
      <c r="CRM54" s="4"/>
      <c r="CRN54" s="4"/>
      <c r="CRO54" s="4"/>
      <c r="CRP54" s="4"/>
      <c r="CRQ54" s="4"/>
      <c r="CRR54" s="4"/>
      <c r="CRS54" s="4"/>
      <c r="CRT54" s="4"/>
      <c r="CRU54" s="4"/>
      <c r="CRV54" s="4"/>
      <c r="CRW54" s="4"/>
      <c r="CRX54" s="4"/>
      <c r="CRY54" s="4"/>
      <c r="CRZ54" s="4"/>
      <c r="CSA54" s="4"/>
      <c r="CSB54" s="4"/>
      <c r="CSC54" s="4"/>
      <c r="CSD54" s="4"/>
      <c r="CSE54" s="4"/>
      <c r="CSF54" s="4"/>
      <c r="CSG54" s="4"/>
      <c r="CSH54" s="4"/>
      <c r="CSI54" s="4"/>
      <c r="CSJ54" s="4"/>
      <c r="CSK54" s="4"/>
      <c r="CSL54" s="4"/>
      <c r="CSM54" s="4"/>
      <c r="CSN54" s="4"/>
      <c r="CSO54" s="4"/>
      <c r="CSP54" s="4"/>
      <c r="CSQ54" s="4"/>
      <c r="CSR54" s="4"/>
      <c r="CSS54" s="4"/>
      <c r="CST54" s="4"/>
      <c r="CSU54" s="4"/>
      <c r="CSV54" s="4"/>
      <c r="CSW54" s="4"/>
      <c r="CSX54" s="4"/>
      <c r="CSY54" s="4"/>
      <c r="CSZ54" s="4"/>
      <c r="CTA54" s="4"/>
      <c r="CTB54" s="4"/>
      <c r="CTC54" s="4"/>
      <c r="CTD54" s="4"/>
      <c r="CTE54" s="4"/>
      <c r="CTF54" s="4"/>
      <c r="CTG54" s="4"/>
      <c r="CTH54" s="4"/>
      <c r="CTI54" s="4"/>
      <c r="CTJ54" s="4"/>
      <c r="CTK54" s="4"/>
      <c r="CTL54" s="4"/>
      <c r="CTM54" s="4"/>
      <c r="CTN54" s="4"/>
      <c r="CTO54" s="4"/>
      <c r="CTP54" s="4"/>
      <c r="CTQ54" s="4"/>
      <c r="CTR54" s="4"/>
      <c r="CTS54" s="4"/>
      <c r="CTT54" s="4"/>
      <c r="CTU54" s="4"/>
      <c r="CTV54" s="4"/>
      <c r="CTW54" s="4"/>
      <c r="CTX54" s="4"/>
      <c r="CTY54" s="4"/>
      <c r="CTZ54" s="4"/>
      <c r="CUA54" s="4"/>
      <c r="CUB54" s="4"/>
      <c r="CUC54" s="4"/>
      <c r="CUD54" s="4"/>
      <c r="CUE54" s="4"/>
      <c r="CUF54" s="4"/>
      <c r="CUG54" s="4"/>
      <c r="CUH54" s="4"/>
      <c r="CUI54" s="4"/>
      <c r="CUJ54" s="4"/>
      <c r="CUK54" s="4"/>
      <c r="CUL54" s="4"/>
      <c r="CUM54" s="4"/>
      <c r="CUN54" s="4"/>
      <c r="CUO54" s="4"/>
      <c r="CUP54" s="4"/>
      <c r="CUQ54" s="4"/>
      <c r="CUR54" s="4"/>
      <c r="CUS54" s="4"/>
      <c r="CUT54" s="4"/>
      <c r="CUU54" s="4"/>
      <c r="CUV54" s="4"/>
      <c r="CUW54" s="4"/>
      <c r="CUX54" s="4"/>
      <c r="CUY54" s="4"/>
      <c r="CUZ54" s="4"/>
      <c r="CVA54" s="4"/>
      <c r="CVB54" s="4"/>
      <c r="CVC54" s="4"/>
      <c r="CVD54" s="4"/>
      <c r="CVE54" s="4"/>
      <c r="CVF54" s="4"/>
      <c r="CVG54" s="4"/>
      <c r="CVH54" s="4"/>
      <c r="CVI54" s="4"/>
      <c r="CVJ54" s="4"/>
      <c r="CVK54" s="4"/>
      <c r="CVL54" s="4"/>
      <c r="CVM54" s="4"/>
      <c r="CVN54" s="4"/>
      <c r="CVO54" s="4"/>
      <c r="CVP54" s="4"/>
      <c r="CVQ54" s="4"/>
      <c r="CVR54" s="4"/>
      <c r="CVS54" s="4"/>
      <c r="CVT54" s="4"/>
      <c r="CVU54" s="4"/>
      <c r="CVV54" s="4"/>
      <c r="CVW54" s="4"/>
      <c r="CVX54" s="4"/>
      <c r="CVY54" s="4"/>
      <c r="CVZ54" s="4"/>
      <c r="CWA54" s="4"/>
      <c r="CWB54" s="4"/>
      <c r="CWC54" s="4"/>
      <c r="CWD54" s="4"/>
      <c r="CWE54" s="4"/>
      <c r="CWF54" s="4"/>
      <c r="CWG54" s="4"/>
      <c r="CWH54" s="4"/>
      <c r="CWI54" s="4"/>
      <c r="CWJ54" s="4"/>
      <c r="CWK54" s="4"/>
      <c r="CWL54" s="4"/>
      <c r="CWM54" s="4"/>
      <c r="CWN54" s="4"/>
      <c r="CWO54" s="4"/>
      <c r="CWP54" s="4"/>
      <c r="CWQ54" s="4"/>
      <c r="CWR54" s="4"/>
      <c r="CWS54" s="4"/>
      <c r="CWT54" s="4"/>
      <c r="CWU54" s="4"/>
      <c r="CWV54" s="4"/>
      <c r="CWW54" s="4"/>
      <c r="CWX54" s="4"/>
      <c r="CWY54" s="4"/>
      <c r="CWZ54" s="4"/>
      <c r="CXA54" s="4"/>
      <c r="CXB54" s="4"/>
      <c r="CXC54" s="4"/>
      <c r="CXD54" s="4"/>
      <c r="CXE54" s="4"/>
      <c r="CXF54" s="4"/>
      <c r="CXG54" s="4"/>
      <c r="CXH54" s="4"/>
      <c r="CXI54" s="4"/>
      <c r="CXJ54" s="4"/>
      <c r="CXK54" s="4"/>
      <c r="CXL54" s="4"/>
      <c r="CXM54" s="4"/>
      <c r="CXN54" s="4"/>
      <c r="CXO54" s="4"/>
      <c r="CXP54" s="4"/>
      <c r="CXQ54" s="4"/>
      <c r="CXR54" s="4"/>
      <c r="CXS54" s="4"/>
      <c r="CXT54" s="4"/>
      <c r="CXU54" s="4"/>
      <c r="CXV54" s="4"/>
      <c r="CXW54" s="4"/>
      <c r="CXX54" s="4"/>
      <c r="CXY54" s="4"/>
      <c r="CXZ54" s="4"/>
      <c r="CYA54" s="4"/>
      <c r="CYB54" s="4"/>
      <c r="CYC54" s="4"/>
      <c r="CYD54" s="4"/>
      <c r="CYE54" s="4"/>
      <c r="CYF54" s="4"/>
      <c r="CYG54" s="4"/>
      <c r="CYH54" s="4"/>
      <c r="CYI54" s="4"/>
      <c r="CYJ54" s="4"/>
      <c r="CYK54" s="4"/>
      <c r="CYL54" s="4"/>
      <c r="CYM54" s="4"/>
      <c r="CYN54" s="4"/>
      <c r="CYO54" s="4"/>
      <c r="CYP54" s="4"/>
      <c r="CYQ54" s="4"/>
      <c r="CYR54" s="4"/>
      <c r="CYS54" s="4"/>
      <c r="CYT54" s="4"/>
      <c r="CYU54" s="4"/>
      <c r="CYV54" s="4"/>
      <c r="CYW54" s="4"/>
      <c r="CYX54" s="4"/>
      <c r="CYY54" s="4"/>
      <c r="CYZ54" s="4"/>
      <c r="CZA54" s="4"/>
      <c r="CZB54" s="4"/>
      <c r="CZC54" s="4"/>
      <c r="CZD54" s="4"/>
      <c r="CZE54" s="4"/>
      <c r="CZF54" s="4"/>
      <c r="CZG54" s="4"/>
      <c r="CZH54" s="4"/>
      <c r="CZI54" s="4"/>
      <c r="CZJ54" s="4"/>
      <c r="CZK54" s="4"/>
      <c r="CZL54" s="4"/>
      <c r="CZM54" s="4"/>
      <c r="CZN54" s="4"/>
      <c r="CZO54" s="4"/>
      <c r="CZP54" s="4"/>
      <c r="CZQ54" s="4"/>
      <c r="CZR54" s="4"/>
      <c r="CZS54" s="4"/>
      <c r="CZT54" s="4"/>
      <c r="CZU54" s="4"/>
      <c r="CZV54" s="4"/>
      <c r="CZW54" s="4"/>
      <c r="CZX54" s="4"/>
      <c r="CZY54" s="4"/>
      <c r="CZZ54" s="4"/>
      <c r="DAA54" s="4"/>
      <c r="DAB54" s="4"/>
      <c r="DAC54" s="4"/>
      <c r="DAD54" s="4"/>
      <c r="DAE54" s="4"/>
      <c r="DAF54" s="4"/>
      <c r="DAG54" s="4"/>
      <c r="DAH54" s="4"/>
      <c r="DAI54" s="4"/>
      <c r="DAJ54" s="4"/>
      <c r="DAK54" s="4"/>
      <c r="DAL54" s="4"/>
      <c r="DAM54" s="4"/>
      <c r="DAN54" s="4"/>
      <c r="DAO54" s="4"/>
      <c r="DAP54" s="4"/>
      <c r="DAQ54" s="4"/>
      <c r="DAR54" s="4"/>
      <c r="DAS54" s="4"/>
      <c r="DAT54" s="4"/>
      <c r="DAU54" s="4"/>
      <c r="DAV54" s="4"/>
      <c r="DAW54" s="4"/>
      <c r="DAX54" s="4"/>
      <c r="DAY54" s="4"/>
      <c r="DAZ54" s="4"/>
      <c r="DBA54" s="4"/>
      <c r="DBB54" s="4"/>
      <c r="DBC54" s="4"/>
      <c r="DBD54" s="4"/>
      <c r="DBE54" s="4"/>
      <c r="DBF54" s="4"/>
      <c r="DBG54" s="4"/>
      <c r="DBH54" s="4"/>
      <c r="DBI54" s="4"/>
      <c r="DBJ54" s="4"/>
      <c r="DBK54" s="4"/>
      <c r="DBL54" s="4"/>
      <c r="DBM54" s="4"/>
      <c r="DBN54" s="4"/>
      <c r="DBO54" s="4"/>
      <c r="DBP54" s="4"/>
      <c r="DBQ54" s="4"/>
      <c r="DBR54" s="4"/>
      <c r="DBS54" s="4"/>
      <c r="DBT54" s="4"/>
      <c r="DBU54" s="4"/>
      <c r="DBV54" s="4"/>
      <c r="DBW54" s="4"/>
      <c r="DBX54" s="4"/>
      <c r="DBY54" s="4"/>
      <c r="DBZ54" s="4"/>
      <c r="DCA54" s="4"/>
      <c r="DCB54" s="4"/>
      <c r="DCC54" s="4"/>
      <c r="DCD54" s="4"/>
      <c r="DCE54" s="4"/>
      <c r="DCF54" s="4"/>
      <c r="DCG54" s="4"/>
      <c r="DCH54" s="4"/>
      <c r="DCI54" s="4"/>
      <c r="DCJ54" s="4"/>
      <c r="DCK54" s="4"/>
      <c r="DCL54" s="4"/>
      <c r="DCM54" s="4"/>
      <c r="DCN54" s="4"/>
      <c r="DCO54" s="4"/>
      <c r="DCP54" s="4"/>
      <c r="DCQ54" s="4"/>
      <c r="DCR54" s="4"/>
      <c r="DCS54" s="4"/>
      <c r="DCT54" s="4"/>
      <c r="DCU54" s="4"/>
      <c r="DCV54" s="4"/>
      <c r="DCW54" s="4"/>
      <c r="DCX54" s="4"/>
      <c r="DCY54" s="4"/>
      <c r="DCZ54" s="4"/>
      <c r="DDA54" s="4"/>
      <c r="DDB54" s="4"/>
      <c r="DDC54" s="4"/>
      <c r="DDD54" s="4"/>
      <c r="DDE54" s="4"/>
      <c r="DDF54" s="4"/>
      <c r="DDG54" s="4"/>
      <c r="DDH54" s="4"/>
      <c r="DDI54" s="4"/>
      <c r="DDJ54" s="4"/>
      <c r="DDK54" s="4"/>
      <c r="DDL54" s="4"/>
      <c r="DDM54" s="4"/>
      <c r="DDN54" s="4"/>
      <c r="DDO54" s="4"/>
      <c r="DDP54" s="4"/>
      <c r="DDQ54" s="4"/>
      <c r="DDR54" s="4"/>
      <c r="DDS54" s="4"/>
      <c r="DDT54" s="4"/>
      <c r="DDU54" s="4"/>
      <c r="DDV54" s="4"/>
      <c r="DDW54" s="4"/>
      <c r="DDX54" s="4"/>
      <c r="DDY54" s="4"/>
      <c r="DDZ54" s="4"/>
      <c r="DEA54" s="4"/>
      <c r="DEB54" s="4"/>
      <c r="DEC54" s="4"/>
      <c r="DED54" s="4"/>
      <c r="DEE54" s="4"/>
      <c r="DEF54" s="4"/>
      <c r="DEG54" s="4"/>
      <c r="DEH54" s="4"/>
      <c r="DEI54" s="4"/>
      <c r="DEJ54" s="4"/>
      <c r="DEK54" s="4"/>
      <c r="DEL54" s="4"/>
      <c r="DEM54" s="4"/>
      <c r="DEN54" s="4"/>
      <c r="DEO54" s="4"/>
      <c r="DEP54" s="4"/>
      <c r="DEQ54" s="4"/>
      <c r="DER54" s="4"/>
      <c r="DES54" s="4"/>
      <c r="DET54" s="4"/>
      <c r="DEU54" s="4"/>
      <c r="DEV54" s="4"/>
      <c r="DEW54" s="4"/>
      <c r="DEX54" s="4"/>
      <c r="DEY54" s="4"/>
      <c r="DEZ54" s="4"/>
      <c r="DFA54" s="4"/>
      <c r="DFB54" s="4"/>
      <c r="DFC54" s="4"/>
      <c r="DFD54" s="4"/>
      <c r="DFE54" s="4"/>
      <c r="DFF54" s="4"/>
      <c r="DFG54" s="4"/>
      <c r="DFH54" s="4"/>
      <c r="DFI54" s="4"/>
      <c r="DFJ54" s="4"/>
      <c r="DFK54" s="4"/>
      <c r="DFL54" s="4"/>
      <c r="DFM54" s="4"/>
      <c r="DFN54" s="4"/>
      <c r="DFO54" s="4"/>
      <c r="DFP54" s="4"/>
      <c r="DFQ54" s="4"/>
      <c r="DFR54" s="4"/>
      <c r="DFS54" s="4"/>
      <c r="DFT54" s="4"/>
      <c r="DFU54" s="4"/>
      <c r="DFV54" s="4"/>
      <c r="DFW54" s="4"/>
      <c r="DFX54" s="4"/>
      <c r="DFY54" s="4"/>
      <c r="DFZ54" s="4"/>
      <c r="DGA54" s="4"/>
      <c r="DGB54" s="4"/>
      <c r="DGC54" s="4"/>
      <c r="DGD54" s="4"/>
      <c r="DGE54" s="4"/>
      <c r="DGF54" s="4"/>
      <c r="DGG54" s="4"/>
      <c r="DGH54" s="4"/>
      <c r="DGI54" s="4"/>
      <c r="DGJ54" s="4"/>
      <c r="DGK54" s="4"/>
      <c r="DGL54" s="4"/>
      <c r="DGM54" s="4"/>
      <c r="DGN54" s="4"/>
      <c r="DGO54" s="4"/>
      <c r="DGP54" s="4"/>
      <c r="DGQ54" s="4"/>
      <c r="DGR54" s="4"/>
      <c r="DGS54" s="4"/>
      <c r="DGT54" s="4"/>
      <c r="DGU54" s="4"/>
      <c r="DGV54" s="4"/>
      <c r="DGW54" s="4"/>
      <c r="DGX54" s="4"/>
      <c r="DGY54" s="4"/>
      <c r="DGZ54" s="4"/>
      <c r="DHA54" s="4"/>
      <c r="DHB54" s="4"/>
      <c r="DHC54" s="4"/>
      <c r="DHD54" s="4"/>
      <c r="DHE54" s="4"/>
      <c r="DHF54" s="4"/>
      <c r="DHG54" s="4"/>
      <c r="DHH54" s="4"/>
      <c r="DHI54" s="4"/>
      <c r="DHJ54" s="4"/>
      <c r="DHK54" s="4"/>
      <c r="DHL54" s="4"/>
      <c r="DHM54" s="4"/>
      <c r="DHN54" s="4"/>
      <c r="DHO54" s="4"/>
      <c r="DHP54" s="4"/>
      <c r="DHQ54" s="4"/>
      <c r="DHR54" s="4"/>
      <c r="DHS54" s="4"/>
      <c r="DHT54" s="4"/>
      <c r="DHU54" s="4"/>
      <c r="DHV54" s="4"/>
      <c r="DHW54" s="4"/>
      <c r="DHX54" s="4"/>
      <c r="DHY54" s="4"/>
      <c r="DHZ54" s="4"/>
      <c r="DIA54" s="4"/>
      <c r="DIB54" s="4"/>
      <c r="DIC54" s="4"/>
      <c r="DID54" s="4"/>
      <c r="DIE54" s="4"/>
      <c r="DIF54" s="4"/>
      <c r="DIG54" s="4"/>
      <c r="DIH54" s="4"/>
      <c r="DII54" s="4"/>
      <c r="DIJ54" s="4"/>
      <c r="DIK54" s="4"/>
      <c r="DIL54" s="4"/>
      <c r="DIM54" s="4"/>
      <c r="DIN54" s="4"/>
      <c r="DIO54" s="4"/>
      <c r="DIP54" s="4"/>
      <c r="DIQ54" s="4"/>
      <c r="DIR54" s="4"/>
      <c r="DIS54" s="4"/>
      <c r="DIT54" s="4"/>
      <c r="DIU54" s="4"/>
      <c r="DIV54" s="4"/>
      <c r="DIW54" s="4"/>
      <c r="DIX54" s="4"/>
      <c r="DIY54" s="4"/>
      <c r="DIZ54" s="4"/>
      <c r="DJA54" s="4"/>
      <c r="DJB54" s="4"/>
      <c r="DJC54" s="4"/>
      <c r="DJD54" s="4"/>
      <c r="DJE54" s="4"/>
      <c r="DJF54" s="4"/>
      <c r="DJG54" s="4"/>
      <c r="DJH54" s="4"/>
      <c r="DJI54" s="4"/>
      <c r="DJJ54" s="4"/>
      <c r="DJK54" s="4"/>
      <c r="DJL54" s="4"/>
      <c r="DJM54" s="4"/>
      <c r="DJN54" s="4"/>
      <c r="DJO54" s="4"/>
      <c r="DJP54" s="4"/>
      <c r="DJQ54" s="4"/>
      <c r="DJR54" s="4"/>
      <c r="DJS54" s="4"/>
      <c r="DJT54" s="4"/>
      <c r="DJU54" s="4"/>
      <c r="DJV54" s="4"/>
      <c r="DJW54" s="4"/>
      <c r="DJX54" s="4"/>
      <c r="DJY54" s="4"/>
      <c r="DJZ54" s="4"/>
      <c r="DKA54" s="4"/>
      <c r="DKB54" s="4"/>
      <c r="DKC54" s="4"/>
      <c r="DKD54" s="4"/>
      <c r="DKE54" s="4"/>
      <c r="DKF54" s="4"/>
      <c r="DKG54" s="4"/>
      <c r="DKH54" s="4"/>
      <c r="DKI54" s="4"/>
      <c r="DKJ54" s="4"/>
      <c r="DKK54" s="4"/>
      <c r="DKL54" s="4"/>
      <c r="DKM54" s="4"/>
      <c r="DKN54" s="4"/>
      <c r="DKO54" s="4"/>
      <c r="DKP54" s="4"/>
      <c r="DKQ54" s="4"/>
      <c r="DKR54" s="4"/>
      <c r="DKS54" s="4"/>
      <c r="DKT54" s="4"/>
      <c r="DKU54" s="4"/>
      <c r="DKV54" s="4"/>
      <c r="DKW54" s="4"/>
      <c r="DKX54" s="4"/>
      <c r="DKY54" s="4"/>
      <c r="DKZ54" s="4"/>
      <c r="DLA54" s="4"/>
      <c r="DLB54" s="4"/>
      <c r="DLC54" s="4"/>
      <c r="DLD54" s="4"/>
      <c r="DLE54" s="4"/>
      <c r="DLF54" s="4"/>
      <c r="DLG54" s="4"/>
      <c r="DLH54" s="4"/>
      <c r="DLI54" s="4"/>
      <c r="DLJ54" s="4"/>
      <c r="DLK54" s="4"/>
      <c r="DLL54" s="4"/>
      <c r="DLM54" s="4"/>
      <c r="DLN54" s="4"/>
      <c r="DLO54" s="4"/>
      <c r="DLP54" s="4"/>
      <c r="DLQ54" s="4"/>
      <c r="DLR54" s="4"/>
      <c r="DLS54" s="4"/>
      <c r="DLT54" s="4"/>
      <c r="DLU54" s="4"/>
      <c r="DLV54" s="4"/>
      <c r="DLW54" s="4"/>
      <c r="DLX54" s="4"/>
      <c r="DLY54" s="4"/>
      <c r="DLZ54" s="4"/>
      <c r="DMA54" s="4"/>
      <c r="DMB54" s="4"/>
      <c r="DMC54" s="4"/>
      <c r="DMD54" s="4"/>
      <c r="DME54" s="4"/>
      <c r="DMF54" s="4"/>
      <c r="DMG54" s="4"/>
      <c r="DMH54" s="4"/>
      <c r="DMI54" s="4"/>
      <c r="DMJ54" s="4"/>
      <c r="DMK54" s="4"/>
      <c r="DML54" s="4"/>
      <c r="DMM54" s="4"/>
      <c r="DMN54" s="4"/>
      <c r="DMO54" s="4"/>
      <c r="DMP54" s="4"/>
      <c r="DMQ54" s="4"/>
      <c r="DMR54" s="4"/>
      <c r="DMS54" s="4"/>
      <c r="DMT54" s="4"/>
      <c r="DMU54" s="4"/>
      <c r="DMV54" s="4"/>
      <c r="DMW54" s="4"/>
      <c r="DMX54" s="4"/>
      <c r="DMY54" s="4"/>
      <c r="DMZ54" s="4"/>
      <c r="DNA54" s="4"/>
      <c r="DNB54" s="4"/>
      <c r="DNC54" s="4"/>
      <c r="DND54" s="4"/>
      <c r="DNE54" s="4"/>
      <c r="DNF54" s="4"/>
      <c r="DNG54" s="4"/>
      <c r="DNH54" s="4"/>
      <c r="DNI54" s="4"/>
      <c r="DNJ54" s="4"/>
      <c r="DNK54" s="4"/>
      <c r="DNL54" s="4"/>
      <c r="DNM54" s="4"/>
      <c r="DNN54" s="4"/>
      <c r="DNO54" s="4"/>
      <c r="DNP54" s="4"/>
      <c r="DNQ54" s="4"/>
      <c r="DNR54" s="4"/>
      <c r="DNS54" s="4"/>
      <c r="DNT54" s="4"/>
      <c r="DNU54" s="4"/>
      <c r="DNV54" s="4"/>
      <c r="DNW54" s="4"/>
      <c r="DNX54" s="4"/>
      <c r="DNY54" s="4"/>
      <c r="DNZ54" s="4"/>
      <c r="DOA54" s="4"/>
      <c r="DOB54" s="4"/>
      <c r="DOC54" s="4"/>
      <c r="DOD54" s="4"/>
      <c r="DOE54" s="4"/>
      <c r="DOF54" s="4"/>
      <c r="DOG54" s="4"/>
      <c r="DOH54" s="4"/>
      <c r="DOI54" s="4"/>
      <c r="DOJ54" s="4"/>
      <c r="DOK54" s="4"/>
      <c r="DOL54" s="4"/>
      <c r="DOM54" s="4"/>
      <c r="DON54" s="4"/>
      <c r="DOO54" s="4"/>
      <c r="DOP54" s="4"/>
      <c r="DOQ54" s="4"/>
      <c r="DOR54" s="4"/>
      <c r="DOS54" s="4"/>
      <c r="DOT54" s="4"/>
      <c r="DOU54" s="4"/>
      <c r="DOV54" s="4"/>
      <c r="DOW54" s="4"/>
      <c r="DOX54" s="4"/>
      <c r="DOY54" s="4"/>
      <c r="DOZ54" s="4"/>
      <c r="DPA54" s="4"/>
      <c r="DPB54" s="4"/>
      <c r="DPC54" s="4"/>
      <c r="DPD54" s="4"/>
      <c r="DPE54" s="4"/>
      <c r="DPF54" s="4"/>
      <c r="DPG54" s="4"/>
      <c r="DPH54" s="4"/>
      <c r="DPI54" s="4"/>
      <c r="DPJ54" s="4"/>
      <c r="DPK54" s="4"/>
      <c r="DPL54" s="4"/>
      <c r="DPM54" s="4"/>
      <c r="DPN54" s="4"/>
      <c r="DPO54" s="4"/>
      <c r="DPP54" s="4"/>
      <c r="DPQ54" s="4"/>
      <c r="DPR54" s="4"/>
      <c r="DPS54" s="4"/>
      <c r="DPT54" s="4"/>
      <c r="DPU54" s="4"/>
      <c r="DPV54" s="4"/>
      <c r="DPW54" s="4"/>
      <c r="DPX54" s="4"/>
      <c r="DPY54" s="4"/>
      <c r="DPZ54" s="4"/>
      <c r="DQA54" s="4"/>
      <c r="DQB54" s="4"/>
      <c r="DQC54" s="4"/>
      <c r="DQD54" s="4"/>
      <c r="DQE54" s="4"/>
      <c r="DQF54" s="4"/>
      <c r="DQG54" s="4"/>
      <c r="DQH54" s="4"/>
      <c r="DQI54" s="4"/>
      <c r="DQJ54" s="4"/>
      <c r="DQK54" s="4"/>
      <c r="DQL54" s="4"/>
      <c r="DQM54" s="4"/>
      <c r="DQN54" s="4"/>
      <c r="DQO54" s="4"/>
      <c r="DQP54" s="4"/>
      <c r="DQQ54" s="4"/>
      <c r="DQR54" s="4"/>
      <c r="DQS54" s="4"/>
      <c r="DQT54" s="4"/>
      <c r="DQU54" s="4"/>
      <c r="DQV54" s="4"/>
      <c r="DQW54" s="4"/>
      <c r="DQX54" s="4"/>
      <c r="DQY54" s="4"/>
      <c r="DQZ54" s="4"/>
      <c r="DRA54" s="4"/>
      <c r="DRB54" s="4"/>
      <c r="DRC54" s="4"/>
      <c r="DRD54" s="4"/>
      <c r="DRE54" s="4"/>
      <c r="DRF54" s="4"/>
      <c r="DRG54" s="4"/>
      <c r="DRH54" s="4"/>
      <c r="DRI54" s="4"/>
      <c r="DRJ54" s="4"/>
      <c r="DRK54" s="4"/>
      <c r="DRL54" s="4"/>
      <c r="DRM54" s="4"/>
      <c r="DRN54" s="4"/>
      <c r="DRO54" s="4"/>
      <c r="DRP54" s="4"/>
      <c r="DRQ54" s="4"/>
      <c r="DRR54" s="4"/>
      <c r="DRS54" s="4"/>
      <c r="DRT54" s="4"/>
      <c r="DRU54" s="4"/>
      <c r="DRV54" s="4"/>
      <c r="DRW54" s="4"/>
      <c r="DRX54" s="4"/>
      <c r="DRY54" s="4"/>
      <c r="DRZ54" s="4"/>
      <c r="DSA54" s="4"/>
      <c r="DSB54" s="4"/>
      <c r="DSC54" s="4"/>
      <c r="DSD54" s="4"/>
      <c r="DSE54" s="4"/>
      <c r="DSF54" s="4"/>
      <c r="DSG54" s="4"/>
      <c r="DSH54" s="4"/>
      <c r="DSI54" s="4"/>
      <c r="DSJ54" s="4"/>
      <c r="DSK54" s="4"/>
      <c r="DSL54" s="4"/>
      <c r="DSM54" s="4"/>
      <c r="DSN54" s="4"/>
      <c r="DSO54" s="4"/>
      <c r="DSP54" s="4"/>
      <c r="DSQ54" s="4"/>
      <c r="DSR54" s="4"/>
      <c r="DSS54" s="4"/>
      <c r="DST54" s="4"/>
      <c r="DSU54" s="4"/>
      <c r="DSV54" s="4"/>
      <c r="DSW54" s="4"/>
      <c r="DSX54" s="4"/>
      <c r="DSY54" s="4"/>
      <c r="DSZ54" s="4"/>
      <c r="DTA54" s="4"/>
      <c r="DTB54" s="4"/>
      <c r="DTC54" s="4"/>
      <c r="DTD54" s="4"/>
      <c r="DTE54" s="4"/>
      <c r="DTF54" s="4"/>
      <c r="DTG54" s="4"/>
      <c r="DTH54" s="4"/>
      <c r="DTI54" s="4"/>
      <c r="DTJ54" s="4"/>
      <c r="DTK54" s="4"/>
      <c r="DTL54" s="4"/>
      <c r="DTM54" s="4"/>
      <c r="DTN54" s="4"/>
      <c r="DTO54" s="4"/>
      <c r="DTP54" s="4"/>
      <c r="DTQ54" s="4"/>
      <c r="DTR54" s="4"/>
      <c r="DTS54" s="4"/>
      <c r="DTT54" s="4"/>
      <c r="DTU54" s="4"/>
      <c r="DTV54" s="4"/>
      <c r="DTW54" s="4"/>
      <c r="DTX54" s="4"/>
      <c r="DTY54" s="4"/>
      <c r="DTZ54" s="4"/>
      <c r="DUA54" s="4"/>
      <c r="DUB54" s="4"/>
      <c r="DUC54" s="4"/>
      <c r="DUD54" s="4"/>
      <c r="DUE54" s="4"/>
      <c r="DUF54" s="4"/>
      <c r="DUG54" s="4"/>
      <c r="DUH54" s="4"/>
      <c r="DUI54" s="4"/>
      <c r="DUJ54" s="4"/>
      <c r="DUK54" s="4"/>
      <c r="DUL54" s="4"/>
      <c r="DUM54" s="4"/>
      <c r="DUN54" s="4"/>
      <c r="DUO54" s="4"/>
      <c r="DUP54" s="4"/>
      <c r="DUQ54" s="4"/>
      <c r="DUR54" s="4"/>
      <c r="DUS54" s="4"/>
      <c r="DUT54" s="4"/>
      <c r="DUU54" s="4"/>
      <c r="DUV54" s="4"/>
      <c r="DUW54" s="4"/>
      <c r="DUX54" s="4"/>
      <c r="DUY54" s="4"/>
      <c r="DUZ54" s="4"/>
      <c r="DVA54" s="4"/>
      <c r="DVB54" s="4"/>
      <c r="DVC54" s="4"/>
      <c r="DVD54" s="4"/>
      <c r="DVE54" s="4"/>
      <c r="DVF54" s="4"/>
      <c r="DVG54" s="4"/>
      <c r="DVH54" s="4"/>
      <c r="DVI54" s="4"/>
      <c r="DVJ54" s="4"/>
      <c r="DVK54" s="4"/>
      <c r="DVL54" s="4"/>
      <c r="DVM54" s="4"/>
      <c r="DVN54" s="4"/>
      <c r="DVO54" s="4"/>
      <c r="DVP54" s="4"/>
      <c r="DVQ54" s="4"/>
      <c r="DVR54" s="4"/>
      <c r="DVS54" s="4"/>
      <c r="DVT54" s="4"/>
      <c r="DVU54" s="4"/>
      <c r="DVV54" s="4"/>
      <c r="DVW54" s="4"/>
      <c r="DVX54" s="4"/>
      <c r="DVY54" s="4"/>
      <c r="DVZ54" s="4"/>
      <c r="DWA54" s="4"/>
      <c r="DWB54" s="4"/>
      <c r="DWC54" s="4"/>
      <c r="DWD54" s="4"/>
      <c r="DWE54" s="4"/>
      <c r="DWF54" s="4"/>
      <c r="DWG54" s="4"/>
      <c r="DWH54" s="4"/>
      <c r="DWI54" s="4"/>
      <c r="DWJ54" s="4"/>
      <c r="DWK54" s="4"/>
      <c r="DWL54" s="4"/>
      <c r="DWM54" s="4"/>
      <c r="DWN54" s="4"/>
      <c r="DWO54" s="4"/>
      <c r="DWP54" s="4"/>
      <c r="DWQ54" s="4"/>
      <c r="DWR54" s="4"/>
      <c r="DWS54" s="4"/>
      <c r="DWT54" s="4"/>
      <c r="DWU54" s="4"/>
      <c r="DWV54" s="4"/>
      <c r="DWW54" s="4"/>
      <c r="DWX54" s="4"/>
      <c r="DWY54" s="4"/>
      <c r="DWZ54" s="4"/>
      <c r="DXA54" s="4"/>
      <c r="DXB54" s="4"/>
      <c r="DXC54" s="4"/>
      <c r="DXD54" s="4"/>
      <c r="DXE54" s="4"/>
      <c r="DXF54" s="4"/>
      <c r="DXG54" s="4"/>
      <c r="DXH54" s="4"/>
      <c r="DXI54" s="4"/>
      <c r="DXJ54" s="4"/>
      <c r="DXK54" s="4"/>
      <c r="DXL54" s="4"/>
      <c r="DXM54" s="4"/>
      <c r="DXN54" s="4"/>
      <c r="DXO54" s="4"/>
      <c r="DXP54" s="4"/>
      <c r="DXQ54" s="4"/>
      <c r="DXR54" s="4"/>
      <c r="DXS54" s="4"/>
      <c r="DXT54" s="4"/>
      <c r="DXU54" s="4"/>
      <c r="DXV54" s="4"/>
      <c r="DXW54" s="4"/>
      <c r="DXX54" s="4"/>
      <c r="DXY54" s="4"/>
      <c r="DXZ54" s="4"/>
      <c r="DYA54" s="4"/>
      <c r="DYB54" s="4"/>
      <c r="DYC54" s="4"/>
      <c r="DYD54" s="4"/>
      <c r="DYE54" s="4"/>
      <c r="DYF54" s="4"/>
      <c r="DYG54" s="4"/>
      <c r="DYH54" s="4"/>
      <c r="DYI54" s="4"/>
      <c r="DYJ54" s="4"/>
      <c r="DYK54" s="4"/>
      <c r="DYL54" s="4"/>
      <c r="DYM54" s="4"/>
      <c r="DYN54" s="4"/>
      <c r="DYO54" s="4"/>
      <c r="DYP54" s="4"/>
      <c r="DYQ54" s="4"/>
      <c r="DYR54" s="4"/>
      <c r="DYS54" s="4"/>
      <c r="DYT54" s="4"/>
      <c r="DYU54" s="4"/>
      <c r="DYV54" s="4"/>
      <c r="DYW54" s="4"/>
      <c r="DYX54" s="4"/>
      <c r="DYY54" s="4"/>
      <c r="DYZ54" s="4"/>
      <c r="DZA54" s="4"/>
      <c r="DZB54" s="4"/>
      <c r="DZC54" s="4"/>
      <c r="DZD54" s="4"/>
      <c r="DZE54" s="4"/>
      <c r="DZF54" s="4"/>
      <c r="DZG54" s="4"/>
      <c r="DZH54" s="4"/>
      <c r="DZI54" s="4"/>
      <c r="DZJ54" s="4"/>
      <c r="DZK54" s="4"/>
      <c r="DZL54" s="4"/>
      <c r="DZM54" s="4"/>
      <c r="DZN54" s="4"/>
      <c r="DZO54" s="4"/>
      <c r="DZP54" s="4"/>
      <c r="DZQ54" s="4"/>
      <c r="DZR54" s="4"/>
      <c r="DZS54" s="4"/>
      <c r="DZT54" s="4"/>
      <c r="DZU54" s="4"/>
      <c r="DZV54" s="4"/>
      <c r="DZW54" s="4"/>
      <c r="DZX54" s="4"/>
      <c r="DZY54" s="4"/>
      <c r="DZZ54" s="4"/>
      <c r="EAA54" s="4"/>
      <c r="EAB54" s="4"/>
      <c r="EAC54" s="4"/>
      <c r="EAD54" s="4"/>
      <c r="EAE54" s="4"/>
      <c r="EAF54" s="4"/>
      <c r="EAG54" s="4"/>
      <c r="EAH54" s="4"/>
      <c r="EAI54" s="4"/>
      <c r="EAJ54" s="4"/>
      <c r="EAK54" s="4"/>
      <c r="EAL54" s="4"/>
      <c r="EAM54" s="4"/>
      <c r="EAN54" s="4"/>
      <c r="EAO54" s="4"/>
      <c r="EAP54" s="4"/>
      <c r="EAQ54" s="4"/>
      <c r="EAR54" s="4"/>
      <c r="EAS54" s="4"/>
      <c r="EAT54" s="4"/>
      <c r="EAU54" s="4"/>
      <c r="EAV54" s="4"/>
      <c r="EAW54" s="4"/>
      <c r="EAX54" s="4"/>
      <c r="EAY54" s="4"/>
      <c r="EAZ54" s="4"/>
      <c r="EBA54" s="4"/>
      <c r="EBB54" s="4"/>
      <c r="EBC54" s="4"/>
      <c r="EBD54" s="4"/>
      <c r="EBE54" s="4"/>
      <c r="EBF54" s="4"/>
      <c r="EBG54" s="4"/>
      <c r="EBH54" s="4"/>
      <c r="EBI54" s="4"/>
      <c r="EBJ54" s="4"/>
      <c r="EBK54" s="4"/>
      <c r="EBL54" s="4"/>
      <c r="EBM54" s="4"/>
      <c r="EBN54" s="4"/>
      <c r="EBO54" s="4"/>
      <c r="EBP54" s="4"/>
      <c r="EBQ54" s="4"/>
      <c r="EBR54" s="4"/>
      <c r="EBS54" s="4"/>
      <c r="EBT54" s="4"/>
      <c r="EBU54" s="4"/>
      <c r="EBV54" s="4"/>
      <c r="EBW54" s="4"/>
      <c r="EBX54" s="4"/>
      <c r="EBY54" s="4"/>
      <c r="EBZ54" s="4"/>
      <c r="ECA54" s="4"/>
      <c r="ECB54" s="4"/>
      <c r="ECC54" s="4"/>
      <c r="ECD54" s="4"/>
      <c r="ECE54" s="4"/>
      <c r="ECF54" s="4"/>
      <c r="ECG54" s="4"/>
      <c r="ECH54" s="4"/>
      <c r="ECI54" s="4"/>
      <c r="ECJ54" s="4"/>
      <c r="ECK54" s="4"/>
      <c r="ECL54" s="4"/>
      <c r="ECM54" s="4"/>
      <c r="ECN54" s="4"/>
      <c r="ECO54" s="4"/>
      <c r="ECP54" s="4"/>
      <c r="ECQ54" s="4"/>
      <c r="ECR54" s="4"/>
      <c r="ECS54" s="4"/>
      <c r="ECT54" s="4"/>
      <c r="ECU54" s="4"/>
      <c r="ECV54" s="4"/>
      <c r="ECW54" s="4"/>
      <c r="ECX54" s="4"/>
      <c r="ECY54" s="4"/>
      <c r="ECZ54" s="4"/>
      <c r="EDA54" s="4"/>
      <c r="EDB54" s="4"/>
      <c r="EDC54" s="4"/>
      <c r="EDD54" s="4"/>
      <c r="EDE54" s="4"/>
      <c r="EDF54" s="4"/>
      <c r="EDG54" s="4"/>
      <c r="EDH54" s="4"/>
      <c r="EDI54" s="4"/>
      <c r="EDJ54" s="4"/>
      <c r="EDK54" s="4"/>
      <c r="EDL54" s="4"/>
      <c r="EDM54" s="4"/>
      <c r="EDN54" s="4"/>
      <c r="EDO54" s="4"/>
      <c r="EDP54" s="4"/>
      <c r="EDQ54" s="4"/>
      <c r="EDR54" s="4"/>
      <c r="EDS54" s="4"/>
      <c r="EDT54" s="4"/>
      <c r="EDU54" s="4"/>
      <c r="EDV54" s="4"/>
      <c r="EDW54" s="4"/>
      <c r="EDX54" s="4"/>
      <c r="EDY54" s="4"/>
      <c r="EDZ54" s="4"/>
      <c r="EEA54" s="4"/>
      <c r="EEB54" s="4"/>
      <c r="EEC54" s="4"/>
      <c r="EED54" s="4"/>
      <c r="EEE54" s="4"/>
      <c r="EEF54" s="4"/>
      <c r="EEG54" s="4"/>
      <c r="EEH54" s="4"/>
      <c r="EEI54" s="4"/>
      <c r="EEJ54" s="4"/>
      <c r="EEK54" s="4"/>
      <c r="EEL54" s="4"/>
      <c r="EEM54" s="4"/>
      <c r="EEN54" s="4"/>
      <c r="EEO54" s="4"/>
      <c r="EEP54" s="4"/>
      <c r="EEQ54" s="4"/>
      <c r="EER54" s="4"/>
      <c r="EES54" s="4"/>
      <c r="EET54" s="4"/>
      <c r="EEU54" s="4"/>
      <c r="EEV54" s="4"/>
      <c r="EEW54" s="4"/>
      <c r="EEX54" s="4"/>
      <c r="EEY54" s="4"/>
      <c r="EEZ54" s="4"/>
      <c r="EFA54" s="4"/>
      <c r="EFB54" s="4"/>
      <c r="EFC54" s="4"/>
      <c r="EFD54" s="4"/>
      <c r="EFE54" s="4"/>
      <c r="EFF54" s="4"/>
      <c r="EFG54" s="4"/>
      <c r="EFH54" s="4"/>
      <c r="EFI54" s="4"/>
      <c r="EFJ54" s="4"/>
      <c r="EFK54" s="4"/>
      <c r="EFL54" s="4"/>
      <c r="EFM54" s="4"/>
      <c r="EFN54" s="4"/>
      <c r="EFO54" s="4"/>
      <c r="EFP54" s="4"/>
      <c r="EFQ54" s="4"/>
      <c r="EFR54" s="4"/>
      <c r="EFS54" s="4"/>
      <c r="EFT54" s="4"/>
      <c r="EFU54" s="4"/>
      <c r="EFV54" s="4"/>
      <c r="EFW54" s="4"/>
      <c r="EFX54" s="4"/>
      <c r="EFY54" s="4"/>
      <c r="EFZ54" s="4"/>
      <c r="EGA54" s="4"/>
      <c r="EGB54" s="4"/>
      <c r="EGC54" s="4"/>
      <c r="EGD54" s="4"/>
      <c r="EGE54" s="4"/>
      <c r="EGF54" s="4"/>
      <c r="EGG54" s="4"/>
      <c r="EGH54" s="4"/>
      <c r="EGI54" s="4"/>
      <c r="EGJ54" s="4"/>
      <c r="EGK54" s="4"/>
      <c r="EGL54" s="4"/>
      <c r="EGM54" s="4"/>
      <c r="EGN54" s="4"/>
      <c r="EGO54" s="4"/>
      <c r="EGP54" s="4"/>
      <c r="EGQ54" s="4"/>
      <c r="EGR54" s="4"/>
      <c r="EGS54" s="4"/>
      <c r="EGT54" s="4"/>
      <c r="EGU54" s="4"/>
      <c r="EGV54" s="4"/>
      <c r="EGW54" s="4"/>
      <c r="EGX54" s="4"/>
      <c r="EGY54" s="4"/>
      <c r="EGZ54" s="4"/>
      <c r="EHA54" s="4"/>
      <c r="EHB54" s="4"/>
      <c r="EHC54" s="4"/>
      <c r="EHD54" s="4"/>
      <c r="EHE54" s="4"/>
      <c r="EHF54" s="4"/>
      <c r="EHG54" s="4"/>
      <c r="EHH54" s="4"/>
      <c r="EHI54" s="4"/>
      <c r="EHJ54" s="4"/>
      <c r="EHK54" s="4"/>
      <c r="EHL54" s="4"/>
      <c r="EHM54" s="4"/>
      <c r="EHN54" s="4"/>
      <c r="EHO54" s="4"/>
      <c r="EHP54" s="4"/>
      <c r="EHQ54" s="4"/>
      <c r="EHR54" s="4"/>
      <c r="EHS54" s="4"/>
      <c r="EHT54" s="4"/>
      <c r="EHU54" s="4"/>
      <c r="EHV54" s="4"/>
      <c r="EHW54" s="4"/>
      <c r="EHX54" s="4"/>
      <c r="EHY54" s="4"/>
      <c r="EHZ54" s="4"/>
      <c r="EIA54" s="4"/>
      <c r="EIB54" s="4"/>
      <c r="EIC54" s="4"/>
      <c r="EID54" s="4"/>
      <c r="EIE54" s="4"/>
      <c r="EIF54" s="4"/>
      <c r="EIG54" s="4"/>
      <c r="EIH54" s="4"/>
      <c r="EII54" s="4"/>
      <c r="EIJ54" s="4"/>
      <c r="EIK54" s="4"/>
      <c r="EIL54" s="4"/>
      <c r="EIM54" s="4"/>
      <c r="EIN54" s="4"/>
      <c r="EIO54" s="4"/>
      <c r="EIP54" s="4"/>
      <c r="EIQ54" s="4"/>
      <c r="EIR54" s="4"/>
      <c r="EIS54" s="4"/>
      <c r="EIT54" s="4"/>
      <c r="EIU54" s="4"/>
      <c r="EIV54" s="4"/>
      <c r="EIW54" s="4"/>
      <c r="EIX54" s="4"/>
      <c r="EIY54" s="4"/>
      <c r="EIZ54" s="4"/>
      <c r="EJA54" s="4"/>
      <c r="EJB54" s="4"/>
      <c r="EJC54" s="4"/>
      <c r="EJD54" s="4"/>
      <c r="EJE54" s="4"/>
      <c r="EJF54" s="4"/>
      <c r="EJG54" s="4"/>
      <c r="EJH54" s="4"/>
      <c r="EJI54" s="4"/>
      <c r="EJJ54" s="4"/>
      <c r="EJK54" s="4"/>
      <c r="EJL54" s="4"/>
      <c r="EJM54" s="4"/>
      <c r="EJN54" s="4"/>
      <c r="EJO54" s="4"/>
      <c r="EJP54" s="4"/>
      <c r="EJQ54" s="4"/>
      <c r="EJR54" s="4"/>
      <c r="EJS54" s="4"/>
      <c r="EJT54" s="4"/>
      <c r="EJU54" s="4"/>
      <c r="EJV54" s="4"/>
      <c r="EJW54" s="4"/>
      <c r="EJX54" s="4"/>
      <c r="EJY54" s="4"/>
      <c r="EJZ54" s="4"/>
      <c r="EKA54" s="4"/>
      <c r="EKB54" s="4"/>
      <c r="EKC54" s="4"/>
      <c r="EKD54" s="4"/>
      <c r="EKE54" s="4"/>
      <c r="EKF54" s="4"/>
      <c r="EKG54" s="4"/>
      <c r="EKH54" s="4"/>
      <c r="EKI54" s="4"/>
      <c r="EKJ54" s="4"/>
      <c r="EKK54" s="4"/>
      <c r="EKL54" s="4"/>
      <c r="EKM54" s="4"/>
      <c r="EKN54" s="4"/>
      <c r="EKO54" s="4"/>
      <c r="EKP54" s="4"/>
      <c r="EKQ54" s="4"/>
      <c r="EKR54" s="4"/>
      <c r="EKS54" s="4"/>
      <c r="EKT54" s="4"/>
      <c r="EKU54" s="4"/>
      <c r="EKV54" s="4"/>
      <c r="EKW54" s="4"/>
      <c r="EKX54" s="4"/>
      <c r="EKY54" s="4"/>
      <c r="EKZ54" s="4"/>
      <c r="ELA54" s="4"/>
      <c r="ELB54" s="4"/>
      <c r="ELC54" s="4"/>
      <c r="ELD54" s="4"/>
      <c r="ELE54" s="4"/>
      <c r="ELF54" s="4"/>
      <c r="ELG54" s="4"/>
      <c r="ELH54" s="4"/>
      <c r="ELI54" s="4"/>
      <c r="ELJ54" s="4"/>
      <c r="ELK54" s="4"/>
      <c r="ELL54" s="4"/>
      <c r="ELM54" s="4"/>
      <c r="ELN54" s="4"/>
      <c r="ELO54" s="4"/>
      <c r="ELP54" s="4"/>
      <c r="ELQ54" s="4"/>
      <c r="ELR54" s="4"/>
      <c r="ELS54" s="4"/>
      <c r="ELT54" s="4"/>
      <c r="ELU54" s="4"/>
      <c r="ELV54" s="4"/>
      <c r="ELW54" s="4"/>
      <c r="ELX54" s="4"/>
      <c r="ELY54" s="4"/>
      <c r="ELZ54" s="4"/>
      <c r="EMA54" s="4"/>
      <c r="EMB54" s="4"/>
      <c r="EMC54" s="4"/>
      <c r="EMD54" s="4"/>
      <c r="EME54" s="4"/>
      <c r="EMF54" s="4"/>
      <c r="EMG54" s="4"/>
      <c r="EMH54" s="4"/>
      <c r="EMI54" s="4"/>
      <c r="EMJ54" s="4"/>
      <c r="EMK54" s="4"/>
      <c r="EML54" s="4"/>
      <c r="EMM54" s="4"/>
      <c r="EMN54" s="4"/>
      <c r="EMO54" s="4"/>
      <c r="EMP54" s="4"/>
      <c r="EMQ54" s="4"/>
      <c r="EMR54" s="4"/>
      <c r="EMS54" s="4"/>
      <c r="EMT54" s="4"/>
      <c r="EMU54" s="4"/>
      <c r="EMV54" s="4"/>
      <c r="EMW54" s="4"/>
      <c r="EMX54" s="4"/>
      <c r="EMY54" s="4"/>
      <c r="EMZ54" s="4"/>
      <c r="ENA54" s="4"/>
      <c r="ENB54" s="4"/>
      <c r="ENC54" s="4"/>
      <c r="END54" s="4"/>
      <c r="ENE54" s="4"/>
      <c r="ENF54" s="4"/>
      <c r="ENG54" s="4"/>
      <c r="ENH54" s="4"/>
      <c r="ENI54" s="4"/>
      <c r="ENJ54" s="4"/>
      <c r="ENK54" s="4"/>
      <c r="ENL54" s="4"/>
      <c r="ENM54" s="4"/>
      <c r="ENN54" s="4"/>
      <c r="ENO54" s="4"/>
      <c r="ENP54" s="4"/>
      <c r="ENQ54" s="4"/>
      <c r="ENR54" s="4"/>
      <c r="ENS54" s="4"/>
      <c r="ENT54" s="4"/>
      <c r="ENU54" s="4"/>
      <c r="ENV54" s="4"/>
      <c r="ENW54" s="4"/>
      <c r="ENX54" s="4"/>
      <c r="ENY54" s="4"/>
      <c r="ENZ54" s="4"/>
      <c r="EOA54" s="4"/>
      <c r="EOB54" s="4"/>
      <c r="EOC54" s="4"/>
      <c r="EOD54" s="4"/>
      <c r="EOE54" s="4"/>
      <c r="EOF54" s="4"/>
      <c r="EOG54" s="4"/>
      <c r="EOH54" s="4"/>
      <c r="EOI54" s="4"/>
      <c r="EOJ54" s="4"/>
      <c r="EOK54" s="4"/>
      <c r="EOL54" s="4"/>
      <c r="EOM54" s="4"/>
      <c r="EON54" s="4"/>
      <c r="EOO54" s="4"/>
      <c r="EOP54" s="4"/>
      <c r="EOQ54" s="4"/>
      <c r="EOR54" s="4"/>
      <c r="EOS54" s="4"/>
      <c r="EOT54" s="4"/>
      <c r="EOU54" s="4"/>
      <c r="EOV54" s="4"/>
      <c r="EOW54" s="4"/>
      <c r="EOX54" s="4"/>
      <c r="EOY54" s="4"/>
      <c r="EOZ54" s="4"/>
      <c r="EPA54" s="4"/>
      <c r="EPB54" s="4"/>
      <c r="EPC54" s="4"/>
      <c r="EPD54" s="4"/>
      <c r="EPE54" s="4"/>
      <c r="EPF54" s="4"/>
      <c r="EPG54" s="4"/>
      <c r="EPH54" s="4"/>
      <c r="EPI54" s="4"/>
      <c r="EPJ54" s="4"/>
      <c r="EPK54" s="4"/>
      <c r="EPL54" s="4"/>
      <c r="EPM54" s="4"/>
      <c r="EPN54" s="4"/>
      <c r="EPO54" s="4"/>
      <c r="EPP54" s="4"/>
      <c r="EPQ54" s="4"/>
      <c r="EPR54" s="4"/>
      <c r="EPS54" s="4"/>
      <c r="EPT54" s="4"/>
      <c r="EPU54" s="4"/>
      <c r="EPV54" s="4"/>
      <c r="EPW54" s="4"/>
      <c r="EPX54" s="4"/>
      <c r="EPY54" s="4"/>
      <c r="EPZ54" s="4"/>
      <c r="EQA54" s="4"/>
      <c r="EQB54" s="4"/>
      <c r="EQC54" s="4"/>
      <c r="EQD54" s="4"/>
      <c r="EQE54" s="4"/>
      <c r="EQF54" s="4"/>
      <c r="EQG54" s="4"/>
      <c r="EQH54" s="4"/>
      <c r="EQI54" s="4"/>
      <c r="EQJ54" s="4"/>
      <c r="EQK54" s="4"/>
      <c r="EQL54" s="4"/>
      <c r="EQM54" s="4"/>
      <c r="EQN54" s="4"/>
      <c r="EQO54" s="4"/>
      <c r="EQP54" s="4"/>
      <c r="EQQ54" s="4"/>
      <c r="EQR54" s="4"/>
      <c r="EQS54" s="4"/>
      <c r="EQT54" s="4"/>
      <c r="EQU54" s="4"/>
      <c r="EQV54" s="4"/>
      <c r="EQW54" s="4"/>
      <c r="EQX54" s="4"/>
      <c r="EQY54" s="4"/>
      <c r="EQZ54" s="4"/>
      <c r="ERA54" s="4"/>
      <c r="ERB54" s="4"/>
      <c r="ERC54" s="4"/>
      <c r="ERD54" s="4"/>
      <c r="ERE54" s="4"/>
      <c r="ERF54" s="4"/>
      <c r="ERG54" s="4"/>
      <c r="ERH54" s="4"/>
      <c r="ERI54" s="4"/>
      <c r="ERJ54" s="4"/>
      <c r="ERK54" s="4"/>
      <c r="ERL54" s="4"/>
      <c r="ERM54" s="4"/>
      <c r="ERN54" s="4"/>
      <c r="ERO54" s="4"/>
      <c r="ERP54" s="4"/>
      <c r="ERQ54" s="4"/>
      <c r="ERR54" s="4"/>
      <c r="ERS54" s="4"/>
      <c r="ERT54" s="4"/>
      <c r="ERU54" s="4"/>
      <c r="ERV54" s="4"/>
      <c r="ERW54" s="4"/>
      <c r="ERX54" s="4"/>
      <c r="ERY54" s="4"/>
      <c r="ERZ54" s="4"/>
      <c r="ESA54" s="4"/>
      <c r="ESB54" s="4"/>
      <c r="ESC54" s="4"/>
      <c r="ESD54" s="4"/>
      <c r="ESE54" s="4"/>
      <c r="ESF54" s="4"/>
      <c r="ESG54" s="4"/>
      <c r="ESH54" s="4"/>
      <c r="ESI54" s="4"/>
      <c r="ESJ54" s="4"/>
      <c r="ESK54" s="4"/>
      <c r="ESL54" s="4"/>
      <c r="ESM54" s="4"/>
      <c r="ESN54" s="4"/>
      <c r="ESO54" s="4"/>
      <c r="ESP54" s="4"/>
      <c r="ESQ54" s="4"/>
      <c r="ESR54" s="4"/>
      <c r="ESS54" s="4"/>
      <c r="EST54" s="4"/>
      <c r="ESU54" s="4"/>
      <c r="ESV54" s="4"/>
      <c r="ESW54" s="4"/>
      <c r="ESX54" s="4"/>
      <c r="ESY54" s="4"/>
      <c r="ESZ54" s="4"/>
      <c r="ETA54" s="4"/>
      <c r="ETB54" s="4"/>
      <c r="ETC54" s="4"/>
      <c r="ETD54" s="4"/>
      <c r="ETE54" s="4"/>
      <c r="ETF54" s="4"/>
      <c r="ETG54" s="4"/>
      <c r="ETH54" s="4"/>
      <c r="ETI54" s="4"/>
      <c r="ETJ54" s="4"/>
      <c r="ETK54" s="4"/>
      <c r="ETL54" s="4"/>
      <c r="ETM54" s="4"/>
      <c r="ETN54" s="4"/>
      <c r="ETO54" s="4"/>
      <c r="ETP54" s="4"/>
      <c r="ETQ54" s="4"/>
      <c r="ETR54" s="4"/>
      <c r="ETS54" s="4"/>
      <c r="ETT54" s="4"/>
      <c r="ETU54" s="4"/>
      <c r="ETV54" s="4"/>
      <c r="ETW54" s="4"/>
      <c r="ETX54" s="4"/>
      <c r="ETY54" s="4"/>
      <c r="ETZ54" s="4"/>
      <c r="EUA54" s="4"/>
      <c r="EUB54" s="4"/>
      <c r="EUC54" s="4"/>
      <c r="EUD54" s="4"/>
      <c r="EUE54" s="4"/>
      <c r="EUF54" s="4"/>
      <c r="EUG54" s="4"/>
      <c r="EUH54" s="4"/>
      <c r="EUI54" s="4"/>
      <c r="EUJ54" s="4"/>
      <c r="EUK54" s="4"/>
      <c r="EUL54" s="4"/>
      <c r="EUM54" s="4"/>
      <c r="EUN54" s="4"/>
      <c r="EUO54" s="4"/>
      <c r="EUP54" s="4"/>
      <c r="EUQ54" s="4"/>
      <c r="EUR54" s="4"/>
      <c r="EUS54" s="4"/>
      <c r="EUT54" s="4"/>
      <c r="EUU54" s="4"/>
      <c r="EUV54" s="4"/>
      <c r="EUW54" s="4"/>
      <c r="EUX54" s="4"/>
      <c r="EUY54" s="4"/>
      <c r="EUZ54" s="4"/>
      <c r="EVA54" s="4"/>
      <c r="EVB54" s="4"/>
      <c r="EVC54" s="4"/>
      <c r="EVD54" s="4"/>
      <c r="EVE54" s="4"/>
      <c r="EVF54" s="4"/>
      <c r="EVG54" s="4"/>
      <c r="EVH54" s="4"/>
      <c r="EVI54" s="4"/>
      <c r="EVJ54" s="4"/>
      <c r="EVK54" s="4"/>
      <c r="EVL54" s="4"/>
      <c r="EVM54" s="4"/>
      <c r="EVN54" s="4"/>
      <c r="EVO54" s="4"/>
      <c r="EVP54" s="4"/>
      <c r="EVQ54" s="4"/>
      <c r="EVR54" s="4"/>
      <c r="EVS54" s="4"/>
      <c r="EVT54" s="4"/>
      <c r="EVU54" s="4"/>
      <c r="EVV54" s="4"/>
      <c r="EVW54" s="4"/>
      <c r="EVX54" s="4"/>
      <c r="EVY54" s="4"/>
      <c r="EVZ54" s="4"/>
      <c r="EWA54" s="4"/>
      <c r="EWB54" s="4"/>
      <c r="EWC54" s="4"/>
      <c r="EWD54" s="4"/>
      <c r="EWE54" s="4"/>
      <c r="EWF54" s="4"/>
      <c r="EWG54" s="4"/>
      <c r="EWH54" s="4"/>
      <c r="EWI54" s="4"/>
      <c r="EWJ54" s="4"/>
      <c r="EWK54" s="4"/>
      <c r="EWL54" s="4"/>
      <c r="EWM54" s="4"/>
      <c r="EWN54" s="4"/>
      <c r="EWO54" s="4"/>
      <c r="EWP54" s="4"/>
      <c r="EWQ54" s="4"/>
      <c r="EWR54" s="4"/>
      <c r="EWS54" s="4"/>
      <c r="EWT54" s="4"/>
      <c r="EWU54" s="4"/>
      <c r="EWV54" s="4"/>
      <c r="EWW54" s="4"/>
      <c r="EWX54" s="4"/>
      <c r="EWY54" s="4"/>
      <c r="EWZ54" s="4"/>
      <c r="EXA54" s="4"/>
      <c r="EXB54" s="4"/>
      <c r="EXC54" s="4"/>
      <c r="EXD54" s="4"/>
      <c r="EXE54" s="4"/>
      <c r="EXF54" s="4"/>
      <c r="EXG54" s="4"/>
      <c r="EXH54" s="4"/>
      <c r="EXI54" s="4"/>
      <c r="EXJ54" s="4"/>
      <c r="EXK54" s="4"/>
      <c r="EXL54" s="4"/>
      <c r="EXM54" s="4"/>
      <c r="EXN54" s="4"/>
      <c r="EXO54" s="4"/>
      <c r="EXP54" s="4"/>
      <c r="EXQ54" s="4"/>
      <c r="EXR54" s="4"/>
      <c r="EXS54" s="4"/>
      <c r="EXT54" s="4"/>
      <c r="EXU54" s="4"/>
      <c r="EXV54" s="4"/>
      <c r="EXW54" s="4"/>
      <c r="EXX54" s="4"/>
      <c r="EXY54" s="4"/>
      <c r="EXZ54" s="4"/>
      <c r="EYA54" s="4"/>
      <c r="EYB54" s="4"/>
      <c r="EYC54" s="4"/>
      <c r="EYD54" s="4"/>
      <c r="EYE54" s="4"/>
      <c r="EYF54" s="4"/>
      <c r="EYG54" s="4"/>
      <c r="EYH54" s="4"/>
      <c r="EYI54" s="4"/>
      <c r="EYJ54" s="4"/>
      <c r="EYK54" s="4"/>
      <c r="EYL54" s="4"/>
      <c r="EYM54" s="4"/>
      <c r="EYN54" s="4"/>
      <c r="EYO54" s="4"/>
      <c r="EYP54" s="4"/>
      <c r="EYQ54" s="4"/>
      <c r="EYR54" s="4"/>
      <c r="EYS54" s="4"/>
      <c r="EYT54" s="4"/>
      <c r="EYU54" s="4"/>
      <c r="EYV54" s="4"/>
      <c r="EYW54" s="4"/>
      <c r="EYX54" s="4"/>
      <c r="EYY54" s="4"/>
      <c r="EYZ54" s="4"/>
      <c r="EZA54" s="4"/>
      <c r="EZB54" s="4"/>
      <c r="EZC54" s="4"/>
      <c r="EZD54" s="4"/>
      <c r="EZE54" s="4"/>
      <c r="EZF54" s="4"/>
      <c r="EZG54" s="4"/>
      <c r="EZH54" s="4"/>
      <c r="EZI54" s="4"/>
      <c r="EZJ54" s="4"/>
      <c r="EZK54" s="4"/>
      <c r="EZL54" s="4"/>
      <c r="EZM54" s="4"/>
      <c r="EZN54" s="4"/>
      <c r="EZO54" s="4"/>
      <c r="EZP54" s="4"/>
      <c r="EZQ54" s="4"/>
      <c r="EZR54" s="4"/>
      <c r="EZS54" s="4"/>
      <c r="EZT54" s="4"/>
      <c r="EZU54" s="4"/>
      <c r="EZV54" s="4"/>
      <c r="EZW54" s="4"/>
      <c r="EZX54" s="4"/>
      <c r="EZY54" s="4"/>
      <c r="EZZ54" s="4"/>
      <c r="FAA54" s="4"/>
      <c r="FAB54" s="4"/>
      <c r="FAC54" s="4"/>
      <c r="FAD54" s="4"/>
      <c r="FAE54" s="4"/>
      <c r="FAF54" s="4"/>
      <c r="FAG54" s="4"/>
      <c r="FAH54" s="4"/>
      <c r="FAI54" s="4"/>
      <c r="FAJ54" s="4"/>
      <c r="FAK54" s="4"/>
      <c r="FAL54" s="4"/>
      <c r="FAM54" s="4"/>
      <c r="FAN54" s="4"/>
      <c r="FAO54" s="4"/>
      <c r="FAP54" s="4"/>
      <c r="FAQ54" s="4"/>
      <c r="FAR54" s="4"/>
      <c r="FAS54" s="4"/>
      <c r="FAT54" s="4"/>
      <c r="FAU54" s="4"/>
      <c r="FAV54" s="4"/>
      <c r="FAW54" s="4"/>
      <c r="FAX54" s="4"/>
      <c r="FAY54" s="4"/>
      <c r="FAZ54" s="4"/>
      <c r="FBA54" s="4"/>
      <c r="FBB54" s="4"/>
      <c r="FBC54" s="4"/>
      <c r="FBD54" s="4"/>
      <c r="FBE54" s="4"/>
      <c r="FBF54" s="4"/>
      <c r="FBG54" s="4"/>
      <c r="FBH54" s="4"/>
      <c r="FBI54" s="4"/>
      <c r="FBJ54" s="4"/>
      <c r="FBK54" s="4"/>
      <c r="FBL54" s="4"/>
      <c r="FBM54" s="4"/>
      <c r="FBN54" s="4"/>
      <c r="FBO54" s="4"/>
      <c r="FBP54" s="4"/>
      <c r="FBQ54" s="4"/>
      <c r="FBR54" s="4"/>
      <c r="FBS54" s="4"/>
      <c r="FBT54" s="4"/>
      <c r="FBU54" s="4"/>
      <c r="FBV54" s="4"/>
      <c r="FBW54" s="4"/>
      <c r="FBX54" s="4"/>
      <c r="FBY54" s="4"/>
      <c r="FBZ54" s="4"/>
      <c r="FCA54" s="4"/>
      <c r="FCB54" s="4"/>
      <c r="FCC54" s="4"/>
      <c r="FCD54" s="4"/>
      <c r="FCE54" s="4"/>
      <c r="FCF54" s="4"/>
      <c r="FCG54" s="4"/>
      <c r="FCH54" s="4"/>
      <c r="FCI54" s="4"/>
      <c r="FCJ54" s="4"/>
      <c r="FCK54" s="4"/>
      <c r="FCL54" s="4"/>
      <c r="FCM54" s="4"/>
      <c r="FCN54" s="4"/>
      <c r="FCO54" s="4"/>
      <c r="FCP54" s="4"/>
      <c r="FCQ54" s="4"/>
      <c r="FCR54" s="4"/>
      <c r="FCS54" s="4"/>
      <c r="FCT54" s="4"/>
      <c r="FCU54" s="4"/>
      <c r="FCV54" s="4"/>
      <c r="FCW54" s="4"/>
      <c r="FCX54" s="4"/>
      <c r="FCY54" s="4"/>
      <c r="FCZ54" s="4"/>
      <c r="FDA54" s="4"/>
      <c r="FDB54" s="4"/>
      <c r="FDC54" s="4"/>
      <c r="FDD54" s="4"/>
      <c r="FDE54" s="4"/>
      <c r="FDF54" s="4"/>
      <c r="FDG54" s="4"/>
      <c r="FDH54" s="4"/>
      <c r="FDI54" s="4"/>
      <c r="FDJ54" s="4"/>
      <c r="FDK54" s="4"/>
      <c r="FDL54" s="4"/>
      <c r="FDM54" s="4"/>
      <c r="FDN54" s="4"/>
      <c r="FDO54" s="4"/>
      <c r="FDP54" s="4"/>
      <c r="FDQ54" s="4"/>
      <c r="FDR54" s="4"/>
      <c r="FDS54" s="4"/>
      <c r="FDT54" s="4"/>
      <c r="FDU54" s="4"/>
      <c r="FDV54" s="4"/>
      <c r="FDW54" s="4"/>
      <c r="FDX54" s="4"/>
      <c r="FDY54" s="4"/>
      <c r="FDZ54" s="4"/>
      <c r="FEA54" s="4"/>
      <c r="FEB54" s="4"/>
      <c r="FEC54" s="4"/>
      <c r="FED54" s="4"/>
      <c r="FEE54" s="4"/>
      <c r="FEF54" s="4"/>
      <c r="FEG54" s="4"/>
      <c r="FEH54" s="4"/>
      <c r="FEI54" s="4"/>
      <c r="FEJ54" s="4"/>
      <c r="FEK54" s="4"/>
      <c r="FEL54" s="4"/>
      <c r="FEM54" s="4"/>
      <c r="FEN54" s="4"/>
      <c r="FEO54" s="4"/>
      <c r="FEP54" s="4"/>
      <c r="FEQ54" s="4"/>
      <c r="FER54" s="4"/>
      <c r="FES54" s="4"/>
      <c r="FET54" s="4"/>
      <c r="FEU54" s="4"/>
      <c r="FEV54" s="4"/>
      <c r="FEW54" s="4"/>
      <c r="FEX54" s="4"/>
      <c r="FEY54" s="4"/>
      <c r="FEZ54" s="4"/>
      <c r="FFA54" s="4"/>
      <c r="FFB54" s="4"/>
      <c r="FFC54" s="4"/>
      <c r="FFD54" s="4"/>
      <c r="FFE54" s="4"/>
      <c r="FFF54" s="4"/>
      <c r="FFG54" s="4"/>
      <c r="FFH54" s="4"/>
      <c r="FFI54" s="4"/>
      <c r="FFJ54" s="4"/>
      <c r="FFK54" s="4"/>
      <c r="FFL54" s="4"/>
      <c r="FFM54" s="4"/>
      <c r="FFN54" s="4"/>
      <c r="FFO54" s="4"/>
      <c r="FFP54" s="4"/>
      <c r="FFQ54" s="4"/>
      <c r="FFR54" s="4"/>
      <c r="FFS54" s="4"/>
      <c r="FFT54" s="4"/>
      <c r="FFU54" s="4"/>
      <c r="FFV54" s="4"/>
      <c r="FFW54" s="4"/>
      <c r="FFX54" s="4"/>
      <c r="FFY54" s="4"/>
      <c r="FFZ54" s="4"/>
      <c r="FGA54" s="4"/>
      <c r="FGB54" s="4"/>
      <c r="FGC54" s="4"/>
      <c r="FGD54" s="4"/>
      <c r="FGE54" s="4"/>
      <c r="FGF54" s="4"/>
      <c r="FGG54" s="4"/>
      <c r="FGH54" s="4"/>
      <c r="FGI54" s="4"/>
      <c r="FGJ54" s="4"/>
      <c r="FGK54" s="4"/>
      <c r="FGL54" s="4"/>
      <c r="FGM54" s="4"/>
      <c r="FGN54" s="4"/>
      <c r="FGO54" s="4"/>
      <c r="FGP54" s="4"/>
      <c r="FGQ54" s="4"/>
      <c r="FGR54" s="4"/>
      <c r="FGS54" s="4"/>
      <c r="FGT54" s="4"/>
      <c r="FGU54" s="4"/>
      <c r="FGV54" s="4"/>
      <c r="FGW54" s="4"/>
      <c r="FGX54" s="4"/>
      <c r="FGY54" s="4"/>
      <c r="FGZ54" s="4"/>
      <c r="FHA54" s="4"/>
      <c r="FHB54" s="4"/>
      <c r="FHC54" s="4"/>
      <c r="FHD54" s="4"/>
      <c r="FHE54" s="4"/>
      <c r="FHF54" s="4"/>
      <c r="FHG54" s="4"/>
      <c r="FHH54" s="4"/>
      <c r="FHI54" s="4"/>
      <c r="FHJ54" s="4"/>
      <c r="FHK54" s="4"/>
      <c r="FHL54" s="4"/>
      <c r="FHM54" s="4"/>
      <c r="FHN54" s="4"/>
      <c r="FHO54" s="4"/>
      <c r="FHP54" s="4"/>
      <c r="FHQ54" s="4"/>
      <c r="FHR54" s="4"/>
      <c r="FHS54" s="4"/>
      <c r="FHT54" s="4"/>
      <c r="FHU54" s="4"/>
      <c r="FHV54" s="4"/>
      <c r="FHW54" s="4"/>
      <c r="FHX54" s="4"/>
      <c r="FHY54" s="4"/>
      <c r="FHZ54" s="4"/>
      <c r="FIA54" s="4"/>
      <c r="FIB54" s="4"/>
      <c r="FIC54" s="4"/>
      <c r="FID54" s="4"/>
      <c r="FIE54" s="4"/>
      <c r="FIF54" s="4"/>
      <c r="FIG54" s="4"/>
      <c r="FIH54" s="4"/>
      <c r="FII54" s="4"/>
      <c r="FIJ54" s="4"/>
      <c r="FIK54" s="4"/>
      <c r="FIL54" s="4"/>
      <c r="FIM54" s="4"/>
      <c r="FIN54" s="4"/>
      <c r="FIO54" s="4"/>
      <c r="FIP54" s="4"/>
      <c r="FIQ54" s="4"/>
      <c r="FIR54" s="4"/>
      <c r="FIS54" s="4"/>
      <c r="FIT54" s="4"/>
      <c r="FIU54" s="4"/>
      <c r="FIV54" s="4"/>
      <c r="FIW54" s="4"/>
      <c r="FIX54" s="4"/>
      <c r="FIY54" s="4"/>
      <c r="FIZ54" s="4"/>
      <c r="FJA54" s="4"/>
      <c r="FJB54" s="4"/>
      <c r="FJC54" s="4"/>
      <c r="FJD54" s="4"/>
      <c r="FJE54" s="4"/>
      <c r="FJF54" s="4"/>
      <c r="FJG54" s="4"/>
      <c r="FJH54" s="4"/>
      <c r="FJI54" s="4"/>
      <c r="FJJ54" s="4"/>
      <c r="FJK54" s="4"/>
      <c r="FJL54" s="4"/>
      <c r="FJM54" s="4"/>
      <c r="FJN54" s="4"/>
      <c r="FJO54" s="4"/>
      <c r="FJP54" s="4"/>
      <c r="FJQ54" s="4"/>
      <c r="FJR54" s="4"/>
      <c r="FJS54" s="4"/>
      <c r="FJT54" s="4"/>
      <c r="FJU54" s="4"/>
      <c r="FJV54" s="4"/>
      <c r="FJW54" s="4"/>
      <c r="FJX54" s="4"/>
      <c r="FJY54" s="4"/>
      <c r="FJZ54" s="4"/>
      <c r="FKA54" s="4"/>
      <c r="FKB54" s="4"/>
      <c r="FKC54" s="4"/>
      <c r="FKD54" s="4"/>
      <c r="FKE54" s="4"/>
      <c r="FKF54" s="4"/>
      <c r="FKG54" s="4"/>
      <c r="FKH54" s="4"/>
      <c r="FKI54" s="4"/>
      <c r="FKJ54" s="4"/>
      <c r="FKK54" s="4"/>
      <c r="FKL54" s="4"/>
      <c r="FKM54" s="4"/>
      <c r="FKN54" s="4"/>
      <c r="FKO54" s="4"/>
      <c r="FKP54" s="4"/>
      <c r="FKQ54" s="4"/>
      <c r="FKR54" s="4"/>
      <c r="FKS54" s="4"/>
      <c r="FKT54" s="4"/>
      <c r="FKU54" s="4"/>
      <c r="FKV54" s="4"/>
      <c r="FKW54" s="4"/>
      <c r="FKX54" s="4"/>
      <c r="FKY54" s="4"/>
      <c r="FKZ54" s="4"/>
      <c r="FLA54" s="4"/>
      <c r="FLB54" s="4"/>
      <c r="FLC54" s="4"/>
      <c r="FLD54" s="4"/>
      <c r="FLE54" s="4"/>
      <c r="FLF54" s="4"/>
      <c r="FLG54" s="4"/>
      <c r="FLH54" s="4"/>
      <c r="FLI54" s="4"/>
      <c r="FLJ54" s="4"/>
      <c r="FLK54" s="4"/>
      <c r="FLL54" s="4"/>
      <c r="FLM54" s="4"/>
      <c r="FLN54" s="4"/>
      <c r="FLO54" s="4"/>
      <c r="FLP54" s="4"/>
      <c r="FLQ54" s="4"/>
      <c r="FLR54" s="4"/>
      <c r="FLS54" s="4"/>
      <c r="FLT54" s="4"/>
      <c r="FLU54" s="4"/>
      <c r="FLV54" s="4"/>
      <c r="FLW54" s="4"/>
      <c r="FLX54" s="4"/>
      <c r="FLY54" s="4"/>
      <c r="FLZ54" s="4"/>
      <c r="FMA54" s="4"/>
      <c r="FMB54" s="4"/>
      <c r="FMC54" s="4"/>
      <c r="FMD54" s="4"/>
      <c r="FME54" s="4"/>
      <c r="FMF54" s="4"/>
      <c r="FMG54" s="4"/>
      <c r="FMH54" s="4"/>
      <c r="FMI54" s="4"/>
      <c r="FMJ54" s="4"/>
      <c r="FMK54" s="4"/>
      <c r="FML54" s="4"/>
      <c r="FMM54" s="4"/>
      <c r="FMN54" s="4"/>
      <c r="FMO54" s="4"/>
      <c r="FMP54" s="4"/>
      <c r="FMQ54" s="4"/>
      <c r="FMR54" s="4"/>
      <c r="FMS54" s="4"/>
      <c r="FMT54" s="4"/>
      <c r="FMU54" s="4"/>
      <c r="FMV54" s="4"/>
      <c r="FMW54" s="4"/>
      <c r="FMX54" s="4"/>
      <c r="FMY54" s="4"/>
      <c r="FMZ54" s="4"/>
      <c r="FNA54" s="4"/>
      <c r="FNB54" s="4"/>
      <c r="FNC54" s="4"/>
      <c r="FND54" s="4"/>
      <c r="FNE54" s="4"/>
      <c r="FNF54" s="4"/>
      <c r="FNG54" s="4"/>
      <c r="FNH54" s="4"/>
      <c r="FNI54" s="4"/>
      <c r="FNJ54" s="4"/>
      <c r="FNK54" s="4"/>
      <c r="FNL54" s="4"/>
      <c r="FNM54" s="4"/>
      <c r="FNN54" s="4"/>
      <c r="FNO54" s="4"/>
      <c r="FNP54" s="4"/>
      <c r="FNQ54" s="4"/>
      <c r="FNR54" s="4"/>
      <c r="FNS54" s="4"/>
      <c r="FNT54" s="4"/>
      <c r="FNU54" s="4"/>
      <c r="FNV54" s="4"/>
      <c r="FNW54" s="4"/>
      <c r="FNX54" s="4"/>
      <c r="FNY54" s="4"/>
      <c r="FNZ54" s="4"/>
      <c r="FOA54" s="4"/>
      <c r="FOB54" s="4"/>
      <c r="FOC54" s="4"/>
      <c r="FOD54" s="4"/>
      <c r="FOE54" s="4"/>
      <c r="FOF54" s="4"/>
      <c r="FOG54" s="4"/>
      <c r="FOH54" s="4"/>
      <c r="FOI54" s="4"/>
      <c r="FOJ54" s="4"/>
      <c r="FOK54" s="4"/>
      <c r="FOL54" s="4"/>
      <c r="FOM54" s="4"/>
      <c r="FON54" s="4"/>
      <c r="FOO54" s="4"/>
      <c r="FOP54" s="4"/>
      <c r="FOQ54" s="4"/>
      <c r="FOR54" s="4"/>
      <c r="FOS54" s="4"/>
      <c r="FOT54" s="4"/>
      <c r="FOU54" s="4"/>
      <c r="FOV54" s="4"/>
      <c r="FOW54" s="4"/>
      <c r="FOX54" s="4"/>
      <c r="FOY54" s="4"/>
      <c r="FOZ54" s="4"/>
      <c r="FPA54" s="4"/>
      <c r="FPB54" s="4"/>
      <c r="FPC54" s="4"/>
      <c r="FPD54" s="4"/>
      <c r="FPE54" s="4"/>
      <c r="FPF54" s="4"/>
      <c r="FPG54" s="4"/>
      <c r="FPH54" s="4"/>
      <c r="FPI54" s="4"/>
      <c r="FPJ54" s="4"/>
      <c r="FPK54" s="4"/>
      <c r="FPL54" s="4"/>
      <c r="FPM54" s="4"/>
      <c r="FPN54" s="4"/>
      <c r="FPO54" s="4"/>
      <c r="FPP54" s="4"/>
      <c r="FPQ54" s="4"/>
      <c r="FPR54" s="4"/>
      <c r="FPS54" s="4"/>
      <c r="FPT54" s="4"/>
      <c r="FPU54" s="4"/>
      <c r="FPV54" s="4"/>
      <c r="FPW54" s="4"/>
      <c r="FPX54" s="4"/>
      <c r="FPY54" s="4"/>
      <c r="FPZ54" s="4"/>
      <c r="FQA54" s="4"/>
      <c r="FQB54" s="4"/>
      <c r="FQC54" s="4"/>
      <c r="FQD54" s="4"/>
      <c r="FQE54" s="4"/>
      <c r="FQF54" s="4"/>
      <c r="FQG54" s="4"/>
      <c r="FQH54" s="4"/>
      <c r="FQI54" s="4"/>
      <c r="FQJ54" s="4"/>
      <c r="FQK54" s="4"/>
      <c r="FQL54" s="4"/>
      <c r="FQM54" s="4"/>
      <c r="FQN54" s="4"/>
      <c r="FQO54" s="4"/>
      <c r="FQP54" s="4"/>
      <c r="FQQ54" s="4"/>
      <c r="FQR54" s="4"/>
      <c r="FQS54" s="4"/>
      <c r="FQT54" s="4"/>
      <c r="FQU54" s="4"/>
      <c r="FQV54" s="4"/>
      <c r="FQW54" s="4"/>
      <c r="FQX54" s="4"/>
      <c r="FQY54" s="4"/>
      <c r="FQZ54" s="4"/>
      <c r="FRA54" s="4"/>
      <c r="FRB54" s="4"/>
      <c r="FRC54" s="4"/>
      <c r="FRD54" s="4"/>
      <c r="FRE54" s="4"/>
      <c r="FRF54" s="4"/>
      <c r="FRG54" s="4"/>
      <c r="FRH54" s="4"/>
      <c r="FRI54" s="4"/>
      <c r="FRJ54" s="4"/>
      <c r="FRK54" s="4"/>
      <c r="FRL54" s="4"/>
      <c r="FRM54" s="4"/>
      <c r="FRN54" s="4"/>
      <c r="FRO54" s="4"/>
      <c r="FRP54" s="4"/>
      <c r="FRQ54" s="4"/>
      <c r="FRR54" s="4"/>
      <c r="FRS54" s="4"/>
      <c r="FRT54" s="4"/>
      <c r="FRU54" s="4"/>
      <c r="FRV54" s="4"/>
      <c r="FRW54" s="4"/>
      <c r="FRX54" s="4"/>
      <c r="FRY54" s="4"/>
      <c r="FRZ54" s="4"/>
      <c r="FSA54" s="4"/>
      <c r="FSB54" s="4"/>
      <c r="FSC54" s="4"/>
      <c r="FSD54" s="4"/>
      <c r="FSE54" s="4"/>
      <c r="FSF54" s="4"/>
      <c r="FSG54" s="4"/>
      <c r="FSH54" s="4"/>
      <c r="FSI54" s="4"/>
      <c r="FSJ54" s="4"/>
      <c r="FSK54" s="4"/>
      <c r="FSL54" s="4"/>
      <c r="FSM54" s="4"/>
      <c r="FSN54" s="4"/>
      <c r="FSO54" s="4"/>
      <c r="FSP54" s="4"/>
      <c r="FSQ54" s="4"/>
      <c r="FSR54" s="4"/>
      <c r="FSS54" s="4"/>
      <c r="FST54" s="4"/>
      <c r="FSU54" s="4"/>
      <c r="FSV54" s="4"/>
      <c r="FSW54" s="4"/>
      <c r="FSX54" s="4"/>
      <c r="FSY54" s="4"/>
      <c r="FSZ54" s="4"/>
      <c r="FTA54" s="4"/>
      <c r="FTB54" s="4"/>
      <c r="FTC54" s="4"/>
      <c r="FTD54" s="4"/>
      <c r="FTE54" s="4"/>
      <c r="FTF54" s="4"/>
      <c r="FTG54" s="4"/>
      <c r="FTH54" s="4"/>
      <c r="FTI54" s="4"/>
      <c r="FTJ54" s="4"/>
      <c r="FTK54" s="4"/>
      <c r="FTL54" s="4"/>
      <c r="FTM54" s="4"/>
      <c r="FTN54" s="4"/>
      <c r="FTO54" s="4"/>
      <c r="FTP54" s="4"/>
      <c r="FTQ54" s="4"/>
      <c r="FTR54" s="4"/>
      <c r="FTS54" s="4"/>
      <c r="FTT54" s="4"/>
      <c r="FTU54" s="4"/>
      <c r="FTV54" s="4"/>
      <c r="FTW54" s="4"/>
      <c r="FTX54" s="4"/>
      <c r="FTY54" s="4"/>
      <c r="FTZ54" s="4"/>
      <c r="FUA54" s="4"/>
      <c r="FUB54" s="4"/>
      <c r="FUC54" s="4"/>
      <c r="FUD54" s="4"/>
      <c r="FUE54" s="4"/>
      <c r="FUF54" s="4"/>
      <c r="FUG54" s="4"/>
      <c r="FUH54" s="4"/>
      <c r="FUI54" s="4"/>
      <c r="FUJ54" s="4"/>
      <c r="FUK54" s="4"/>
      <c r="FUL54" s="4"/>
      <c r="FUM54" s="4"/>
      <c r="FUN54" s="4"/>
      <c r="FUO54" s="4"/>
      <c r="FUP54" s="4"/>
      <c r="FUQ54" s="4"/>
      <c r="FUR54" s="4"/>
      <c r="FUS54" s="4"/>
      <c r="FUT54" s="4"/>
      <c r="FUU54" s="4"/>
      <c r="FUV54" s="4"/>
      <c r="FUW54" s="4"/>
      <c r="FUX54" s="4"/>
      <c r="FUY54" s="4"/>
      <c r="FUZ54" s="4"/>
      <c r="FVA54" s="4"/>
      <c r="FVB54" s="4"/>
      <c r="FVC54" s="4"/>
      <c r="FVD54" s="4"/>
      <c r="FVE54" s="4"/>
      <c r="FVF54" s="4"/>
      <c r="FVG54" s="4"/>
      <c r="FVH54" s="4"/>
      <c r="FVI54" s="4"/>
      <c r="FVJ54" s="4"/>
      <c r="FVK54" s="4"/>
      <c r="FVL54" s="4"/>
      <c r="FVM54" s="4"/>
      <c r="FVN54" s="4"/>
      <c r="FVO54" s="4"/>
      <c r="FVP54" s="4"/>
      <c r="FVQ54" s="4"/>
      <c r="FVR54" s="4"/>
      <c r="FVS54" s="4"/>
      <c r="FVT54" s="4"/>
      <c r="FVU54" s="4"/>
      <c r="FVV54" s="4"/>
      <c r="FVW54" s="4"/>
      <c r="FVX54" s="4"/>
      <c r="FVY54" s="4"/>
      <c r="FVZ54" s="4"/>
      <c r="FWA54" s="4"/>
      <c r="FWB54" s="4"/>
      <c r="FWC54" s="4"/>
      <c r="FWD54" s="4"/>
      <c r="FWE54" s="4"/>
      <c r="FWF54" s="4"/>
      <c r="FWG54" s="4"/>
      <c r="FWH54" s="4"/>
      <c r="FWI54" s="4"/>
      <c r="FWJ54" s="4"/>
      <c r="FWK54" s="4"/>
      <c r="FWL54" s="4"/>
      <c r="FWM54" s="4"/>
      <c r="FWN54" s="4"/>
      <c r="FWO54" s="4"/>
      <c r="FWP54" s="4"/>
      <c r="FWQ54" s="4"/>
      <c r="FWR54" s="4"/>
      <c r="FWS54" s="4"/>
      <c r="FWT54" s="4"/>
      <c r="FWU54" s="4"/>
      <c r="FWV54" s="4"/>
      <c r="FWW54" s="4"/>
      <c r="FWX54" s="4"/>
      <c r="FWY54" s="4"/>
      <c r="FWZ54" s="4"/>
      <c r="FXA54" s="4"/>
      <c r="FXB54" s="4"/>
      <c r="FXC54" s="4"/>
      <c r="FXD54" s="4"/>
      <c r="FXE54" s="4"/>
      <c r="FXF54" s="4"/>
      <c r="FXG54" s="4"/>
      <c r="FXH54" s="4"/>
      <c r="FXI54" s="4"/>
      <c r="FXJ54" s="4"/>
      <c r="FXK54" s="4"/>
      <c r="FXL54" s="4"/>
      <c r="FXM54" s="4"/>
      <c r="FXN54" s="4"/>
      <c r="FXO54" s="4"/>
      <c r="FXP54" s="4"/>
      <c r="FXQ54" s="4"/>
      <c r="FXR54" s="4"/>
      <c r="FXS54" s="4"/>
      <c r="FXT54" s="4"/>
      <c r="FXU54" s="4"/>
      <c r="FXV54" s="4"/>
      <c r="FXW54" s="4"/>
      <c r="FXX54" s="4"/>
      <c r="FXY54" s="4"/>
      <c r="FXZ54" s="4"/>
      <c r="FYA54" s="4"/>
      <c r="FYB54" s="4"/>
      <c r="FYC54" s="4"/>
      <c r="FYD54" s="4"/>
      <c r="FYE54" s="4"/>
      <c r="FYF54" s="4"/>
      <c r="FYG54" s="4"/>
      <c r="FYH54" s="4"/>
      <c r="FYI54" s="4"/>
      <c r="FYJ54" s="4"/>
      <c r="FYK54" s="4"/>
      <c r="FYL54" s="4"/>
      <c r="FYM54" s="4"/>
      <c r="FYN54" s="4"/>
      <c r="FYO54" s="4"/>
      <c r="FYP54" s="4"/>
      <c r="FYQ54" s="4"/>
      <c r="FYR54" s="4"/>
      <c r="FYS54" s="4"/>
      <c r="FYT54" s="4"/>
      <c r="FYU54" s="4"/>
      <c r="FYV54" s="4"/>
      <c r="FYW54" s="4"/>
      <c r="FYX54" s="4"/>
      <c r="FYY54" s="4"/>
      <c r="FYZ54" s="4"/>
      <c r="FZA54" s="4"/>
      <c r="FZB54" s="4"/>
      <c r="FZC54" s="4"/>
      <c r="FZD54" s="4"/>
      <c r="FZE54" s="4"/>
      <c r="FZF54" s="4"/>
      <c r="FZG54" s="4"/>
      <c r="FZH54" s="4"/>
      <c r="FZI54" s="4"/>
      <c r="FZJ54" s="4"/>
      <c r="FZK54" s="4"/>
      <c r="FZL54" s="4"/>
      <c r="FZM54" s="4"/>
      <c r="FZN54" s="4"/>
      <c r="FZO54" s="4"/>
      <c r="FZP54" s="4"/>
      <c r="FZQ54" s="4"/>
      <c r="FZR54" s="4"/>
      <c r="FZS54" s="4"/>
      <c r="FZT54" s="4"/>
      <c r="FZU54" s="4"/>
      <c r="FZV54" s="4"/>
      <c r="FZW54" s="4"/>
      <c r="FZX54" s="4"/>
      <c r="FZY54" s="4"/>
      <c r="FZZ54" s="4"/>
      <c r="GAA54" s="4"/>
      <c r="GAB54" s="4"/>
      <c r="GAC54" s="4"/>
      <c r="GAD54" s="4"/>
      <c r="GAE54" s="4"/>
      <c r="GAF54" s="4"/>
      <c r="GAG54" s="4"/>
      <c r="GAH54" s="4"/>
      <c r="GAI54" s="4"/>
      <c r="GAJ54" s="4"/>
      <c r="GAK54" s="4"/>
      <c r="GAL54" s="4"/>
      <c r="GAM54" s="4"/>
      <c r="GAN54" s="4"/>
      <c r="GAO54" s="4"/>
      <c r="GAP54" s="4"/>
      <c r="GAQ54" s="4"/>
      <c r="GAR54" s="4"/>
      <c r="GAS54" s="4"/>
      <c r="GAT54" s="4"/>
      <c r="GAU54" s="4"/>
      <c r="GAV54" s="4"/>
      <c r="GAW54" s="4"/>
      <c r="GAX54" s="4"/>
      <c r="GAY54" s="4"/>
      <c r="GAZ54" s="4"/>
      <c r="GBA54" s="4"/>
      <c r="GBB54" s="4"/>
      <c r="GBC54" s="4"/>
      <c r="GBD54" s="4"/>
      <c r="GBE54" s="4"/>
      <c r="GBF54" s="4"/>
      <c r="GBG54" s="4"/>
      <c r="GBH54" s="4"/>
      <c r="GBI54" s="4"/>
      <c r="GBJ54" s="4"/>
      <c r="GBK54" s="4"/>
      <c r="GBL54" s="4"/>
      <c r="GBM54" s="4"/>
      <c r="GBN54" s="4"/>
      <c r="GBO54" s="4"/>
      <c r="GBP54" s="4"/>
      <c r="GBQ54" s="4"/>
      <c r="GBR54" s="4"/>
      <c r="GBS54" s="4"/>
      <c r="GBT54" s="4"/>
      <c r="GBU54" s="4"/>
      <c r="GBV54" s="4"/>
      <c r="GBW54" s="4"/>
      <c r="GBX54" s="4"/>
      <c r="GBY54" s="4"/>
      <c r="GBZ54" s="4"/>
      <c r="GCA54" s="4"/>
      <c r="GCB54" s="4"/>
      <c r="GCC54" s="4"/>
      <c r="GCD54" s="4"/>
      <c r="GCE54" s="4"/>
      <c r="GCF54" s="4"/>
      <c r="GCG54" s="4"/>
      <c r="GCH54" s="4"/>
      <c r="GCI54" s="4"/>
      <c r="GCJ54" s="4"/>
      <c r="GCK54" s="4"/>
      <c r="GCL54" s="4"/>
      <c r="GCM54" s="4"/>
      <c r="GCN54" s="4"/>
      <c r="GCO54" s="4"/>
      <c r="GCP54" s="4"/>
      <c r="GCQ54" s="4"/>
      <c r="GCR54" s="4"/>
      <c r="GCS54" s="4"/>
      <c r="GCT54" s="4"/>
      <c r="GCU54" s="4"/>
      <c r="GCV54" s="4"/>
      <c r="GCW54" s="4"/>
      <c r="GCX54" s="4"/>
      <c r="GCY54" s="4"/>
      <c r="GCZ54" s="4"/>
      <c r="GDA54" s="4"/>
      <c r="GDB54" s="4"/>
      <c r="GDC54" s="4"/>
      <c r="GDD54" s="4"/>
      <c r="GDE54" s="4"/>
      <c r="GDF54" s="4"/>
      <c r="GDG54" s="4"/>
      <c r="GDH54" s="4"/>
      <c r="GDI54" s="4"/>
      <c r="GDJ54" s="4"/>
      <c r="GDK54" s="4"/>
      <c r="GDL54" s="4"/>
      <c r="GDM54" s="4"/>
      <c r="GDN54" s="4"/>
      <c r="GDO54" s="4"/>
      <c r="GDP54" s="4"/>
      <c r="GDQ54" s="4"/>
      <c r="GDR54" s="4"/>
      <c r="GDS54" s="4"/>
      <c r="GDT54" s="4"/>
      <c r="GDU54" s="4"/>
      <c r="GDV54" s="4"/>
      <c r="GDW54" s="4"/>
      <c r="GDX54" s="4"/>
      <c r="GDY54" s="4"/>
      <c r="GDZ54" s="4"/>
      <c r="GEA54" s="4"/>
      <c r="GEB54" s="4"/>
      <c r="GEC54" s="4"/>
      <c r="GED54" s="4"/>
      <c r="GEE54" s="4"/>
      <c r="GEF54" s="4"/>
      <c r="GEG54" s="4"/>
      <c r="GEH54" s="4"/>
      <c r="GEI54" s="4"/>
      <c r="GEJ54" s="4"/>
      <c r="GEK54" s="4"/>
      <c r="GEL54" s="4"/>
      <c r="GEM54" s="4"/>
      <c r="GEN54" s="4"/>
      <c r="GEO54" s="4"/>
      <c r="GEP54" s="4"/>
      <c r="GEQ54" s="4"/>
      <c r="GER54" s="4"/>
      <c r="GES54" s="4"/>
      <c r="GET54" s="4"/>
      <c r="GEU54" s="4"/>
      <c r="GEV54" s="4"/>
      <c r="GEW54" s="4"/>
      <c r="GEX54" s="4"/>
      <c r="GEY54" s="4"/>
      <c r="GEZ54" s="4"/>
      <c r="GFA54" s="4"/>
      <c r="GFB54" s="4"/>
      <c r="GFC54" s="4"/>
      <c r="GFD54" s="4"/>
      <c r="GFE54" s="4"/>
      <c r="GFF54" s="4"/>
      <c r="GFG54" s="4"/>
      <c r="GFH54" s="4"/>
      <c r="GFI54" s="4"/>
      <c r="GFJ54" s="4"/>
      <c r="GFK54" s="4"/>
      <c r="GFL54" s="4"/>
      <c r="GFM54" s="4"/>
      <c r="GFN54" s="4"/>
      <c r="GFO54" s="4"/>
      <c r="GFP54" s="4"/>
      <c r="GFQ54" s="4"/>
      <c r="GFR54" s="4"/>
      <c r="GFS54" s="4"/>
      <c r="GFT54" s="4"/>
      <c r="GFU54" s="4"/>
      <c r="GFV54" s="4"/>
      <c r="GFW54" s="4"/>
      <c r="GFX54" s="4"/>
      <c r="GFY54" s="4"/>
      <c r="GFZ54" s="4"/>
      <c r="GGA54" s="4"/>
      <c r="GGB54" s="4"/>
      <c r="GGC54" s="4"/>
      <c r="GGD54" s="4"/>
      <c r="GGE54" s="4"/>
      <c r="GGF54" s="4"/>
      <c r="GGG54" s="4"/>
      <c r="GGH54" s="4"/>
      <c r="GGI54" s="4"/>
      <c r="GGJ54" s="4"/>
      <c r="GGK54" s="4"/>
      <c r="GGL54" s="4"/>
      <c r="GGM54" s="4"/>
      <c r="GGN54" s="4"/>
      <c r="GGO54" s="4"/>
      <c r="GGP54" s="4"/>
      <c r="GGQ54" s="4"/>
      <c r="GGR54" s="4"/>
      <c r="GGS54" s="4"/>
      <c r="GGT54" s="4"/>
      <c r="GGU54" s="4"/>
      <c r="GGV54" s="4"/>
      <c r="GGW54" s="4"/>
      <c r="GGX54" s="4"/>
      <c r="GGY54" s="4"/>
      <c r="GGZ54" s="4"/>
      <c r="GHA54" s="4"/>
      <c r="GHB54" s="4"/>
      <c r="GHC54" s="4"/>
      <c r="GHD54" s="4"/>
      <c r="GHE54" s="4"/>
      <c r="GHF54" s="4"/>
      <c r="GHG54" s="4"/>
      <c r="GHH54" s="4"/>
      <c r="GHI54" s="4"/>
      <c r="GHJ54" s="4"/>
      <c r="GHK54" s="4"/>
      <c r="GHL54" s="4"/>
      <c r="GHM54" s="4"/>
      <c r="GHN54" s="4"/>
      <c r="GHO54" s="4"/>
      <c r="GHP54" s="4"/>
      <c r="GHQ54" s="4"/>
      <c r="GHR54" s="4"/>
      <c r="GHS54" s="4"/>
      <c r="GHT54" s="4"/>
      <c r="GHU54" s="4"/>
      <c r="GHV54" s="4"/>
      <c r="GHW54" s="4"/>
      <c r="GHX54" s="4"/>
      <c r="GHY54" s="4"/>
      <c r="GHZ54" s="4"/>
      <c r="GIA54" s="4"/>
      <c r="GIB54" s="4"/>
      <c r="GIC54" s="4"/>
      <c r="GID54" s="4"/>
      <c r="GIE54" s="4"/>
      <c r="GIF54" s="4"/>
      <c r="GIG54" s="4"/>
      <c r="GIH54" s="4"/>
      <c r="GII54" s="4"/>
      <c r="GIJ54" s="4"/>
      <c r="GIK54" s="4"/>
      <c r="GIL54" s="4"/>
      <c r="GIM54" s="4"/>
      <c r="GIN54" s="4"/>
      <c r="GIO54" s="4"/>
      <c r="GIP54" s="4"/>
      <c r="GIQ54" s="4"/>
      <c r="GIR54" s="4"/>
      <c r="GIS54" s="4"/>
      <c r="GIT54" s="4"/>
      <c r="GIU54" s="4"/>
      <c r="GIV54" s="4"/>
      <c r="GIW54" s="4"/>
      <c r="GIX54" s="4"/>
      <c r="GIY54" s="4"/>
      <c r="GIZ54" s="4"/>
      <c r="GJA54" s="4"/>
      <c r="GJB54" s="4"/>
      <c r="GJC54" s="4"/>
      <c r="GJD54" s="4"/>
      <c r="GJE54" s="4"/>
      <c r="GJF54" s="4"/>
      <c r="GJG54" s="4"/>
      <c r="GJH54" s="4"/>
      <c r="GJI54" s="4"/>
      <c r="GJJ54" s="4"/>
      <c r="GJK54" s="4"/>
      <c r="GJL54" s="4"/>
      <c r="GJM54" s="4"/>
      <c r="GJN54" s="4"/>
      <c r="GJO54" s="4"/>
      <c r="GJP54" s="4"/>
      <c r="GJQ54" s="4"/>
      <c r="GJR54" s="4"/>
      <c r="GJS54" s="4"/>
      <c r="GJT54" s="4"/>
      <c r="GJU54" s="4"/>
      <c r="GJV54" s="4"/>
      <c r="GJW54" s="4"/>
      <c r="GJX54" s="4"/>
      <c r="GJY54" s="4"/>
      <c r="GJZ54" s="4"/>
      <c r="GKA54" s="4"/>
      <c r="GKB54" s="4"/>
      <c r="GKC54" s="4"/>
      <c r="GKD54" s="4"/>
      <c r="GKE54" s="4"/>
      <c r="GKF54" s="4"/>
      <c r="GKG54" s="4"/>
      <c r="GKH54" s="4"/>
      <c r="GKI54" s="4"/>
      <c r="GKJ54" s="4"/>
      <c r="GKK54" s="4"/>
      <c r="GKL54" s="4"/>
      <c r="GKM54" s="4"/>
      <c r="GKN54" s="4"/>
      <c r="GKO54" s="4"/>
      <c r="GKP54" s="4"/>
      <c r="GKQ54" s="4"/>
      <c r="GKR54" s="4"/>
      <c r="GKS54" s="4"/>
      <c r="GKT54" s="4"/>
      <c r="GKU54" s="4"/>
      <c r="GKV54" s="4"/>
      <c r="GKW54" s="4"/>
      <c r="GKX54" s="4"/>
      <c r="GKY54" s="4"/>
      <c r="GKZ54" s="4"/>
      <c r="GLA54" s="4"/>
      <c r="GLB54" s="4"/>
      <c r="GLC54" s="4"/>
      <c r="GLD54" s="4"/>
      <c r="GLE54" s="4"/>
      <c r="GLF54" s="4"/>
      <c r="GLG54" s="4"/>
      <c r="GLH54" s="4"/>
      <c r="GLI54" s="4"/>
      <c r="GLJ54" s="4"/>
      <c r="GLK54" s="4"/>
      <c r="GLL54" s="4"/>
      <c r="GLM54" s="4"/>
      <c r="GLN54" s="4"/>
      <c r="GLO54" s="4"/>
      <c r="GLP54" s="4"/>
      <c r="GLQ54" s="4"/>
      <c r="GLR54" s="4"/>
      <c r="GLS54" s="4"/>
      <c r="GLT54" s="4"/>
      <c r="GLU54" s="4"/>
      <c r="GLV54" s="4"/>
      <c r="GLW54" s="4"/>
      <c r="GLX54" s="4"/>
      <c r="GLY54" s="4"/>
      <c r="GLZ54" s="4"/>
      <c r="GMA54" s="4"/>
      <c r="GMB54" s="4"/>
      <c r="GMC54" s="4"/>
      <c r="GMD54" s="4"/>
      <c r="GME54" s="4"/>
      <c r="GMF54" s="4"/>
      <c r="GMG54" s="4"/>
      <c r="GMH54" s="4"/>
      <c r="GMI54" s="4"/>
      <c r="GMJ54" s="4"/>
      <c r="GMK54" s="4"/>
      <c r="GML54" s="4"/>
      <c r="GMM54" s="4"/>
      <c r="GMN54" s="4"/>
      <c r="GMO54" s="4"/>
      <c r="GMP54" s="4"/>
      <c r="GMQ54" s="4"/>
      <c r="GMR54" s="4"/>
      <c r="GMS54" s="4"/>
      <c r="GMT54" s="4"/>
      <c r="GMU54" s="4"/>
      <c r="GMV54" s="4"/>
      <c r="GMW54" s="4"/>
      <c r="GMX54" s="4"/>
      <c r="GMY54" s="4"/>
      <c r="GMZ54" s="4"/>
      <c r="GNA54" s="4"/>
      <c r="GNB54" s="4"/>
      <c r="GNC54" s="4"/>
      <c r="GND54" s="4"/>
      <c r="GNE54" s="4"/>
      <c r="GNF54" s="4"/>
      <c r="GNG54" s="4"/>
      <c r="GNH54" s="4"/>
      <c r="GNI54" s="4"/>
      <c r="GNJ54" s="4"/>
      <c r="GNK54" s="4"/>
      <c r="GNL54" s="4"/>
      <c r="GNM54" s="4"/>
      <c r="GNN54" s="4"/>
      <c r="GNO54" s="4"/>
      <c r="GNP54" s="4"/>
      <c r="GNQ54" s="4"/>
      <c r="GNR54" s="4"/>
      <c r="GNS54" s="4"/>
      <c r="GNT54" s="4"/>
      <c r="GNU54" s="4"/>
      <c r="GNV54" s="4"/>
      <c r="GNW54" s="4"/>
      <c r="GNX54" s="4"/>
      <c r="GNY54" s="4"/>
      <c r="GNZ54" s="4"/>
      <c r="GOA54" s="4"/>
      <c r="GOB54" s="4"/>
      <c r="GOC54" s="4"/>
      <c r="GOD54" s="4"/>
      <c r="GOE54" s="4"/>
      <c r="GOF54" s="4"/>
      <c r="GOG54" s="4"/>
      <c r="GOH54" s="4"/>
      <c r="GOI54" s="4"/>
      <c r="GOJ54" s="4"/>
      <c r="GOK54" s="4"/>
      <c r="GOL54" s="4"/>
      <c r="GOM54" s="4"/>
      <c r="GON54" s="4"/>
      <c r="GOO54" s="4"/>
      <c r="GOP54" s="4"/>
      <c r="GOQ54" s="4"/>
      <c r="GOR54" s="4"/>
      <c r="GOS54" s="4"/>
      <c r="GOT54" s="4"/>
      <c r="GOU54" s="4"/>
      <c r="GOV54" s="4"/>
      <c r="GOW54" s="4"/>
      <c r="GOX54" s="4"/>
      <c r="GOY54" s="4"/>
      <c r="GOZ54" s="4"/>
      <c r="GPA54" s="4"/>
      <c r="GPB54" s="4"/>
      <c r="GPC54" s="4"/>
      <c r="GPD54" s="4"/>
      <c r="GPE54" s="4"/>
      <c r="GPF54" s="4"/>
      <c r="GPG54" s="4"/>
      <c r="GPH54" s="4"/>
      <c r="GPI54" s="4"/>
      <c r="GPJ54" s="4"/>
      <c r="GPK54" s="4"/>
      <c r="GPL54" s="4"/>
      <c r="GPM54" s="4"/>
      <c r="GPN54" s="4"/>
      <c r="GPO54" s="4"/>
      <c r="GPP54" s="4"/>
      <c r="GPQ54" s="4"/>
      <c r="GPR54" s="4"/>
      <c r="GPS54" s="4"/>
      <c r="GPT54" s="4"/>
      <c r="GPU54" s="4"/>
      <c r="GPV54" s="4"/>
      <c r="GPW54" s="4"/>
      <c r="GPX54" s="4"/>
      <c r="GPY54" s="4"/>
      <c r="GPZ54" s="4"/>
      <c r="GQA54" s="4"/>
      <c r="GQB54" s="4"/>
      <c r="GQC54" s="4"/>
      <c r="GQD54" s="4"/>
      <c r="GQE54" s="4"/>
      <c r="GQF54" s="4"/>
      <c r="GQG54" s="4"/>
      <c r="GQH54" s="4"/>
      <c r="GQI54" s="4"/>
      <c r="GQJ54" s="4"/>
      <c r="GQK54" s="4"/>
      <c r="GQL54" s="4"/>
      <c r="GQM54" s="4"/>
      <c r="GQN54" s="4"/>
      <c r="GQO54" s="4"/>
      <c r="GQP54" s="4"/>
      <c r="GQQ54" s="4"/>
      <c r="GQR54" s="4"/>
      <c r="GQS54" s="4"/>
      <c r="GQT54" s="4"/>
      <c r="GQU54" s="4"/>
      <c r="GQV54" s="4"/>
      <c r="GQW54" s="4"/>
      <c r="GQX54" s="4"/>
      <c r="GQY54" s="4"/>
      <c r="GQZ54" s="4"/>
      <c r="GRA54" s="4"/>
      <c r="GRB54" s="4"/>
      <c r="GRC54" s="4"/>
      <c r="GRD54" s="4"/>
      <c r="GRE54" s="4"/>
      <c r="GRF54" s="4"/>
      <c r="GRG54" s="4"/>
      <c r="GRH54" s="4"/>
      <c r="GRI54" s="4"/>
      <c r="GRJ54" s="4"/>
      <c r="GRK54" s="4"/>
      <c r="GRL54" s="4"/>
      <c r="GRM54" s="4"/>
      <c r="GRN54" s="4"/>
      <c r="GRO54" s="4"/>
      <c r="GRP54" s="4"/>
      <c r="GRQ54" s="4"/>
      <c r="GRR54" s="4"/>
      <c r="GRS54" s="4"/>
      <c r="GRT54" s="4"/>
      <c r="GRU54" s="4"/>
      <c r="GRV54" s="4"/>
      <c r="GRW54" s="4"/>
      <c r="GRX54" s="4"/>
      <c r="GRY54" s="4"/>
      <c r="GRZ54" s="4"/>
      <c r="GSA54" s="4"/>
      <c r="GSB54" s="4"/>
      <c r="GSC54" s="4"/>
      <c r="GSD54" s="4"/>
      <c r="GSE54" s="4"/>
      <c r="GSF54" s="4"/>
      <c r="GSG54" s="4"/>
      <c r="GSH54" s="4"/>
      <c r="GSI54" s="4"/>
      <c r="GSJ54" s="4"/>
      <c r="GSK54" s="4"/>
      <c r="GSL54" s="4"/>
      <c r="GSM54" s="4"/>
      <c r="GSN54" s="4"/>
      <c r="GSO54" s="4"/>
      <c r="GSP54" s="4"/>
      <c r="GSQ54" s="4"/>
      <c r="GSR54" s="4"/>
      <c r="GSS54" s="4"/>
      <c r="GST54" s="4"/>
      <c r="GSU54" s="4"/>
      <c r="GSV54" s="4"/>
      <c r="GSW54" s="4"/>
      <c r="GSX54" s="4"/>
      <c r="GSY54" s="4"/>
      <c r="GSZ54" s="4"/>
      <c r="GTA54" s="4"/>
      <c r="GTB54" s="4"/>
      <c r="GTC54" s="4"/>
      <c r="GTD54" s="4"/>
      <c r="GTE54" s="4"/>
      <c r="GTF54" s="4"/>
      <c r="GTG54" s="4"/>
      <c r="GTH54" s="4"/>
      <c r="GTI54" s="4"/>
      <c r="GTJ54" s="4"/>
      <c r="GTK54" s="4"/>
      <c r="GTL54" s="4"/>
      <c r="GTM54" s="4"/>
      <c r="GTN54" s="4"/>
      <c r="GTO54" s="4"/>
      <c r="GTP54" s="4"/>
      <c r="GTQ54" s="4"/>
      <c r="GTR54" s="4"/>
      <c r="GTS54" s="4"/>
      <c r="GTT54" s="4"/>
      <c r="GTU54" s="4"/>
      <c r="GTV54" s="4"/>
      <c r="GTW54" s="4"/>
      <c r="GTX54" s="4"/>
      <c r="GTY54" s="4"/>
      <c r="GTZ54" s="4"/>
      <c r="GUA54" s="4"/>
      <c r="GUB54" s="4"/>
      <c r="GUC54" s="4"/>
      <c r="GUD54" s="4"/>
      <c r="GUE54" s="4"/>
      <c r="GUF54" s="4"/>
      <c r="GUG54" s="4"/>
      <c r="GUH54" s="4"/>
      <c r="GUI54" s="4"/>
      <c r="GUJ54" s="4"/>
      <c r="GUK54" s="4"/>
      <c r="GUL54" s="4"/>
      <c r="GUM54" s="4"/>
      <c r="GUN54" s="4"/>
      <c r="GUO54" s="4"/>
      <c r="GUP54" s="4"/>
      <c r="GUQ54" s="4"/>
      <c r="GUR54" s="4"/>
      <c r="GUS54" s="4"/>
      <c r="GUT54" s="4"/>
      <c r="GUU54" s="4"/>
      <c r="GUV54" s="4"/>
      <c r="GUW54" s="4"/>
      <c r="GUX54" s="4"/>
      <c r="GUY54" s="4"/>
      <c r="GUZ54" s="4"/>
      <c r="GVA54" s="4"/>
      <c r="GVB54" s="4"/>
      <c r="GVC54" s="4"/>
      <c r="GVD54" s="4"/>
      <c r="GVE54" s="4"/>
      <c r="GVF54" s="4"/>
      <c r="GVG54" s="4"/>
      <c r="GVH54" s="4"/>
      <c r="GVI54" s="4"/>
      <c r="GVJ54" s="4"/>
      <c r="GVK54" s="4"/>
      <c r="GVL54" s="4"/>
      <c r="GVM54" s="4"/>
      <c r="GVN54" s="4"/>
      <c r="GVO54" s="4"/>
      <c r="GVP54" s="4"/>
      <c r="GVQ54" s="4"/>
      <c r="GVR54" s="4"/>
      <c r="GVS54" s="4"/>
      <c r="GVT54" s="4"/>
      <c r="GVU54" s="4"/>
      <c r="GVV54" s="4"/>
      <c r="GVW54" s="4"/>
      <c r="GVX54" s="4"/>
      <c r="GVY54" s="4"/>
      <c r="GVZ54" s="4"/>
      <c r="GWA54" s="4"/>
      <c r="GWB54" s="4"/>
      <c r="GWC54" s="4"/>
      <c r="GWD54" s="4"/>
      <c r="GWE54" s="4"/>
      <c r="GWF54" s="4"/>
      <c r="GWG54" s="4"/>
      <c r="GWH54" s="4"/>
      <c r="GWI54" s="4"/>
      <c r="GWJ54" s="4"/>
      <c r="GWK54" s="4"/>
      <c r="GWL54" s="4"/>
      <c r="GWM54" s="4"/>
      <c r="GWN54" s="4"/>
      <c r="GWO54" s="4"/>
      <c r="GWP54" s="4"/>
      <c r="GWQ54" s="4"/>
      <c r="GWR54" s="4"/>
      <c r="GWS54" s="4"/>
      <c r="GWT54" s="4"/>
      <c r="GWU54" s="4"/>
      <c r="GWV54" s="4"/>
      <c r="GWW54" s="4"/>
      <c r="GWX54" s="4"/>
      <c r="GWY54" s="4"/>
      <c r="GWZ54" s="4"/>
      <c r="GXA54" s="4"/>
      <c r="GXB54" s="4"/>
      <c r="GXC54" s="4"/>
      <c r="GXD54" s="4"/>
      <c r="GXE54" s="4"/>
      <c r="GXF54" s="4"/>
      <c r="GXG54" s="4"/>
      <c r="GXH54" s="4"/>
      <c r="GXI54" s="4"/>
      <c r="GXJ54" s="4"/>
      <c r="GXK54" s="4"/>
      <c r="GXL54" s="4"/>
      <c r="GXM54" s="4"/>
      <c r="GXN54" s="4"/>
      <c r="GXO54" s="4"/>
      <c r="GXP54" s="4"/>
      <c r="GXQ54" s="4"/>
      <c r="GXR54" s="4"/>
      <c r="GXS54" s="4"/>
      <c r="GXT54" s="4"/>
      <c r="GXU54" s="4"/>
      <c r="GXV54" s="4"/>
      <c r="GXW54" s="4"/>
      <c r="GXX54" s="4"/>
      <c r="GXY54" s="4"/>
      <c r="GXZ54" s="4"/>
      <c r="GYA54" s="4"/>
      <c r="GYB54" s="4"/>
      <c r="GYC54" s="4"/>
      <c r="GYD54" s="4"/>
      <c r="GYE54" s="4"/>
      <c r="GYF54" s="4"/>
      <c r="GYG54" s="4"/>
      <c r="GYH54" s="4"/>
      <c r="GYI54" s="4"/>
      <c r="GYJ54" s="4"/>
      <c r="GYK54" s="4"/>
      <c r="GYL54" s="4"/>
      <c r="GYM54" s="4"/>
      <c r="GYN54" s="4"/>
      <c r="GYO54" s="4"/>
      <c r="GYP54" s="4"/>
      <c r="GYQ54" s="4"/>
      <c r="GYR54" s="4"/>
      <c r="GYS54" s="4"/>
      <c r="GYT54" s="4"/>
      <c r="GYU54" s="4"/>
      <c r="GYV54" s="4"/>
      <c r="GYW54" s="4"/>
      <c r="GYX54" s="4"/>
      <c r="GYY54" s="4"/>
      <c r="GYZ54" s="4"/>
      <c r="GZA54" s="4"/>
      <c r="GZB54" s="4"/>
      <c r="GZC54" s="4"/>
      <c r="GZD54" s="4"/>
      <c r="GZE54" s="4"/>
      <c r="GZF54" s="4"/>
      <c r="GZG54" s="4"/>
      <c r="GZH54" s="4"/>
      <c r="GZI54" s="4"/>
      <c r="GZJ54" s="4"/>
      <c r="GZK54" s="4"/>
      <c r="GZL54" s="4"/>
      <c r="GZM54" s="4"/>
      <c r="GZN54" s="4"/>
      <c r="GZO54" s="4"/>
      <c r="GZP54" s="4"/>
      <c r="GZQ54" s="4"/>
      <c r="GZR54" s="4"/>
      <c r="GZS54" s="4"/>
      <c r="GZT54" s="4"/>
      <c r="GZU54" s="4"/>
      <c r="GZV54" s="4"/>
      <c r="GZW54" s="4"/>
      <c r="GZX54" s="4"/>
      <c r="GZY54" s="4"/>
      <c r="GZZ54" s="4"/>
      <c r="HAA54" s="4"/>
      <c r="HAB54" s="4"/>
      <c r="HAC54" s="4"/>
      <c r="HAD54" s="4"/>
      <c r="HAE54" s="4"/>
      <c r="HAF54" s="4"/>
      <c r="HAG54" s="4"/>
      <c r="HAH54" s="4"/>
      <c r="HAI54" s="4"/>
      <c r="HAJ54" s="4"/>
      <c r="HAK54" s="4"/>
      <c r="HAL54" s="4"/>
      <c r="HAM54" s="4"/>
      <c r="HAN54" s="4"/>
      <c r="HAO54" s="4"/>
      <c r="HAP54" s="4"/>
      <c r="HAQ54" s="4"/>
      <c r="HAR54" s="4"/>
      <c r="HAS54" s="4"/>
      <c r="HAT54" s="4"/>
      <c r="HAU54" s="4"/>
      <c r="HAV54" s="4"/>
      <c r="HAW54" s="4"/>
      <c r="HAX54" s="4"/>
      <c r="HAY54" s="4"/>
      <c r="HAZ54" s="4"/>
      <c r="HBA54" s="4"/>
      <c r="HBB54" s="4"/>
      <c r="HBC54" s="4"/>
      <c r="HBD54" s="4"/>
      <c r="HBE54" s="4"/>
      <c r="HBF54" s="4"/>
      <c r="HBG54" s="4"/>
      <c r="HBH54" s="4"/>
      <c r="HBI54" s="4"/>
      <c r="HBJ54" s="4"/>
      <c r="HBK54" s="4"/>
      <c r="HBL54" s="4"/>
      <c r="HBM54" s="4"/>
      <c r="HBN54" s="4"/>
      <c r="HBO54" s="4"/>
      <c r="HBP54" s="4"/>
      <c r="HBQ54" s="4"/>
      <c r="HBR54" s="4"/>
      <c r="HBS54" s="4"/>
      <c r="HBT54" s="4"/>
      <c r="HBU54" s="4"/>
      <c r="HBV54" s="4"/>
      <c r="HBW54" s="4"/>
      <c r="HBX54" s="4"/>
      <c r="HBY54" s="4"/>
      <c r="HBZ54" s="4"/>
      <c r="HCA54" s="4"/>
      <c r="HCB54" s="4"/>
      <c r="HCC54" s="4"/>
      <c r="HCD54" s="4"/>
      <c r="HCE54" s="4"/>
      <c r="HCF54" s="4"/>
      <c r="HCG54" s="4"/>
      <c r="HCH54" s="4"/>
      <c r="HCI54" s="4"/>
      <c r="HCJ54" s="4"/>
      <c r="HCK54" s="4"/>
      <c r="HCL54" s="4"/>
      <c r="HCM54" s="4"/>
      <c r="HCN54" s="4"/>
      <c r="HCO54" s="4"/>
      <c r="HCP54" s="4"/>
      <c r="HCQ54" s="4"/>
      <c r="HCR54" s="4"/>
      <c r="HCS54" s="4"/>
      <c r="HCT54" s="4"/>
      <c r="HCU54" s="4"/>
      <c r="HCV54" s="4"/>
      <c r="HCW54" s="4"/>
      <c r="HCX54" s="4"/>
      <c r="HCY54" s="4"/>
      <c r="HCZ54" s="4"/>
      <c r="HDA54" s="4"/>
      <c r="HDB54" s="4"/>
      <c r="HDC54" s="4"/>
      <c r="HDD54" s="4"/>
      <c r="HDE54" s="4"/>
      <c r="HDF54" s="4"/>
      <c r="HDG54" s="4"/>
      <c r="HDH54" s="4"/>
      <c r="HDI54" s="4"/>
      <c r="HDJ54" s="4"/>
      <c r="HDK54" s="4"/>
      <c r="HDL54" s="4"/>
      <c r="HDM54" s="4"/>
      <c r="HDN54" s="4"/>
      <c r="HDO54" s="4"/>
      <c r="HDP54" s="4"/>
      <c r="HDQ54" s="4"/>
      <c r="HDR54" s="4"/>
      <c r="HDS54" s="4"/>
      <c r="HDT54" s="4"/>
      <c r="HDU54" s="4"/>
      <c r="HDV54" s="4"/>
      <c r="HDW54" s="4"/>
      <c r="HDX54" s="4"/>
      <c r="HDY54" s="4"/>
      <c r="HDZ54" s="4"/>
      <c r="HEA54" s="4"/>
      <c r="HEB54" s="4"/>
      <c r="HEC54" s="4"/>
      <c r="HED54" s="4"/>
      <c r="HEE54" s="4"/>
      <c r="HEF54" s="4"/>
      <c r="HEG54" s="4"/>
      <c r="HEH54" s="4"/>
      <c r="HEI54" s="4"/>
      <c r="HEJ54" s="4"/>
      <c r="HEK54" s="4"/>
      <c r="HEL54" s="4"/>
      <c r="HEM54" s="4"/>
      <c r="HEN54" s="4"/>
      <c r="HEO54" s="4"/>
      <c r="HEP54" s="4"/>
      <c r="HEQ54" s="4"/>
      <c r="HER54" s="4"/>
      <c r="HES54" s="4"/>
      <c r="HET54" s="4"/>
      <c r="HEU54" s="4"/>
      <c r="HEV54" s="4"/>
      <c r="HEW54" s="4"/>
      <c r="HEX54" s="4"/>
      <c r="HEY54" s="4"/>
      <c r="HEZ54" s="4"/>
      <c r="HFA54" s="4"/>
      <c r="HFB54" s="4"/>
      <c r="HFC54" s="4"/>
      <c r="HFD54" s="4"/>
      <c r="HFE54" s="4"/>
      <c r="HFF54" s="4"/>
      <c r="HFG54" s="4"/>
      <c r="HFH54" s="4"/>
      <c r="HFI54" s="4"/>
      <c r="HFJ54" s="4"/>
      <c r="HFK54" s="4"/>
      <c r="HFL54" s="4"/>
      <c r="HFM54" s="4"/>
      <c r="HFN54" s="4"/>
      <c r="HFO54" s="4"/>
      <c r="HFP54" s="4"/>
      <c r="HFQ54" s="4"/>
      <c r="HFR54" s="4"/>
      <c r="HFS54" s="4"/>
      <c r="HFT54" s="4"/>
      <c r="HFU54" s="4"/>
      <c r="HFV54" s="4"/>
      <c r="HFW54" s="4"/>
      <c r="HFX54" s="4"/>
      <c r="HFY54" s="4"/>
      <c r="HFZ54" s="4"/>
      <c r="HGA54" s="4"/>
      <c r="HGB54" s="4"/>
      <c r="HGC54" s="4"/>
      <c r="HGD54" s="4"/>
      <c r="HGE54" s="4"/>
      <c r="HGF54" s="4"/>
      <c r="HGG54" s="4"/>
      <c r="HGH54" s="4"/>
      <c r="HGI54" s="4"/>
      <c r="HGJ54" s="4"/>
      <c r="HGK54" s="4"/>
      <c r="HGL54" s="4"/>
      <c r="HGM54" s="4"/>
      <c r="HGN54" s="4"/>
      <c r="HGO54" s="4"/>
      <c r="HGP54" s="4"/>
      <c r="HGQ54" s="4"/>
      <c r="HGR54" s="4"/>
      <c r="HGS54" s="4"/>
      <c r="HGT54" s="4"/>
      <c r="HGU54" s="4"/>
      <c r="HGV54" s="4"/>
      <c r="HGW54" s="4"/>
      <c r="HGX54" s="4"/>
      <c r="HGY54" s="4"/>
      <c r="HGZ54" s="4"/>
      <c r="HHA54" s="4"/>
      <c r="HHB54" s="4"/>
      <c r="HHC54" s="4"/>
      <c r="HHD54" s="4"/>
      <c r="HHE54" s="4"/>
      <c r="HHF54" s="4"/>
      <c r="HHG54" s="4"/>
      <c r="HHH54" s="4"/>
      <c r="HHI54" s="4"/>
      <c r="HHJ54" s="4"/>
      <c r="HHK54" s="4"/>
      <c r="HHL54" s="4"/>
      <c r="HHM54" s="4"/>
      <c r="HHN54" s="4"/>
      <c r="HHO54" s="4"/>
      <c r="HHP54" s="4"/>
      <c r="HHQ54" s="4"/>
      <c r="HHR54" s="4"/>
      <c r="HHS54" s="4"/>
      <c r="HHT54" s="4"/>
      <c r="HHU54" s="4"/>
      <c r="HHV54" s="4"/>
      <c r="HHW54" s="4"/>
      <c r="HHX54" s="4"/>
      <c r="HHY54" s="4"/>
      <c r="HHZ54" s="4"/>
      <c r="HIA54" s="4"/>
      <c r="HIB54" s="4"/>
      <c r="HIC54" s="4"/>
      <c r="HID54" s="4"/>
      <c r="HIE54" s="4"/>
      <c r="HIF54" s="4"/>
      <c r="HIG54" s="4"/>
      <c r="HIH54" s="4"/>
      <c r="HII54" s="4"/>
      <c r="HIJ54" s="4"/>
      <c r="HIK54" s="4"/>
      <c r="HIL54" s="4"/>
      <c r="HIM54" s="4"/>
      <c r="HIN54" s="4"/>
      <c r="HIO54" s="4"/>
      <c r="HIP54" s="4"/>
      <c r="HIQ54" s="4"/>
      <c r="HIR54" s="4"/>
      <c r="HIS54" s="4"/>
      <c r="HIT54" s="4"/>
      <c r="HIU54" s="4"/>
      <c r="HIV54" s="4"/>
      <c r="HIW54" s="4"/>
      <c r="HIX54" s="4"/>
      <c r="HIY54" s="4"/>
      <c r="HIZ54" s="4"/>
      <c r="HJA54" s="4"/>
      <c r="HJB54" s="4"/>
      <c r="HJC54" s="4"/>
      <c r="HJD54" s="4"/>
      <c r="HJE54" s="4"/>
      <c r="HJF54" s="4"/>
      <c r="HJG54" s="4"/>
      <c r="HJH54" s="4"/>
      <c r="HJI54" s="4"/>
      <c r="HJJ54" s="4"/>
      <c r="HJK54" s="4"/>
      <c r="HJL54" s="4"/>
      <c r="HJM54" s="4"/>
      <c r="HJN54" s="4"/>
      <c r="HJO54" s="4"/>
      <c r="HJP54" s="4"/>
      <c r="HJQ54" s="4"/>
      <c r="HJR54" s="4"/>
      <c r="HJS54" s="4"/>
      <c r="HJT54" s="4"/>
      <c r="HJU54" s="4"/>
      <c r="HJV54" s="4"/>
      <c r="HJW54" s="4"/>
      <c r="HJX54" s="4"/>
      <c r="HJY54" s="4"/>
      <c r="HJZ54" s="4"/>
      <c r="HKA54" s="4"/>
      <c r="HKB54" s="4"/>
      <c r="HKC54" s="4"/>
      <c r="HKD54" s="4"/>
      <c r="HKE54" s="4"/>
      <c r="HKF54" s="4"/>
      <c r="HKG54" s="4"/>
      <c r="HKH54" s="4"/>
      <c r="HKI54" s="4"/>
      <c r="HKJ54" s="4"/>
      <c r="HKK54" s="4"/>
      <c r="HKL54" s="4"/>
      <c r="HKM54" s="4"/>
      <c r="HKN54" s="4"/>
      <c r="HKO54" s="4"/>
      <c r="HKP54" s="4"/>
      <c r="HKQ54" s="4"/>
      <c r="HKR54" s="4"/>
      <c r="HKS54" s="4"/>
      <c r="HKT54" s="4"/>
      <c r="HKU54" s="4"/>
      <c r="HKV54" s="4"/>
      <c r="HKW54" s="4"/>
      <c r="HKX54" s="4"/>
      <c r="HKY54" s="4"/>
      <c r="HKZ54" s="4"/>
      <c r="HLA54" s="4"/>
      <c r="HLB54" s="4"/>
      <c r="HLC54" s="4"/>
      <c r="HLD54" s="4"/>
      <c r="HLE54" s="4"/>
      <c r="HLF54" s="4"/>
      <c r="HLG54" s="4"/>
      <c r="HLH54" s="4"/>
      <c r="HLI54" s="4"/>
      <c r="HLJ54" s="4"/>
      <c r="HLK54" s="4"/>
      <c r="HLL54" s="4"/>
      <c r="HLM54" s="4"/>
      <c r="HLN54" s="4"/>
      <c r="HLO54" s="4"/>
      <c r="HLP54" s="4"/>
      <c r="HLQ54" s="4"/>
      <c r="HLR54" s="4"/>
      <c r="HLS54" s="4"/>
      <c r="HLT54" s="4"/>
      <c r="HLU54" s="4"/>
      <c r="HLV54" s="4"/>
      <c r="HLW54" s="4"/>
      <c r="HLX54" s="4"/>
      <c r="HLY54" s="4"/>
      <c r="HLZ54" s="4"/>
      <c r="HMA54" s="4"/>
      <c r="HMB54" s="4"/>
      <c r="HMC54" s="4"/>
      <c r="HMD54" s="4"/>
      <c r="HME54" s="4"/>
      <c r="HMF54" s="4"/>
      <c r="HMG54" s="4"/>
      <c r="HMH54" s="4"/>
      <c r="HMI54" s="4"/>
      <c r="HMJ54" s="4"/>
      <c r="HMK54" s="4"/>
      <c r="HML54" s="4"/>
      <c r="HMM54" s="4"/>
      <c r="HMN54" s="4"/>
      <c r="HMO54" s="4"/>
      <c r="HMP54" s="4"/>
      <c r="HMQ54" s="4"/>
      <c r="HMR54" s="4"/>
      <c r="HMS54" s="4"/>
      <c r="HMT54" s="4"/>
      <c r="HMU54" s="4"/>
      <c r="HMV54" s="4"/>
      <c r="HMW54" s="4"/>
      <c r="HMX54" s="4"/>
      <c r="HMY54" s="4"/>
      <c r="HMZ54" s="4"/>
      <c r="HNA54" s="4"/>
      <c r="HNB54" s="4"/>
      <c r="HNC54" s="4"/>
      <c r="HND54" s="4"/>
      <c r="HNE54" s="4"/>
      <c r="HNF54" s="4"/>
      <c r="HNG54" s="4"/>
      <c r="HNH54" s="4"/>
      <c r="HNI54" s="4"/>
      <c r="HNJ54" s="4"/>
      <c r="HNK54" s="4"/>
      <c r="HNL54" s="4"/>
      <c r="HNM54" s="4"/>
      <c r="HNN54" s="4"/>
      <c r="HNO54" s="4"/>
      <c r="HNP54" s="4"/>
      <c r="HNQ54" s="4"/>
      <c r="HNR54" s="4"/>
      <c r="HNS54" s="4"/>
      <c r="HNT54" s="4"/>
      <c r="HNU54" s="4"/>
      <c r="HNV54" s="4"/>
      <c r="HNW54" s="4"/>
      <c r="HNX54" s="4"/>
      <c r="HNY54" s="4"/>
      <c r="HNZ54" s="4"/>
      <c r="HOA54" s="4"/>
      <c r="HOB54" s="4"/>
      <c r="HOC54" s="4"/>
      <c r="HOD54" s="4"/>
      <c r="HOE54" s="4"/>
      <c r="HOF54" s="4"/>
      <c r="HOG54" s="4"/>
      <c r="HOH54" s="4"/>
      <c r="HOI54" s="4"/>
      <c r="HOJ54" s="4"/>
      <c r="HOK54" s="4"/>
      <c r="HOL54" s="4"/>
      <c r="HOM54" s="4"/>
      <c r="HON54" s="4"/>
      <c r="HOO54" s="4"/>
      <c r="HOP54" s="4"/>
      <c r="HOQ54" s="4"/>
      <c r="HOR54" s="4"/>
      <c r="HOS54" s="4"/>
      <c r="HOT54" s="4"/>
      <c r="HOU54" s="4"/>
      <c r="HOV54" s="4"/>
      <c r="HOW54" s="4"/>
      <c r="HOX54" s="4"/>
      <c r="HOY54" s="4"/>
      <c r="HOZ54" s="4"/>
      <c r="HPA54" s="4"/>
      <c r="HPB54" s="4"/>
      <c r="HPC54" s="4"/>
      <c r="HPD54" s="4"/>
      <c r="HPE54" s="4"/>
      <c r="HPF54" s="4"/>
      <c r="HPG54" s="4"/>
      <c r="HPH54" s="4"/>
      <c r="HPI54" s="4"/>
      <c r="HPJ54" s="4"/>
      <c r="HPK54" s="4"/>
      <c r="HPL54" s="4"/>
      <c r="HPM54" s="4"/>
      <c r="HPN54" s="4"/>
      <c r="HPO54" s="4"/>
      <c r="HPP54" s="4"/>
      <c r="HPQ54" s="4"/>
      <c r="HPR54" s="4"/>
      <c r="HPS54" s="4"/>
      <c r="HPT54" s="4"/>
      <c r="HPU54" s="4"/>
      <c r="HPV54" s="4"/>
      <c r="HPW54" s="4"/>
      <c r="HPX54" s="4"/>
      <c r="HPY54" s="4"/>
      <c r="HPZ54" s="4"/>
      <c r="HQA54" s="4"/>
      <c r="HQB54" s="4"/>
      <c r="HQC54" s="4"/>
      <c r="HQD54" s="4"/>
      <c r="HQE54" s="4"/>
      <c r="HQF54" s="4"/>
      <c r="HQG54" s="4"/>
      <c r="HQH54" s="4"/>
      <c r="HQI54" s="4"/>
      <c r="HQJ54" s="4"/>
      <c r="HQK54" s="4"/>
      <c r="HQL54" s="4"/>
      <c r="HQM54" s="4"/>
      <c r="HQN54" s="4"/>
      <c r="HQO54" s="4"/>
      <c r="HQP54" s="4"/>
      <c r="HQQ54" s="4"/>
      <c r="HQR54" s="4"/>
      <c r="HQS54" s="4"/>
      <c r="HQT54" s="4"/>
      <c r="HQU54" s="4"/>
      <c r="HQV54" s="4"/>
      <c r="HQW54" s="4"/>
      <c r="HQX54" s="4"/>
      <c r="HQY54" s="4"/>
      <c r="HQZ54" s="4"/>
      <c r="HRA54" s="4"/>
      <c r="HRB54" s="4"/>
      <c r="HRC54" s="4"/>
      <c r="HRD54" s="4"/>
      <c r="HRE54" s="4"/>
      <c r="HRF54" s="4"/>
      <c r="HRG54" s="4"/>
      <c r="HRH54" s="4"/>
      <c r="HRI54" s="4"/>
      <c r="HRJ54" s="4"/>
      <c r="HRK54" s="4"/>
      <c r="HRL54" s="4"/>
      <c r="HRM54" s="4"/>
      <c r="HRN54" s="4"/>
      <c r="HRO54" s="4"/>
      <c r="HRP54" s="4"/>
      <c r="HRQ54" s="4"/>
      <c r="HRR54" s="4"/>
      <c r="HRS54" s="4"/>
      <c r="HRT54" s="4"/>
      <c r="HRU54" s="4"/>
      <c r="HRV54" s="4"/>
      <c r="HRW54" s="4"/>
      <c r="HRX54" s="4"/>
      <c r="HRY54" s="4"/>
      <c r="HRZ54" s="4"/>
      <c r="HSA54" s="4"/>
      <c r="HSB54" s="4"/>
      <c r="HSC54" s="4"/>
      <c r="HSD54" s="4"/>
      <c r="HSE54" s="4"/>
      <c r="HSF54" s="4"/>
      <c r="HSG54" s="4"/>
      <c r="HSH54" s="4"/>
      <c r="HSI54" s="4"/>
      <c r="HSJ54" s="4"/>
      <c r="HSK54" s="4"/>
      <c r="HSL54" s="4"/>
      <c r="HSM54" s="4"/>
      <c r="HSN54" s="4"/>
      <c r="HSO54" s="4"/>
      <c r="HSP54" s="4"/>
      <c r="HSQ54" s="4"/>
      <c r="HSR54" s="4"/>
      <c r="HSS54" s="4"/>
      <c r="HST54" s="4"/>
      <c r="HSU54" s="4"/>
      <c r="HSV54" s="4"/>
      <c r="HSW54" s="4"/>
      <c r="HSX54" s="4"/>
      <c r="HSY54" s="4"/>
      <c r="HSZ54" s="4"/>
      <c r="HTA54" s="4"/>
      <c r="HTB54" s="4"/>
      <c r="HTC54" s="4"/>
      <c r="HTD54" s="4"/>
      <c r="HTE54" s="4"/>
      <c r="HTF54" s="4"/>
      <c r="HTG54" s="4"/>
      <c r="HTH54" s="4"/>
      <c r="HTI54" s="4"/>
      <c r="HTJ54" s="4"/>
      <c r="HTK54" s="4"/>
      <c r="HTL54" s="4"/>
      <c r="HTM54" s="4"/>
      <c r="HTN54" s="4"/>
      <c r="HTO54" s="4"/>
      <c r="HTP54" s="4"/>
      <c r="HTQ54" s="4"/>
      <c r="HTR54" s="4"/>
      <c r="HTS54" s="4"/>
      <c r="HTT54" s="4"/>
      <c r="HTU54" s="4"/>
      <c r="HTV54" s="4"/>
      <c r="HTW54" s="4"/>
      <c r="HTX54" s="4"/>
      <c r="HTY54" s="4"/>
      <c r="HTZ54" s="4"/>
      <c r="HUA54" s="4"/>
      <c r="HUB54" s="4"/>
      <c r="HUC54" s="4"/>
      <c r="HUD54" s="4"/>
      <c r="HUE54" s="4"/>
      <c r="HUF54" s="4"/>
      <c r="HUG54" s="4"/>
      <c r="HUH54" s="4"/>
      <c r="HUI54" s="4"/>
      <c r="HUJ54" s="4"/>
      <c r="HUK54" s="4"/>
      <c r="HUL54" s="4"/>
      <c r="HUM54" s="4"/>
      <c r="HUN54" s="4"/>
      <c r="HUO54" s="4"/>
      <c r="HUP54" s="4"/>
      <c r="HUQ54" s="4"/>
      <c r="HUR54" s="4"/>
      <c r="HUS54" s="4"/>
      <c r="HUT54" s="4"/>
      <c r="HUU54" s="4"/>
      <c r="HUV54" s="4"/>
      <c r="HUW54" s="4"/>
      <c r="HUX54" s="4"/>
      <c r="HUY54" s="4"/>
      <c r="HUZ54" s="4"/>
      <c r="HVA54" s="4"/>
      <c r="HVB54" s="4"/>
      <c r="HVC54" s="4"/>
      <c r="HVD54" s="4"/>
      <c r="HVE54" s="4"/>
      <c r="HVF54" s="4"/>
      <c r="HVG54" s="4"/>
      <c r="HVH54" s="4"/>
      <c r="HVI54" s="4"/>
      <c r="HVJ54" s="4"/>
      <c r="HVK54" s="4"/>
      <c r="HVL54" s="4"/>
      <c r="HVM54" s="4"/>
      <c r="HVN54" s="4"/>
      <c r="HVO54" s="4"/>
      <c r="HVP54" s="4"/>
      <c r="HVQ54" s="4"/>
      <c r="HVR54" s="4"/>
      <c r="HVS54" s="4"/>
      <c r="HVT54" s="4"/>
      <c r="HVU54" s="4"/>
      <c r="HVV54" s="4"/>
      <c r="HVW54" s="4"/>
      <c r="HVX54" s="4"/>
      <c r="HVY54" s="4"/>
      <c r="HVZ54" s="4"/>
      <c r="HWA54" s="4"/>
      <c r="HWB54" s="4"/>
      <c r="HWC54" s="4"/>
      <c r="HWD54" s="4"/>
      <c r="HWE54" s="4"/>
      <c r="HWF54" s="4"/>
      <c r="HWG54" s="4"/>
      <c r="HWH54" s="4"/>
      <c r="HWI54" s="4"/>
      <c r="HWJ54" s="4"/>
      <c r="HWK54" s="4"/>
      <c r="HWL54" s="4"/>
      <c r="HWM54" s="4"/>
      <c r="HWN54" s="4"/>
      <c r="HWO54" s="4"/>
      <c r="HWP54" s="4"/>
      <c r="HWQ54" s="4"/>
      <c r="HWR54" s="4"/>
      <c r="HWS54" s="4"/>
      <c r="HWT54" s="4"/>
      <c r="HWU54" s="4"/>
      <c r="HWV54" s="4"/>
      <c r="HWW54" s="4"/>
      <c r="HWX54" s="4"/>
      <c r="HWY54" s="4"/>
      <c r="HWZ54" s="4"/>
      <c r="HXA54" s="4"/>
      <c r="HXB54" s="4"/>
      <c r="HXC54" s="4"/>
      <c r="HXD54" s="4"/>
      <c r="HXE54" s="4"/>
      <c r="HXF54" s="4"/>
      <c r="HXG54" s="4"/>
      <c r="HXH54" s="4"/>
      <c r="HXI54" s="4"/>
      <c r="HXJ54" s="4"/>
      <c r="HXK54" s="4"/>
      <c r="HXL54" s="4"/>
      <c r="HXM54" s="4"/>
      <c r="HXN54" s="4"/>
      <c r="HXO54" s="4"/>
      <c r="HXP54" s="4"/>
      <c r="HXQ54" s="4"/>
      <c r="HXR54" s="4"/>
      <c r="HXS54" s="4"/>
      <c r="HXT54" s="4"/>
      <c r="HXU54" s="4"/>
      <c r="HXV54" s="4"/>
      <c r="HXW54" s="4"/>
      <c r="HXX54" s="4"/>
      <c r="HXY54" s="4"/>
      <c r="HXZ54" s="4"/>
      <c r="HYA54" s="4"/>
      <c r="HYB54" s="4"/>
      <c r="HYC54" s="4"/>
      <c r="HYD54" s="4"/>
      <c r="HYE54" s="4"/>
      <c r="HYF54" s="4"/>
      <c r="HYG54" s="4"/>
      <c r="HYH54" s="4"/>
      <c r="HYI54" s="4"/>
      <c r="HYJ54" s="4"/>
      <c r="HYK54" s="4"/>
      <c r="HYL54" s="4"/>
      <c r="HYM54" s="4"/>
      <c r="HYN54" s="4"/>
      <c r="HYO54" s="4"/>
      <c r="HYP54" s="4"/>
      <c r="HYQ54" s="4"/>
      <c r="HYR54" s="4"/>
      <c r="HYS54" s="4"/>
      <c r="HYT54" s="4"/>
      <c r="HYU54" s="4"/>
      <c r="HYV54" s="4"/>
      <c r="HYW54" s="4"/>
      <c r="HYX54" s="4"/>
      <c r="HYY54" s="4"/>
      <c r="HYZ54" s="4"/>
      <c r="HZA54" s="4"/>
      <c r="HZB54" s="4"/>
      <c r="HZC54" s="4"/>
      <c r="HZD54" s="4"/>
      <c r="HZE54" s="4"/>
      <c r="HZF54" s="4"/>
      <c r="HZG54" s="4"/>
      <c r="HZH54" s="4"/>
      <c r="HZI54" s="4"/>
      <c r="HZJ54" s="4"/>
      <c r="HZK54" s="4"/>
      <c r="HZL54" s="4"/>
      <c r="HZM54" s="4"/>
      <c r="HZN54" s="4"/>
      <c r="HZO54" s="4"/>
      <c r="HZP54" s="4"/>
      <c r="HZQ54" s="4"/>
      <c r="HZR54" s="4"/>
      <c r="HZS54" s="4"/>
      <c r="HZT54" s="4"/>
      <c r="HZU54" s="4"/>
      <c r="HZV54" s="4"/>
      <c r="HZW54" s="4"/>
      <c r="HZX54" s="4"/>
      <c r="HZY54" s="4"/>
      <c r="HZZ54" s="4"/>
      <c r="IAA54" s="4"/>
      <c r="IAB54" s="4"/>
      <c r="IAC54" s="4"/>
      <c r="IAD54" s="4"/>
      <c r="IAE54" s="4"/>
      <c r="IAF54" s="4"/>
      <c r="IAG54" s="4"/>
      <c r="IAH54" s="4"/>
      <c r="IAI54" s="4"/>
      <c r="IAJ54" s="4"/>
      <c r="IAK54" s="4"/>
      <c r="IAL54" s="4"/>
      <c r="IAM54" s="4"/>
      <c r="IAN54" s="4"/>
      <c r="IAO54" s="4"/>
      <c r="IAP54" s="4"/>
      <c r="IAQ54" s="4"/>
      <c r="IAR54" s="4"/>
      <c r="IAS54" s="4"/>
      <c r="IAT54" s="4"/>
      <c r="IAU54" s="4"/>
      <c r="IAV54" s="4"/>
      <c r="IAW54" s="4"/>
      <c r="IAX54" s="4"/>
      <c r="IAY54" s="4"/>
      <c r="IAZ54" s="4"/>
      <c r="IBA54" s="4"/>
      <c r="IBB54" s="4"/>
      <c r="IBC54" s="4"/>
      <c r="IBD54" s="4"/>
      <c r="IBE54" s="4"/>
      <c r="IBF54" s="4"/>
      <c r="IBG54" s="4"/>
      <c r="IBH54" s="4"/>
      <c r="IBI54" s="4"/>
      <c r="IBJ54" s="4"/>
      <c r="IBK54" s="4"/>
      <c r="IBL54" s="4"/>
      <c r="IBM54" s="4"/>
      <c r="IBN54" s="4"/>
      <c r="IBO54" s="4"/>
      <c r="IBP54" s="4"/>
      <c r="IBQ54" s="4"/>
      <c r="IBR54" s="4"/>
      <c r="IBS54" s="4"/>
      <c r="IBT54" s="4"/>
      <c r="IBU54" s="4"/>
      <c r="IBV54" s="4"/>
      <c r="IBW54" s="4"/>
      <c r="IBX54" s="4"/>
      <c r="IBY54" s="4"/>
      <c r="IBZ54" s="4"/>
      <c r="ICA54" s="4"/>
      <c r="ICB54" s="4"/>
      <c r="ICC54" s="4"/>
      <c r="ICD54" s="4"/>
      <c r="ICE54" s="4"/>
      <c r="ICF54" s="4"/>
      <c r="ICG54" s="4"/>
      <c r="ICH54" s="4"/>
      <c r="ICI54" s="4"/>
      <c r="ICJ54" s="4"/>
      <c r="ICK54" s="4"/>
      <c r="ICL54" s="4"/>
      <c r="ICM54" s="4"/>
      <c r="ICN54" s="4"/>
      <c r="ICO54" s="4"/>
      <c r="ICP54" s="4"/>
      <c r="ICQ54" s="4"/>
      <c r="ICR54" s="4"/>
      <c r="ICS54" s="4"/>
      <c r="ICT54" s="4"/>
      <c r="ICU54" s="4"/>
      <c r="ICV54" s="4"/>
      <c r="ICW54" s="4"/>
      <c r="ICX54" s="4"/>
      <c r="ICY54" s="4"/>
      <c r="ICZ54" s="4"/>
      <c r="IDA54" s="4"/>
      <c r="IDB54" s="4"/>
      <c r="IDC54" s="4"/>
      <c r="IDD54" s="4"/>
      <c r="IDE54" s="4"/>
      <c r="IDF54" s="4"/>
      <c r="IDG54" s="4"/>
      <c r="IDH54" s="4"/>
      <c r="IDI54" s="4"/>
      <c r="IDJ54" s="4"/>
      <c r="IDK54" s="4"/>
      <c r="IDL54" s="4"/>
      <c r="IDM54" s="4"/>
      <c r="IDN54" s="4"/>
      <c r="IDO54" s="4"/>
      <c r="IDP54" s="4"/>
      <c r="IDQ54" s="4"/>
      <c r="IDR54" s="4"/>
      <c r="IDS54" s="4"/>
      <c r="IDT54" s="4"/>
      <c r="IDU54" s="4"/>
      <c r="IDV54" s="4"/>
      <c r="IDW54" s="4"/>
      <c r="IDX54" s="4"/>
      <c r="IDY54" s="4"/>
      <c r="IDZ54" s="4"/>
      <c r="IEA54" s="4"/>
      <c r="IEB54" s="4"/>
      <c r="IEC54" s="4"/>
      <c r="IED54" s="4"/>
      <c r="IEE54" s="4"/>
      <c r="IEF54" s="4"/>
      <c r="IEG54" s="4"/>
      <c r="IEH54" s="4"/>
      <c r="IEI54" s="4"/>
      <c r="IEJ54" s="4"/>
      <c r="IEK54" s="4"/>
      <c r="IEL54" s="4"/>
      <c r="IEM54" s="4"/>
      <c r="IEN54" s="4"/>
      <c r="IEO54" s="4"/>
      <c r="IEP54" s="4"/>
      <c r="IEQ54" s="4"/>
      <c r="IER54" s="4"/>
      <c r="IES54" s="4"/>
      <c r="IET54" s="4"/>
      <c r="IEU54" s="4"/>
      <c r="IEV54" s="4"/>
      <c r="IEW54" s="4"/>
      <c r="IEX54" s="4"/>
      <c r="IEY54" s="4"/>
      <c r="IEZ54" s="4"/>
      <c r="IFA54" s="4"/>
      <c r="IFB54" s="4"/>
      <c r="IFC54" s="4"/>
      <c r="IFD54" s="4"/>
      <c r="IFE54" s="4"/>
      <c r="IFF54" s="4"/>
      <c r="IFG54" s="4"/>
      <c r="IFH54" s="4"/>
      <c r="IFI54" s="4"/>
      <c r="IFJ54" s="4"/>
      <c r="IFK54" s="4"/>
      <c r="IFL54" s="4"/>
      <c r="IFM54" s="4"/>
      <c r="IFN54" s="4"/>
      <c r="IFO54" s="4"/>
      <c r="IFP54" s="4"/>
      <c r="IFQ54" s="4"/>
      <c r="IFR54" s="4"/>
      <c r="IFS54" s="4"/>
      <c r="IFT54" s="4"/>
      <c r="IFU54" s="4"/>
      <c r="IFV54" s="4"/>
      <c r="IFW54" s="4"/>
      <c r="IFX54" s="4"/>
      <c r="IFY54" s="4"/>
      <c r="IFZ54" s="4"/>
      <c r="IGA54" s="4"/>
      <c r="IGB54" s="4"/>
      <c r="IGC54" s="4"/>
      <c r="IGD54" s="4"/>
      <c r="IGE54" s="4"/>
      <c r="IGF54" s="4"/>
      <c r="IGG54" s="4"/>
      <c r="IGH54" s="4"/>
      <c r="IGI54" s="4"/>
      <c r="IGJ54" s="4"/>
      <c r="IGK54" s="4"/>
      <c r="IGL54" s="4"/>
      <c r="IGM54" s="4"/>
      <c r="IGN54" s="4"/>
      <c r="IGO54" s="4"/>
      <c r="IGP54" s="4"/>
      <c r="IGQ54" s="4"/>
      <c r="IGR54" s="4"/>
      <c r="IGS54" s="4"/>
      <c r="IGT54" s="4"/>
      <c r="IGU54" s="4"/>
      <c r="IGV54" s="4"/>
      <c r="IGW54" s="4"/>
      <c r="IGX54" s="4"/>
      <c r="IGY54" s="4"/>
      <c r="IGZ54" s="4"/>
      <c r="IHA54" s="4"/>
      <c r="IHB54" s="4"/>
      <c r="IHC54" s="4"/>
      <c r="IHD54" s="4"/>
      <c r="IHE54" s="4"/>
      <c r="IHF54" s="4"/>
      <c r="IHG54" s="4"/>
      <c r="IHH54" s="4"/>
      <c r="IHI54" s="4"/>
      <c r="IHJ54" s="4"/>
      <c r="IHK54" s="4"/>
      <c r="IHL54" s="4"/>
      <c r="IHM54" s="4"/>
      <c r="IHN54" s="4"/>
      <c r="IHO54" s="4"/>
      <c r="IHP54" s="4"/>
      <c r="IHQ54" s="4"/>
      <c r="IHR54" s="4"/>
      <c r="IHS54" s="4"/>
      <c r="IHT54" s="4"/>
      <c r="IHU54" s="4"/>
      <c r="IHV54" s="4"/>
      <c r="IHW54" s="4"/>
      <c r="IHX54" s="4"/>
      <c r="IHY54" s="4"/>
      <c r="IHZ54" s="4"/>
      <c r="IIA54" s="4"/>
      <c r="IIB54" s="4"/>
      <c r="IIC54" s="4"/>
      <c r="IID54" s="4"/>
      <c r="IIE54" s="4"/>
      <c r="IIF54" s="4"/>
      <c r="IIG54" s="4"/>
      <c r="IIH54" s="4"/>
      <c r="III54" s="4"/>
      <c r="IIJ54" s="4"/>
      <c r="IIK54" s="4"/>
      <c r="IIL54" s="4"/>
      <c r="IIM54" s="4"/>
      <c r="IIN54" s="4"/>
      <c r="IIO54" s="4"/>
      <c r="IIP54" s="4"/>
      <c r="IIQ54" s="4"/>
      <c r="IIR54" s="4"/>
      <c r="IIS54" s="4"/>
      <c r="IIT54" s="4"/>
      <c r="IIU54" s="4"/>
      <c r="IIV54" s="4"/>
      <c r="IIW54" s="4"/>
      <c r="IIX54" s="4"/>
      <c r="IIY54" s="4"/>
      <c r="IIZ54" s="4"/>
      <c r="IJA54" s="4"/>
      <c r="IJB54" s="4"/>
      <c r="IJC54" s="4"/>
      <c r="IJD54" s="4"/>
      <c r="IJE54" s="4"/>
      <c r="IJF54" s="4"/>
      <c r="IJG54" s="4"/>
      <c r="IJH54" s="4"/>
      <c r="IJI54" s="4"/>
      <c r="IJJ54" s="4"/>
      <c r="IJK54" s="4"/>
      <c r="IJL54" s="4"/>
      <c r="IJM54" s="4"/>
      <c r="IJN54" s="4"/>
      <c r="IJO54" s="4"/>
      <c r="IJP54" s="4"/>
      <c r="IJQ54" s="4"/>
      <c r="IJR54" s="4"/>
      <c r="IJS54" s="4"/>
      <c r="IJT54" s="4"/>
      <c r="IJU54" s="4"/>
      <c r="IJV54" s="4"/>
      <c r="IJW54" s="4"/>
      <c r="IJX54" s="4"/>
      <c r="IJY54" s="4"/>
      <c r="IJZ54" s="4"/>
      <c r="IKA54" s="4"/>
      <c r="IKB54" s="4"/>
      <c r="IKC54" s="4"/>
      <c r="IKD54" s="4"/>
      <c r="IKE54" s="4"/>
      <c r="IKF54" s="4"/>
      <c r="IKG54" s="4"/>
      <c r="IKH54" s="4"/>
      <c r="IKI54" s="4"/>
      <c r="IKJ54" s="4"/>
      <c r="IKK54" s="4"/>
      <c r="IKL54" s="4"/>
      <c r="IKM54" s="4"/>
      <c r="IKN54" s="4"/>
      <c r="IKO54" s="4"/>
      <c r="IKP54" s="4"/>
      <c r="IKQ54" s="4"/>
      <c r="IKR54" s="4"/>
      <c r="IKS54" s="4"/>
      <c r="IKT54" s="4"/>
      <c r="IKU54" s="4"/>
      <c r="IKV54" s="4"/>
      <c r="IKW54" s="4"/>
      <c r="IKX54" s="4"/>
      <c r="IKY54" s="4"/>
      <c r="IKZ54" s="4"/>
      <c r="ILA54" s="4"/>
      <c r="ILB54" s="4"/>
      <c r="ILC54" s="4"/>
      <c r="ILD54" s="4"/>
      <c r="ILE54" s="4"/>
      <c r="ILF54" s="4"/>
      <c r="ILG54" s="4"/>
      <c r="ILH54" s="4"/>
      <c r="ILI54" s="4"/>
      <c r="ILJ54" s="4"/>
      <c r="ILK54" s="4"/>
      <c r="ILL54" s="4"/>
      <c r="ILM54" s="4"/>
      <c r="ILN54" s="4"/>
      <c r="ILO54" s="4"/>
      <c r="ILP54" s="4"/>
      <c r="ILQ54" s="4"/>
      <c r="ILR54" s="4"/>
      <c r="ILS54" s="4"/>
      <c r="ILT54" s="4"/>
      <c r="ILU54" s="4"/>
      <c r="ILV54" s="4"/>
      <c r="ILW54" s="4"/>
      <c r="ILX54" s="4"/>
      <c r="ILY54" s="4"/>
      <c r="ILZ54" s="4"/>
      <c r="IMA54" s="4"/>
      <c r="IMB54" s="4"/>
      <c r="IMC54" s="4"/>
      <c r="IMD54" s="4"/>
      <c r="IME54" s="4"/>
      <c r="IMF54" s="4"/>
      <c r="IMG54" s="4"/>
      <c r="IMH54" s="4"/>
      <c r="IMI54" s="4"/>
      <c r="IMJ54" s="4"/>
      <c r="IMK54" s="4"/>
      <c r="IML54" s="4"/>
      <c r="IMM54" s="4"/>
      <c r="IMN54" s="4"/>
      <c r="IMO54" s="4"/>
      <c r="IMP54" s="4"/>
      <c r="IMQ54" s="4"/>
      <c r="IMR54" s="4"/>
      <c r="IMS54" s="4"/>
      <c r="IMT54" s="4"/>
      <c r="IMU54" s="4"/>
      <c r="IMV54" s="4"/>
      <c r="IMW54" s="4"/>
      <c r="IMX54" s="4"/>
      <c r="IMY54" s="4"/>
      <c r="IMZ54" s="4"/>
      <c r="INA54" s="4"/>
      <c r="INB54" s="4"/>
      <c r="INC54" s="4"/>
      <c r="IND54" s="4"/>
      <c r="INE54" s="4"/>
      <c r="INF54" s="4"/>
      <c r="ING54" s="4"/>
      <c r="INH54" s="4"/>
      <c r="INI54" s="4"/>
      <c r="INJ54" s="4"/>
      <c r="INK54" s="4"/>
      <c r="INL54" s="4"/>
      <c r="INM54" s="4"/>
      <c r="INN54" s="4"/>
      <c r="INO54" s="4"/>
      <c r="INP54" s="4"/>
      <c r="INQ54" s="4"/>
      <c r="INR54" s="4"/>
      <c r="INS54" s="4"/>
      <c r="INT54" s="4"/>
      <c r="INU54" s="4"/>
      <c r="INV54" s="4"/>
      <c r="INW54" s="4"/>
      <c r="INX54" s="4"/>
      <c r="INY54" s="4"/>
      <c r="INZ54" s="4"/>
      <c r="IOA54" s="4"/>
      <c r="IOB54" s="4"/>
      <c r="IOC54" s="4"/>
      <c r="IOD54" s="4"/>
      <c r="IOE54" s="4"/>
      <c r="IOF54" s="4"/>
      <c r="IOG54" s="4"/>
      <c r="IOH54" s="4"/>
      <c r="IOI54" s="4"/>
      <c r="IOJ54" s="4"/>
      <c r="IOK54" s="4"/>
      <c r="IOL54" s="4"/>
      <c r="IOM54" s="4"/>
      <c r="ION54" s="4"/>
      <c r="IOO54" s="4"/>
      <c r="IOP54" s="4"/>
      <c r="IOQ54" s="4"/>
      <c r="IOR54" s="4"/>
      <c r="IOS54" s="4"/>
      <c r="IOT54" s="4"/>
      <c r="IOU54" s="4"/>
      <c r="IOV54" s="4"/>
      <c r="IOW54" s="4"/>
      <c r="IOX54" s="4"/>
      <c r="IOY54" s="4"/>
      <c r="IOZ54" s="4"/>
      <c r="IPA54" s="4"/>
      <c r="IPB54" s="4"/>
      <c r="IPC54" s="4"/>
      <c r="IPD54" s="4"/>
      <c r="IPE54" s="4"/>
      <c r="IPF54" s="4"/>
      <c r="IPG54" s="4"/>
      <c r="IPH54" s="4"/>
      <c r="IPI54" s="4"/>
      <c r="IPJ54" s="4"/>
      <c r="IPK54" s="4"/>
      <c r="IPL54" s="4"/>
      <c r="IPM54" s="4"/>
      <c r="IPN54" s="4"/>
      <c r="IPO54" s="4"/>
      <c r="IPP54" s="4"/>
      <c r="IPQ54" s="4"/>
      <c r="IPR54" s="4"/>
      <c r="IPS54" s="4"/>
      <c r="IPT54" s="4"/>
      <c r="IPU54" s="4"/>
      <c r="IPV54" s="4"/>
      <c r="IPW54" s="4"/>
      <c r="IPX54" s="4"/>
      <c r="IPY54" s="4"/>
      <c r="IPZ54" s="4"/>
      <c r="IQA54" s="4"/>
      <c r="IQB54" s="4"/>
      <c r="IQC54" s="4"/>
      <c r="IQD54" s="4"/>
      <c r="IQE54" s="4"/>
      <c r="IQF54" s="4"/>
      <c r="IQG54" s="4"/>
      <c r="IQH54" s="4"/>
      <c r="IQI54" s="4"/>
      <c r="IQJ54" s="4"/>
      <c r="IQK54" s="4"/>
      <c r="IQL54" s="4"/>
      <c r="IQM54" s="4"/>
      <c r="IQN54" s="4"/>
      <c r="IQO54" s="4"/>
      <c r="IQP54" s="4"/>
      <c r="IQQ54" s="4"/>
      <c r="IQR54" s="4"/>
      <c r="IQS54" s="4"/>
      <c r="IQT54" s="4"/>
      <c r="IQU54" s="4"/>
      <c r="IQV54" s="4"/>
      <c r="IQW54" s="4"/>
      <c r="IQX54" s="4"/>
      <c r="IQY54" s="4"/>
      <c r="IQZ54" s="4"/>
      <c r="IRA54" s="4"/>
      <c r="IRB54" s="4"/>
      <c r="IRC54" s="4"/>
      <c r="IRD54" s="4"/>
      <c r="IRE54" s="4"/>
      <c r="IRF54" s="4"/>
      <c r="IRG54" s="4"/>
      <c r="IRH54" s="4"/>
      <c r="IRI54" s="4"/>
      <c r="IRJ54" s="4"/>
      <c r="IRK54" s="4"/>
      <c r="IRL54" s="4"/>
      <c r="IRM54" s="4"/>
      <c r="IRN54" s="4"/>
      <c r="IRO54" s="4"/>
      <c r="IRP54" s="4"/>
      <c r="IRQ54" s="4"/>
      <c r="IRR54" s="4"/>
      <c r="IRS54" s="4"/>
      <c r="IRT54" s="4"/>
      <c r="IRU54" s="4"/>
      <c r="IRV54" s="4"/>
      <c r="IRW54" s="4"/>
      <c r="IRX54" s="4"/>
      <c r="IRY54" s="4"/>
      <c r="IRZ54" s="4"/>
      <c r="ISA54" s="4"/>
      <c r="ISB54" s="4"/>
      <c r="ISC54" s="4"/>
      <c r="ISD54" s="4"/>
      <c r="ISE54" s="4"/>
      <c r="ISF54" s="4"/>
      <c r="ISG54" s="4"/>
      <c r="ISH54" s="4"/>
      <c r="ISI54" s="4"/>
      <c r="ISJ54" s="4"/>
      <c r="ISK54" s="4"/>
      <c r="ISL54" s="4"/>
      <c r="ISM54" s="4"/>
      <c r="ISN54" s="4"/>
      <c r="ISO54" s="4"/>
      <c r="ISP54" s="4"/>
      <c r="ISQ54" s="4"/>
      <c r="ISR54" s="4"/>
      <c r="ISS54" s="4"/>
      <c r="IST54" s="4"/>
      <c r="ISU54" s="4"/>
      <c r="ISV54" s="4"/>
      <c r="ISW54" s="4"/>
      <c r="ISX54" s="4"/>
      <c r="ISY54" s="4"/>
      <c r="ISZ54" s="4"/>
      <c r="ITA54" s="4"/>
      <c r="ITB54" s="4"/>
      <c r="ITC54" s="4"/>
      <c r="ITD54" s="4"/>
      <c r="ITE54" s="4"/>
      <c r="ITF54" s="4"/>
      <c r="ITG54" s="4"/>
      <c r="ITH54" s="4"/>
      <c r="ITI54" s="4"/>
      <c r="ITJ54" s="4"/>
      <c r="ITK54" s="4"/>
      <c r="ITL54" s="4"/>
      <c r="ITM54" s="4"/>
      <c r="ITN54" s="4"/>
      <c r="ITO54" s="4"/>
      <c r="ITP54" s="4"/>
      <c r="ITQ54" s="4"/>
      <c r="ITR54" s="4"/>
      <c r="ITS54" s="4"/>
      <c r="ITT54" s="4"/>
      <c r="ITU54" s="4"/>
      <c r="ITV54" s="4"/>
      <c r="ITW54" s="4"/>
      <c r="ITX54" s="4"/>
      <c r="ITY54" s="4"/>
      <c r="ITZ54" s="4"/>
      <c r="IUA54" s="4"/>
      <c r="IUB54" s="4"/>
      <c r="IUC54" s="4"/>
      <c r="IUD54" s="4"/>
      <c r="IUE54" s="4"/>
      <c r="IUF54" s="4"/>
      <c r="IUG54" s="4"/>
      <c r="IUH54" s="4"/>
      <c r="IUI54" s="4"/>
      <c r="IUJ54" s="4"/>
      <c r="IUK54" s="4"/>
      <c r="IUL54" s="4"/>
      <c r="IUM54" s="4"/>
      <c r="IUN54" s="4"/>
      <c r="IUO54" s="4"/>
      <c r="IUP54" s="4"/>
      <c r="IUQ54" s="4"/>
      <c r="IUR54" s="4"/>
      <c r="IUS54" s="4"/>
      <c r="IUT54" s="4"/>
      <c r="IUU54" s="4"/>
      <c r="IUV54" s="4"/>
      <c r="IUW54" s="4"/>
      <c r="IUX54" s="4"/>
      <c r="IUY54" s="4"/>
      <c r="IUZ54" s="4"/>
      <c r="IVA54" s="4"/>
      <c r="IVB54" s="4"/>
      <c r="IVC54" s="4"/>
      <c r="IVD54" s="4"/>
      <c r="IVE54" s="4"/>
      <c r="IVF54" s="4"/>
      <c r="IVG54" s="4"/>
      <c r="IVH54" s="4"/>
      <c r="IVI54" s="4"/>
      <c r="IVJ54" s="4"/>
      <c r="IVK54" s="4"/>
      <c r="IVL54" s="4"/>
      <c r="IVM54" s="4"/>
      <c r="IVN54" s="4"/>
      <c r="IVO54" s="4"/>
      <c r="IVP54" s="4"/>
      <c r="IVQ54" s="4"/>
      <c r="IVR54" s="4"/>
      <c r="IVS54" s="4"/>
      <c r="IVT54" s="4"/>
      <c r="IVU54" s="4"/>
      <c r="IVV54" s="4"/>
      <c r="IVW54" s="4"/>
      <c r="IVX54" s="4"/>
      <c r="IVY54" s="4"/>
      <c r="IVZ54" s="4"/>
      <c r="IWA54" s="4"/>
      <c r="IWB54" s="4"/>
      <c r="IWC54" s="4"/>
      <c r="IWD54" s="4"/>
      <c r="IWE54" s="4"/>
      <c r="IWF54" s="4"/>
      <c r="IWG54" s="4"/>
      <c r="IWH54" s="4"/>
      <c r="IWI54" s="4"/>
      <c r="IWJ54" s="4"/>
      <c r="IWK54" s="4"/>
      <c r="IWL54" s="4"/>
      <c r="IWM54" s="4"/>
      <c r="IWN54" s="4"/>
      <c r="IWO54" s="4"/>
      <c r="IWP54" s="4"/>
      <c r="IWQ54" s="4"/>
      <c r="IWR54" s="4"/>
      <c r="IWS54" s="4"/>
      <c r="IWT54" s="4"/>
      <c r="IWU54" s="4"/>
      <c r="IWV54" s="4"/>
      <c r="IWW54" s="4"/>
      <c r="IWX54" s="4"/>
      <c r="IWY54" s="4"/>
      <c r="IWZ54" s="4"/>
      <c r="IXA54" s="4"/>
      <c r="IXB54" s="4"/>
      <c r="IXC54" s="4"/>
      <c r="IXD54" s="4"/>
      <c r="IXE54" s="4"/>
      <c r="IXF54" s="4"/>
      <c r="IXG54" s="4"/>
      <c r="IXH54" s="4"/>
      <c r="IXI54" s="4"/>
      <c r="IXJ54" s="4"/>
      <c r="IXK54" s="4"/>
      <c r="IXL54" s="4"/>
      <c r="IXM54" s="4"/>
      <c r="IXN54" s="4"/>
      <c r="IXO54" s="4"/>
      <c r="IXP54" s="4"/>
      <c r="IXQ54" s="4"/>
      <c r="IXR54" s="4"/>
      <c r="IXS54" s="4"/>
      <c r="IXT54" s="4"/>
      <c r="IXU54" s="4"/>
      <c r="IXV54" s="4"/>
      <c r="IXW54" s="4"/>
      <c r="IXX54" s="4"/>
      <c r="IXY54" s="4"/>
      <c r="IXZ54" s="4"/>
      <c r="IYA54" s="4"/>
      <c r="IYB54" s="4"/>
      <c r="IYC54" s="4"/>
      <c r="IYD54" s="4"/>
      <c r="IYE54" s="4"/>
      <c r="IYF54" s="4"/>
      <c r="IYG54" s="4"/>
      <c r="IYH54" s="4"/>
      <c r="IYI54" s="4"/>
      <c r="IYJ54" s="4"/>
      <c r="IYK54" s="4"/>
      <c r="IYL54" s="4"/>
      <c r="IYM54" s="4"/>
      <c r="IYN54" s="4"/>
      <c r="IYO54" s="4"/>
      <c r="IYP54" s="4"/>
      <c r="IYQ54" s="4"/>
      <c r="IYR54" s="4"/>
      <c r="IYS54" s="4"/>
      <c r="IYT54" s="4"/>
      <c r="IYU54" s="4"/>
      <c r="IYV54" s="4"/>
      <c r="IYW54" s="4"/>
      <c r="IYX54" s="4"/>
      <c r="IYY54" s="4"/>
      <c r="IYZ54" s="4"/>
      <c r="IZA54" s="4"/>
      <c r="IZB54" s="4"/>
      <c r="IZC54" s="4"/>
      <c r="IZD54" s="4"/>
      <c r="IZE54" s="4"/>
      <c r="IZF54" s="4"/>
      <c r="IZG54" s="4"/>
      <c r="IZH54" s="4"/>
      <c r="IZI54" s="4"/>
      <c r="IZJ54" s="4"/>
      <c r="IZK54" s="4"/>
      <c r="IZL54" s="4"/>
      <c r="IZM54" s="4"/>
      <c r="IZN54" s="4"/>
      <c r="IZO54" s="4"/>
      <c r="IZP54" s="4"/>
      <c r="IZQ54" s="4"/>
      <c r="IZR54" s="4"/>
      <c r="IZS54" s="4"/>
      <c r="IZT54" s="4"/>
      <c r="IZU54" s="4"/>
      <c r="IZV54" s="4"/>
      <c r="IZW54" s="4"/>
      <c r="IZX54" s="4"/>
      <c r="IZY54" s="4"/>
      <c r="IZZ54" s="4"/>
      <c r="JAA54" s="4"/>
      <c r="JAB54" s="4"/>
      <c r="JAC54" s="4"/>
      <c r="JAD54" s="4"/>
      <c r="JAE54" s="4"/>
      <c r="JAF54" s="4"/>
      <c r="JAG54" s="4"/>
      <c r="JAH54" s="4"/>
      <c r="JAI54" s="4"/>
      <c r="JAJ54" s="4"/>
      <c r="JAK54" s="4"/>
      <c r="JAL54" s="4"/>
      <c r="JAM54" s="4"/>
      <c r="JAN54" s="4"/>
      <c r="JAO54" s="4"/>
      <c r="JAP54" s="4"/>
      <c r="JAQ54" s="4"/>
      <c r="JAR54" s="4"/>
      <c r="JAS54" s="4"/>
      <c r="JAT54" s="4"/>
      <c r="JAU54" s="4"/>
      <c r="JAV54" s="4"/>
      <c r="JAW54" s="4"/>
      <c r="JAX54" s="4"/>
      <c r="JAY54" s="4"/>
      <c r="JAZ54" s="4"/>
      <c r="JBA54" s="4"/>
      <c r="JBB54" s="4"/>
      <c r="JBC54" s="4"/>
      <c r="JBD54" s="4"/>
      <c r="JBE54" s="4"/>
      <c r="JBF54" s="4"/>
      <c r="JBG54" s="4"/>
      <c r="JBH54" s="4"/>
      <c r="JBI54" s="4"/>
      <c r="JBJ54" s="4"/>
      <c r="JBK54" s="4"/>
      <c r="JBL54" s="4"/>
      <c r="JBM54" s="4"/>
      <c r="JBN54" s="4"/>
      <c r="JBO54" s="4"/>
      <c r="JBP54" s="4"/>
      <c r="JBQ54" s="4"/>
      <c r="JBR54" s="4"/>
      <c r="JBS54" s="4"/>
      <c r="JBT54" s="4"/>
      <c r="JBU54" s="4"/>
      <c r="JBV54" s="4"/>
      <c r="JBW54" s="4"/>
      <c r="JBX54" s="4"/>
      <c r="JBY54" s="4"/>
      <c r="JBZ54" s="4"/>
      <c r="JCA54" s="4"/>
      <c r="JCB54" s="4"/>
      <c r="JCC54" s="4"/>
      <c r="JCD54" s="4"/>
      <c r="JCE54" s="4"/>
      <c r="JCF54" s="4"/>
      <c r="JCG54" s="4"/>
      <c r="JCH54" s="4"/>
      <c r="JCI54" s="4"/>
      <c r="JCJ54" s="4"/>
      <c r="JCK54" s="4"/>
      <c r="JCL54" s="4"/>
      <c r="JCM54" s="4"/>
      <c r="JCN54" s="4"/>
      <c r="JCO54" s="4"/>
      <c r="JCP54" s="4"/>
      <c r="JCQ54" s="4"/>
      <c r="JCR54" s="4"/>
      <c r="JCS54" s="4"/>
      <c r="JCT54" s="4"/>
      <c r="JCU54" s="4"/>
      <c r="JCV54" s="4"/>
      <c r="JCW54" s="4"/>
      <c r="JCX54" s="4"/>
      <c r="JCY54" s="4"/>
      <c r="JCZ54" s="4"/>
      <c r="JDA54" s="4"/>
      <c r="JDB54" s="4"/>
      <c r="JDC54" s="4"/>
      <c r="JDD54" s="4"/>
      <c r="JDE54" s="4"/>
      <c r="JDF54" s="4"/>
      <c r="JDG54" s="4"/>
      <c r="JDH54" s="4"/>
      <c r="JDI54" s="4"/>
      <c r="JDJ54" s="4"/>
      <c r="JDK54" s="4"/>
      <c r="JDL54" s="4"/>
      <c r="JDM54" s="4"/>
      <c r="JDN54" s="4"/>
      <c r="JDO54" s="4"/>
      <c r="JDP54" s="4"/>
      <c r="JDQ54" s="4"/>
      <c r="JDR54" s="4"/>
      <c r="JDS54" s="4"/>
      <c r="JDT54" s="4"/>
      <c r="JDU54" s="4"/>
      <c r="JDV54" s="4"/>
      <c r="JDW54" s="4"/>
      <c r="JDX54" s="4"/>
      <c r="JDY54" s="4"/>
      <c r="JDZ54" s="4"/>
      <c r="JEA54" s="4"/>
      <c r="JEB54" s="4"/>
      <c r="JEC54" s="4"/>
      <c r="JED54" s="4"/>
      <c r="JEE54" s="4"/>
      <c r="JEF54" s="4"/>
      <c r="JEG54" s="4"/>
      <c r="JEH54" s="4"/>
      <c r="JEI54" s="4"/>
      <c r="JEJ54" s="4"/>
      <c r="JEK54" s="4"/>
      <c r="JEL54" s="4"/>
      <c r="JEM54" s="4"/>
      <c r="JEN54" s="4"/>
      <c r="JEO54" s="4"/>
      <c r="JEP54" s="4"/>
      <c r="JEQ54" s="4"/>
      <c r="JER54" s="4"/>
      <c r="JES54" s="4"/>
      <c r="JET54" s="4"/>
      <c r="JEU54" s="4"/>
      <c r="JEV54" s="4"/>
      <c r="JEW54" s="4"/>
      <c r="JEX54" s="4"/>
      <c r="JEY54" s="4"/>
      <c r="JEZ54" s="4"/>
      <c r="JFA54" s="4"/>
      <c r="JFB54" s="4"/>
      <c r="JFC54" s="4"/>
      <c r="JFD54" s="4"/>
      <c r="JFE54" s="4"/>
      <c r="JFF54" s="4"/>
      <c r="JFG54" s="4"/>
      <c r="JFH54" s="4"/>
      <c r="JFI54" s="4"/>
      <c r="JFJ54" s="4"/>
      <c r="JFK54" s="4"/>
      <c r="JFL54" s="4"/>
      <c r="JFM54" s="4"/>
      <c r="JFN54" s="4"/>
      <c r="JFO54" s="4"/>
      <c r="JFP54" s="4"/>
      <c r="JFQ54" s="4"/>
      <c r="JFR54" s="4"/>
      <c r="JFS54" s="4"/>
      <c r="JFT54" s="4"/>
      <c r="JFU54" s="4"/>
      <c r="JFV54" s="4"/>
      <c r="JFW54" s="4"/>
      <c r="JFX54" s="4"/>
      <c r="JFY54" s="4"/>
      <c r="JFZ54" s="4"/>
      <c r="JGA54" s="4"/>
      <c r="JGB54" s="4"/>
      <c r="JGC54" s="4"/>
      <c r="JGD54" s="4"/>
      <c r="JGE54" s="4"/>
      <c r="JGF54" s="4"/>
      <c r="JGG54" s="4"/>
      <c r="JGH54" s="4"/>
      <c r="JGI54" s="4"/>
      <c r="JGJ54" s="4"/>
      <c r="JGK54" s="4"/>
      <c r="JGL54" s="4"/>
      <c r="JGM54" s="4"/>
      <c r="JGN54" s="4"/>
      <c r="JGO54" s="4"/>
      <c r="JGP54" s="4"/>
      <c r="JGQ54" s="4"/>
      <c r="JGR54" s="4"/>
      <c r="JGS54" s="4"/>
      <c r="JGT54" s="4"/>
      <c r="JGU54" s="4"/>
      <c r="JGV54" s="4"/>
      <c r="JGW54" s="4"/>
      <c r="JGX54" s="4"/>
      <c r="JGY54" s="4"/>
      <c r="JGZ54" s="4"/>
      <c r="JHA54" s="4"/>
      <c r="JHB54" s="4"/>
      <c r="JHC54" s="4"/>
      <c r="JHD54" s="4"/>
      <c r="JHE54" s="4"/>
      <c r="JHF54" s="4"/>
      <c r="JHG54" s="4"/>
      <c r="JHH54" s="4"/>
      <c r="JHI54" s="4"/>
      <c r="JHJ54" s="4"/>
      <c r="JHK54" s="4"/>
      <c r="JHL54" s="4"/>
      <c r="JHM54" s="4"/>
      <c r="JHN54" s="4"/>
      <c r="JHO54" s="4"/>
      <c r="JHP54" s="4"/>
      <c r="JHQ54" s="4"/>
      <c r="JHR54" s="4"/>
      <c r="JHS54" s="4"/>
      <c r="JHT54" s="4"/>
      <c r="JHU54" s="4"/>
      <c r="JHV54" s="4"/>
      <c r="JHW54" s="4"/>
      <c r="JHX54" s="4"/>
      <c r="JHY54" s="4"/>
      <c r="JHZ54" s="4"/>
      <c r="JIA54" s="4"/>
      <c r="JIB54" s="4"/>
      <c r="JIC54" s="4"/>
      <c r="JID54" s="4"/>
      <c r="JIE54" s="4"/>
      <c r="JIF54" s="4"/>
      <c r="JIG54" s="4"/>
      <c r="JIH54" s="4"/>
      <c r="JII54" s="4"/>
      <c r="JIJ54" s="4"/>
      <c r="JIK54" s="4"/>
      <c r="JIL54" s="4"/>
      <c r="JIM54" s="4"/>
      <c r="JIN54" s="4"/>
      <c r="JIO54" s="4"/>
      <c r="JIP54" s="4"/>
      <c r="JIQ54" s="4"/>
      <c r="JIR54" s="4"/>
      <c r="JIS54" s="4"/>
      <c r="JIT54" s="4"/>
      <c r="JIU54" s="4"/>
      <c r="JIV54" s="4"/>
      <c r="JIW54" s="4"/>
      <c r="JIX54" s="4"/>
      <c r="JIY54" s="4"/>
      <c r="JIZ54" s="4"/>
      <c r="JJA54" s="4"/>
      <c r="JJB54" s="4"/>
      <c r="JJC54" s="4"/>
      <c r="JJD54" s="4"/>
      <c r="JJE54" s="4"/>
      <c r="JJF54" s="4"/>
      <c r="JJG54" s="4"/>
      <c r="JJH54" s="4"/>
      <c r="JJI54" s="4"/>
      <c r="JJJ54" s="4"/>
      <c r="JJK54" s="4"/>
      <c r="JJL54" s="4"/>
      <c r="JJM54" s="4"/>
      <c r="JJN54" s="4"/>
      <c r="JJO54" s="4"/>
      <c r="JJP54" s="4"/>
      <c r="JJQ54" s="4"/>
      <c r="JJR54" s="4"/>
      <c r="JJS54" s="4"/>
      <c r="JJT54" s="4"/>
      <c r="JJU54" s="4"/>
      <c r="JJV54" s="4"/>
      <c r="JJW54" s="4"/>
      <c r="JJX54" s="4"/>
      <c r="JJY54" s="4"/>
      <c r="JJZ54" s="4"/>
      <c r="JKA54" s="4"/>
      <c r="JKB54" s="4"/>
      <c r="JKC54" s="4"/>
      <c r="JKD54" s="4"/>
      <c r="JKE54" s="4"/>
      <c r="JKF54" s="4"/>
      <c r="JKG54" s="4"/>
      <c r="JKH54" s="4"/>
      <c r="JKI54" s="4"/>
      <c r="JKJ54" s="4"/>
      <c r="JKK54" s="4"/>
      <c r="JKL54" s="4"/>
      <c r="JKM54" s="4"/>
      <c r="JKN54" s="4"/>
      <c r="JKO54" s="4"/>
      <c r="JKP54" s="4"/>
      <c r="JKQ54" s="4"/>
      <c r="JKR54" s="4"/>
      <c r="JKS54" s="4"/>
      <c r="JKT54" s="4"/>
      <c r="JKU54" s="4"/>
      <c r="JKV54" s="4"/>
      <c r="JKW54" s="4"/>
      <c r="JKX54" s="4"/>
      <c r="JKY54" s="4"/>
      <c r="JKZ54" s="4"/>
      <c r="JLA54" s="4"/>
      <c r="JLB54" s="4"/>
      <c r="JLC54" s="4"/>
      <c r="JLD54" s="4"/>
      <c r="JLE54" s="4"/>
      <c r="JLF54" s="4"/>
      <c r="JLG54" s="4"/>
      <c r="JLH54" s="4"/>
      <c r="JLI54" s="4"/>
      <c r="JLJ54" s="4"/>
      <c r="JLK54" s="4"/>
      <c r="JLL54" s="4"/>
      <c r="JLM54" s="4"/>
      <c r="JLN54" s="4"/>
      <c r="JLO54" s="4"/>
      <c r="JLP54" s="4"/>
      <c r="JLQ54" s="4"/>
      <c r="JLR54" s="4"/>
      <c r="JLS54" s="4"/>
      <c r="JLT54" s="4"/>
      <c r="JLU54" s="4"/>
      <c r="JLV54" s="4"/>
      <c r="JLW54" s="4"/>
      <c r="JLX54" s="4"/>
      <c r="JLY54" s="4"/>
      <c r="JLZ54" s="4"/>
      <c r="JMA54" s="4"/>
      <c r="JMB54" s="4"/>
      <c r="JMC54" s="4"/>
      <c r="JMD54" s="4"/>
      <c r="JME54" s="4"/>
      <c r="JMF54" s="4"/>
      <c r="JMG54" s="4"/>
      <c r="JMH54" s="4"/>
      <c r="JMI54" s="4"/>
      <c r="JMJ54" s="4"/>
      <c r="JMK54" s="4"/>
      <c r="JML54" s="4"/>
      <c r="JMM54" s="4"/>
      <c r="JMN54" s="4"/>
      <c r="JMO54" s="4"/>
      <c r="JMP54" s="4"/>
      <c r="JMQ54" s="4"/>
      <c r="JMR54" s="4"/>
      <c r="JMS54" s="4"/>
      <c r="JMT54" s="4"/>
      <c r="JMU54" s="4"/>
      <c r="JMV54" s="4"/>
      <c r="JMW54" s="4"/>
      <c r="JMX54" s="4"/>
      <c r="JMY54" s="4"/>
      <c r="JMZ54" s="4"/>
      <c r="JNA54" s="4"/>
      <c r="JNB54" s="4"/>
      <c r="JNC54" s="4"/>
      <c r="JND54" s="4"/>
      <c r="JNE54" s="4"/>
      <c r="JNF54" s="4"/>
      <c r="JNG54" s="4"/>
      <c r="JNH54" s="4"/>
      <c r="JNI54" s="4"/>
      <c r="JNJ54" s="4"/>
      <c r="JNK54" s="4"/>
      <c r="JNL54" s="4"/>
      <c r="JNM54" s="4"/>
      <c r="JNN54" s="4"/>
      <c r="JNO54" s="4"/>
      <c r="JNP54" s="4"/>
      <c r="JNQ54" s="4"/>
      <c r="JNR54" s="4"/>
      <c r="JNS54" s="4"/>
      <c r="JNT54" s="4"/>
      <c r="JNU54" s="4"/>
      <c r="JNV54" s="4"/>
      <c r="JNW54" s="4"/>
      <c r="JNX54" s="4"/>
      <c r="JNY54" s="4"/>
      <c r="JNZ54" s="4"/>
      <c r="JOA54" s="4"/>
      <c r="JOB54" s="4"/>
      <c r="JOC54" s="4"/>
      <c r="JOD54" s="4"/>
      <c r="JOE54" s="4"/>
      <c r="JOF54" s="4"/>
      <c r="JOG54" s="4"/>
      <c r="JOH54" s="4"/>
      <c r="JOI54" s="4"/>
      <c r="JOJ54" s="4"/>
      <c r="JOK54" s="4"/>
      <c r="JOL54" s="4"/>
      <c r="JOM54" s="4"/>
      <c r="JON54" s="4"/>
      <c r="JOO54" s="4"/>
      <c r="JOP54" s="4"/>
      <c r="JOQ54" s="4"/>
      <c r="JOR54" s="4"/>
      <c r="JOS54" s="4"/>
      <c r="JOT54" s="4"/>
      <c r="JOU54" s="4"/>
      <c r="JOV54" s="4"/>
      <c r="JOW54" s="4"/>
      <c r="JOX54" s="4"/>
      <c r="JOY54" s="4"/>
      <c r="JOZ54" s="4"/>
      <c r="JPA54" s="4"/>
      <c r="JPB54" s="4"/>
      <c r="JPC54" s="4"/>
      <c r="JPD54" s="4"/>
      <c r="JPE54" s="4"/>
      <c r="JPF54" s="4"/>
      <c r="JPG54" s="4"/>
      <c r="JPH54" s="4"/>
      <c r="JPI54" s="4"/>
      <c r="JPJ54" s="4"/>
      <c r="JPK54" s="4"/>
      <c r="JPL54" s="4"/>
      <c r="JPM54" s="4"/>
      <c r="JPN54" s="4"/>
      <c r="JPO54" s="4"/>
      <c r="JPP54" s="4"/>
      <c r="JPQ54" s="4"/>
      <c r="JPR54" s="4"/>
      <c r="JPS54" s="4"/>
      <c r="JPT54" s="4"/>
      <c r="JPU54" s="4"/>
      <c r="JPV54" s="4"/>
      <c r="JPW54" s="4"/>
      <c r="JPX54" s="4"/>
      <c r="JPY54" s="4"/>
      <c r="JPZ54" s="4"/>
      <c r="JQA54" s="4"/>
      <c r="JQB54" s="4"/>
      <c r="JQC54" s="4"/>
      <c r="JQD54" s="4"/>
      <c r="JQE54" s="4"/>
      <c r="JQF54" s="4"/>
      <c r="JQG54" s="4"/>
      <c r="JQH54" s="4"/>
      <c r="JQI54" s="4"/>
      <c r="JQJ54" s="4"/>
      <c r="JQK54" s="4"/>
      <c r="JQL54" s="4"/>
      <c r="JQM54" s="4"/>
      <c r="JQN54" s="4"/>
      <c r="JQO54" s="4"/>
      <c r="JQP54" s="4"/>
      <c r="JQQ54" s="4"/>
      <c r="JQR54" s="4"/>
      <c r="JQS54" s="4"/>
      <c r="JQT54" s="4"/>
      <c r="JQU54" s="4"/>
      <c r="JQV54" s="4"/>
      <c r="JQW54" s="4"/>
      <c r="JQX54" s="4"/>
      <c r="JQY54" s="4"/>
      <c r="JQZ54" s="4"/>
      <c r="JRA54" s="4"/>
      <c r="JRB54" s="4"/>
      <c r="JRC54" s="4"/>
      <c r="JRD54" s="4"/>
      <c r="JRE54" s="4"/>
      <c r="JRF54" s="4"/>
      <c r="JRG54" s="4"/>
      <c r="JRH54" s="4"/>
      <c r="JRI54" s="4"/>
      <c r="JRJ54" s="4"/>
      <c r="JRK54" s="4"/>
      <c r="JRL54" s="4"/>
      <c r="JRM54" s="4"/>
      <c r="JRN54" s="4"/>
      <c r="JRO54" s="4"/>
      <c r="JRP54" s="4"/>
      <c r="JRQ54" s="4"/>
      <c r="JRR54" s="4"/>
      <c r="JRS54" s="4"/>
      <c r="JRT54" s="4"/>
      <c r="JRU54" s="4"/>
      <c r="JRV54" s="4"/>
      <c r="JRW54" s="4"/>
      <c r="JRX54" s="4"/>
      <c r="JRY54" s="4"/>
      <c r="JRZ54" s="4"/>
      <c r="JSA54" s="4"/>
      <c r="JSB54" s="4"/>
      <c r="JSC54" s="4"/>
      <c r="JSD54" s="4"/>
      <c r="JSE54" s="4"/>
      <c r="JSF54" s="4"/>
      <c r="JSG54" s="4"/>
      <c r="JSH54" s="4"/>
      <c r="JSI54" s="4"/>
      <c r="JSJ54" s="4"/>
      <c r="JSK54" s="4"/>
      <c r="JSL54" s="4"/>
      <c r="JSM54" s="4"/>
      <c r="JSN54" s="4"/>
      <c r="JSO54" s="4"/>
      <c r="JSP54" s="4"/>
      <c r="JSQ54" s="4"/>
      <c r="JSR54" s="4"/>
      <c r="JSS54" s="4"/>
      <c r="JST54" s="4"/>
      <c r="JSU54" s="4"/>
      <c r="JSV54" s="4"/>
      <c r="JSW54" s="4"/>
      <c r="JSX54" s="4"/>
      <c r="JSY54" s="4"/>
      <c r="JSZ54" s="4"/>
      <c r="JTA54" s="4"/>
      <c r="JTB54" s="4"/>
      <c r="JTC54" s="4"/>
      <c r="JTD54" s="4"/>
      <c r="JTE54" s="4"/>
      <c r="JTF54" s="4"/>
      <c r="JTG54" s="4"/>
      <c r="JTH54" s="4"/>
      <c r="JTI54" s="4"/>
      <c r="JTJ54" s="4"/>
      <c r="JTK54" s="4"/>
      <c r="JTL54" s="4"/>
      <c r="JTM54" s="4"/>
      <c r="JTN54" s="4"/>
      <c r="JTO54" s="4"/>
      <c r="JTP54" s="4"/>
      <c r="JTQ54" s="4"/>
      <c r="JTR54" s="4"/>
      <c r="JTS54" s="4"/>
      <c r="JTT54" s="4"/>
      <c r="JTU54" s="4"/>
      <c r="JTV54" s="4"/>
      <c r="JTW54" s="4"/>
      <c r="JTX54" s="4"/>
      <c r="JTY54" s="4"/>
      <c r="JTZ54" s="4"/>
      <c r="JUA54" s="4"/>
      <c r="JUB54" s="4"/>
      <c r="JUC54" s="4"/>
      <c r="JUD54" s="4"/>
      <c r="JUE54" s="4"/>
      <c r="JUF54" s="4"/>
      <c r="JUG54" s="4"/>
      <c r="JUH54" s="4"/>
      <c r="JUI54" s="4"/>
      <c r="JUJ54" s="4"/>
      <c r="JUK54" s="4"/>
      <c r="JUL54" s="4"/>
      <c r="JUM54" s="4"/>
      <c r="JUN54" s="4"/>
      <c r="JUO54" s="4"/>
      <c r="JUP54" s="4"/>
      <c r="JUQ54" s="4"/>
      <c r="JUR54" s="4"/>
      <c r="JUS54" s="4"/>
      <c r="JUT54" s="4"/>
      <c r="JUU54" s="4"/>
      <c r="JUV54" s="4"/>
      <c r="JUW54" s="4"/>
      <c r="JUX54" s="4"/>
      <c r="JUY54" s="4"/>
      <c r="JUZ54" s="4"/>
      <c r="JVA54" s="4"/>
      <c r="JVB54" s="4"/>
      <c r="JVC54" s="4"/>
      <c r="JVD54" s="4"/>
      <c r="JVE54" s="4"/>
      <c r="JVF54" s="4"/>
      <c r="JVG54" s="4"/>
      <c r="JVH54" s="4"/>
      <c r="JVI54" s="4"/>
      <c r="JVJ54" s="4"/>
      <c r="JVK54" s="4"/>
      <c r="JVL54" s="4"/>
      <c r="JVM54" s="4"/>
      <c r="JVN54" s="4"/>
      <c r="JVO54" s="4"/>
      <c r="JVP54" s="4"/>
      <c r="JVQ54" s="4"/>
      <c r="JVR54" s="4"/>
      <c r="JVS54" s="4"/>
      <c r="JVT54" s="4"/>
      <c r="JVU54" s="4"/>
      <c r="JVV54" s="4"/>
      <c r="JVW54" s="4"/>
      <c r="JVX54" s="4"/>
      <c r="JVY54" s="4"/>
      <c r="JVZ54" s="4"/>
      <c r="JWA54" s="4"/>
      <c r="JWB54" s="4"/>
      <c r="JWC54" s="4"/>
      <c r="JWD54" s="4"/>
      <c r="JWE54" s="4"/>
      <c r="JWF54" s="4"/>
      <c r="JWG54" s="4"/>
      <c r="JWH54" s="4"/>
      <c r="JWI54" s="4"/>
      <c r="JWJ54" s="4"/>
      <c r="JWK54" s="4"/>
      <c r="JWL54" s="4"/>
      <c r="JWM54" s="4"/>
      <c r="JWN54" s="4"/>
      <c r="JWO54" s="4"/>
      <c r="JWP54" s="4"/>
      <c r="JWQ54" s="4"/>
      <c r="JWR54" s="4"/>
      <c r="JWS54" s="4"/>
      <c r="JWT54" s="4"/>
      <c r="JWU54" s="4"/>
      <c r="JWV54" s="4"/>
      <c r="JWW54" s="4"/>
      <c r="JWX54" s="4"/>
      <c r="JWY54" s="4"/>
      <c r="JWZ54" s="4"/>
      <c r="JXA54" s="4"/>
      <c r="JXB54" s="4"/>
      <c r="JXC54" s="4"/>
      <c r="JXD54" s="4"/>
      <c r="JXE54" s="4"/>
      <c r="JXF54" s="4"/>
      <c r="JXG54" s="4"/>
      <c r="JXH54" s="4"/>
      <c r="JXI54" s="4"/>
      <c r="JXJ54" s="4"/>
      <c r="JXK54" s="4"/>
      <c r="JXL54" s="4"/>
      <c r="JXM54" s="4"/>
      <c r="JXN54" s="4"/>
      <c r="JXO54" s="4"/>
      <c r="JXP54" s="4"/>
      <c r="JXQ54" s="4"/>
      <c r="JXR54" s="4"/>
      <c r="JXS54" s="4"/>
      <c r="JXT54" s="4"/>
      <c r="JXU54" s="4"/>
      <c r="JXV54" s="4"/>
      <c r="JXW54" s="4"/>
      <c r="JXX54" s="4"/>
      <c r="JXY54" s="4"/>
      <c r="JXZ54" s="4"/>
      <c r="JYA54" s="4"/>
      <c r="JYB54" s="4"/>
      <c r="JYC54" s="4"/>
      <c r="JYD54" s="4"/>
      <c r="JYE54" s="4"/>
      <c r="JYF54" s="4"/>
      <c r="JYG54" s="4"/>
      <c r="JYH54" s="4"/>
      <c r="JYI54" s="4"/>
      <c r="JYJ54" s="4"/>
      <c r="JYK54" s="4"/>
      <c r="JYL54" s="4"/>
      <c r="JYM54" s="4"/>
      <c r="JYN54" s="4"/>
      <c r="JYO54" s="4"/>
      <c r="JYP54" s="4"/>
      <c r="JYQ54" s="4"/>
      <c r="JYR54" s="4"/>
      <c r="JYS54" s="4"/>
      <c r="JYT54" s="4"/>
      <c r="JYU54" s="4"/>
      <c r="JYV54" s="4"/>
      <c r="JYW54" s="4"/>
      <c r="JYX54" s="4"/>
      <c r="JYY54" s="4"/>
      <c r="JYZ54" s="4"/>
      <c r="JZA54" s="4"/>
      <c r="JZB54" s="4"/>
      <c r="JZC54" s="4"/>
      <c r="JZD54" s="4"/>
      <c r="JZE54" s="4"/>
      <c r="JZF54" s="4"/>
      <c r="JZG54" s="4"/>
      <c r="JZH54" s="4"/>
      <c r="JZI54" s="4"/>
      <c r="JZJ54" s="4"/>
      <c r="JZK54" s="4"/>
      <c r="JZL54" s="4"/>
      <c r="JZM54" s="4"/>
      <c r="JZN54" s="4"/>
      <c r="JZO54" s="4"/>
      <c r="JZP54" s="4"/>
      <c r="JZQ54" s="4"/>
      <c r="JZR54" s="4"/>
      <c r="JZS54" s="4"/>
      <c r="JZT54" s="4"/>
      <c r="JZU54" s="4"/>
      <c r="JZV54" s="4"/>
      <c r="JZW54" s="4"/>
      <c r="JZX54" s="4"/>
      <c r="JZY54" s="4"/>
      <c r="JZZ54" s="4"/>
      <c r="KAA54" s="4"/>
      <c r="KAB54" s="4"/>
      <c r="KAC54" s="4"/>
      <c r="KAD54" s="4"/>
      <c r="KAE54" s="4"/>
      <c r="KAF54" s="4"/>
      <c r="KAG54" s="4"/>
      <c r="KAH54" s="4"/>
      <c r="KAI54" s="4"/>
      <c r="KAJ54" s="4"/>
      <c r="KAK54" s="4"/>
      <c r="KAL54" s="4"/>
      <c r="KAM54" s="4"/>
      <c r="KAN54" s="4"/>
      <c r="KAO54" s="4"/>
      <c r="KAP54" s="4"/>
      <c r="KAQ54" s="4"/>
      <c r="KAR54" s="4"/>
      <c r="KAS54" s="4"/>
      <c r="KAT54" s="4"/>
      <c r="KAU54" s="4"/>
      <c r="KAV54" s="4"/>
      <c r="KAW54" s="4"/>
      <c r="KAX54" s="4"/>
      <c r="KAY54" s="4"/>
      <c r="KAZ54" s="4"/>
      <c r="KBA54" s="4"/>
      <c r="KBB54" s="4"/>
      <c r="KBC54" s="4"/>
      <c r="KBD54" s="4"/>
      <c r="KBE54" s="4"/>
      <c r="KBF54" s="4"/>
      <c r="KBG54" s="4"/>
      <c r="KBH54" s="4"/>
      <c r="KBI54" s="4"/>
      <c r="KBJ54" s="4"/>
      <c r="KBK54" s="4"/>
      <c r="KBL54" s="4"/>
      <c r="KBM54" s="4"/>
      <c r="KBN54" s="4"/>
      <c r="KBO54" s="4"/>
      <c r="KBP54" s="4"/>
      <c r="KBQ54" s="4"/>
      <c r="KBR54" s="4"/>
      <c r="KBS54" s="4"/>
      <c r="KBT54" s="4"/>
      <c r="KBU54" s="4"/>
      <c r="KBV54" s="4"/>
      <c r="KBW54" s="4"/>
      <c r="KBX54" s="4"/>
      <c r="KBY54" s="4"/>
      <c r="KBZ54" s="4"/>
      <c r="KCA54" s="4"/>
      <c r="KCB54" s="4"/>
      <c r="KCC54" s="4"/>
      <c r="KCD54" s="4"/>
      <c r="KCE54" s="4"/>
      <c r="KCF54" s="4"/>
      <c r="KCG54" s="4"/>
      <c r="KCH54" s="4"/>
      <c r="KCI54" s="4"/>
      <c r="KCJ54" s="4"/>
      <c r="KCK54" s="4"/>
      <c r="KCL54" s="4"/>
      <c r="KCM54" s="4"/>
      <c r="KCN54" s="4"/>
      <c r="KCO54" s="4"/>
      <c r="KCP54" s="4"/>
      <c r="KCQ54" s="4"/>
      <c r="KCR54" s="4"/>
      <c r="KCS54" s="4"/>
      <c r="KCT54" s="4"/>
      <c r="KCU54" s="4"/>
      <c r="KCV54" s="4"/>
      <c r="KCW54" s="4"/>
      <c r="KCX54" s="4"/>
      <c r="KCY54" s="4"/>
      <c r="KCZ54" s="4"/>
      <c r="KDA54" s="4"/>
      <c r="KDB54" s="4"/>
      <c r="KDC54" s="4"/>
      <c r="KDD54" s="4"/>
      <c r="KDE54" s="4"/>
      <c r="KDF54" s="4"/>
      <c r="KDG54" s="4"/>
      <c r="KDH54" s="4"/>
      <c r="KDI54" s="4"/>
      <c r="KDJ54" s="4"/>
      <c r="KDK54" s="4"/>
      <c r="KDL54" s="4"/>
      <c r="KDM54" s="4"/>
      <c r="KDN54" s="4"/>
      <c r="KDO54" s="4"/>
      <c r="KDP54" s="4"/>
      <c r="KDQ54" s="4"/>
      <c r="KDR54" s="4"/>
      <c r="KDS54" s="4"/>
      <c r="KDT54" s="4"/>
      <c r="KDU54" s="4"/>
      <c r="KDV54" s="4"/>
      <c r="KDW54" s="4"/>
      <c r="KDX54" s="4"/>
      <c r="KDY54" s="4"/>
      <c r="KDZ54" s="4"/>
      <c r="KEA54" s="4"/>
      <c r="KEB54" s="4"/>
      <c r="KEC54" s="4"/>
      <c r="KED54" s="4"/>
      <c r="KEE54" s="4"/>
      <c r="KEF54" s="4"/>
      <c r="KEG54" s="4"/>
      <c r="KEH54" s="4"/>
      <c r="KEI54" s="4"/>
      <c r="KEJ54" s="4"/>
      <c r="KEK54" s="4"/>
      <c r="KEL54" s="4"/>
      <c r="KEM54" s="4"/>
      <c r="KEN54" s="4"/>
      <c r="KEO54" s="4"/>
      <c r="KEP54" s="4"/>
      <c r="KEQ54" s="4"/>
      <c r="KER54" s="4"/>
      <c r="KES54" s="4"/>
      <c r="KET54" s="4"/>
      <c r="KEU54" s="4"/>
      <c r="KEV54" s="4"/>
      <c r="KEW54" s="4"/>
      <c r="KEX54" s="4"/>
      <c r="KEY54" s="4"/>
      <c r="KEZ54" s="4"/>
      <c r="KFA54" s="4"/>
      <c r="KFB54" s="4"/>
      <c r="KFC54" s="4"/>
      <c r="KFD54" s="4"/>
      <c r="KFE54" s="4"/>
      <c r="KFF54" s="4"/>
      <c r="KFG54" s="4"/>
      <c r="KFH54" s="4"/>
      <c r="KFI54" s="4"/>
      <c r="KFJ54" s="4"/>
      <c r="KFK54" s="4"/>
      <c r="KFL54" s="4"/>
      <c r="KFM54" s="4"/>
      <c r="KFN54" s="4"/>
      <c r="KFO54" s="4"/>
      <c r="KFP54" s="4"/>
      <c r="KFQ54" s="4"/>
      <c r="KFR54" s="4"/>
      <c r="KFS54" s="4"/>
      <c r="KFT54" s="4"/>
      <c r="KFU54" s="4"/>
      <c r="KFV54" s="4"/>
      <c r="KFW54" s="4"/>
      <c r="KFX54" s="4"/>
      <c r="KFY54" s="4"/>
      <c r="KFZ54" s="4"/>
      <c r="KGA54" s="4"/>
      <c r="KGB54" s="4"/>
      <c r="KGC54" s="4"/>
      <c r="KGD54" s="4"/>
      <c r="KGE54" s="4"/>
      <c r="KGF54" s="4"/>
      <c r="KGG54" s="4"/>
      <c r="KGH54" s="4"/>
      <c r="KGI54" s="4"/>
      <c r="KGJ54" s="4"/>
      <c r="KGK54" s="4"/>
      <c r="KGL54" s="4"/>
      <c r="KGM54" s="4"/>
      <c r="KGN54" s="4"/>
      <c r="KGO54" s="4"/>
      <c r="KGP54" s="4"/>
      <c r="KGQ54" s="4"/>
      <c r="KGR54" s="4"/>
      <c r="KGS54" s="4"/>
      <c r="KGT54" s="4"/>
      <c r="KGU54" s="4"/>
      <c r="KGV54" s="4"/>
      <c r="KGW54" s="4"/>
      <c r="KGX54" s="4"/>
      <c r="KGY54" s="4"/>
      <c r="KGZ54" s="4"/>
      <c r="KHA54" s="4"/>
      <c r="KHB54" s="4"/>
      <c r="KHC54" s="4"/>
      <c r="KHD54" s="4"/>
      <c r="KHE54" s="4"/>
      <c r="KHF54" s="4"/>
      <c r="KHG54" s="4"/>
      <c r="KHH54" s="4"/>
      <c r="KHI54" s="4"/>
      <c r="KHJ54" s="4"/>
      <c r="KHK54" s="4"/>
      <c r="KHL54" s="4"/>
      <c r="KHM54" s="4"/>
      <c r="KHN54" s="4"/>
      <c r="KHO54" s="4"/>
      <c r="KHP54" s="4"/>
      <c r="KHQ54" s="4"/>
      <c r="KHR54" s="4"/>
      <c r="KHS54" s="4"/>
      <c r="KHT54" s="4"/>
      <c r="KHU54" s="4"/>
      <c r="KHV54" s="4"/>
      <c r="KHW54" s="4"/>
      <c r="KHX54" s="4"/>
      <c r="KHY54" s="4"/>
      <c r="KHZ54" s="4"/>
      <c r="KIA54" s="4"/>
      <c r="KIB54" s="4"/>
      <c r="KIC54" s="4"/>
      <c r="KID54" s="4"/>
      <c r="KIE54" s="4"/>
      <c r="KIF54" s="4"/>
      <c r="KIG54" s="4"/>
      <c r="KIH54" s="4"/>
      <c r="KII54" s="4"/>
      <c r="KIJ54" s="4"/>
      <c r="KIK54" s="4"/>
      <c r="KIL54" s="4"/>
      <c r="KIM54" s="4"/>
      <c r="KIN54" s="4"/>
      <c r="KIO54" s="4"/>
      <c r="KIP54" s="4"/>
      <c r="KIQ54" s="4"/>
      <c r="KIR54" s="4"/>
      <c r="KIS54" s="4"/>
      <c r="KIT54" s="4"/>
      <c r="KIU54" s="4"/>
      <c r="KIV54" s="4"/>
      <c r="KIW54" s="4"/>
      <c r="KIX54" s="4"/>
      <c r="KIY54" s="4"/>
      <c r="KIZ54" s="4"/>
      <c r="KJA54" s="4"/>
      <c r="KJB54" s="4"/>
      <c r="KJC54" s="4"/>
      <c r="KJD54" s="4"/>
      <c r="KJE54" s="4"/>
      <c r="KJF54" s="4"/>
      <c r="KJG54" s="4"/>
      <c r="KJH54" s="4"/>
      <c r="KJI54" s="4"/>
      <c r="KJJ54" s="4"/>
      <c r="KJK54" s="4"/>
      <c r="KJL54" s="4"/>
      <c r="KJM54" s="4"/>
      <c r="KJN54" s="4"/>
      <c r="KJO54" s="4"/>
      <c r="KJP54" s="4"/>
      <c r="KJQ54" s="4"/>
      <c r="KJR54" s="4"/>
      <c r="KJS54" s="4"/>
      <c r="KJT54" s="4"/>
      <c r="KJU54" s="4"/>
      <c r="KJV54" s="4"/>
      <c r="KJW54" s="4"/>
      <c r="KJX54" s="4"/>
      <c r="KJY54" s="4"/>
      <c r="KJZ54" s="4"/>
      <c r="KKA54" s="4"/>
      <c r="KKB54" s="4"/>
      <c r="KKC54" s="4"/>
      <c r="KKD54" s="4"/>
      <c r="KKE54" s="4"/>
      <c r="KKF54" s="4"/>
      <c r="KKG54" s="4"/>
      <c r="KKH54" s="4"/>
      <c r="KKI54" s="4"/>
      <c r="KKJ54" s="4"/>
      <c r="KKK54" s="4"/>
      <c r="KKL54" s="4"/>
      <c r="KKM54" s="4"/>
      <c r="KKN54" s="4"/>
      <c r="KKO54" s="4"/>
      <c r="KKP54" s="4"/>
      <c r="KKQ54" s="4"/>
      <c r="KKR54" s="4"/>
      <c r="KKS54" s="4"/>
      <c r="KKT54" s="4"/>
      <c r="KKU54" s="4"/>
      <c r="KKV54" s="4"/>
      <c r="KKW54" s="4"/>
      <c r="KKX54" s="4"/>
      <c r="KKY54" s="4"/>
      <c r="KKZ54" s="4"/>
      <c r="KLA54" s="4"/>
      <c r="KLB54" s="4"/>
      <c r="KLC54" s="4"/>
      <c r="KLD54" s="4"/>
      <c r="KLE54" s="4"/>
      <c r="KLF54" s="4"/>
      <c r="KLG54" s="4"/>
      <c r="KLH54" s="4"/>
      <c r="KLI54" s="4"/>
      <c r="KLJ54" s="4"/>
      <c r="KLK54" s="4"/>
      <c r="KLL54" s="4"/>
      <c r="KLM54" s="4"/>
      <c r="KLN54" s="4"/>
      <c r="KLO54" s="4"/>
      <c r="KLP54" s="4"/>
      <c r="KLQ54" s="4"/>
      <c r="KLR54" s="4"/>
      <c r="KLS54" s="4"/>
      <c r="KLT54" s="4"/>
      <c r="KLU54" s="4"/>
      <c r="KLV54" s="4"/>
      <c r="KLW54" s="4"/>
      <c r="KLX54" s="4"/>
      <c r="KLY54" s="4"/>
      <c r="KLZ54" s="4"/>
      <c r="KMA54" s="4"/>
      <c r="KMB54" s="4"/>
      <c r="KMC54" s="4"/>
      <c r="KMD54" s="4"/>
      <c r="KME54" s="4"/>
      <c r="KMF54" s="4"/>
      <c r="KMG54" s="4"/>
      <c r="KMH54" s="4"/>
      <c r="KMI54" s="4"/>
      <c r="KMJ54" s="4"/>
      <c r="KMK54" s="4"/>
      <c r="KML54" s="4"/>
      <c r="KMM54" s="4"/>
      <c r="KMN54" s="4"/>
      <c r="KMO54" s="4"/>
      <c r="KMP54" s="4"/>
      <c r="KMQ54" s="4"/>
      <c r="KMR54" s="4"/>
      <c r="KMS54" s="4"/>
      <c r="KMT54" s="4"/>
      <c r="KMU54" s="4"/>
      <c r="KMV54" s="4"/>
      <c r="KMW54" s="4"/>
      <c r="KMX54" s="4"/>
      <c r="KMY54" s="4"/>
      <c r="KMZ54" s="4"/>
      <c r="KNA54" s="4"/>
      <c r="KNB54" s="4"/>
      <c r="KNC54" s="4"/>
      <c r="KND54" s="4"/>
      <c r="KNE54" s="4"/>
      <c r="KNF54" s="4"/>
      <c r="KNG54" s="4"/>
      <c r="KNH54" s="4"/>
      <c r="KNI54" s="4"/>
      <c r="KNJ54" s="4"/>
      <c r="KNK54" s="4"/>
      <c r="KNL54" s="4"/>
      <c r="KNM54" s="4"/>
      <c r="KNN54" s="4"/>
      <c r="KNO54" s="4"/>
      <c r="KNP54" s="4"/>
      <c r="KNQ54" s="4"/>
      <c r="KNR54" s="4"/>
      <c r="KNS54" s="4"/>
      <c r="KNT54" s="4"/>
      <c r="KNU54" s="4"/>
      <c r="KNV54" s="4"/>
      <c r="KNW54" s="4"/>
      <c r="KNX54" s="4"/>
      <c r="KNY54" s="4"/>
      <c r="KNZ54" s="4"/>
      <c r="KOA54" s="4"/>
      <c r="KOB54" s="4"/>
      <c r="KOC54" s="4"/>
      <c r="KOD54" s="4"/>
      <c r="KOE54" s="4"/>
      <c r="KOF54" s="4"/>
      <c r="KOG54" s="4"/>
      <c r="KOH54" s="4"/>
      <c r="KOI54" s="4"/>
      <c r="KOJ54" s="4"/>
      <c r="KOK54" s="4"/>
      <c r="KOL54" s="4"/>
      <c r="KOM54" s="4"/>
      <c r="KON54" s="4"/>
      <c r="KOO54" s="4"/>
      <c r="KOP54" s="4"/>
      <c r="KOQ54" s="4"/>
      <c r="KOR54" s="4"/>
      <c r="KOS54" s="4"/>
      <c r="KOT54" s="4"/>
      <c r="KOU54" s="4"/>
      <c r="KOV54" s="4"/>
      <c r="KOW54" s="4"/>
      <c r="KOX54" s="4"/>
      <c r="KOY54" s="4"/>
      <c r="KOZ54" s="4"/>
      <c r="KPA54" s="4"/>
      <c r="KPB54" s="4"/>
      <c r="KPC54" s="4"/>
      <c r="KPD54" s="4"/>
      <c r="KPE54" s="4"/>
      <c r="KPF54" s="4"/>
      <c r="KPG54" s="4"/>
      <c r="KPH54" s="4"/>
      <c r="KPI54" s="4"/>
      <c r="KPJ54" s="4"/>
      <c r="KPK54" s="4"/>
      <c r="KPL54" s="4"/>
      <c r="KPM54" s="4"/>
      <c r="KPN54" s="4"/>
      <c r="KPO54" s="4"/>
      <c r="KPP54" s="4"/>
      <c r="KPQ54" s="4"/>
      <c r="KPR54" s="4"/>
      <c r="KPS54" s="4"/>
      <c r="KPT54" s="4"/>
      <c r="KPU54" s="4"/>
      <c r="KPV54" s="4"/>
      <c r="KPW54" s="4"/>
      <c r="KPX54" s="4"/>
      <c r="KPY54" s="4"/>
      <c r="KPZ54" s="4"/>
      <c r="KQA54" s="4"/>
      <c r="KQB54" s="4"/>
      <c r="KQC54" s="4"/>
      <c r="KQD54" s="4"/>
      <c r="KQE54" s="4"/>
      <c r="KQF54" s="4"/>
      <c r="KQG54" s="4"/>
      <c r="KQH54" s="4"/>
      <c r="KQI54" s="4"/>
      <c r="KQJ54" s="4"/>
      <c r="KQK54" s="4"/>
      <c r="KQL54" s="4"/>
      <c r="KQM54" s="4"/>
      <c r="KQN54" s="4"/>
      <c r="KQO54" s="4"/>
      <c r="KQP54" s="4"/>
      <c r="KQQ54" s="4"/>
      <c r="KQR54" s="4"/>
      <c r="KQS54" s="4"/>
      <c r="KQT54" s="4"/>
      <c r="KQU54" s="4"/>
      <c r="KQV54" s="4"/>
      <c r="KQW54" s="4"/>
      <c r="KQX54" s="4"/>
      <c r="KQY54" s="4"/>
      <c r="KQZ54" s="4"/>
      <c r="KRA54" s="4"/>
      <c r="KRB54" s="4"/>
      <c r="KRC54" s="4"/>
      <c r="KRD54" s="4"/>
      <c r="KRE54" s="4"/>
      <c r="KRF54" s="4"/>
      <c r="KRG54" s="4"/>
      <c r="KRH54" s="4"/>
      <c r="KRI54" s="4"/>
      <c r="KRJ54" s="4"/>
      <c r="KRK54" s="4"/>
      <c r="KRL54" s="4"/>
      <c r="KRM54" s="4"/>
      <c r="KRN54" s="4"/>
      <c r="KRO54" s="4"/>
      <c r="KRP54" s="4"/>
      <c r="KRQ54" s="4"/>
      <c r="KRR54" s="4"/>
      <c r="KRS54" s="4"/>
      <c r="KRT54" s="4"/>
      <c r="KRU54" s="4"/>
      <c r="KRV54" s="4"/>
      <c r="KRW54" s="4"/>
      <c r="KRX54" s="4"/>
      <c r="KRY54" s="4"/>
      <c r="KRZ54" s="4"/>
      <c r="KSA54" s="4"/>
      <c r="KSB54" s="4"/>
      <c r="KSC54" s="4"/>
      <c r="KSD54" s="4"/>
      <c r="KSE54" s="4"/>
      <c r="KSF54" s="4"/>
      <c r="KSG54" s="4"/>
      <c r="KSH54" s="4"/>
      <c r="KSI54" s="4"/>
      <c r="KSJ54" s="4"/>
      <c r="KSK54" s="4"/>
      <c r="KSL54" s="4"/>
      <c r="KSM54" s="4"/>
      <c r="KSN54" s="4"/>
      <c r="KSO54" s="4"/>
      <c r="KSP54" s="4"/>
      <c r="KSQ54" s="4"/>
      <c r="KSR54" s="4"/>
      <c r="KSS54" s="4"/>
      <c r="KST54" s="4"/>
      <c r="KSU54" s="4"/>
      <c r="KSV54" s="4"/>
      <c r="KSW54" s="4"/>
      <c r="KSX54" s="4"/>
      <c r="KSY54" s="4"/>
      <c r="KSZ54" s="4"/>
      <c r="KTA54" s="4"/>
      <c r="KTB54" s="4"/>
      <c r="KTC54" s="4"/>
      <c r="KTD54" s="4"/>
      <c r="KTE54" s="4"/>
      <c r="KTF54" s="4"/>
      <c r="KTG54" s="4"/>
      <c r="KTH54" s="4"/>
      <c r="KTI54" s="4"/>
      <c r="KTJ54" s="4"/>
      <c r="KTK54" s="4"/>
      <c r="KTL54" s="4"/>
      <c r="KTM54" s="4"/>
      <c r="KTN54" s="4"/>
      <c r="KTO54" s="4"/>
      <c r="KTP54" s="4"/>
      <c r="KTQ54" s="4"/>
      <c r="KTR54" s="4"/>
      <c r="KTS54" s="4"/>
      <c r="KTT54" s="4"/>
      <c r="KTU54" s="4"/>
      <c r="KTV54" s="4"/>
      <c r="KTW54" s="4"/>
      <c r="KTX54" s="4"/>
      <c r="KTY54" s="4"/>
      <c r="KTZ54" s="4"/>
      <c r="KUA54" s="4"/>
      <c r="KUB54" s="4"/>
      <c r="KUC54" s="4"/>
      <c r="KUD54" s="4"/>
      <c r="KUE54" s="4"/>
      <c r="KUF54" s="4"/>
      <c r="KUG54" s="4"/>
      <c r="KUH54" s="4"/>
      <c r="KUI54" s="4"/>
      <c r="KUJ54" s="4"/>
      <c r="KUK54" s="4"/>
      <c r="KUL54" s="4"/>
      <c r="KUM54" s="4"/>
      <c r="KUN54" s="4"/>
      <c r="KUO54" s="4"/>
      <c r="KUP54" s="4"/>
      <c r="KUQ54" s="4"/>
      <c r="KUR54" s="4"/>
      <c r="KUS54" s="4"/>
      <c r="KUT54" s="4"/>
      <c r="KUU54" s="4"/>
      <c r="KUV54" s="4"/>
      <c r="KUW54" s="4"/>
      <c r="KUX54" s="4"/>
      <c r="KUY54" s="4"/>
      <c r="KUZ54" s="4"/>
      <c r="KVA54" s="4"/>
      <c r="KVB54" s="4"/>
      <c r="KVC54" s="4"/>
      <c r="KVD54" s="4"/>
      <c r="KVE54" s="4"/>
      <c r="KVF54" s="4"/>
      <c r="KVG54" s="4"/>
      <c r="KVH54" s="4"/>
      <c r="KVI54" s="4"/>
      <c r="KVJ54" s="4"/>
      <c r="KVK54" s="4"/>
      <c r="KVL54" s="4"/>
      <c r="KVM54" s="4"/>
      <c r="KVN54" s="4"/>
      <c r="KVO54" s="4"/>
      <c r="KVP54" s="4"/>
      <c r="KVQ54" s="4"/>
      <c r="KVR54" s="4"/>
      <c r="KVS54" s="4"/>
      <c r="KVT54" s="4"/>
      <c r="KVU54" s="4"/>
      <c r="KVV54" s="4"/>
      <c r="KVW54" s="4"/>
      <c r="KVX54" s="4"/>
      <c r="KVY54" s="4"/>
      <c r="KVZ54" s="4"/>
      <c r="KWA54" s="4"/>
      <c r="KWB54" s="4"/>
      <c r="KWC54" s="4"/>
      <c r="KWD54" s="4"/>
      <c r="KWE54" s="4"/>
      <c r="KWF54" s="4"/>
      <c r="KWG54" s="4"/>
      <c r="KWH54" s="4"/>
      <c r="KWI54" s="4"/>
      <c r="KWJ54" s="4"/>
      <c r="KWK54" s="4"/>
      <c r="KWL54" s="4"/>
      <c r="KWM54" s="4"/>
      <c r="KWN54" s="4"/>
      <c r="KWO54" s="4"/>
      <c r="KWP54" s="4"/>
      <c r="KWQ54" s="4"/>
      <c r="KWR54" s="4"/>
      <c r="KWS54" s="4"/>
      <c r="KWT54" s="4"/>
      <c r="KWU54" s="4"/>
      <c r="KWV54" s="4"/>
      <c r="KWW54" s="4"/>
      <c r="KWX54" s="4"/>
      <c r="KWY54" s="4"/>
      <c r="KWZ54" s="4"/>
      <c r="KXA54" s="4"/>
      <c r="KXB54" s="4"/>
      <c r="KXC54" s="4"/>
      <c r="KXD54" s="4"/>
      <c r="KXE54" s="4"/>
      <c r="KXF54" s="4"/>
      <c r="KXG54" s="4"/>
      <c r="KXH54" s="4"/>
      <c r="KXI54" s="4"/>
      <c r="KXJ54" s="4"/>
      <c r="KXK54" s="4"/>
      <c r="KXL54" s="4"/>
      <c r="KXM54" s="4"/>
      <c r="KXN54" s="4"/>
      <c r="KXO54" s="4"/>
      <c r="KXP54" s="4"/>
      <c r="KXQ54" s="4"/>
      <c r="KXR54" s="4"/>
      <c r="KXS54" s="4"/>
      <c r="KXT54" s="4"/>
      <c r="KXU54" s="4"/>
      <c r="KXV54" s="4"/>
      <c r="KXW54" s="4"/>
      <c r="KXX54" s="4"/>
      <c r="KXY54" s="4"/>
      <c r="KXZ54" s="4"/>
      <c r="KYA54" s="4"/>
      <c r="KYB54" s="4"/>
      <c r="KYC54" s="4"/>
      <c r="KYD54" s="4"/>
      <c r="KYE54" s="4"/>
      <c r="KYF54" s="4"/>
      <c r="KYG54" s="4"/>
      <c r="KYH54" s="4"/>
      <c r="KYI54" s="4"/>
      <c r="KYJ54" s="4"/>
      <c r="KYK54" s="4"/>
      <c r="KYL54" s="4"/>
      <c r="KYM54" s="4"/>
      <c r="KYN54" s="4"/>
      <c r="KYO54" s="4"/>
      <c r="KYP54" s="4"/>
      <c r="KYQ54" s="4"/>
      <c r="KYR54" s="4"/>
      <c r="KYS54" s="4"/>
      <c r="KYT54" s="4"/>
      <c r="KYU54" s="4"/>
      <c r="KYV54" s="4"/>
      <c r="KYW54" s="4"/>
      <c r="KYX54" s="4"/>
      <c r="KYY54" s="4"/>
      <c r="KYZ54" s="4"/>
      <c r="KZA54" s="4"/>
      <c r="KZB54" s="4"/>
      <c r="KZC54" s="4"/>
      <c r="KZD54" s="4"/>
      <c r="KZE54" s="4"/>
      <c r="KZF54" s="4"/>
      <c r="KZG54" s="4"/>
      <c r="KZH54" s="4"/>
      <c r="KZI54" s="4"/>
      <c r="KZJ54" s="4"/>
      <c r="KZK54" s="4"/>
      <c r="KZL54" s="4"/>
      <c r="KZM54" s="4"/>
      <c r="KZN54" s="4"/>
      <c r="KZO54" s="4"/>
      <c r="KZP54" s="4"/>
      <c r="KZQ54" s="4"/>
      <c r="KZR54" s="4"/>
      <c r="KZS54" s="4"/>
      <c r="KZT54" s="4"/>
      <c r="KZU54" s="4"/>
      <c r="KZV54" s="4"/>
      <c r="KZW54" s="4"/>
      <c r="KZX54" s="4"/>
      <c r="KZY54" s="4"/>
      <c r="KZZ54" s="4"/>
      <c r="LAA54" s="4"/>
      <c r="LAB54" s="4"/>
      <c r="LAC54" s="4"/>
      <c r="LAD54" s="4"/>
      <c r="LAE54" s="4"/>
      <c r="LAF54" s="4"/>
      <c r="LAG54" s="4"/>
      <c r="LAH54" s="4"/>
      <c r="LAI54" s="4"/>
      <c r="LAJ54" s="4"/>
      <c r="LAK54" s="4"/>
      <c r="LAL54" s="4"/>
      <c r="LAM54" s="4"/>
      <c r="LAN54" s="4"/>
      <c r="LAO54" s="4"/>
      <c r="LAP54" s="4"/>
      <c r="LAQ54" s="4"/>
      <c r="LAR54" s="4"/>
      <c r="LAS54" s="4"/>
      <c r="LAT54" s="4"/>
      <c r="LAU54" s="4"/>
      <c r="LAV54" s="4"/>
      <c r="LAW54" s="4"/>
      <c r="LAX54" s="4"/>
      <c r="LAY54" s="4"/>
      <c r="LAZ54" s="4"/>
      <c r="LBA54" s="4"/>
      <c r="LBB54" s="4"/>
      <c r="LBC54" s="4"/>
      <c r="LBD54" s="4"/>
      <c r="LBE54" s="4"/>
      <c r="LBF54" s="4"/>
      <c r="LBG54" s="4"/>
      <c r="LBH54" s="4"/>
      <c r="LBI54" s="4"/>
      <c r="LBJ54" s="4"/>
      <c r="LBK54" s="4"/>
      <c r="LBL54" s="4"/>
      <c r="LBM54" s="4"/>
      <c r="LBN54" s="4"/>
      <c r="LBO54" s="4"/>
      <c r="LBP54" s="4"/>
      <c r="LBQ54" s="4"/>
      <c r="LBR54" s="4"/>
      <c r="LBS54" s="4"/>
      <c r="LBT54" s="4"/>
      <c r="LBU54" s="4"/>
      <c r="LBV54" s="4"/>
      <c r="LBW54" s="4"/>
      <c r="LBX54" s="4"/>
      <c r="LBY54" s="4"/>
      <c r="LBZ54" s="4"/>
      <c r="LCA54" s="4"/>
      <c r="LCB54" s="4"/>
      <c r="LCC54" s="4"/>
      <c r="LCD54" s="4"/>
      <c r="LCE54" s="4"/>
      <c r="LCF54" s="4"/>
      <c r="LCG54" s="4"/>
      <c r="LCH54" s="4"/>
      <c r="LCI54" s="4"/>
      <c r="LCJ54" s="4"/>
      <c r="LCK54" s="4"/>
      <c r="LCL54" s="4"/>
      <c r="LCM54" s="4"/>
      <c r="LCN54" s="4"/>
      <c r="LCO54" s="4"/>
      <c r="LCP54" s="4"/>
      <c r="LCQ54" s="4"/>
      <c r="LCR54" s="4"/>
      <c r="LCS54" s="4"/>
      <c r="LCT54" s="4"/>
      <c r="LCU54" s="4"/>
      <c r="LCV54" s="4"/>
      <c r="LCW54" s="4"/>
      <c r="LCX54" s="4"/>
      <c r="LCY54" s="4"/>
      <c r="LCZ54" s="4"/>
      <c r="LDA54" s="4"/>
      <c r="LDB54" s="4"/>
      <c r="LDC54" s="4"/>
      <c r="LDD54" s="4"/>
      <c r="LDE54" s="4"/>
      <c r="LDF54" s="4"/>
      <c r="LDG54" s="4"/>
      <c r="LDH54" s="4"/>
      <c r="LDI54" s="4"/>
      <c r="LDJ54" s="4"/>
      <c r="LDK54" s="4"/>
      <c r="LDL54" s="4"/>
      <c r="LDM54" s="4"/>
      <c r="LDN54" s="4"/>
      <c r="LDO54" s="4"/>
      <c r="LDP54" s="4"/>
      <c r="LDQ54" s="4"/>
      <c r="LDR54" s="4"/>
      <c r="LDS54" s="4"/>
      <c r="LDT54" s="4"/>
      <c r="LDU54" s="4"/>
      <c r="LDV54" s="4"/>
      <c r="LDW54" s="4"/>
      <c r="LDX54" s="4"/>
      <c r="LDY54" s="4"/>
      <c r="LDZ54" s="4"/>
      <c r="LEA54" s="4"/>
      <c r="LEB54" s="4"/>
      <c r="LEC54" s="4"/>
      <c r="LED54" s="4"/>
      <c r="LEE54" s="4"/>
      <c r="LEF54" s="4"/>
      <c r="LEG54" s="4"/>
      <c r="LEH54" s="4"/>
      <c r="LEI54" s="4"/>
      <c r="LEJ54" s="4"/>
      <c r="LEK54" s="4"/>
      <c r="LEL54" s="4"/>
      <c r="LEM54" s="4"/>
      <c r="LEN54" s="4"/>
      <c r="LEO54" s="4"/>
      <c r="LEP54" s="4"/>
      <c r="LEQ54" s="4"/>
      <c r="LER54" s="4"/>
      <c r="LES54" s="4"/>
      <c r="LET54" s="4"/>
      <c r="LEU54" s="4"/>
      <c r="LEV54" s="4"/>
      <c r="LEW54" s="4"/>
      <c r="LEX54" s="4"/>
      <c r="LEY54" s="4"/>
      <c r="LEZ54" s="4"/>
      <c r="LFA54" s="4"/>
      <c r="LFB54" s="4"/>
      <c r="LFC54" s="4"/>
      <c r="LFD54" s="4"/>
      <c r="LFE54" s="4"/>
      <c r="LFF54" s="4"/>
      <c r="LFG54" s="4"/>
      <c r="LFH54" s="4"/>
      <c r="LFI54" s="4"/>
      <c r="LFJ54" s="4"/>
      <c r="LFK54" s="4"/>
      <c r="LFL54" s="4"/>
      <c r="LFM54" s="4"/>
      <c r="LFN54" s="4"/>
      <c r="LFO54" s="4"/>
      <c r="LFP54" s="4"/>
      <c r="LFQ54" s="4"/>
      <c r="LFR54" s="4"/>
      <c r="LFS54" s="4"/>
      <c r="LFT54" s="4"/>
      <c r="LFU54" s="4"/>
      <c r="LFV54" s="4"/>
      <c r="LFW54" s="4"/>
      <c r="LFX54" s="4"/>
      <c r="LFY54" s="4"/>
      <c r="LFZ54" s="4"/>
      <c r="LGA54" s="4"/>
      <c r="LGB54" s="4"/>
      <c r="LGC54" s="4"/>
      <c r="LGD54" s="4"/>
      <c r="LGE54" s="4"/>
      <c r="LGF54" s="4"/>
      <c r="LGG54" s="4"/>
      <c r="LGH54" s="4"/>
      <c r="LGI54" s="4"/>
      <c r="LGJ54" s="4"/>
      <c r="LGK54" s="4"/>
      <c r="LGL54" s="4"/>
      <c r="LGM54" s="4"/>
      <c r="LGN54" s="4"/>
      <c r="LGO54" s="4"/>
      <c r="LGP54" s="4"/>
      <c r="LGQ54" s="4"/>
      <c r="LGR54" s="4"/>
      <c r="LGS54" s="4"/>
      <c r="LGT54" s="4"/>
      <c r="LGU54" s="4"/>
      <c r="LGV54" s="4"/>
      <c r="LGW54" s="4"/>
      <c r="LGX54" s="4"/>
      <c r="LGY54" s="4"/>
      <c r="LGZ54" s="4"/>
      <c r="LHA54" s="4"/>
      <c r="LHB54" s="4"/>
      <c r="LHC54" s="4"/>
      <c r="LHD54" s="4"/>
      <c r="LHE54" s="4"/>
      <c r="LHF54" s="4"/>
      <c r="LHG54" s="4"/>
      <c r="LHH54" s="4"/>
      <c r="LHI54" s="4"/>
      <c r="LHJ54" s="4"/>
      <c r="LHK54" s="4"/>
      <c r="LHL54" s="4"/>
      <c r="LHM54" s="4"/>
      <c r="LHN54" s="4"/>
      <c r="LHO54" s="4"/>
      <c r="LHP54" s="4"/>
      <c r="LHQ54" s="4"/>
      <c r="LHR54" s="4"/>
      <c r="LHS54" s="4"/>
      <c r="LHT54" s="4"/>
      <c r="LHU54" s="4"/>
      <c r="LHV54" s="4"/>
      <c r="LHW54" s="4"/>
      <c r="LHX54" s="4"/>
      <c r="LHY54" s="4"/>
      <c r="LHZ54" s="4"/>
      <c r="LIA54" s="4"/>
      <c r="LIB54" s="4"/>
      <c r="LIC54" s="4"/>
      <c r="LID54" s="4"/>
      <c r="LIE54" s="4"/>
      <c r="LIF54" s="4"/>
      <c r="LIG54" s="4"/>
      <c r="LIH54" s="4"/>
      <c r="LII54" s="4"/>
      <c r="LIJ54" s="4"/>
      <c r="LIK54" s="4"/>
      <c r="LIL54" s="4"/>
      <c r="LIM54" s="4"/>
      <c r="LIN54" s="4"/>
      <c r="LIO54" s="4"/>
      <c r="LIP54" s="4"/>
      <c r="LIQ54" s="4"/>
      <c r="LIR54" s="4"/>
      <c r="LIS54" s="4"/>
      <c r="LIT54" s="4"/>
      <c r="LIU54" s="4"/>
      <c r="LIV54" s="4"/>
      <c r="LIW54" s="4"/>
      <c r="LIX54" s="4"/>
      <c r="LIY54" s="4"/>
      <c r="LIZ54" s="4"/>
      <c r="LJA54" s="4"/>
      <c r="LJB54" s="4"/>
      <c r="LJC54" s="4"/>
      <c r="LJD54" s="4"/>
      <c r="LJE54" s="4"/>
      <c r="LJF54" s="4"/>
      <c r="LJG54" s="4"/>
      <c r="LJH54" s="4"/>
      <c r="LJI54" s="4"/>
      <c r="LJJ54" s="4"/>
      <c r="LJK54" s="4"/>
      <c r="LJL54" s="4"/>
      <c r="LJM54" s="4"/>
      <c r="LJN54" s="4"/>
      <c r="LJO54" s="4"/>
      <c r="LJP54" s="4"/>
      <c r="LJQ54" s="4"/>
      <c r="LJR54" s="4"/>
      <c r="LJS54" s="4"/>
      <c r="LJT54" s="4"/>
      <c r="LJU54" s="4"/>
      <c r="LJV54" s="4"/>
      <c r="LJW54" s="4"/>
      <c r="LJX54" s="4"/>
      <c r="LJY54" s="4"/>
      <c r="LJZ54" s="4"/>
      <c r="LKA54" s="4"/>
      <c r="LKB54" s="4"/>
      <c r="LKC54" s="4"/>
      <c r="LKD54" s="4"/>
      <c r="LKE54" s="4"/>
      <c r="LKF54" s="4"/>
      <c r="LKG54" s="4"/>
      <c r="LKH54" s="4"/>
      <c r="LKI54" s="4"/>
      <c r="LKJ54" s="4"/>
      <c r="LKK54" s="4"/>
      <c r="LKL54" s="4"/>
      <c r="LKM54" s="4"/>
      <c r="LKN54" s="4"/>
      <c r="LKO54" s="4"/>
      <c r="LKP54" s="4"/>
      <c r="LKQ54" s="4"/>
      <c r="LKR54" s="4"/>
      <c r="LKS54" s="4"/>
      <c r="LKT54" s="4"/>
      <c r="LKU54" s="4"/>
      <c r="LKV54" s="4"/>
      <c r="LKW54" s="4"/>
      <c r="LKX54" s="4"/>
      <c r="LKY54" s="4"/>
      <c r="LKZ54" s="4"/>
      <c r="LLA54" s="4"/>
      <c r="LLB54" s="4"/>
      <c r="LLC54" s="4"/>
      <c r="LLD54" s="4"/>
      <c r="LLE54" s="4"/>
      <c r="LLF54" s="4"/>
      <c r="LLG54" s="4"/>
      <c r="LLH54" s="4"/>
      <c r="LLI54" s="4"/>
      <c r="LLJ54" s="4"/>
      <c r="LLK54" s="4"/>
      <c r="LLL54" s="4"/>
      <c r="LLM54" s="4"/>
      <c r="LLN54" s="4"/>
      <c r="LLO54" s="4"/>
      <c r="LLP54" s="4"/>
      <c r="LLQ54" s="4"/>
      <c r="LLR54" s="4"/>
      <c r="LLS54" s="4"/>
      <c r="LLT54" s="4"/>
      <c r="LLU54" s="4"/>
      <c r="LLV54" s="4"/>
      <c r="LLW54" s="4"/>
      <c r="LLX54" s="4"/>
      <c r="LLY54" s="4"/>
      <c r="LLZ54" s="4"/>
      <c r="LMA54" s="4"/>
      <c r="LMB54" s="4"/>
      <c r="LMC54" s="4"/>
      <c r="LMD54" s="4"/>
      <c r="LME54" s="4"/>
      <c r="LMF54" s="4"/>
      <c r="LMG54" s="4"/>
      <c r="LMH54" s="4"/>
      <c r="LMI54" s="4"/>
      <c r="LMJ54" s="4"/>
      <c r="LMK54" s="4"/>
      <c r="LML54" s="4"/>
      <c r="LMM54" s="4"/>
      <c r="LMN54" s="4"/>
      <c r="LMO54" s="4"/>
      <c r="LMP54" s="4"/>
      <c r="LMQ54" s="4"/>
      <c r="LMR54" s="4"/>
      <c r="LMS54" s="4"/>
      <c r="LMT54" s="4"/>
      <c r="LMU54" s="4"/>
      <c r="LMV54" s="4"/>
      <c r="LMW54" s="4"/>
      <c r="LMX54" s="4"/>
      <c r="LMY54" s="4"/>
      <c r="LMZ54" s="4"/>
      <c r="LNA54" s="4"/>
      <c r="LNB54" s="4"/>
      <c r="LNC54" s="4"/>
      <c r="LND54" s="4"/>
      <c r="LNE54" s="4"/>
      <c r="LNF54" s="4"/>
      <c r="LNG54" s="4"/>
      <c r="LNH54" s="4"/>
      <c r="LNI54" s="4"/>
      <c r="LNJ54" s="4"/>
      <c r="LNK54" s="4"/>
      <c r="LNL54" s="4"/>
      <c r="LNM54" s="4"/>
      <c r="LNN54" s="4"/>
      <c r="LNO54" s="4"/>
      <c r="LNP54" s="4"/>
      <c r="LNQ54" s="4"/>
      <c r="LNR54" s="4"/>
      <c r="LNS54" s="4"/>
      <c r="LNT54" s="4"/>
      <c r="LNU54" s="4"/>
      <c r="LNV54" s="4"/>
      <c r="LNW54" s="4"/>
      <c r="LNX54" s="4"/>
      <c r="LNY54" s="4"/>
      <c r="LNZ54" s="4"/>
      <c r="LOA54" s="4"/>
      <c r="LOB54" s="4"/>
      <c r="LOC54" s="4"/>
      <c r="LOD54" s="4"/>
      <c r="LOE54" s="4"/>
      <c r="LOF54" s="4"/>
      <c r="LOG54" s="4"/>
      <c r="LOH54" s="4"/>
      <c r="LOI54" s="4"/>
      <c r="LOJ54" s="4"/>
      <c r="LOK54" s="4"/>
      <c r="LOL54" s="4"/>
      <c r="LOM54" s="4"/>
      <c r="LON54" s="4"/>
      <c r="LOO54" s="4"/>
      <c r="LOP54" s="4"/>
      <c r="LOQ54" s="4"/>
      <c r="LOR54" s="4"/>
      <c r="LOS54" s="4"/>
      <c r="LOT54" s="4"/>
      <c r="LOU54" s="4"/>
      <c r="LOV54" s="4"/>
      <c r="LOW54" s="4"/>
      <c r="LOX54" s="4"/>
      <c r="LOY54" s="4"/>
      <c r="LOZ54" s="4"/>
      <c r="LPA54" s="4"/>
      <c r="LPB54" s="4"/>
      <c r="LPC54" s="4"/>
      <c r="LPD54" s="4"/>
      <c r="LPE54" s="4"/>
      <c r="LPF54" s="4"/>
      <c r="LPG54" s="4"/>
      <c r="LPH54" s="4"/>
      <c r="LPI54" s="4"/>
      <c r="LPJ54" s="4"/>
      <c r="LPK54" s="4"/>
      <c r="LPL54" s="4"/>
      <c r="LPM54" s="4"/>
      <c r="LPN54" s="4"/>
      <c r="LPO54" s="4"/>
      <c r="LPP54" s="4"/>
      <c r="LPQ54" s="4"/>
      <c r="LPR54" s="4"/>
      <c r="LPS54" s="4"/>
      <c r="LPT54" s="4"/>
      <c r="LPU54" s="4"/>
      <c r="LPV54" s="4"/>
      <c r="LPW54" s="4"/>
      <c r="LPX54" s="4"/>
      <c r="LPY54" s="4"/>
      <c r="LPZ54" s="4"/>
      <c r="LQA54" s="4"/>
      <c r="LQB54" s="4"/>
      <c r="LQC54" s="4"/>
      <c r="LQD54" s="4"/>
      <c r="LQE54" s="4"/>
      <c r="LQF54" s="4"/>
      <c r="LQG54" s="4"/>
      <c r="LQH54" s="4"/>
      <c r="LQI54" s="4"/>
      <c r="LQJ54" s="4"/>
      <c r="LQK54" s="4"/>
      <c r="LQL54" s="4"/>
      <c r="LQM54" s="4"/>
      <c r="LQN54" s="4"/>
      <c r="LQO54" s="4"/>
      <c r="LQP54" s="4"/>
      <c r="LQQ54" s="4"/>
      <c r="LQR54" s="4"/>
      <c r="LQS54" s="4"/>
      <c r="LQT54" s="4"/>
      <c r="LQU54" s="4"/>
      <c r="LQV54" s="4"/>
      <c r="LQW54" s="4"/>
      <c r="LQX54" s="4"/>
      <c r="LQY54" s="4"/>
      <c r="LQZ54" s="4"/>
      <c r="LRA54" s="4"/>
      <c r="LRB54" s="4"/>
      <c r="LRC54" s="4"/>
      <c r="LRD54" s="4"/>
      <c r="LRE54" s="4"/>
      <c r="LRF54" s="4"/>
      <c r="LRG54" s="4"/>
      <c r="LRH54" s="4"/>
      <c r="LRI54" s="4"/>
      <c r="LRJ54" s="4"/>
      <c r="LRK54" s="4"/>
      <c r="LRL54" s="4"/>
      <c r="LRM54" s="4"/>
      <c r="LRN54" s="4"/>
      <c r="LRO54" s="4"/>
      <c r="LRP54" s="4"/>
      <c r="LRQ54" s="4"/>
      <c r="LRR54" s="4"/>
      <c r="LRS54" s="4"/>
      <c r="LRT54" s="4"/>
      <c r="LRU54" s="4"/>
      <c r="LRV54" s="4"/>
      <c r="LRW54" s="4"/>
      <c r="LRX54" s="4"/>
      <c r="LRY54" s="4"/>
      <c r="LRZ54" s="4"/>
      <c r="LSA54" s="4"/>
      <c r="LSB54" s="4"/>
      <c r="LSC54" s="4"/>
      <c r="LSD54" s="4"/>
      <c r="LSE54" s="4"/>
      <c r="LSF54" s="4"/>
      <c r="LSG54" s="4"/>
      <c r="LSH54" s="4"/>
      <c r="LSI54" s="4"/>
      <c r="LSJ54" s="4"/>
      <c r="LSK54" s="4"/>
      <c r="LSL54" s="4"/>
      <c r="LSM54" s="4"/>
      <c r="LSN54" s="4"/>
      <c r="LSO54" s="4"/>
      <c r="LSP54" s="4"/>
      <c r="LSQ54" s="4"/>
      <c r="LSR54" s="4"/>
      <c r="LSS54" s="4"/>
      <c r="LST54" s="4"/>
      <c r="LSU54" s="4"/>
      <c r="LSV54" s="4"/>
      <c r="LSW54" s="4"/>
      <c r="LSX54" s="4"/>
      <c r="LSY54" s="4"/>
      <c r="LSZ54" s="4"/>
      <c r="LTA54" s="4"/>
      <c r="LTB54" s="4"/>
      <c r="LTC54" s="4"/>
      <c r="LTD54" s="4"/>
      <c r="LTE54" s="4"/>
      <c r="LTF54" s="4"/>
      <c r="LTG54" s="4"/>
      <c r="LTH54" s="4"/>
      <c r="LTI54" s="4"/>
      <c r="LTJ54" s="4"/>
      <c r="LTK54" s="4"/>
      <c r="LTL54" s="4"/>
      <c r="LTM54" s="4"/>
      <c r="LTN54" s="4"/>
      <c r="LTO54" s="4"/>
      <c r="LTP54" s="4"/>
      <c r="LTQ54" s="4"/>
      <c r="LTR54" s="4"/>
      <c r="LTS54" s="4"/>
      <c r="LTT54" s="4"/>
      <c r="LTU54" s="4"/>
      <c r="LTV54" s="4"/>
      <c r="LTW54" s="4"/>
      <c r="LTX54" s="4"/>
      <c r="LTY54" s="4"/>
      <c r="LTZ54" s="4"/>
      <c r="LUA54" s="4"/>
      <c r="LUB54" s="4"/>
      <c r="LUC54" s="4"/>
      <c r="LUD54" s="4"/>
      <c r="LUE54" s="4"/>
      <c r="LUF54" s="4"/>
      <c r="LUG54" s="4"/>
      <c r="LUH54" s="4"/>
      <c r="LUI54" s="4"/>
      <c r="LUJ54" s="4"/>
      <c r="LUK54" s="4"/>
      <c r="LUL54" s="4"/>
      <c r="LUM54" s="4"/>
      <c r="LUN54" s="4"/>
      <c r="LUO54" s="4"/>
      <c r="LUP54" s="4"/>
      <c r="LUQ54" s="4"/>
      <c r="LUR54" s="4"/>
      <c r="LUS54" s="4"/>
      <c r="LUT54" s="4"/>
      <c r="LUU54" s="4"/>
      <c r="LUV54" s="4"/>
      <c r="LUW54" s="4"/>
      <c r="LUX54" s="4"/>
      <c r="LUY54" s="4"/>
      <c r="LUZ54" s="4"/>
      <c r="LVA54" s="4"/>
      <c r="LVB54" s="4"/>
      <c r="LVC54" s="4"/>
      <c r="LVD54" s="4"/>
      <c r="LVE54" s="4"/>
      <c r="LVF54" s="4"/>
      <c r="LVG54" s="4"/>
      <c r="LVH54" s="4"/>
      <c r="LVI54" s="4"/>
      <c r="LVJ54" s="4"/>
      <c r="LVK54" s="4"/>
      <c r="LVL54" s="4"/>
      <c r="LVM54" s="4"/>
      <c r="LVN54" s="4"/>
      <c r="LVO54" s="4"/>
      <c r="LVP54" s="4"/>
      <c r="LVQ54" s="4"/>
      <c r="LVR54" s="4"/>
      <c r="LVS54" s="4"/>
      <c r="LVT54" s="4"/>
      <c r="LVU54" s="4"/>
      <c r="LVV54" s="4"/>
      <c r="LVW54" s="4"/>
      <c r="LVX54" s="4"/>
      <c r="LVY54" s="4"/>
      <c r="LVZ54" s="4"/>
      <c r="LWA54" s="4"/>
      <c r="LWB54" s="4"/>
      <c r="LWC54" s="4"/>
      <c r="LWD54" s="4"/>
      <c r="LWE54" s="4"/>
      <c r="LWF54" s="4"/>
      <c r="LWG54" s="4"/>
      <c r="LWH54" s="4"/>
      <c r="LWI54" s="4"/>
      <c r="LWJ54" s="4"/>
      <c r="LWK54" s="4"/>
      <c r="LWL54" s="4"/>
      <c r="LWM54" s="4"/>
      <c r="LWN54" s="4"/>
      <c r="LWO54" s="4"/>
      <c r="LWP54" s="4"/>
      <c r="LWQ54" s="4"/>
      <c r="LWR54" s="4"/>
      <c r="LWS54" s="4"/>
      <c r="LWT54" s="4"/>
      <c r="LWU54" s="4"/>
      <c r="LWV54" s="4"/>
      <c r="LWW54" s="4"/>
      <c r="LWX54" s="4"/>
      <c r="LWY54" s="4"/>
      <c r="LWZ54" s="4"/>
      <c r="LXA54" s="4"/>
      <c r="LXB54" s="4"/>
      <c r="LXC54" s="4"/>
      <c r="LXD54" s="4"/>
      <c r="LXE54" s="4"/>
      <c r="LXF54" s="4"/>
      <c r="LXG54" s="4"/>
      <c r="LXH54" s="4"/>
      <c r="LXI54" s="4"/>
      <c r="LXJ54" s="4"/>
      <c r="LXK54" s="4"/>
      <c r="LXL54" s="4"/>
      <c r="LXM54" s="4"/>
      <c r="LXN54" s="4"/>
      <c r="LXO54" s="4"/>
      <c r="LXP54" s="4"/>
      <c r="LXQ54" s="4"/>
      <c r="LXR54" s="4"/>
      <c r="LXS54" s="4"/>
      <c r="LXT54" s="4"/>
      <c r="LXU54" s="4"/>
      <c r="LXV54" s="4"/>
      <c r="LXW54" s="4"/>
      <c r="LXX54" s="4"/>
      <c r="LXY54" s="4"/>
      <c r="LXZ54" s="4"/>
      <c r="LYA54" s="4"/>
      <c r="LYB54" s="4"/>
      <c r="LYC54" s="4"/>
      <c r="LYD54" s="4"/>
      <c r="LYE54" s="4"/>
      <c r="LYF54" s="4"/>
      <c r="LYG54" s="4"/>
      <c r="LYH54" s="4"/>
      <c r="LYI54" s="4"/>
      <c r="LYJ54" s="4"/>
      <c r="LYK54" s="4"/>
      <c r="LYL54" s="4"/>
      <c r="LYM54" s="4"/>
      <c r="LYN54" s="4"/>
      <c r="LYO54" s="4"/>
      <c r="LYP54" s="4"/>
      <c r="LYQ54" s="4"/>
      <c r="LYR54" s="4"/>
      <c r="LYS54" s="4"/>
      <c r="LYT54" s="4"/>
      <c r="LYU54" s="4"/>
      <c r="LYV54" s="4"/>
      <c r="LYW54" s="4"/>
      <c r="LYX54" s="4"/>
      <c r="LYY54" s="4"/>
      <c r="LYZ54" s="4"/>
      <c r="LZA54" s="4"/>
      <c r="LZB54" s="4"/>
      <c r="LZC54" s="4"/>
      <c r="LZD54" s="4"/>
      <c r="LZE54" s="4"/>
      <c r="LZF54" s="4"/>
      <c r="LZG54" s="4"/>
      <c r="LZH54" s="4"/>
      <c r="LZI54" s="4"/>
      <c r="LZJ54" s="4"/>
      <c r="LZK54" s="4"/>
      <c r="LZL54" s="4"/>
      <c r="LZM54" s="4"/>
      <c r="LZN54" s="4"/>
      <c r="LZO54" s="4"/>
      <c r="LZP54" s="4"/>
      <c r="LZQ54" s="4"/>
      <c r="LZR54" s="4"/>
      <c r="LZS54" s="4"/>
      <c r="LZT54" s="4"/>
      <c r="LZU54" s="4"/>
      <c r="LZV54" s="4"/>
      <c r="LZW54" s="4"/>
      <c r="LZX54" s="4"/>
      <c r="LZY54" s="4"/>
      <c r="LZZ54" s="4"/>
      <c r="MAA54" s="4"/>
      <c r="MAB54" s="4"/>
      <c r="MAC54" s="4"/>
      <c r="MAD54" s="4"/>
      <c r="MAE54" s="4"/>
      <c r="MAF54" s="4"/>
      <c r="MAG54" s="4"/>
      <c r="MAH54" s="4"/>
      <c r="MAI54" s="4"/>
      <c r="MAJ54" s="4"/>
      <c r="MAK54" s="4"/>
      <c r="MAL54" s="4"/>
      <c r="MAM54" s="4"/>
      <c r="MAN54" s="4"/>
      <c r="MAO54" s="4"/>
      <c r="MAP54" s="4"/>
      <c r="MAQ54" s="4"/>
      <c r="MAR54" s="4"/>
      <c r="MAS54" s="4"/>
      <c r="MAT54" s="4"/>
      <c r="MAU54" s="4"/>
      <c r="MAV54" s="4"/>
      <c r="MAW54" s="4"/>
      <c r="MAX54" s="4"/>
      <c r="MAY54" s="4"/>
      <c r="MAZ54" s="4"/>
      <c r="MBA54" s="4"/>
      <c r="MBB54" s="4"/>
      <c r="MBC54" s="4"/>
      <c r="MBD54" s="4"/>
      <c r="MBE54" s="4"/>
      <c r="MBF54" s="4"/>
      <c r="MBG54" s="4"/>
      <c r="MBH54" s="4"/>
      <c r="MBI54" s="4"/>
      <c r="MBJ54" s="4"/>
      <c r="MBK54" s="4"/>
      <c r="MBL54" s="4"/>
      <c r="MBM54" s="4"/>
      <c r="MBN54" s="4"/>
      <c r="MBO54" s="4"/>
      <c r="MBP54" s="4"/>
      <c r="MBQ54" s="4"/>
      <c r="MBR54" s="4"/>
      <c r="MBS54" s="4"/>
      <c r="MBT54" s="4"/>
      <c r="MBU54" s="4"/>
      <c r="MBV54" s="4"/>
      <c r="MBW54" s="4"/>
      <c r="MBX54" s="4"/>
      <c r="MBY54" s="4"/>
      <c r="MBZ54" s="4"/>
      <c r="MCA54" s="4"/>
      <c r="MCB54" s="4"/>
      <c r="MCC54" s="4"/>
      <c r="MCD54" s="4"/>
      <c r="MCE54" s="4"/>
      <c r="MCF54" s="4"/>
      <c r="MCG54" s="4"/>
      <c r="MCH54" s="4"/>
      <c r="MCI54" s="4"/>
      <c r="MCJ54" s="4"/>
      <c r="MCK54" s="4"/>
      <c r="MCL54" s="4"/>
      <c r="MCM54" s="4"/>
      <c r="MCN54" s="4"/>
      <c r="MCO54" s="4"/>
      <c r="MCP54" s="4"/>
      <c r="MCQ54" s="4"/>
      <c r="MCR54" s="4"/>
      <c r="MCS54" s="4"/>
      <c r="MCT54" s="4"/>
      <c r="MCU54" s="4"/>
      <c r="MCV54" s="4"/>
      <c r="MCW54" s="4"/>
      <c r="MCX54" s="4"/>
      <c r="MCY54" s="4"/>
      <c r="MCZ54" s="4"/>
      <c r="MDA54" s="4"/>
      <c r="MDB54" s="4"/>
      <c r="MDC54" s="4"/>
      <c r="MDD54" s="4"/>
      <c r="MDE54" s="4"/>
      <c r="MDF54" s="4"/>
      <c r="MDG54" s="4"/>
      <c r="MDH54" s="4"/>
      <c r="MDI54" s="4"/>
      <c r="MDJ54" s="4"/>
      <c r="MDK54" s="4"/>
      <c r="MDL54" s="4"/>
      <c r="MDM54" s="4"/>
      <c r="MDN54" s="4"/>
      <c r="MDO54" s="4"/>
      <c r="MDP54" s="4"/>
      <c r="MDQ54" s="4"/>
      <c r="MDR54" s="4"/>
      <c r="MDS54" s="4"/>
      <c r="MDT54" s="4"/>
      <c r="MDU54" s="4"/>
      <c r="MDV54" s="4"/>
      <c r="MDW54" s="4"/>
      <c r="MDX54" s="4"/>
      <c r="MDY54" s="4"/>
      <c r="MDZ54" s="4"/>
      <c r="MEA54" s="4"/>
      <c r="MEB54" s="4"/>
      <c r="MEC54" s="4"/>
      <c r="MED54" s="4"/>
      <c r="MEE54" s="4"/>
      <c r="MEF54" s="4"/>
      <c r="MEG54" s="4"/>
      <c r="MEH54" s="4"/>
      <c r="MEI54" s="4"/>
      <c r="MEJ54" s="4"/>
      <c r="MEK54" s="4"/>
      <c r="MEL54" s="4"/>
      <c r="MEM54" s="4"/>
      <c r="MEN54" s="4"/>
      <c r="MEO54" s="4"/>
      <c r="MEP54" s="4"/>
      <c r="MEQ54" s="4"/>
      <c r="MER54" s="4"/>
      <c r="MES54" s="4"/>
      <c r="MET54" s="4"/>
      <c r="MEU54" s="4"/>
      <c r="MEV54" s="4"/>
      <c r="MEW54" s="4"/>
      <c r="MEX54" s="4"/>
      <c r="MEY54" s="4"/>
      <c r="MEZ54" s="4"/>
      <c r="MFA54" s="4"/>
      <c r="MFB54" s="4"/>
      <c r="MFC54" s="4"/>
      <c r="MFD54" s="4"/>
      <c r="MFE54" s="4"/>
      <c r="MFF54" s="4"/>
      <c r="MFG54" s="4"/>
      <c r="MFH54" s="4"/>
      <c r="MFI54" s="4"/>
      <c r="MFJ54" s="4"/>
      <c r="MFK54" s="4"/>
      <c r="MFL54" s="4"/>
      <c r="MFM54" s="4"/>
      <c r="MFN54" s="4"/>
      <c r="MFO54" s="4"/>
      <c r="MFP54" s="4"/>
      <c r="MFQ54" s="4"/>
      <c r="MFR54" s="4"/>
      <c r="MFS54" s="4"/>
      <c r="MFT54" s="4"/>
      <c r="MFU54" s="4"/>
      <c r="MFV54" s="4"/>
      <c r="MFW54" s="4"/>
      <c r="MFX54" s="4"/>
      <c r="MFY54" s="4"/>
      <c r="MFZ54" s="4"/>
      <c r="MGA54" s="4"/>
      <c r="MGB54" s="4"/>
      <c r="MGC54" s="4"/>
      <c r="MGD54" s="4"/>
      <c r="MGE54" s="4"/>
      <c r="MGF54" s="4"/>
      <c r="MGG54" s="4"/>
      <c r="MGH54" s="4"/>
      <c r="MGI54" s="4"/>
      <c r="MGJ54" s="4"/>
      <c r="MGK54" s="4"/>
      <c r="MGL54" s="4"/>
      <c r="MGM54" s="4"/>
      <c r="MGN54" s="4"/>
      <c r="MGO54" s="4"/>
      <c r="MGP54" s="4"/>
      <c r="MGQ54" s="4"/>
      <c r="MGR54" s="4"/>
      <c r="MGS54" s="4"/>
      <c r="MGT54" s="4"/>
      <c r="MGU54" s="4"/>
      <c r="MGV54" s="4"/>
      <c r="MGW54" s="4"/>
      <c r="MGX54" s="4"/>
      <c r="MGY54" s="4"/>
      <c r="MGZ54" s="4"/>
      <c r="MHA54" s="4"/>
      <c r="MHB54" s="4"/>
      <c r="MHC54" s="4"/>
      <c r="MHD54" s="4"/>
      <c r="MHE54" s="4"/>
      <c r="MHF54" s="4"/>
      <c r="MHG54" s="4"/>
      <c r="MHH54" s="4"/>
      <c r="MHI54" s="4"/>
      <c r="MHJ54" s="4"/>
      <c r="MHK54" s="4"/>
      <c r="MHL54" s="4"/>
      <c r="MHM54" s="4"/>
      <c r="MHN54" s="4"/>
      <c r="MHO54" s="4"/>
      <c r="MHP54" s="4"/>
      <c r="MHQ54" s="4"/>
      <c r="MHR54" s="4"/>
      <c r="MHS54" s="4"/>
      <c r="MHT54" s="4"/>
      <c r="MHU54" s="4"/>
      <c r="MHV54" s="4"/>
      <c r="MHW54" s="4"/>
      <c r="MHX54" s="4"/>
      <c r="MHY54" s="4"/>
      <c r="MHZ54" s="4"/>
      <c r="MIA54" s="4"/>
      <c r="MIB54" s="4"/>
      <c r="MIC54" s="4"/>
      <c r="MID54" s="4"/>
      <c r="MIE54" s="4"/>
      <c r="MIF54" s="4"/>
      <c r="MIG54" s="4"/>
      <c r="MIH54" s="4"/>
      <c r="MII54" s="4"/>
      <c r="MIJ54" s="4"/>
      <c r="MIK54" s="4"/>
      <c r="MIL54" s="4"/>
      <c r="MIM54" s="4"/>
      <c r="MIN54" s="4"/>
      <c r="MIO54" s="4"/>
      <c r="MIP54" s="4"/>
      <c r="MIQ54" s="4"/>
      <c r="MIR54" s="4"/>
      <c r="MIS54" s="4"/>
      <c r="MIT54" s="4"/>
      <c r="MIU54" s="4"/>
      <c r="MIV54" s="4"/>
      <c r="MIW54" s="4"/>
      <c r="MIX54" s="4"/>
      <c r="MIY54" s="4"/>
      <c r="MIZ54" s="4"/>
      <c r="MJA54" s="4"/>
      <c r="MJB54" s="4"/>
      <c r="MJC54" s="4"/>
      <c r="MJD54" s="4"/>
      <c r="MJE54" s="4"/>
      <c r="MJF54" s="4"/>
      <c r="MJG54" s="4"/>
      <c r="MJH54" s="4"/>
      <c r="MJI54" s="4"/>
      <c r="MJJ54" s="4"/>
      <c r="MJK54" s="4"/>
      <c r="MJL54" s="4"/>
      <c r="MJM54" s="4"/>
      <c r="MJN54" s="4"/>
      <c r="MJO54" s="4"/>
      <c r="MJP54" s="4"/>
      <c r="MJQ54" s="4"/>
      <c r="MJR54" s="4"/>
      <c r="MJS54" s="4"/>
      <c r="MJT54" s="4"/>
      <c r="MJU54" s="4"/>
      <c r="MJV54" s="4"/>
      <c r="MJW54" s="4"/>
      <c r="MJX54" s="4"/>
      <c r="MJY54" s="4"/>
      <c r="MJZ54" s="4"/>
      <c r="MKA54" s="4"/>
      <c r="MKB54" s="4"/>
      <c r="MKC54" s="4"/>
      <c r="MKD54" s="4"/>
      <c r="MKE54" s="4"/>
      <c r="MKF54" s="4"/>
      <c r="MKG54" s="4"/>
      <c r="MKH54" s="4"/>
      <c r="MKI54" s="4"/>
      <c r="MKJ54" s="4"/>
      <c r="MKK54" s="4"/>
      <c r="MKL54" s="4"/>
      <c r="MKM54" s="4"/>
      <c r="MKN54" s="4"/>
      <c r="MKO54" s="4"/>
      <c r="MKP54" s="4"/>
      <c r="MKQ54" s="4"/>
      <c r="MKR54" s="4"/>
      <c r="MKS54" s="4"/>
      <c r="MKT54" s="4"/>
      <c r="MKU54" s="4"/>
      <c r="MKV54" s="4"/>
      <c r="MKW54" s="4"/>
      <c r="MKX54" s="4"/>
      <c r="MKY54" s="4"/>
      <c r="MKZ54" s="4"/>
      <c r="MLA54" s="4"/>
      <c r="MLB54" s="4"/>
      <c r="MLC54" s="4"/>
      <c r="MLD54" s="4"/>
      <c r="MLE54" s="4"/>
      <c r="MLF54" s="4"/>
      <c r="MLG54" s="4"/>
      <c r="MLH54" s="4"/>
      <c r="MLI54" s="4"/>
      <c r="MLJ54" s="4"/>
      <c r="MLK54" s="4"/>
      <c r="MLL54" s="4"/>
      <c r="MLM54" s="4"/>
      <c r="MLN54" s="4"/>
      <c r="MLO54" s="4"/>
      <c r="MLP54" s="4"/>
      <c r="MLQ54" s="4"/>
      <c r="MLR54" s="4"/>
      <c r="MLS54" s="4"/>
      <c r="MLT54" s="4"/>
      <c r="MLU54" s="4"/>
      <c r="MLV54" s="4"/>
      <c r="MLW54" s="4"/>
      <c r="MLX54" s="4"/>
      <c r="MLY54" s="4"/>
      <c r="MLZ54" s="4"/>
      <c r="MMA54" s="4"/>
      <c r="MMB54" s="4"/>
      <c r="MMC54" s="4"/>
      <c r="MMD54" s="4"/>
      <c r="MME54" s="4"/>
      <c r="MMF54" s="4"/>
      <c r="MMG54" s="4"/>
      <c r="MMH54" s="4"/>
      <c r="MMI54" s="4"/>
      <c r="MMJ54" s="4"/>
      <c r="MMK54" s="4"/>
      <c r="MML54" s="4"/>
      <c r="MMM54" s="4"/>
      <c r="MMN54" s="4"/>
      <c r="MMO54" s="4"/>
      <c r="MMP54" s="4"/>
      <c r="MMQ54" s="4"/>
      <c r="MMR54" s="4"/>
      <c r="MMS54" s="4"/>
      <c r="MMT54" s="4"/>
      <c r="MMU54" s="4"/>
      <c r="MMV54" s="4"/>
      <c r="MMW54" s="4"/>
      <c r="MMX54" s="4"/>
      <c r="MMY54" s="4"/>
      <c r="MMZ54" s="4"/>
      <c r="MNA54" s="4"/>
      <c r="MNB54" s="4"/>
      <c r="MNC54" s="4"/>
      <c r="MND54" s="4"/>
      <c r="MNE54" s="4"/>
      <c r="MNF54" s="4"/>
      <c r="MNG54" s="4"/>
      <c r="MNH54" s="4"/>
      <c r="MNI54" s="4"/>
      <c r="MNJ54" s="4"/>
      <c r="MNK54" s="4"/>
      <c r="MNL54" s="4"/>
      <c r="MNM54" s="4"/>
      <c r="MNN54" s="4"/>
      <c r="MNO54" s="4"/>
      <c r="MNP54" s="4"/>
      <c r="MNQ54" s="4"/>
      <c r="MNR54" s="4"/>
      <c r="MNS54" s="4"/>
      <c r="MNT54" s="4"/>
      <c r="MNU54" s="4"/>
      <c r="MNV54" s="4"/>
      <c r="MNW54" s="4"/>
      <c r="MNX54" s="4"/>
      <c r="MNY54" s="4"/>
      <c r="MNZ54" s="4"/>
      <c r="MOA54" s="4"/>
      <c r="MOB54" s="4"/>
      <c r="MOC54" s="4"/>
      <c r="MOD54" s="4"/>
      <c r="MOE54" s="4"/>
      <c r="MOF54" s="4"/>
      <c r="MOG54" s="4"/>
      <c r="MOH54" s="4"/>
      <c r="MOI54" s="4"/>
      <c r="MOJ54" s="4"/>
      <c r="MOK54" s="4"/>
      <c r="MOL54" s="4"/>
      <c r="MOM54" s="4"/>
      <c r="MON54" s="4"/>
      <c r="MOO54" s="4"/>
      <c r="MOP54" s="4"/>
      <c r="MOQ54" s="4"/>
      <c r="MOR54" s="4"/>
      <c r="MOS54" s="4"/>
      <c r="MOT54" s="4"/>
      <c r="MOU54" s="4"/>
      <c r="MOV54" s="4"/>
      <c r="MOW54" s="4"/>
      <c r="MOX54" s="4"/>
      <c r="MOY54" s="4"/>
      <c r="MOZ54" s="4"/>
      <c r="MPA54" s="4"/>
      <c r="MPB54" s="4"/>
      <c r="MPC54" s="4"/>
      <c r="MPD54" s="4"/>
      <c r="MPE54" s="4"/>
      <c r="MPF54" s="4"/>
      <c r="MPG54" s="4"/>
      <c r="MPH54" s="4"/>
      <c r="MPI54" s="4"/>
      <c r="MPJ54" s="4"/>
      <c r="MPK54" s="4"/>
      <c r="MPL54" s="4"/>
      <c r="MPM54" s="4"/>
      <c r="MPN54" s="4"/>
      <c r="MPO54" s="4"/>
      <c r="MPP54" s="4"/>
      <c r="MPQ54" s="4"/>
      <c r="MPR54" s="4"/>
      <c r="MPS54" s="4"/>
      <c r="MPT54" s="4"/>
      <c r="MPU54" s="4"/>
      <c r="MPV54" s="4"/>
      <c r="MPW54" s="4"/>
      <c r="MPX54" s="4"/>
      <c r="MPY54" s="4"/>
      <c r="MPZ54" s="4"/>
      <c r="MQA54" s="4"/>
      <c r="MQB54" s="4"/>
      <c r="MQC54" s="4"/>
      <c r="MQD54" s="4"/>
      <c r="MQE54" s="4"/>
      <c r="MQF54" s="4"/>
      <c r="MQG54" s="4"/>
      <c r="MQH54" s="4"/>
      <c r="MQI54" s="4"/>
      <c r="MQJ54" s="4"/>
      <c r="MQK54" s="4"/>
      <c r="MQL54" s="4"/>
      <c r="MQM54" s="4"/>
      <c r="MQN54" s="4"/>
      <c r="MQO54" s="4"/>
      <c r="MQP54" s="4"/>
      <c r="MQQ54" s="4"/>
      <c r="MQR54" s="4"/>
      <c r="MQS54" s="4"/>
      <c r="MQT54" s="4"/>
      <c r="MQU54" s="4"/>
      <c r="MQV54" s="4"/>
      <c r="MQW54" s="4"/>
      <c r="MQX54" s="4"/>
      <c r="MQY54" s="4"/>
      <c r="MQZ54" s="4"/>
      <c r="MRA54" s="4"/>
      <c r="MRB54" s="4"/>
      <c r="MRC54" s="4"/>
      <c r="MRD54" s="4"/>
      <c r="MRE54" s="4"/>
      <c r="MRF54" s="4"/>
      <c r="MRG54" s="4"/>
      <c r="MRH54" s="4"/>
      <c r="MRI54" s="4"/>
      <c r="MRJ54" s="4"/>
      <c r="MRK54" s="4"/>
      <c r="MRL54" s="4"/>
      <c r="MRM54" s="4"/>
      <c r="MRN54" s="4"/>
      <c r="MRO54" s="4"/>
      <c r="MRP54" s="4"/>
      <c r="MRQ54" s="4"/>
      <c r="MRR54" s="4"/>
      <c r="MRS54" s="4"/>
      <c r="MRT54" s="4"/>
      <c r="MRU54" s="4"/>
      <c r="MRV54" s="4"/>
      <c r="MRW54" s="4"/>
      <c r="MRX54" s="4"/>
      <c r="MRY54" s="4"/>
      <c r="MRZ54" s="4"/>
      <c r="MSA54" s="4"/>
      <c r="MSB54" s="4"/>
      <c r="MSC54" s="4"/>
      <c r="MSD54" s="4"/>
      <c r="MSE54" s="4"/>
      <c r="MSF54" s="4"/>
      <c r="MSG54" s="4"/>
      <c r="MSH54" s="4"/>
      <c r="MSI54" s="4"/>
      <c r="MSJ54" s="4"/>
      <c r="MSK54" s="4"/>
      <c r="MSL54" s="4"/>
      <c r="MSM54" s="4"/>
      <c r="MSN54" s="4"/>
      <c r="MSO54" s="4"/>
      <c r="MSP54" s="4"/>
      <c r="MSQ54" s="4"/>
      <c r="MSR54" s="4"/>
      <c r="MSS54" s="4"/>
      <c r="MST54" s="4"/>
      <c r="MSU54" s="4"/>
      <c r="MSV54" s="4"/>
      <c r="MSW54" s="4"/>
      <c r="MSX54" s="4"/>
      <c r="MSY54" s="4"/>
      <c r="MSZ54" s="4"/>
      <c r="MTA54" s="4"/>
      <c r="MTB54" s="4"/>
      <c r="MTC54" s="4"/>
      <c r="MTD54" s="4"/>
      <c r="MTE54" s="4"/>
      <c r="MTF54" s="4"/>
      <c r="MTG54" s="4"/>
      <c r="MTH54" s="4"/>
      <c r="MTI54" s="4"/>
      <c r="MTJ54" s="4"/>
      <c r="MTK54" s="4"/>
      <c r="MTL54" s="4"/>
      <c r="MTM54" s="4"/>
      <c r="MTN54" s="4"/>
      <c r="MTO54" s="4"/>
      <c r="MTP54" s="4"/>
      <c r="MTQ54" s="4"/>
      <c r="MTR54" s="4"/>
      <c r="MTS54" s="4"/>
      <c r="MTT54" s="4"/>
      <c r="MTU54" s="4"/>
      <c r="MTV54" s="4"/>
      <c r="MTW54" s="4"/>
      <c r="MTX54" s="4"/>
      <c r="MTY54" s="4"/>
      <c r="MTZ54" s="4"/>
      <c r="MUA54" s="4"/>
      <c r="MUB54" s="4"/>
      <c r="MUC54" s="4"/>
      <c r="MUD54" s="4"/>
      <c r="MUE54" s="4"/>
      <c r="MUF54" s="4"/>
      <c r="MUG54" s="4"/>
      <c r="MUH54" s="4"/>
      <c r="MUI54" s="4"/>
      <c r="MUJ54" s="4"/>
      <c r="MUK54" s="4"/>
      <c r="MUL54" s="4"/>
      <c r="MUM54" s="4"/>
      <c r="MUN54" s="4"/>
      <c r="MUO54" s="4"/>
      <c r="MUP54" s="4"/>
      <c r="MUQ54" s="4"/>
      <c r="MUR54" s="4"/>
      <c r="MUS54" s="4"/>
      <c r="MUT54" s="4"/>
      <c r="MUU54" s="4"/>
      <c r="MUV54" s="4"/>
      <c r="MUW54" s="4"/>
      <c r="MUX54" s="4"/>
      <c r="MUY54" s="4"/>
      <c r="MUZ54" s="4"/>
      <c r="MVA54" s="4"/>
      <c r="MVB54" s="4"/>
      <c r="MVC54" s="4"/>
      <c r="MVD54" s="4"/>
      <c r="MVE54" s="4"/>
      <c r="MVF54" s="4"/>
      <c r="MVG54" s="4"/>
      <c r="MVH54" s="4"/>
      <c r="MVI54" s="4"/>
      <c r="MVJ54" s="4"/>
      <c r="MVK54" s="4"/>
      <c r="MVL54" s="4"/>
      <c r="MVM54" s="4"/>
      <c r="MVN54" s="4"/>
      <c r="MVO54" s="4"/>
      <c r="MVP54" s="4"/>
      <c r="MVQ54" s="4"/>
      <c r="MVR54" s="4"/>
      <c r="MVS54" s="4"/>
      <c r="MVT54" s="4"/>
      <c r="MVU54" s="4"/>
      <c r="MVV54" s="4"/>
      <c r="MVW54" s="4"/>
      <c r="MVX54" s="4"/>
      <c r="MVY54" s="4"/>
      <c r="MVZ54" s="4"/>
      <c r="MWA54" s="4"/>
      <c r="MWB54" s="4"/>
      <c r="MWC54" s="4"/>
      <c r="MWD54" s="4"/>
      <c r="MWE54" s="4"/>
      <c r="MWF54" s="4"/>
      <c r="MWG54" s="4"/>
      <c r="MWH54" s="4"/>
      <c r="MWI54" s="4"/>
      <c r="MWJ54" s="4"/>
      <c r="MWK54" s="4"/>
      <c r="MWL54" s="4"/>
      <c r="MWM54" s="4"/>
      <c r="MWN54" s="4"/>
      <c r="MWO54" s="4"/>
      <c r="MWP54" s="4"/>
      <c r="MWQ54" s="4"/>
      <c r="MWR54" s="4"/>
      <c r="MWS54" s="4"/>
      <c r="MWT54" s="4"/>
      <c r="MWU54" s="4"/>
      <c r="MWV54" s="4"/>
      <c r="MWW54" s="4"/>
      <c r="MWX54" s="4"/>
      <c r="MWY54" s="4"/>
      <c r="MWZ54" s="4"/>
      <c r="MXA54" s="4"/>
      <c r="MXB54" s="4"/>
      <c r="MXC54" s="4"/>
      <c r="MXD54" s="4"/>
      <c r="MXE54" s="4"/>
      <c r="MXF54" s="4"/>
      <c r="MXG54" s="4"/>
      <c r="MXH54" s="4"/>
      <c r="MXI54" s="4"/>
      <c r="MXJ54" s="4"/>
      <c r="MXK54" s="4"/>
      <c r="MXL54" s="4"/>
      <c r="MXM54" s="4"/>
      <c r="MXN54" s="4"/>
      <c r="MXO54" s="4"/>
      <c r="MXP54" s="4"/>
      <c r="MXQ54" s="4"/>
      <c r="MXR54" s="4"/>
      <c r="MXS54" s="4"/>
      <c r="MXT54" s="4"/>
      <c r="MXU54" s="4"/>
      <c r="MXV54" s="4"/>
      <c r="MXW54" s="4"/>
      <c r="MXX54" s="4"/>
      <c r="MXY54" s="4"/>
      <c r="MXZ54" s="4"/>
      <c r="MYA54" s="4"/>
      <c r="MYB54" s="4"/>
      <c r="MYC54" s="4"/>
      <c r="MYD54" s="4"/>
      <c r="MYE54" s="4"/>
      <c r="MYF54" s="4"/>
      <c r="MYG54" s="4"/>
      <c r="MYH54" s="4"/>
      <c r="MYI54" s="4"/>
      <c r="MYJ54" s="4"/>
      <c r="MYK54" s="4"/>
      <c r="MYL54" s="4"/>
      <c r="MYM54" s="4"/>
      <c r="MYN54" s="4"/>
      <c r="MYO54" s="4"/>
      <c r="MYP54" s="4"/>
      <c r="MYQ54" s="4"/>
      <c r="MYR54" s="4"/>
      <c r="MYS54" s="4"/>
      <c r="MYT54" s="4"/>
      <c r="MYU54" s="4"/>
      <c r="MYV54" s="4"/>
      <c r="MYW54" s="4"/>
      <c r="MYX54" s="4"/>
      <c r="MYY54" s="4"/>
      <c r="MYZ54" s="4"/>
      <c r="MZA54" s="4"/>
      <c r="MZB54" s="4"/>
      <c r="MZC54" s="4"/>
      <c r="MZD54" s="4"/>
      <c r="MZE54" s="4"/>
      <c r="MZF54" s="4"/>
      <c r="MZG54" s="4"/>
      <c r="MZH54" s="4"/>
      <c r="MZI54" s="4"/>
      <c r="MZJ54" s="4"/>
      <c r="MZK54" s="4"/>
      <c r="MZL54" s="4"/>
      <c r="MZM54" s="4"/>
      <c r="MZN54" s="4"/>
      <c r="MZO54" s="4"/>
      <c r="MZP54" s="4"/>
      <c r="MZQ54" s="4"/>
      <c r="MZR54" s="4"/>
      <c r="MZS54" s="4"/>
      <c r="MZT54" s="4"/>
      <c r="MZU54" s="4"/>
      <c r="MZV54" s="4"/>
      <c r="MZW54" s="4"/>
      <c r="MZX54" s="4"/>
      <c r="MZY54" s="4"/>
      <c r="MZZ54" s="4"/>
      <c r="NAA54" s="4"/>
      <c r="NAB54" s="4"/>
      <c r="NAC54" s="4"/>
      <c r="NAD54" s="4"/>
      <c r="NAE54" s="4"/>
      <c r="NAF54" s="4"/>
      <c r="NAG54" s="4"/>
      <c r="NAH54" s="4"/>
      <c r="NAI54" s="4"/>
      <c r="NAJ54" s="4"/>
      <c r="NAK54" s="4"/>
      <c r="NAL54" s="4"/>
      <c r="NAM54" s="4"/>
      <c r="NAN54" s="4"/>
      <c r="NAO54" s="4"/>
      <c r="NAP54" s="4"/>
      <c r="NAQ54" s="4"/>
      <c r="NAR54" s="4"/>
      <c r="NAS54" s="4"/>
      <c r="NAT54" s="4"/>
      <c r="NAU54" s="4"/>
      <c r="NAV54" s="4"/>
      <c r="NAW54" s="4"/>
      <c r="NAX54" s="4"/>
      <c r="NAY54" s="4"/>
      <c r="NAZ54" s="4"/>
      <c r="NBA54" s="4"/>
      <c r="NBB54" s="4"/>
      <c r="NBC54" s="4"/>
      <c r="NBD54" s="4"/>
      <c r="NBE54" s="4"/>
      <c r="NBF54" s="4"/>
      <c r="NBG54" s="4"/>
      <c r="NBH54" s="4"/>
      <c r="NBI54" s="4"/>
      <c r="NBJ54" s="4"/>
      <c r="NBK54" s="4"/>
      <c r="NBL54" s="4"/>
      <c r="NBM54" s="4"/>
      <c r="NBN54" s="4"/>
      <c r="NBO54" s="4"/>
      <c r="NBP54" s="4"/>
      <c r="NBQ54" s="4"/>
      <c r="NBR54" s="4"/>
      <c r="NBS54" s="4"/>
      <c r="NBT54" s="4"/>
      <c r="NBU54" s="4"/>
      <c r="NBV54" s="4"/>
      <c r="NBW54" s="4"/>
      <c r="NBX54" s="4"/>
      <c r="NBY54" s="4"/>
      <c r="NBZ54" s="4"/>
      <c r="NCA54" s="4"/>
      <c r="NCB54" s="4"/>
      <c r="NCC54" s="4"/>
      <c r="NCD54" s="4"/>
      <c r="NCE54" s="4"/>
      <c r="NCF54" s="4"/>
      <c r="NCG54" s="4"/>
      <c r="NCH54" s="4"/>
      <c r="NCI54" s="4"/>
      <c r="NCJ54" s="4"/>
      <c r="NCK54" s="4"/>
      <c r="NCL54" s="4"/>
      <c r="NCM54" s="4"/>
      <c r="NCN54" s="4"/>
      <c r="NCO54" s="4"/>
      <c r="NCP54" s="4"/>
      <c r="NCQ54" s="4"/>
      <c r="NCR54" s="4"/>
      <c r="NCS54" s="4"/>
      <c r="NCT54" s="4"/>
      <c r="NCU54" s="4"/>
      <c r="NCV54" s="4"/>
      <c r="NCW54" s="4"/>
      <c r="NCX54" s="4"/>
      <c r="NCY54" s="4"/>
      <c r="NCZ54" s="4"/>
      <c r="NDA54" s="4"/>
      <c r="NDB54" s="4"/>
      <c r="NDC54" s="4"/>
      <c r="NDD54" s="4"/>
      <c r="NDE54" s="4"/>
      <c r="NDF54" s="4"/>
      <c r="NDG54" s="4"/>
      <c r="NDH54" s="4"/>
      <c r="NDI54" s="4"/>
      <c r="NDJ54" s="4"/>
      <c r="NDK54" s="4"/>
      <c r="NDL54" s="4"/>
      <c r="NDM54" s="4"/>
      <c r="NDN54" s="4"/>
      <c r="NDO54" s="4"/>
      <c r="NDP54" s="4"/>
      <c r="NDQ54" s="4"/>
      <c r="NDR54" s="4"/>
      <c r="NDS54" s="4"/>
      <c r="NDT54" s="4"/>
      <c r="NDU54" s="4"/>
      <c r="NDV54" s="4"/>
      <c r="NDW54" s="4"/>
      <c r="NDX54" s="4"/>
      <c r="NDY54" s="4"/>
      <c r="NDZ54" s="4"/>
      <c r="NEA54" s="4"/>
      <c r="NEB54" s="4"/>
      <c r="NEC54" s="4"/>
      <c r="NED54" s="4"/>
      <c r="NEE54" s="4"/>
      <c r="NEF54" s="4"/>
      <c r="NEG54" s="4"/>
      <c r="NEH54" s="4"/>
      <c r="NEI54" s="4"/>
      <c r="NEJ54" s="4"/>
      <c r="NEK54" s="4"/>
      <c r="NEL54" s="4"/>
      <c r="NEM54" s="4"/>
      <c r="NEN54" s="4"/>
      <c r="NEO54" s="4"/>
      <c r="NEP54" s="4"/>
      <c r="NEQ54" s="4"/>
      <c r="NER54" s="4"/>
      <c r="NES54" s="4"/>
      <c r="NET54" s="4"/>
      <c r="NEU54" s="4"/>
      <c r="NEV54" s="4"/>
      <c r="NEW54" s="4"/>
      <c r="NEX54" s="4"/>
      <c r="NEY54" s="4"/>
      <c r="NEZ54" s="4"/>
      <c r="NFA54" s="4"/>
      <c r="NFB54" s="4"/>
      <c r="NFC54" s="4"/>
      <c r="NFD54" s="4"/>
      <c r="NFE54" s="4"/>
      <c r="NFF54" s="4"/>
      <c r="NFG54" s="4"/>
      <c r="NFH54" s="4"/>
      <c r="NFI54" s="4"/>
      <c r="NFJ54" s="4"/>
      <c r="NFK54" s="4"/>
      <c r="NFL54" s="4"/>
      <c r="NFM54" s="4"/>
      <c r="NFN54" s="4"/>
      <c r="NFO54" s="4"/>
      <c r="NFP54" s="4"/>
      <c r="NFQ54" s="4"/>
      <c r="NFR54" s="4"/>
      <c r="NFS54" s="4"/>
      <c r="NFT54" s="4"/>
      <c r="NFU54" s="4"/>
      <c r="NFV54" s="4"/>
      <c r="NFW54" s="4"/>
      <c r="NFX54" s="4"/>
      <c r="NFY54" s="4"/>
      <c r="NFZ54" s="4"/>
      <c r="NGA54" s="4"/>
      <c r="NGB54" s="4"/>
      <c r="NGC54" s="4"/>
      <c r="NGD54" s="4"/>
      <c r="NGE54" s="4"/>
      <c r="NGF54" s="4"/>
      <c r="NGG54" s="4"/>
      <c r="NGH54" s="4"/>
      <c r="NGI54" s="4"/>
      <c r="NGJ54" s="4"/>
      <c r="NGK54" s="4"/>
      <c r="NGL54" s="4"/>
      <c r="NGM54" s="4"/>
      <c r="NGN54" s="4"/>
      <c r="NGO54" s="4"/>
      <c r="NGP54" s="4"/>
      <c r="NGQ54" s="4"/>
      <c r="NGR54" s="4"/>
      <c r="NGS54" s="4"/>
      <c r="NGT54" s="4"/>
      <c r="NGU54" s="4"/>
      <c r="NGV54" s="4"/>
      <c r="NGW54" s="4"/>
      <c r="NGX54" s="4"/>
      <c r="NGY54" s="4"/>
      <c r="NGZ54" s="4"/>
      <c r="NHA54" s="4"/>
      <c r="NHB54" s="4"/>
      <c r="NHC54" s="4"/>
      <c r="NHD54" s="4"/>
      <c r="NHE54" s="4"/>
      <c r="NHF54" s="4"/>
      <c r="NHG54" s="4"/>
      <c r="NHH54" s="4"/>
      <c r="NHI54" s="4"/>
      <c r="NHJ54" s="4"/>
      <c r="NHK54" s="4"/>
      <c r="NHL54" s="4"/>
      <c r="NHM54" s="4"/>
      <c r="NHN54" s="4"/>
      <c r="NHO54" s="4"/>
      <c r="NHP54" s="4"/>
      <c r="NHQ54" s="4"/>
      <c r="NHR54" s="4"/>
      <c r="NHS54" s="4"/>
      <c r="NHT54" s="4"/>
      <c r="NHU54" s="4"/>
      <c r="NHV54" s="4"/>
      <c r="NHW54" s="4"/>
      <c r="NHX54" s="4"/>
      <c r="NHY54" s="4"/>
      <c r="NHZ54" s="4"/>
      <c r="NIA54" s="4"/>
      <c r="NIB54" s="4"/>
      <c r="NIC54" s="4"/>
      <c r="NID54" s="4"/>
      <c r="NIE54" s="4"/>
      <c r="NIF54" s="4"/>
      <c r="NIG54" s="4"/>
      <c r="NIH54" s="4"/>
      <c r="NII54" s="4"/>
      <c r="NIJ54" s="4"/>
      <c r="NIK54" s="4"/>
      <c r="NIL54" s="4"/>
      <c r="NIM54" s="4"/>
      <c r="NIN54" s="4"/>
      <c r="NIO54" s="4"/>
      <c r="NIP54" s="4"/>
      <c r="NIQ54" s="4"/>
      <c r="NIR54" s="4"/>
      <c r="NIS54" s="4"/>
      <c r="NIT54" s="4"/>
      <c r="NIU54" s="4"/>
      <c r="NIV54" s="4"/>
      <c r="NIW54" s="4"/>
      <c r="NIX54" s="4"/>
      <c r="NIY54" s="4"/>
      <c r="NIZ54" s="4"/>
      <c r="NJA54" s="4"/>
      <c r="NJB54" s="4"/>
      <c r="NJC54" s="4"/>
      <c r="NJD54" s="4"/>
      <c r="NJE54" s="4"/>
      <c r="NJF54" s="4"/>
      <c r="NJG54" s="4"/>
      <c r="NJH54" s="4"/>
      <c r="NJI54" s="4"/>
      <c r="NJJ54" s="4"/>
      <c r="NJK54" s="4"/>
      <c r="NJL54" s="4"/>
      <c r="NJM54" s="4"/>
      <c r="NJN54" s="4"/>
      <c r="NJO54" s="4"/>
      <c r="NJP54" s="4"/>
      <c r="NJQ54" s="4"/>
      <c r="NJR54" s="4"/>
      <c r="NJS54" s="4"/>
      <c r="NJT54" s="4"/>
      <c r="NJU54" s="4"/>
      <c r="NJV54" s="4"/>
      <c r="NJW54" s="4"/>
      <c r="NJX54" s="4"/>
      <c r="NJY54" s="4"/>
      <c r="NJZ54" s="4"/>
      <c r="NKA54" s="4"/>
      <c r="NKB54" s="4"/>
      <c r="NKC54" s="4"/>
      <c r="NKD54" s="4"/>
      <c r="NKE54" s="4"/>
      <c r="NKF54" s="4"/>
      <c r="NKG54" s="4"/>
      <c r="NKH54" s="4"/>
      <c r="NKI54" s="4"/>
      <c r="NKJ54" s="4"/>
      <c r="NKK54" s="4"/>
      <c r="NKL54" s="4"/>
      <c r="NKM54" s="4"/>
      <c r="NKN54" s="4"/>
      <c r="NKO54" s="4"/>
      <c r="NKP54" s="4"/>
      <c r="NKQ54" s="4"/>
      <c r="NKR54" s="4"/>
      <c r="NKS54" s="4"/>
      <c r="NKT54" s="4"/>
      <c r="NKU54" s="4"/>
      <c r="NKV54" s="4"/>
      <c r="NKW54" s="4"/>
      <c r="NKX54" s="4"/>
      <c r="NKY54" s="4"/>
      <c r="NKZ54" s="4"/>
      <c r="NLA54" s="4"/>
      <c r="NLB54" s="4"/>
      <c r="NLC54" s="4"/>
      <c r="NLD54" s="4"/>
      <c r="NLE54" s="4"/>
      <c r="NLF54" s="4"/>
      <c r="NLG54" s="4"/>
      <c r="NLH54" s="4"/>
      <c r="NLI54" s="4"/>
      <c r="NLJ54" s="4"/>
      <c r="NLK54" s="4"/>
      <c r="NLL54" s="4"/>
      <c r="NLM54" s="4"/>
      <c r="NLN54" s="4"/>
      <c r="NLO54" s="4"/>
      <c r="NLP54" s="4"/>
      <c r="NLQ54" s="4"/>
      <c r="NLR54" s="4"/>
      <c r="NLS54" s="4"/>
      <c r="NLT54" s="4"/>
      <c r="NLU54" s="4"/>
      <c r="NLV54" s="4"/>
      <c r="NLW54" s="4"/>
      <c r="NLX54" s="4"/>
      <c r="NLY54" s="4"/>
      <c r="NLZ54" s="4"/>
      <c r="NMA54" s="4"/>
      <c r="NMB54" s="4"/>
      <c r="NMC54" s="4"/>
      <c r="NMD54" s="4"/>
      <c r="NME54" s="4"/>
      <c r="NMF54" s="4"/>
      <c r="NMG54" s="4"/>
      <c r="NMH54" s="4"/>
      <c r="NMI54" s="4"/>
      <c r="NMJ54" s="4"/>
      <c r="NMK54" s="4"/>
      <c r="NML54" s="4"/>
      <c r="NMM54" s="4"/>
      <c r="NMN54" s="4"/>
      <c r="NMO54" s="4"/>
      <c r="NMP54" s="4"/>
      <c r="NMQ54" s="4"/>
      <c r="NMR54" s="4"/>
      <c r="NMS54" s="4"/>
      <c r="NMT54" s="4"/>
      <c r="NMU54" s="4"/>
      <c r="NMV54" s="4"/>
      <c r="NMW54" s="4"/>
      <c r="NMX54" s="4"/>
      <c r="NMY54" s="4"/>
      <c r="NMZ54" s="4"/>
      <c r="NNA54" s="4"/>
      <c r="NNB54" s="4"/>
      <c r="NNC54" s="4"/>
      <c r="NND54" s="4"/>
      <c r="NNE54" s="4"/>
      <c r="NNF54" s="4"/>
      <c r="NNG54" s="4"/>
      <c r="NNH54" s="4"/>
      <c r="NNI54" s="4"/>
      <c r="NNJ54" s="4"/>
      <c r="NNK54" s="4"/>
      <c r="NNL54" s="4"/>
      <c r="NNM54" s="4"/>
      <c r="NNN54" s="4"/>
      <c r="NNO54" s="4"/>
      <c r="NNP54" s="4"/>
      <c r="NNQ54" s="4"/>
      <c r="NNR54" s="4"/>
      <c r="NNS54" s="4"/>
      <c r="NNT54" s="4"/>
      <c r="NNU54" s="4"/>
      <c r="NNV54" s="4"/>
      <c r="NNW54" s="4"/>
      <c r="NNX54" s="4"/>
      <c r="NNY54" s="4"/>
      <c r="NNZ54" s="4"/>
      <c r="NOA54" s="4"/>
      <c r="NOB54" s="4"/>
      <c r="NOC54" s="4"/>
      <c r="NOD54" s="4"/>
      <c r="NOE54" s="4"/>
      <c r="NOF54" s="4"/>
      <c r="NOG54" s="4"/>
      <c r="NOH54" s="4"/>
      <c r="NOI54" s="4"/>
      <c r="NOJ54" s="4"/>
      <c r="NOK54" s="4"/>
      <c r="NOL54" s="4"/>
      <c r="NOM54" s="4"/>
      <c r="NON54" s="4"/>
      <c r="NOO54" s="4"/>
      <c r="NOP54" s="4"/>
      <c r="NOQ54" s="4"/>
      <c r="NOR54" s="4"/>
      <c r="NOS54" s="4"/>
      <c r="NOT54" s="4"/>
      <c r="NOU54" s="4"/>
      <c r="NOV54" s="4"/>
      <c r="NOW54" s="4"/>
      <c r="NOX54" s="4"/>
      <c r="NOY54" s="4"/>
      <c r="NOZ54" s="4"/>
      <c r="NPA54" s="4"/>
      <c r="NPB54" s="4"/>
      <c r="NPC54" s="4"/>
      <c r="NPD54" s="4"/>
      <c r="NPE54" s="4"/>
      <c r="NPF54" s="4"/>
      <c r="NPG54" s="4"/>
      <c r="NPH54" s="4"/>
      <c r="NPI54" s="4"/>
      <c r="NPJ54" s="4"/>
      <c r="NPK54" s="4"/>
      <c r="NPL54" s="4"/>
      <c r="NPM54" s="4"/>
      <c r="NPN54" s="4"/>
      <c r="NPO54" s="4"/>
      <c r="NPP54" s="4"/>
      <c r="NPQ54" s="4"/>
      <c r="NPR54" s="4"/>
      <c r="NPS54" s="4"/>
      <c r="NPT54" s="4"/>
      <c r="NPU54" s="4"/>
      <c r="NPV54" s="4"/>
      <c r="NPW54" s="4"/>
      <c r="NPX54" s="4"/>
      <c r="NPY54" s="4"/>
      <c r="NPZ54" s="4"/>
      <c r="NQA54" s="4"/>
      <c r="NQB54" s="4"/>
      <c r="NQC54" s="4"/>
      <c r="NQD54" s="4"/>
      <c r="NQE54" s="4"/>
      <c r="NQF54" s="4"/>
      <c r="NQG54" s="4"/>
      <c r="NQH54" s="4"/>
      <c r="NQI54" s="4"/>
      <c r="NQJ54" s="4"/>
      <c r="NQK54" s="4"/>
      <c r="NQL54" s="4"/>
      <c r="NQM54" s="4"/>
      <c r="NQN54" s="4"/>
      <c r="NQO54" s="4"/>
      <c r="NQP54" s="4"/>
      <c r="NQQ54" s="4"/>
      <c r="NQR54" s="4"/>
      <c r="NQS54" s="4"/>
      <c r="NQT54" s="4"/>
      <c r="NQU54" s="4"/>
      <c r="NQV54" s="4"/>
      <c r="NQW54" s="4"/>
      <c r="NQX54" s="4"/>
      <c r="NQY54" s="4"/>
      <c r="NQZ54" s="4"/>
      <c r="NRA54" s="4"/>
      <c r="NRB54" s="4"/>
      <c r="NRC54" s="4"/>
      <c r="NRD54" s="4"/>
      <c r="NRE54" s="4"/>
      <c r="NRF54" s="4"/>
      <c r="NRG54" s="4"/>
      <c r="NRH54" s="4"/>
      <c r="NRI54" s="4"/>
      <c r="NRJ54" s="4"/>
      <c r="NRK54" s="4"/>
      <c r="NRL54" s="4"/>
      <c r="NRM54" s="4"/>
      <c r="NRN54" s="4"/>
      <c r="NRO54" s="4"/>
      <c r="NRP54" s="4"/>
      <c r="NRQ54" s="4"/>
      <c r="NRR54" s="4"/>
      <c r="NRS54" s="4"/>
      <c r="NRT54" s="4"/>
      <c r="NRU54" s="4"/>
      <c r="NRV54" s="4"/>
      <c r="NRW54" s="4"/>
      <c r="NRX54" s="4"/>
      <c r="NRY54" s="4"/>
      <c r="NRZ54" s="4"/>
      <c r="NSA54" s="4"/>
      <c r="NSB54" s="4"/>
      <c r="NSC54" s="4"/>
      <c r="NSD54" s="4"/>
      <c r="NSE54" s="4"/>
      <c r="NSF54" s="4"/>
      <c r="NSG54" s="4"/>
      <c r="NSH54" s="4"/>
      <c r="NSI54" s="4"/>
      <c r="NSJ54" s="4"/>
      <c r="NSK54" s="4"/>
      <c r="NSL54" s="4"/>
      <c r="NSM54" s="4"/>
      <c r="NSN54" s="4"/>
      <c r="NSO54" s="4"/>
      <c r="NSP54" s="4"/>
      <c r="NSQ54" s="4"/>
      <c r="NSR54" s="4"/>
      <c r="NSS54" s="4"/>
      <c r="NST54" s="4"/>
      <c r="NSU54" s="4"/>
      <c r="NSV54" s="4"/>
      <c r="NSW54" s="4"/>
      <c r="NSX54" s="4"/>
      <c r="NSY54" s="4"/>
      <c r="NSZ54" s="4"/>
      <c r="NTA54" s="4"/>
      <c r="NTB54" s="4"/>
      <c r="NTC54" s="4"/>
      <c r="NTD54" s="4"/>
      <c r="NTE54" s="4"/>
      <c r="NTF54" s="4"/>
      <c r="NTG54" s="4"/>
      <c r="NTH54" s="4"/>
      <c r="NTI54" s="4"/>
      <c r="NTJ54" s="4"/>
      <c r="NTK54" s="4"/>
      <c r="NTL54" s="4"/>
      <c r="NTM54" s="4"/>
      <c r="NTN54" s="4"/>
      <c r="NTO54" s="4"/>
      <c r="NTP54" s="4"/>
      <c r="NTQ54" s="4"/>
      <c r="NTR54" s="4"/>
      <c r="NTS54" s="4"/>
      <c r="NTT54" s="4"/>
      <c r="NTU54" s="4"/>
      <c r="NTV54" s="4"/>
      <c r="NTW54" s="4"/>
      <c r="NTX54" s="4"/>
      <c r="NTY54" s="4"/>
      <c r="NTZ54" s="4"/>
      <c r="NUA54" s="4"/>
      <c r="NUB54" s="4"/>
      <c r="NUC54" s="4"/>
      <c r="NUD54" s="4"/>
      <c r="NUE54" s="4"/>
      <c r="NUF54" s="4"/>
      <c r="NUG54" s="4"/>
      <c r="NUH54" s="4"/>
      <c r="NUI54" s="4"/>
      <c r="NUJ54" s="4"/>
      <c r="NUK54" s="4"/>
      <c r="NUL54" s="4"/>
      <c r="NUM54" s="4"/>
      <c r="NUN54" s="4"/>
      <c r="NUO54" s="4"/>
      <c r="NUP54" s="4"/>
      <c r="NUQ54" s="4"/>
      <c r="NUR54" s="4"/>
      <c r="NUS54" s="4"/>
      <c r="NUT54" s="4"/>
      <c r="NUU54" s="4"/>
      <c r="NUV54" s="4"/>
      <c r="NUW54" s="4"/>
      <c r="NUX54" s="4"/>
      <c r="NUY54" s="4"/>
      <c r="NUZ54" s="4"/>
      <c r="NVA54" s="4"/>
      <c r="NVB54" s="4"/>
      <c r="NVC54" s="4"/>
      <c r="NVD54" s="4"/>
      <c r="NVE54" s="4"/>
      <c r="NVF54" s="4"/>
      <c r="NVG54" s="4"/>
      <c r="NVH54" s="4"/>
      <c r="NVI54" s="4"/>
      <c r="NVJ54" s="4"/>
      <c r="NVK54" s="4"/>
      <c r="NVL54" s="4"/>
      <c r="NVM54" s="4"/>
      <c r="NVN54" s="4"/>
      <c r="NVO54" s="4"/>
      <c r="NVP54" s="4"/>
      <c r="NVQ54" s="4"/>
      <c r="NVR54" s="4"/>
      <c r="NVS54" s="4"/>
      <c r="NVT54" s="4"/>
      <c r="NVU54" s="4"/>
      <c r="NVV54" s="4"/>
      <c r="NVW54" s="4"/>
      <c r="NVX54" s="4"/>
      <c r="NVY54" s="4"/>
      <c r="NVZ54" s="4"/>
      <c r="NWA54" s="4"/>
      <c r="NWB54" s="4"/>
      <c r="NWC54" s="4"/>
      <c r="NWD54" s="4"/>
      <c r="NWE54" s="4"/>
      <c r="NWF54" s="4"/>
      <c r="NWG54" s="4"/>
      <c r="NWH54" s="4"/>
      <c r="NWI54" s="4"/>
      <c r="NWJ54" s="4"/>
      <c r="NWK54" s="4"/>
      <c r="NWL54" s="4"/>
      <c r="NWM54" s="4"/>
      <c r="NWN54" s="4"/>
      <c r="NWO54" s="4"/>
      <c r="NWP54" s="4"/>
      <c r="NWQ54" s="4"/>
      <c r="NWR54" s="4"/>
      <c r="NWS54" s="4"/>
      <c r="NWT54" s="4"/>
      <c r="NWU54" s="4"/>
      <c r="NWV54" s="4"/>
      <c r="NWW54" s="4"/>
      <c r="NWX54" s="4"/>
      <c r="NWY54" s="4"/>
      <c r="NWZ54" s="4"/>
      <c r="NXA54" s="4"/>
      <c r="NXB54" s="4"/>
      <c r="NXC54" s="4"/>
      <c r="NXD54" s="4"/>
      <c r="NXE54" s="4"/>
      <c r="NXF54" s="4"/>
      <c r="NXG54" s="4"/>
      <c r="NXH54" s="4"/>
      <c r="NXI54" s="4"/>
      <c r="NXJ54" s="4"/>
      <c r="NXK54" s="4"/>
      <c r="NXL54" s="4"/>
      <c r="NXM54" s="4"/>
      <c r="NXN54" s="4"/>
      <c r="NXO54" s="4"/>
      <c r="NXP54" s="4"/>
      <c r="NXQ54" s="4"/>
      <c r="NXR54" s="4"/>
      <c r="NXS54" s="4"/>
      <c r="NXT54" s="4"/>
      <c r="NXU54" s="4"/>
      <c r="NXV54" s="4"/>
      <c r="NXW54" s="4"/>
      <c r="NXX54" s="4"/>
      <c r="NXY54" s="4"/>
      <c r="NXZ54" s="4"/>
      <c r="NYA54" s="4"/>
      <c r="NYB54" s="4"/>
      <c r="NYC54" s="4"/>
      <c r="NYD54" s="4"/>
      <c r="NYE54" s="4"/>
      <c r="NYF54" s="4"/>
      <c r="NYG54" s="4"/>
      <c r="NYH54" s="4"/>
      <c r="NYI54" s="4"/>
      <c r="NYJ54" s="4"/>
      <c r="NYK54" s="4"/>
      <c r="NYL54" s="4"/>
      <c r="NYM54" s="4"/>
      <c r="NYN54" s="4"/>
      <c r="NYO54" s="4"/>
      <c r="NYP54" s="4"/>
      <c r="NYQ54" s="4"/>
      <c r="NYR54" s="4"/>
      <c r="NYS54" s="4"/>
      <c r="NYT54" s="4"/>
      <c r="NYU54" s="4"/>
      <c r="NYV54" s="4"/>
      <c r="NYW54" s="4"/>
      <c r="NYX54" s="4"/>
      <c r="NYY54" s="4"/>
      <c r="NYZ54" s="4"/>
      <c r="NZA54" s="4"/>
      <c r="NZB54" s="4"/>
      <c r="NZC54" s="4"/>
      <c r="NZD54" s="4"/>
      <c r="NZE54" s="4"/>
      <c r="NZF54" s="4"/>
      <c r="NZG54" s="4"/>
      <c r="NZH54" s="4"/>
      <c r="NZI54" s="4"/>
      <c r="NZJ54" s="4"/>
      <c r="NZK54" s="4"/>
      <c r="NZL54" s="4"/>
      <c r="NZM54" s="4"/>
      <c r="NZN54" s="4"/>
      <c r="NZO54" s="4"/>
      <c r="NZP54" s="4"/>
      <c r="NZQ54" s="4"/>
      <c r="NZR54" s="4"/>
      <c r="NZS54" s="4"/>
      <c r="NZT54" s="4"/>
      <c r="NZU54" s="4"/>
      <c r="NZV54" s="4"/>
      <c r="NZW54" s="4"/>
      <c r="NZX54" s="4"/>
      <c r="NZY54" s="4"/>
      <c r="NZZ54" s="4"/>
      <c r="OAA54" s="4"/>
      <c r="OAB54" s="4"/>
      <c r="OAC54" s="4"/>
      <c r="OAD54" s="4"/>
      <c r="OAE54" s="4"/>
      <c r="OAF54" s="4"/>
      <c r="OAG54" s="4"/>
      <c r="OAH54" s="4"/>
      <c r="OAI54" s="4"/>
      <c r="OAJ54" s="4"/>
      <c r="OAK54" s="4"/>
      <c r="OAL54" s="4"/>
      <c r="OAM54" s="4"/>
      <c r="OAN54" s="4"/>
      <c r="OAO54" s="4"/>
      <c r="OAP54" s="4"/>
      <c r="OAQ54" s="4"/>
      <c r="OAR54" s="4"/>
      <c r="OAS54" s="4"/>
      <c r="OAT54" s="4"/>
      <c r="OAU54" s="4"/>
      <c r="OAV54" s="4"/>
      <c r="OAW54" s="4"/>
      <c r="OAX54" s="4"/>
      <c r="OAY54" s="4"/>
      <c r="OAZ54" s="4"/>
      <c r="OBA54" s="4"/>
      <c r="OBB54" s="4"/>
      <c r="OBC54" s="4"/>
      <c r="OBD54" s="4"/>
      <c r="OBE54" s="4"/>
      <c r="OBF54" s="4"/>
      <c r="OBG54" s="4"/>
      <c r="OBH54" s="4"/>
      <c r="OBI54" s="4"/>
      <c r="OBJ54" s="4"/>
      <c r="OBK54" s="4"/>
      <c r="OBL54" s="4"/>
      <c r="OBM54" s="4"/>
      <c r="OBN54" s="4"/>
      <c r="OBO54" s="4"/>
      <c r="OBP54" s="4"/>
      <c r="OBQ54" s="4"/>
      <c r="OBR54" s="4"/>
      <c r="OBS54" s="4"/>
      <c r="OBT54" s="4"/>
      <c r="OBU54" s="4"/>
      <c r="OBV54" s="4"/>
      <c r="OBW54" s="4"/>
      <c r="OBX54" s="4"/>
      <c r="OBY54" s="4"/>
      <c r="OBZ54" s="4"/>
      <c r="OCA54" s="4"/>
      <c r="OCB54" s="4"/>
      <c r="OCC54" s="4"/>
      <c r="OCD54" s="4"/>
      <c r="OCE54" s="4"/>
      <c r="OCF54" s="4"/>
      <c r="OCG54" s="4"/>
      <c r="OCH54" s="4"/>
      <c r="OCI54" s="4"/>
      <c r="OCJ54" s="4"/>
      <c r="OCK54" s="4"/>
      <c r="OCL54" s="4"/>
      <c r="OCM54" s="4"/>
      <c r="OCN54" s="4"/>
      <c r="OCO54" s="4"/>
      <c r="OCP54" s="4"/>
      <c r="OCQ54" s="4"/>
      <c r="OCR54" s="4"/>
      <c r="OCS54" s="4"/>
      <c r="OCT54" s="4"/>
      <c r="OCU54" s="4"/>
      <c r="OCV54" s="4"/>
      <c r="OCW54" s="4"/>
      <c r="OCX54" s="4"/>
      <c r="OCY54" s="4"/>
      <c r="OCZ54" s="4"/>
      <c r="ODA54" s="4"/>
      <c r="ODB54" s="4"/>
      <c r="ODC54" s="4"/>
      <c r="ODD54" s="4"/>
      <c r="ODE54" s="4"/>
      <c r="ODF54" s="4"/>
      <c r="ODG54" s="4"/>
      <c r="ODH54" s="4"/>
      <c r="ODI54" s="4"/>
      <c r="ODJ54" s="4"/>
      <c r="ODK54" s="4"/>
      <c r="ODL54" s="4"/>
      <c r="ODM54" s="4"/>
      <c r="ODN54" s="4"/>
      <c r="ODO54" s="4"/>
      <c r="ODP54" s="4"/>
      <c r="ODQ54" s="4"/>
      <c r="ODR54" s="4"/>
      <c r="ODS54" s="4"/>
      <c r="ODT54" s="4"/>
      <c r="ODU54" s="4"/>
      <c r="ODV54" s="4"/>
      <c r="ODW54" s="4"/>
      <c r="ODX54" s="4"/>
      <c r="ODY54" s="4"/>
      <c r="ODZ54" s="4"/>
      <c r="OEA54" s="4"/>
      <c r="OEB54" s="4"/>
      <c r="OEC54" s="4"/>
      <c r="OED54" s="4"/>
      <c r="OEE54" s="4"/>
      <c r="OEF54" s="4"/>
      <c r="OEG54" s="4"/>
      <c r="OEH54" s="4"/>
      <c r="OEI54" s="4"/>
      <c r="OEJ54" s="4"/>
      <c r="OEK54" s="4"/>
      <c r="OEL54" s="4"/>
      <c r="OEM54" s="4"/>
      <c r="OEN54" s="4"/>
      <c r="OEO54" s="4"/>
      <c r="OEP54" s="4"/>
      <c r="OEQ54" s="4"/>
      <c r="OER54" s="4"/>
      <c r="OES54" s="4"/>
      <c r="OET54" s="4"/>
      <c r="OEU54" s="4"/>
      <c r="OEV54" s="4"/>
      <c r="OEW54" s="4"/>
      <c r="OEX54" s="4"/>
      <c r="OEY54" s="4"/>
      <c r="OEZ54" s="4"/>
      <c r="OFA54" s="4"/>
      <c r="OFB54" s="4"/>
      <c r="OFC54" s="4"/>
      <c r="OFD54" s="4"/>
      <c r="OFE54" s="4"/>
      <c r="OFF54" s="4"/>
      <c r="OFG54" s="4"/>
      <c r="OFH54" s="4"/>
      <c r="OFI54" s="4"/>
      <c r="OFJ54" s="4"/>
      <c r="OFK54" s="4"/>
      <c r="OFL54" s="4"/>
      <c r="OFM54" s="4"/>
      <c r="OFN54" s="4"/>
      <c r="OFO54" s="4"/>
      <c r="OFP54" s="4"/>
      <c r="OFQ54" s="4"/>
      <c r="OFR54" s="4"/>
      <c r="OFS54" s="4"/>
      <c r="OFT54" s="4"/>
      <c r="OFU54" s="4"/>
      <c r="OFV54" s="4"/>
      <c r="OFW54" s="4"/>
      <c r="OFX54" s="4"/>
      <c r="OFY54" s="4"/>
      <c r="OFZ54" s="4"/>
      <c r="OGA54" s="4"/>
      <c r="OGB54" s="4"/>
      <c r="OGC54" s="4"/>
      <c r="OGD54" s="4"/>
      <c r="OGE54" s="4"/>
      <c r="OGF54" s="4"/>
      <c r="OGG54" s="4"/>
      <c r="OGH54" s="4"/>
      <c r="OGI54" s="4"/>
      <c r="OGJ54" s="4"/>
      <c r="OGK54" s="4"/>
      <c r="OGL54" s="4"/>
      <c r="OGM54" s="4"/>
      <c r="OGN54" s="4"/>
      <c r="OGO54" s="4"/>
      <c r="OGP54" s="4"/>
      <c r="OGQ54" s="4"/>
      <c r="OGR54" s="4"/>
      <c r="OGS54" s="4"/>
      <c r="OGT54" s="4"/>
      <c r="OGU54" s="4"/>
      <c r="OGV54" s="4"/>
      <c r="OGW54" s="4"/>
      <c r="OGX54" s="4"/>
      <c r="OGY54" s="4"/>
      <c r="OGZ54" s="4"/>
      <c r="OHA54" s="4"/>
      <c r="OHB54" s="4"/>
      <c r="OHC54" s="4"/>
      <c r="OHD54" s="4"/>
      <c r="OHE54" s="4"/>
      <c r="OHF54" s="4"/>
      <c r="OHG54" s="4"/>
      <c r="OHH54" s="4"/>
      <c r="OHI54" s="4"/>
      <c r="OHJ54" s="4"/>
      <c r="OHK54" s="4"/>
      <c r="OHL54" s="4"/>
      <c r="OHM54" s="4"/>
      <c r="OHN54" s="4"/>
      <c r="OHO54" s="4"/>
      <c r="OHP54" s="4"/>
      <c r="OHQ54" s="4"/>
      <c r="OHR54" s="4"/>
      <c r="OHS54" s="4"/>
      <c r="OHT54" s="4"/>
      <c r="OHU54" s="4"/>
      <c r="OHV54" s="4"/>
      <c r="OHW54" s="4"/>
      <c r="OHX54" s="4"/>
      <c r="OHY54" s="4"/>
      <c r="OHZ54" s="4"/>
      <c r="OIA54" s="4"/>
      <c r="OIB54" s="4"/>
      <c r="OIC54" s="4"/>
      <c r="OID54" s="4"/>
      <c r="OIE54" s="4"/>
      <c r="OIF54" s="4"/>
      <c r="OIG54" s="4"/>
      <c r="OIH54" s="4"/>
      <c r="OII54" s="4"/>
      <c r="OIJ54" s="4"/>
      <c r="OIK54" s="4"/>
      <c r="OIL54" s="4"/>
      <c r="OIM54" s="4"/>
      <c r="OIN54" s="4"/>
      <c r="OIO54" s="4"/>
      <c r="OIP54" s="4"/>
      <c r="OIQ54" s="4"/>
      <c r="OIR54" s="4"/>
      <c r="OIS54" s="4"/>
      <c r="OIT54" s="4"/>
      <c r="OIU54" s="4"/>
      <c r="OIV54" s="4"/>
      <c r="OIW54" s="4"/>
      <c r="OIX54" s="4"/>
      <c r="OIY54" s="4"/>
      <c r="OIZ54" s="4"/>
      <c r="OJA54" s="4"/>
      <c r="OJB54" s="4"/>
      <c r="OJC54" s="4"/>
      <c r="OJD54" s="4"/>
      <c r="OJE54" s="4"/>
      <c r="OJF54" s="4"/>
      <c r="OJG54" s="4"/>
      <c r="OJH54" s="4"/>
      <c r="OJI54" s="4"/>
      <c r="OJJ54" s="4"/>
      <c r="OJK54" s="4"/>
      <c r="OJL54" s="4"/>
      <c r="OJM54" s="4"/>
      <c r="OJN54" s="4"/>
      <c r="OJO54" s="4"/>
      <c r="OJP54" s="4"/>
      <c r="OJQ54" s="4"/>
      <c r="OJR54" s="4"/>
      <c r="OJS54" s="4"/>
      <c r="OJT54" s="4"/>
      <c r="OJU54" s="4"/>
      <c r="OJV54" s="4"/>
      <c r="OJW54" s="4"/>
      <c r="OJX54" s="4"/>
      <c r="OJY54" s="4"/>
      <c r="OJZ54" s="4"/>
      <c r="OKA54" s="4"/>
      <c r="OKB54" s="4"/>
      <c r="OKC54" s="4"/>
      <c r="OKD54" s="4"/>
      <c r="OKE54" s="4"/>
      <c r="OKF54" s="4"/>
      <c r="OKG54" s="4"/>
      <c r="OKH54" s="4"/>
      <c r="OKI54" s="4"/>
      <c r="OKJ54" s="4"/>
      <c r="OKK54" s="4"/>
      <c r="OKL54" s="4"/>
      <c r="OKM54" s="4"/>
      <c r="OKN54" s="4"/>
      <c r="OKO54" s="4"/>
      <c r="OKP54" s="4"/>
      <c r="OKQ54" s="4"/>
      <c r="OKR54" s="4"/>
      <c r="OKS54" s="4"/>
      <c r="OKT54" s="4"/>
      <c r="OKU54" s="4"/>
      <c r="OKV54" s="4"/>
      <c r="OKW54" s="4"/>
      <c r="OKX54" s="4"/>
      <c r="OKY54" s="4"/>
      <c r="OKZ54" s="4"/>
      <c r="OLA54" s="4"/>
      <c r="OLB54" s="4"/>
      <c r="OLC54" s="4"/>
      <c r="OLD54" s="4"/>
      <c r="OLE54" s="4"/>
      <c r="OLF54" s="4"/>
      <c r="OLG54" s="4"/>
      <c r="OLH54" s="4"/>
      <c r="OLI54" s="4"/>
      <c r="OLJ54" s="4"/>
      <c r="OLK54" s="4"/>
      <c r="OLL54" s="4"/>
      <c r="OLM54" s="4"/>
      <c r="OLN54" s="4"/>
      <c r="OLO54" s="4"/>
      <c r="OLP54" s="4"/>
      <c r="OLQ54" s="4"/>
      <c r="OLR54" s="4"/>
      <c r="OLS54" s="4"/>
      <c r="OLT54" s="4"/>
      <c r="OLU54" s="4"/>
      <c r="OLV54" s="4"/>
      <c r="OLW54" s="4"/>
      <c r="OLX54" s="4"/>
      <c r="OLY54" s="4"/>
      <c r="OLZ54" s="4"/>
      <c r="OMA54" s="4"/>
      <c r="OMB54" s="4"/>
      <c r="OMC54" s="4"/>
      <c r="OMD54" s="4"/>
      <c r="OME54" s="4"/>
      <c r="OMF54" s="4"/>
      <c r="OMG54" s="4"/>
      <c r="OMH54" s="4"/>
      <c r="OMI54" s="4"/>
      <c r="OMJ54" s="4"/>
      <c r="OMK54" s="4"/>
      <c r="OML54" s="4"/>
      <c r="OMM54" s="4"/>
      <c r="OMN54" s="4"/>
      <c r="OMO54" s="4"/>
      <c r="OMP54" s="4"/>
      <c r="OMQ54" s="4"/>
      <c r="OMR54" s="4"/>
      <c r="OMS54" s="4"/>
      <c r="OMT54" s="4"/>
      <c r="OMU54" s="4"/>
      <c r="OMV54" s="4"/>
      <c r="OMW54" s="4"/>
      <c r="OMX54" s="4"/>
      <c r="OMY54" s="4"/>
      <c r="OMZ54" s="4"/>
      <c r="ONA54" s="4"/>
      <c r="ONB54" s="4"/>
      <c r="ONC54" s="4"/>
      <c r="OND54" s="4"/>
      <c r="ONE54" s="4"/>
      <c r="ONF54" s="4"/>
      <c r="ONG54" s="4"/>
      <c r="ONH54" s="4"/>
      <c r="ONI54" s="4"/>
      <c r="ONJ54" s="4"/>
      <c r="ONK54" s="4"/>
      <c r="ONL54" s="4"/>
      <c r="ONM54" s="4"/>
      <c r="ONN54" s="4"/>
      <c r="ONO54" s="4"/>
      <c r="ONP54" s="4"/>
      <c r="ONQ54" s="4"/>
      <c r="ONR54" s="4"/>
      <c r="ONS54" s="4"/>
      <c r="ONT54" s="4"/>
      <c r="ONU54" s="4"/>
      <c r="ONV54" s="4"/>
      <c r="ONW54" s="4"/>
      <c r="ONX54" s="4"/>
      <c r="ONY54" s="4"/>
      <c r="ONZ54" s="4"/>
      <c r="OOA54" s="4"/>
      <c r="OOB54" s="4"/>
      <c r="OOC54" s="4"/>
      <c r="OOD54" s="4"/>
      <c r="OOE54" s="4"/>
      <c r="OOF54" s="4"/>
      <c r="OOG54" s="4"/>
      <c r="OOH54" s="4"/>
      <c r="OOI54" s="4"/>
      <c r="OOJ54" s="4"/>
      <c r="OOK54" s="4"/>
      <c r="OOL54" s="4"/>
      <c r="OOM54" s="4"/>
      <c r="OON54" s="4"/>
      <c r="OOO54" s="4"/>
      <c r="OOP54" s="4"/>
      <c r="OOQ54" s="4"/>
      <c r="OOR54" s="4"/>
      <c r="OOS54" s="4"/>
      <c r="OOT54" s="4"/>
      <c r="OOU54" s="4"/>
      <c r="OOV54" s="4"/>
      <c r="OOW54" s="4"/>
      <c r="OOX54" s="4"/>
      <c r="OOY54" s="4"/>
      <c r="OOZ54" s="4"/>
      <c r="OPA54" s="4"/>
      <c r="OPB54" s="4"/>
      <c r="OPC54" s="4"/>
      <c r="OPD54" s="4"/>
      <c r="OPE54" s="4"/>
      <c r="OPF54" s="4"/>
      <c r="OPG54" s="4"/>
      <c r="OPH54" s="4"/>
      <c r="OPI54" s="4"/>
      <c r="OPJ54" s="4"/>
      <c r="OPK54" s="4"/>
      <c r="OPL54" s="4"/>
      <c r="OPM54" s="4"/>
      <c r="OPN54" s="4"/>
      <c r="OPO54" s="4"/>
      <c r="OPP54" s="4"/>
      <c r="OPQ54" s="4"/>
      <c r="OPR54" s="4"/>
      <c r="OPS54" s="4"/>
      <c r="OPT54" s="4"/>
      <c r="OPU54" s="4"/>
      <c r="OPV54" s="4"/>
      <c r="OPW54" s="4"/>
      <c r="OPX54" s="4"/>
      <c r="OPY54" s="4"/>
      <c r="OPZ54" s="4"/>
      <c r="OQA54" s="4"/>
      <c r="OQB54" s="4"/>
      <c r="OQC54" s="4"/>
      <c r="OQD54" s="4"/>
      <c r="OQE54" s="4"/>
      <c r="OQF54" s="4"/>
      <c r="OQG54" s="4"/>
      <c r="OQH54" s="4"/>
      <c r="OQI54" s="4"/>
      <c r="OQJ54" s="4"/>
      <c r="OQK54" s="4"/>
      <c r="OQL54" s="4"/>
      <c r="OQM54" s="4"/>
      <c r="OQN54" s="4"/>
      <c r="OQO54" s="4"/>
      <c r="OQP54" s="4"/>
      <c r="OQQ54" s="4"/>
      <c r="OQR54" s="4"/>
      <c r="OQS54" s="4"/>
      <c r="OQT54" s="4"/>
      <c r="OQU54" s="4"/>
      <c r="OQV54" s="4"/>
      <c r="OQW54" s="4"/>
      <c r="OQX54" s="4"/>
      <c r="OQY54" s="4"/>
      <c r="OQZ54" s="4"/>
      <c r="ORA54" s="4"/>
      <c r="ORB54" s="4"/>
      <c r="ORC54" s="4"/>
      <c r="ORD54" s="4"/>
      <c r="ORE54" s="4"/>
      <c r="ORF54" s="4"/>
      <c r="ORG54" s="4"/>
      <c r="ORH54" s="4"/>
      <c r="ORI54" s="4"/>
      <c r="ORJ54" s="4"/>
      <c r="ORK54" s="4"/>
      <c r="ORL54" s="4"/>
      <c r="ORM54" s="4"/>
      <c r="ORN54" s="4"/>
      <c r="ORO54" s="4"/>
      <c r="ORP54" s="4"/>
      <c r="ORQ54" s="4"/>
      <c r="ORR54" s="4"/>
      <c r="ORS54" s="4"/>
      <c r="ORT54" s="4"/>
      <c r="ORU54" s="4"/>
      <c r="ORV54" s="4"/>
      <c r="ORW54" s="4"/>
      <c r="ORX54" s="4"/>
      <c r="ORY54" s="4"/>
      <c r="ORZ54" s="4"/>
      <c r="OSA54" s="4"/>
      <c r="OSB54" s="4"/>
      <c r="OSC54" s="4"/>
      <c r="OSD54" s="4"/>
      <c r="OSE54" s="4"/>
      <c r="OSF54" s="4"/>
      <c r="OSG54" s="4"/>
      <c r="OSH54" s="4"/>
      <c r="OSI54" s="4"/>
      <c r="OSJ54" s="4"/>
      <c r="OSK54" s="4"/>
      <c r="OSL54" s="4"/>
      <c r="OSM54" s="4"/>
      <c r="OSN54" s="4"/>
      <c r="OSO54" s="4"/>
      <c r="OSP54" s="4"/>
      <c r="OSQ54" s="4"/>
      <c r="OSR54" s="4"/>
      <c r="OSS54" s="4"/>
      <c r="OST54" s="4"/>
      <c r="OSU54" s="4"/>
      <c r="OSV54" s="4"/>
      <c r="OSW54" s="4"/>
      <c r="OSX54" s="4"/>
      <c r="OSY54" s="4"/>
      <c r="OSZ54" s="4"/>
      <c r="OTA54" s="4"/>
      <c r="OTB54" s="4"/>
      <c r="OTC54" s="4"/>
      <c r="OTD54" s="4"/>
      <c r="OTE54" s="4"/>
      <c r="OTF54" s="4"/>
      <c r="OTG54" s="4"/>
      <c r="OTH54" s="4"/>
      <c r="OTI54" s="4"/>
      <c r="OTJ54" s="4"/>
      <c r="OTK54" s="4"/>
      <c r="OTL54" s="4"/>
      <c r="OTM54" s="4"/>
      <c r="OTN54" s="4"/>
      <c r="OTO54" s="4"/>
      <c r="OTP54" s="4"/>
      <c r="OTQ54" s="4"/>
      <c r="OTR54" s="4"/>
      <c r="OTS54" s="4"/>
      <c r="OTT54" s="4"/>
      <c r="OTU54" s="4"/>
      <c r="OTV54" s="4"/>
      <c r="OTW54" s="4"/>
      <c r="OTX54" s="4"/>
      <c r="OTY54" s="4"/>
      <c r="OTZ54" s="4"/>
      <c r="OUA54" s="4"/>
      <c r="OUB54" s="4"/>
      <c r="OUC54" s="4"/>
      <c r="OUD54" s="4"/>
      <c r="OUE54" s="4"/>
      <c r="OUF54" s="4"/>
      <c r="OUG54" s="4"/>
      <c r="OUH54" s="4"/>
      <c r="OUI54" s="4"/>
      <c r="OUJ54" s="4"/>
      <c r="OUK54" s="4"/>
      <c r="OUL54" s="4"/>
      <c r="OUM54" s="4"/>
      <c r="OUN54" s="4"/>
      <c r="OUO54" s="4"/>
      <c r="OUP54" s="4"/>
      <c r="OUQ54" s="4"/>
      <c r="OUR54" s="4"/>
      <c r="OUS54" s="4"/>
      <c r="OUT54" s="4"/>
      <c r="OUU54" s="4"/>
      <c r="OUV54" s="4"/>
      <c r="OUW54" s="4"/>
      <c r="OUX54" s="4"/>
      <c r="OUY54" s="4"/>
      <c r="OUZ54" s="4"/>
      <c r="OVA54" s="4"/>
      <c r="OVB54" s="4"/>
      <c r="OVC54" s="4"/>
      <c r="OVD54" s="4"/>
      <c r="OVE54" s="4"/>
      <c r="OVF54" s="4"/>
      <c r="OVG54" s="4"/>
      <c r="OVH54" s="4"/>
      <c r="OVI54" s="4"/>
      <c r="OVJ54" s="4"/>
      <c r="OVK54" s="4"/>
      <c r="OVL54" s="4"/>
      <c r="OVM54" s="4"/>
      <c r="OVN54" s="4"/>
      <c r="OVO54" s="4"/>
      <c r="OVP54" s="4"/>
      <c r="OVQ54" s="4"/>
      <c r="OVR54" s="4"/>
      <c r="OVS54" s="4"/>
      <c r="OVT54" s="4"/>
      <c r="OVU54" s="4"/>
      <c r="OVV54" s="4"/>
      <c r="OVW54" s="4"/>
      <c r="OVX54" s="4"/>
      <c r="OVY54" s="4"/>
      <c r="OVZ54" s="4"/>
      <c r="OWA54" s="4"/>
      <c r="OWB54" s="4"/>
      <c r="OWC54" s="4"/>
      <c r="OWD54" s="4"/>
      <c r="OWE54" s="4"/>
      <c r="OWF54" s="4"/>
      <c r="OWG54" s="4"/>
      <c r="OWH54" s="4"/>
      <c r="OWI54" s="4"/>
      <c r="OWJ54" s="4"/>
      <c r="OWK54" s="4"/>
      <c r="OWL54" s="4"/>
      <c r="OWM54" s="4"/>
      <c r="OWN54" s="4"/>
      <c r="OWO54" s="4"/>
      <c r="OWP54" s="4"/>
      <c r="OWQ54" s="4"/>
      <c r="OWR54" s="4"/>
      <c r="OWS54" s="4"/>
      <c r="OWT54" s="4"/>
      <c r="OWU54" s="4"/>
      <c r="OWV54" s="4"/>
      <c r="OWW54" s="4"/>
      <c r="OWX54" s="4"/>
      <c r="OWY54" s="4"/>
      <c r="OWZ54" s="4"/>
      <c r="OXA54" s="4"/>
      <c r="OXB54" s="4"/>
      <c r="OXC54" s="4"/>
      <c r="OXD54" s="4"/>
      <c r="OXE54" s="4"/>
      <c r="OXF54" s="4"/>
      <c r="OXG54" s="4"/>
      <c r="OXH54" s="4"/>
      <c r="OXI54" s="4"/>
      <c r="OXJ54" s="4"/>
      <c r="OXK54" s="4"/>
      <c r="OXL54" s="4"/>
      <c r="OXM54" s="4"/>
      <c r="OXN54" s="4"/>
      <c r="OXO54" s="4"/>
      <c r="OXP54" s="4"/>
      <c r="OXQ54" s="4"/>
      <c r="OXR54" s="4"/>
      <c r="OXS54" s="4"/>
      <c r="OXT54" s="4"/>
      <c r="OXU54" s="4"/>
      <c r="OXV54" s="4"/>
      <c r="OXW54" s="4"/>
      <c r="OXX54" s="4"/>
      <c r="OXY54" s="4"/>
      <c r="OXZ54" s="4"/>
      <c r="OYA54" s="4"/>
      <c r="OYB54" s="4"/>
      <c r="OYC54" s="4"/>
      <c r="OYD54" s="4"/>
      <c r="OYE54" s="4"/>
      <c r="OYF54" s="4"/>
      <c r="OYG54" s="4"/>
      <c r="OYH54" s="4"/>
      <c r="OYI54" s="4"/>
      <c r="OYJ54" s="4"/>
      <c r="OYK54" s="4"/>
      <c r="OYL54" s="4"/>
      <c r="OYM54" s="4"/>
      <c r="OYN54" s="4"/>
      <c r="OYO54" s="4"/>
      <c r="OYP54" s="4"/>
      <c r="OYQ54" s="4"/>
      <c r="OYR54" s="4"/>
      <c r="OYS54" s="4"/>
      <c r="OYT54" s="4"/>
      <c r="OYU54" s="4"/>
      <c r="OYV54" s="4"/>
      <c r="OYW54" s="4"/>
      <c r="OYX54" s="4"/>
      <c r="OYY54" s="4"/>
      <c r="OYZ54" s="4"/>
      <c r="OZA54" s="4"/>
      <c r="OZB54" s="4"/>
      <c r="OZC54" s="4"/>
      <c r="OZD54" s="4"/>
      <c r="OZE54" s="4"/>
      <c r="OZF54" s="4"/>
      <c r="OZG54" s="4"/>
      <c r="OZH54" s="4"/>
      <c r="OZI54" s="4"/>
      <c r="OZJ54" s="4"/>
      <c r="OZK54" s="4"/>
      <c r="OZL54" s="4"/>
      <c r="OZM54" s="4"/>
      <c r="OZN54" s="4"/>
      <c r="OZO54" s="4"/>
      <c r="OZP54" s="4"/>
      <c r="OZQ54" s="4"/>
      <c r="OZR54" s="4"/>
      <c r="OZS54" s="4"/>
      <c r="OZT54" s="4"/>
      <c r="OZU54" s="4"/>
      <c r="OZV54" s="4"/>
      <c r="OZW54" s="4"/>
      <c r="OZX54" s="4"/>
      <c r="OZY54" s="4"/>
      <c r="OZZ54" s="4"/>
      <c r="PAA54" s="4"/>
      <c r="PAB54" s="4"/>
      <c r="PAC54" s="4"/>
      <c r="PAD54" s="4"/>
      <c r="PAE54" s="4"/>
      <c r="PAF54" s="4"/>
      <c r="PAG54" s="4"/>
      <c r="PAH54" s="4"/>
      <c r="PAI54" s="4"/>
      <c r="PAJ54" s="4"/>
      <c r="PAK54" s="4"/>
      <c r="PAL54" s="4"/>
      <c r="PAM54" s="4"/>
      <c r="PAN54" s="4"/>
      <c r="PAO54" s="4"/>
      <c r="PAP54" s="4"/>
      <c r="PAQ54" s="4"/>
      <c r="PAR54" s="4"/>
      <c r="PAS54" s="4"/>
      <c r="PAT54" s="4"/>
      <c r="PAU54" s="4"/>
      <c r="PAV54" s="4"/>
      <c r="PAW54" s="4"/>
      <c r="PAX54" s="4"/>
      <c r="PAY54" s="4"/>
      <c r="PAZ54" s="4"/>
      <c r="PBA54" s="4"/>
      <c r="PBB54" s="4"/>
      <c r="PBC54" s="4"/>
      <c r="PBD54" s="4"/>
      <c r="PBE54" s="4"/>
      <c r="PBF54" s="4"/>
      <c r="PBG54" s="4"/>
      <c r="PBH54" s="4"/>
      <c r="PBI54" s="4"/>
      <c r="PBJ54" s="4"/>
      <c r="PBK54" s="4"/>
      <c r="PBL54" s="4"/>
      <c r="PBM54" s="4"/>
      <c r="PBN54" s="4"/>
      <c r="PBO54" s="4"/>
      <c r="PBP54" s="4"/>
      <c r="PBQ54" s="4"/>
      <c r="PBR54" s="4"/>
      <c r="PBS54" s="4"/>
      <c r="PBT54" s="4"/>
      <c r="PBU54" s="4"/>
      <c r="PBV54" s="4"/>
      <c r="PBW54" s="4"/>
      <c r="PBX54" s="4"/>
      <c r="PBY54" s="4"/>
      <c r="PBZ54" s="4"/>
      <c r="PCA54" s="4"/>
      <c r="PCB54" s="4"/>
      <c r="PCC54" s="4"/>
      <c r="PCD54" s="4"/>
      <c r="PCE54" s="4"/>
      <c r="PCF54" s="4"/>
      <c r="PCG54" s="4"/>
      <c r="PCH54" s="4"/>
      <c r="PCI54" s="4"/>
      <c r="PCJ54" s="4"/>
      <c r="PCK54" s="4"/>
      <c r="PCL54" s="4"/>
      <c r="PCM54" s="4"/>
      <c r="PCN54" s="4"/>
      <c r="PCO54" s="4"/>
      <c r="PCP54" s="4"/>
      <c r="PCQ54" s="4"/>
      <c r="PCR54" s="4"/>
      <c r="PCS54" s="4"/>
      <c r="PCT54" s="4"/>
      <c r="PCU54" s="4"/>
      <c r="PCV54" s="4"/>
      <c r="PCW54" s="4"/>
      <c r="PCX54" s="4"/>
      <c r="PCY54" s="4"/>
      <c r="PCZ54" s="4"/>
      <c r="PDA54" s="4"/>
      <c r="PDB54" s="4"/>
      <c r="PDC54" s="4"/>
      <c r="PDD54" s="4"/>
      <c r="PDE54" s="4"/>
      <c r="PDF54" s="4"/>
      <c r="PDG54" s="4"/>
      <c r="PDH54" s="4"/>
      <c r="PDI54" s="4"/>
      <c r="PDJ54" s="4"/>
      <c r="PDK54" s="4"/>
      <c r="PDL54" s="4"/>
      <c r="PDM54" s="4"/>
      <c r="PDN54" s="4"/>
      <c r="PDO54" s="4"/>
      <c r="PDP54" s="4"/>
      <c r="PDQ54" s="4"/>
      <c r="PDR54" s="4"/>
      <c r="PDS54" s="4"/>
      <c r="PDT54" s="4"/>
      <c r="PDU54" s="4"/>
      <c r="PDV54" s="4"/>
      <c r="PDW54" s="4"/>
      <c r="PDX54" s="4"/>
      <c r="PDY54" s="4"/>
      <c r="PDZ54" s="4"/>
      <c r="PEA54" s="4"/>
      <c r="PEB54" s="4"/>
      <c r="PEC54" s="4"/>
      <c r="PED54" s="4"/>
      <c r="PEE54" s="4"/>
      <c r="PEF54" s="4"/>
      <c r="PEG54" s="4"/>
      <c r="PEH54" s="4"/>
      <c r="PEI54" s="4"/>
      <c r="PEJ54" s="4"/>
      <c r="PEK54" s="4"/>
      <c r="PEL54" s="4"/>
      <c r="PEM54" s="4"/>
      <c r="PEN54" s="4"/>
      <c r="PEO54" s="4"/>
      <c r="PEP54" s="4"/>
      <c r="PEQ54" s="4"/>
      <c r="PER54" s="4"/>
      <c r="PES54" s="4"/>
      <c r="PET54" s="4"/>
      <c r="PEU54" s="4"/>
      <c r="PEV54" s="4"/>
      <c r="PEW54" s="4"/>
      <c r="PEX54" s="4"/>
      <c r="PEY54" s="4"/>
      <c r="PEZ54" s="4"/>
      <c r="PFA54" s="4"/>
      <c r="PFB54" s="4"/>
      <c r="PFC54" s="4"/>
      <c r="PFD54" s="4"/>
      <c r="PFE54" s="4"/>
      <c r="PFF54" s="4"/>
      <c r="PFG54" s="4"/>
      <c r="PFH54" s="4"/>
      <c r="PFI54" s="4"/>
      <c r="PFJ54" s="4"/>
      <c r="PFK54" s="4"/>
      <c r="PFL54" s="4"/>
      <c r="PFM54" s="4"/>
      <c r="PFN54" s="4"/>
      <c r="PFO54" s="4"/>
      <c r="PFP54" s="4"/>
      <c r="PFQ54" s="4"/>
      <c r="PFR54" s="4"/>
      <c r="PFS54" s="4"/>
      <c r="PFT54" s="4"/>
      <c r="PFU54" s="4"/>
      <c r="PFV54" s="4"/>
      <c r="PFW54" s="4"/>
      <c r="PFX54" s="4"/>
      <c r="PFY54" s="4"/>
      <c r="PFZ54" s="4"/>
      <c r="PGA54" s="4"/>
      <c r="PGB54" s="4"/>
      <c r="PGC54" s="4"/>
      <c r="PGD54" s="4"/>
      <c r="PGE54" s="4"/>
      <c r="PGF54" s="4"/>
      <c r="PGG54" s="4"/>
      <c r="PGH54" s="4"/>
      <c r="PGI54" s="4"/>
      <c r="PGJ54" s="4"/>
      <c r="PGK54" s="4"/>
      <c r="PGL54" s="4"/>
      <c r="PGM54" s="4"/>
      <c r="PGN54" s="4"/>
      <c r="PGO54" s="4"/>
      <c r="PGP54" s="4"/>
      <c r="PGQ54" s="4"/>
      <c r="PGR54" s="4"/>
      <c r="PGS54" s="4"/>
      <c r="PGT54" s="4"/>
      <c r="PGU54" s="4"/>
      <c r="PGV54" s="4"/>
      <c r="PGW54" s="4"/>
      <c r="PGX54" s="4"/>
      <c r="PGY54" s="4"/>
      <c r="PGZ54" s="4"/>
      <c r="PHA54" s="4"/>
      <c r="PHB54" s="4"/>
      <c r="PHC54" s="4"/>
      <c r="PHD54" s="4"/>
      <c r="PHE54" s="4"/>
      <c r="PHF54" s="4"/>
      <c r="PHG54" s="4"/>
      <c r="PHH54" s="4"/>
      <c r="PHI54" s="4"/>
      <c r="PHJ54" s="4"/>
      <c r="PHK54" s="4"/>
      <c r="PHL54" s="4"/>
      <c r="PHM54" s="4"/>
      <c r="PHN54" s="4"/>
      <c r="PHO54" s="4"/>
      <c r="PHP54" s="4"/>
      <c r="PHQ54" s="4"/>
      <c r="PHR54" s="4"/>
      <c r="PHS54" s="4"/>
      <c r="PHT54" s="4"/>
      <c r="PHU54" s="4"/>
      <c r="PHV54" s="4"/>
      <c r="PHW54" s="4"/>
      <c r="PHX54" s="4"/>
      <c r="PHY54" s="4"/>
      <c r="PHZ54" s="4"/>
      <c r="PIA54" s="4"/>
      <c r="PIB54" s="4"/>
      <c r="PIC54" s="4"/>
      <c r="PID54" s="4"/>
      <c r="PIE54" s="4"/>
      <c r="PIF54" s="4"/>
      <c r="PIG54" s="4"/>
      <c r="PIH54" s="4"/>
      <c r="PII54" s="4"/>
      <c r="PIJ54" s="4"/>
      <c r="PIK54" s="4"/>
      <c r="PIL54" s="4"/>
      <c r="PIM54" s="4"/>
      <c r="PIN54" s="4"/>
      <c r="PIO54" s="4"/>
      <c r="PIP54" s="4"/>
      <c r="PIQ54" s="4"/>
      <c r="PIR54" s="4"/>
      <c r="PIS54" s="4"/>
      <c r="PIT54" s="4"/>
      <c r="PIU54" s="4"/>
      <c r="PIV54" s="4"/>
      <c r="PIW54" s="4"/>
      <c r="PIX54" s="4"/>
      <c r="PIY54" s="4"/>
      <c r="PIZ54" s="4"/>
      <c r="PJA54" s="4"/>
      <c r="PJB54" s="4"/>
      <c r="PJC54" s="4"/>
      <c r="PJD54" s="4"/>
      <c r="PJE54" s="4"/>
      <c r="PJF54" s="4"/>
      <c r="PJG54" s="4"/>
      <c r="PJH54" s="4"/>
      <c r="PJI54" s="4"/>
      <c r="PJJ54" s="4"/>
      <c r="PJK54" s="4"/>
      <c r="PJL54" s="4"/>
      <c r="PJM54" s="4"/>
      <c r="PJN54" s="4"/>
      <c r="PJO54" s="4"/>
      <c r="PJP54" s="4"/>
      <c r="PJQ54" s="4"/>
      <c r="PJR54" s="4"/>
      <c r="PJS54" s="4"/>
      <c r="PJT54" s="4"/>
      <c r="PJU54" s="4"/>
      <c r="PJV54" s="4"/>
      <c r="PJW54" s="4"/>
      <c r="PJX54" s="4"/>
      <c r="PJY54" s="4"/>
      <c r="PJZ54" s="4"/>
      <c r="PKA54" s="4"/>
      <c r="PKB54" s="4"/>
      <c r="PKC54" s="4"/>
      <c r="PKD54" s="4"/>
      <c r="PKE54" s="4"/>
      <c r="PKF54" s="4"/>
      <c r="PKG54" s="4"/>
      <c r="PKH54" s="4"/>
      <c r="PKI54" s="4"/>
      <c r="PKJ54" s="4"/>
      <c r="PKK54" s="4"/>
      <c r="PKL54" s="4"/>
      <c r="PKM54" s="4"/>
      <c r="PKN54" s="4"/>
      <c r="PKO54" s="4"/>
      <c r="PKP54" s="4"/>
      <c r="PKQ54" s="4"/>
      <c r="PKR54" s="4"/>
      <c r="PKS54" s="4"/>
      <c r="PKT54" s="4"/>
      <c r="PKU54" s="4"/>
      <c r="PKV54" s="4"/>
      <c r="PKW54" s="4"/>
      <c r="PKX54" s="4"/>
      <c r="PKY54" s="4"/>
      <c r="PKZ54" s="4"/>
      <c r="PLA54" s="4"/>
      <c r="PLB54" s="4"/>
      <c r="PLC54" s="4"/>
      <c r="PLD54" s="4"/>
      <c r="PLE54" s="4"/>
      <c r="PLF54" s="4"/>
      <c r="PLG54" s="4"/>
      <c r="PLH54" s="4"/>
      <c r="PLI54" s="4"/>
      <c r="PLJ54" s="4"/>
      <c r="PLK54" s="4"/>
      <c r="PLL54" s="4"/>
      <c r="PLM54" s="4"/>
      <c r="PLN54" s="4"/>
      <c r="PLO54" s="4"/>
      <c r="PLP54" s="4"/>
      <c r="PLQ54" s="4"/>
      <c r="PLR54" s="4"/>
      <c r="PLS54" s="4"/>
      <c r="PLT54" s="4"/>
      <c r="PLU54" s="4"/>
      <c r="PLV54" s="4"/>
      <c r="PLW54" s="4"/>
      <c r="PLX54" s="4"/>
      <c r="PLY54" s="4"/>
      <c r="PLZ54" s="4"/>
      <c r="PMA54" s="4"/>
      <c r="PMB54" s="4"/>
      <c r="PMC54" s="4"/>
      <c r="PMD54" s="4"/>
      <c r="PME54" s="4"/>
      <c r="PMF54" s="4"/>
      <c r="PMG54" s="4"/>
      <c r="PMH54" s="4"/>
      <c r="PMI54" s="4"/>
      <c r="PMJ54" s="4"/>
      <c r="PMK54" s="4"/>
      <c r="PML54" s="4"/>
      <c r="PMM54" s="4"/>
      <c r="PMN54" s="4"/>
      <c r="PMO54" s="4"/>
      <c r="PMP54" s="4"/>
      <c r="PMQ54" s="4"/>
      <c r="PMR54" s="4"/>
      <c r="PMS54" s="4"/>
      <c r="PMT54" s="4"/>
      <c r="PMU54" s="4"/>
      <c r="PMV54" s="4"/>
      <c r="PMW54" s="4"/>
      <c r="PMX54" s="4"/>
      <c r="PMY54" s="4"/>
      <c r="PMZ54" s="4"/>
      <c r="PNA54" s="4"/>
      <c r="PNB54" s="4"/>
      <c r="PNC54" s="4"/>
      <c r="PND54" s="4"/>
      <c r="PNE54" s="4"/>
      <c r="PNF54" s="4"/>
      <c r="PNG54" s="4"/>
      <c r="PNH54" s="4"/>
      <c r="PNI54" s="4"/>
      <c r="PNJ54" s="4"/>
      <c r="PNK54" s="4"/>
      <c r="PNL54" s="4"/>
      <c r="PNM54" s="4"/>
      <c r="PNN54" s="4"/>
      <c r="PNO54" s="4"/>
      <c r="PNP54" s="4"/>
      <c r="PNQ54" s="4"/>
      <c r="PNR54" s="4"/>
      <c r="PNS54" s="4"/>
      <c r="PNT54" s="4"/>
      <c r="PNU54" s="4"/>
      <c r="PNV54" s="4"/>
      <c r="PNW54" s="4"/>
      <c r="PNX54" s="4"/>
      <c r="PNY54" s="4"/>
      <c r="PNZ54" s="4"/>
      <c r="POA54" s="4"/>
      <c r="POB54" s="4"/>
      <c r="POC54" s="4"/>
      <c r="POD54" s="4"/>
      <c r="POE54" s="4"/>
      <c r="POF54" s="4"/>
      <c r="POG54" s="4"/>
      <c r="POH54" s="4"/>
      <c r="POI54" s="4"/>
      <c r="POJ54" s="4"/>
      <c r="POK54" s="4"/>
      <c r="POL54" s="4"/>
      <c r="POM54" s="4"/>
      <c r="PON54" s="4"/>
      <c r="POO54" s="4"/>
      <c r="POP54" s="4"/>
      <c r="POQ54" s="4"/>
      <c r="POR54" s="4"/>
      <c r="POS54" s="4"/>
      <c r="POT54" s="4"/>
      <c r="POU54" s="4"/>
      <c r="POV54" s="4"/>
      <c r="POW54" s="4"/>
      <c r="POX54" s="4"/>
      <c r="POY54" s="4"/>
      <c r="POZ54" s="4"/>
      <c r="PPA54" s="4"/>
      <c r="PPB54" s="4"/>
      <c r="PPC54" s="4"/>
      <c r="PPD54" s="4"/>
      <c r="PPE54" s="4"/>
      <c r="PPF54" s="4"/>
      <c r="PPG54" s="4"/>
      <c r="PPH54" s="4"/>
      <c r="PPI54" s="4"/>
      <c r="PPJ54" s="4"/>
      <c r="PPK54" s="4"/>
      <c r="PPL54" s="4"/>
      <c r="PPM54" s="4"/>
      <c r="PPN54" s="4"/>
      <c r="PPO54" s="4"/>
      <c r="PPP54" s="4"/>
      <c r="PPQ54" s="4"/>
      <c r="PPR54" s="4"/>
      <c r="PPS54" s="4"/>
      <c r="PPT54" s="4"/>
      <c r="PPU54" s="4"/>
      <c r="PPV54" s="4"/>
      <c r="PPW54" s="4"/>
      <c r="PPX54" s="4"/>
      <c r="PPY54" s="4"/>
      <c r="PPZ54" s="4"/>
      <c r="PQA54" s="4"/>
      <c r="PQB54" s="4"/>
      <c r="PQC54" s="4"/>
      <c r="PQD54" s="4"/>
      <c r="PQE54" s="4"/>
      <c r="PQF54" s="4"/>
      <c r="PQG54" s="4"/>
      <c r="PQH54" s="4"/>
      <c r="PQI54" s="4"/>
      <c r="PQJ54" s="4"/>
      <c r="PQK54" s="4"/>
      <c r="PQL54" s="4"/>
      <c r="PQM54" s="4"/>
      <c r="PQN54" s="4"/>
      <c r="PQO54" s="4"/>
      <c r="PQP54" s="4"/>
      <c r="PQQ54" s="4"/>
      <c r="PQR54" s="4"/>
      <c r="PQS54" s="4"/>
      <c r="PQT54" s="4"/>
      <c r="PQU54" s="4"/>
      <c r="PQV54" s="4"/>
      <c r="PQW54" s="4"/>
      <c r="PQX54" s="4"/>
      <c r="PQY54" s="4"/>
      <c r="PQZ54" s="4"/>
      <c r="PRA54" s="4"/>
      <c r="PRB54" s="4"/>
      <c r="PRC54" s="4"/>
      <c r="PRD54" s="4"/>
      <c r="PRE54" s="4"/>
      <c r="PRF54" s="4"/>
      <c r="PRG54" s="4"/>
      <c r="PRH54" s="4"/>
      <c r="PRI54" s="4"/>
      <c r="PRJ54" s="4"/>
      <c r="PRK54" s="4"/>
      <c r="PRL54" s="4"/>
      <c r="PRM54" s="4"/>
      <c r="PRN54" s="4"/>
      <c r="PRO54" s="4"/>
      <c r="PRP54" s="4"/>
      <c r="PRQ54" s="4"/>
      <c r="PRR54" s="4"/>
      <c r="PRS54" s="4"/>
      <c r="PRT54" s="4"/>
      <c r="PRU54" s="4"/>
      <c r="PRV54" s="4"/>
      <c r="PRW54" s="4"/>
      <c r="PRX54" s="4"/>
      <c r="PRY54" s="4"/>
      <c r="PRZ54" s="4"/>
      <c r="PSA54" s="4"/>
      <c r="PSB54" s="4"/>
      <c r="PSC54" s="4"/>
      <c r="PSD54" s="4"/>
      <c r="PSE54" s="4"/>
      <c r="PSF54" s="4"/>
      <c r="PSG54" s="4"/>
      <c r="PSH54" s="4"/>
      <c r="PSI54" s="4"/>
      <c r="PSJ54" s="4"/>
      <c r="PSK54" s="4"/>
      <c r="PSL54" s="4"/>
      <c r="PSM54" s="4"/>
      <c r="PSN54" s="4"/>
      <c r="PSO54" s="4"/>
      <c r="PSP54" s="4"/>
      <c r="PSQ54" s="4"/>
      <c r="PSR54" s="4"/>
      <c r="PSS54" s="4"/>
      <c r="PST54" s="4"/>
      <c r="PSU54" s="4"/>
      <c r="PSV54" s="4"/>
      <c r="PSW54" s="4"/>
      <c r="PSX54" s="4"/>
      <c r="PSY54" s="4"/>
      <c r="PSZ54" s="4"/>
      <c r="PTA54" s="4"/>
      <c r="PTB54" s="4"/>
      <c r="PTC54" s="4"/>
      <c r="PTD54" s="4"/>
      <c r="PTE54" s="4"/>
      <c r="PTF54" s="4"/>
      <c r="PTG54" s="4"/>
      <c r="PTH54" s="4"/>
      <c r="PTI54" s="4"/>
      <c r="PTJ54" s="4"/>
      <c r="PTK54" s="4"/>
      <c r="PTL54" s="4"/>
      <c r="PTM54" s="4"/>
      <c r="PTN54" s="4"/>
      <c r="PTO54" s="4"/>
      <c r="PTP54" s="4"/>
      <c r="PTQ54" s="4"/>
      <c r="PTR54" s="4"/>
      <c r="PTS54" s="4"/>
      <c r="PTT54" s="4"/>
      <c r="PTU54" s="4"/>
      <c r="PTV54" s="4"/>
      <c r="PTW54" s="4"/>
      <c r="PTX54" s="4"/>
      <c r="PTY54" s="4"/>
      <c r="PTZ54" s="4"/>
      <c r="PUA54" s="4"/>
      <c r="PUB54" s="4"/>
      <c r="PUC54" s="4"/>
      <c r="PUD54" s="4"/>
      <c r="PUE54" s="4"/>
      <c r="PUF54" s="4"/>
      <c r="PUG54" s="4"/>
      <c r="PUH54" s="4"/>
      <c r="PUI54" s="4"/>
      <c r="PUJ54" s="4"/>
      <c r="PUK54" s="4"/>
      <c r="PUL54" s="4"/>
      <c r="PUM54" s="4"/>
      <c r="PUN54" s="4"/>
      <c r="PUO54" s="4"/>
      <c r="PUP54" s="4"/>
      <c r="PUQ54" s="4"/>
      <c r="PUR54" s="4"/>
      <c r="PUS54" s="4"/>
      <c r="PUT54" s="4"/>
      <c r="PUU54" s="4"/>
      <c r="PUV54" s="4"/>
      <c r="PUW54" s="4"/>
      <c r="PUX54" s="4"/>
      <c r="PUY54" s="4"/>
      <c r="PUZ54" s="4"/>
      <c r="PVA54" s="4"/>
      <c r="PVB54" s="4"/>
      <c r="PVC54" s="4"/>
      <c r="PVD54" s="4"/>
      <c r="PVE54" s="4"/>
      <c r="PVF54" s="4"/>
      <c r="PVG54" s="4"/>
      <c r="PVH54" s="4"/>
      <c r="PVI54" s="4"/>
      <c r="PVJ54" s="4"/>
      <c r="PVK54" s="4"/>
      <c r="PVL54" s="4"/>
      <c r="PVM54" s="4"/>
      <c r="PVN54" s="4"/>
      <c r="PVO54" s="4"/>
      <c r="PVP54" s="4"/>
      <c r="PVQ54" s="4"/>
      <c r="PVR54" s="4"/>
      <c r="PVS54" s="4"/>
      <c r="PVT54" s="4"/>
      <c r="PVU54" s="4"/>
      <c r="PVV54" s="4"/>
      <c r="PVW54" s="4"/>
      <c r="PVX54" s="4"/>
      <c r="PVY54" s="4"/>
      <c r="PVZ54" s="4"/>
      <c r="PWA54" s="4"/>
      <c r="PWB54" s="4"/>
      <c r="PWC54" s="4"/>
      <c r="PWD54" s="4"/>
      <c r="PWE54" s="4"/>
      <c r="PWF54" s="4"/>
      <c r="PWG54" s="4"/>
      <c r="PWH54" s="4"/>
      <c r="PWI54" s="4"/>
      <c r="PWJ54" s="4"/>
      <c r="PWK54" s="4"/>
      <c r="PWL54" s="4"/>
      <c r="PWM54" s="4"/>
      <c r="PWN54" s="4"/>
      <c r="PWO54" s="4"/>
      <c r="PWP54" s="4"/>
      <c r="PWQ54" s="4"/>
      <c r="PWR54" s="4"/>
      <c r="PWS54" s="4"/>
      <c r="PWT54" s="4"/>
      <c r="PWU54" s="4"/>
      <c r="PWV54" s="4"/>
      <c r="PWW54" s="4"/>
      <c r="PWX54" s="4"/>
      <c r="PWY54" s="4"/>
      <c r="PWZ54" s="4"/>
      <c r="PXA54" s="4"/>
      <c r="PXB54" s="4"/>
      <c r="PXC54" s="4"/>
      <c r="PXD54" s="4"/>
      <c r="PXE54" s="4"/>
      <c r="PXF54" s="4"/>
      <c r="PXG54" s="4"/>
      <c r="PXH54" s="4"/>
      <c r="PXI54" s="4"/>
      <c r="PXJ54" s="4"/>
      <c r="PXK54" s="4"/>
      <c r="PXL54" s="4"/>
      <c r="PXM54" s="4"/>
      <c r="PXN54" s="4"/>
      <c r="PXO54" s="4"/>
      <c r="PXP54" s="4"/>
      <c r="PXQ54" s="4"/>
      <c r="PXR54" s="4"/>
      <c r="PXS54" s="4"/>
      <c r="PXT54" s="4"/>
      <c r="PXU54" s="4"/>
      <c r="PXV54" s="4"/>
      <c r="PXW54" s="4"/>
      <c r="PXX54" s="4"/>
      <c r="PXY54" s="4"/>
      <c r="PXZ54" s="4"/>
      <c r="PYA54" s="4"/>
      <c r="PYB54" s="4"/>
      <c r="PYC54" s="4"/>
      <c r="PYD54" s="4"/>
      <c r="PYE54" s="4"/>
      <c r="PYF54" s="4"/>
      <c r="PYG54" s="4"/>
      <c r="PYH54" s="4"/>
      <c r="PYI54" s="4"/>
      <c r="PYJ54" s="4"/>
      <c r="PYK54" s="4"/>
      <c r="PYL54" s="4"/>
      <c r="PYM54" s="4"/>
      <c r="PYN54" s="4"/>
      <c r="PYO54" s="4"/>
      <c r="PYP54" s="4"/>
      <c r="PYQ54" s="4"/>
      <c r="PYR54" s="4"/>
      <c r="PYS54" s="4"/>
      <c r="PYT54" s="4"/>
      <c r="PYU54" s="4"/>
      <c r="PYV54" s="4"/>
      <c r="PYW54" s="4"/>
      <c r="PYX54" s="4"/>
      <c r="PYY54" s="4"/>
      <c r="PYZ54" s="4"/>
      <c r="PZA54" s="4"/>
      <c r="PZB54" s="4"/>
      <c r="PZC54" s="4"/>
      <c r="PZD54" s="4"/>
      <c r="PZE54" s="4"/>
      <c r="PZF54" s="4"/>
      <c r="PZG54" s="4"/>
      <c r="PZH54" s="4"/>
      <c r="PZI54" s="4"/>
      <c r="PZJ54" s="4"/>
      <c r="PZK54" s="4"/>
      <c r="PZL54" s="4"/>
      <c r="PZM54" s="4"/>
      <c r="PZN54" s="4"/>
      <c r="PZO54" s="4"/>
      <c r="PZP54" s="4"/>
      <c r="PZQ54" s="4"/>
      <c r="PZR54" s="4"/>
      <c r="PZS54" s="4"/>
      <c r="PZT54" s="4"/>
      <c r="PZU54" s="4"/>
      <c r="PZV54" s="4"/>
      <c r="PZW54" s="4"/>
      <c r="PZX54" s="4"/>
      <c r="PZY54" s="4"/>
      <c r="PZZ54" s="4"/>
      <c r="QAA54" s="4"/>
      <c r="QAB54" s="4"/>
      <c r="QAC54" s="4"/>
      <c r="QAD54" s="4"/>
      <c r="QAE54" s="4"/>
      <c r="QAF54" s="4"/>
      <c r="QAG54" s="4"/>
      <c r="QAH54" s="4"/>
      <c r="QAI54" s="4"/>
      <c r="QAJ54" s="4"/>
      <c r="QAK54" s="4"/>
      <c r="QAL54" s="4"/>
      <c r="QAM54" s="4"/>
      <c r="QAN54" s="4"/>
      <c r="QAO54" s="4"/>
      <c r="QAP54" s="4"/>
      <c r="QAQ54" s="4"/>
      <c r="QAR54" s="4"/>
      <c r="QAS54" s="4"/>
      <c r="QAT54" s="4"/>
      <c r="QAU54" s="4"/>
      <c r="QAV54" s="4"/>
      <c r="QAW54" s="4"/>
      <c r="QAX54" s="4"/>
      <c r="QAY54" s="4"/>
      <c r="QAZ54" s="4"/>
      <c r="QBA54" s="4"/>
      <c r="QBB54" s="4"/>
      <c r="QBC54" s="4"/>
      <c r="QBD54" s="4"/>
      <c r="QBE54" s="4"/>
      <c r="QBF54" s="4"/>
      <c r="QBG54" s="4"/>
      <c r="QBH54" s="4"/>
      <c r="QBI54" s="4"/>
      <c r="QBJ54" s="4"/>
      <c r="QBK54" s="4"/>
      <c r="QBL54" s="4"/>
      <c r="QBM54" s="4"/>
      <c r="QBN54" s="4"/>
      <c r="QBO54" s="4"/>
      <c r="QBP54" s="4"/>
      <c r="QBQ54" s="4"/>
      <c r="QBR54" s="4"/>
      <c r="QBS54" s="4"/>
      <c r="QBT54" s="4"/>
      <c r="QBU54" s="4"/>
      <c r="QBV54" s="4"/>
      <c r="QBW54" s="4"/>
      <c r="QBX54" s="4"/>
      <c r="QBY54" s="4"/>
      <c r="QBZ54" s="4"/>
      <c r="QCA54" s="4"/>
      <c r="QCB54" s="4"/>
      <c r="QCC54" s="4"/>
      <c r="QCD54" s="4"/>
      <c r="QCE54" s="4"/>
      <c r="QCF54" s="4"/>
      <c r="QCG54" s="4"/>
      <c r="QCH54" s="4"/>
      <c r="QCI54" s="4"/>
      <c r="QCJ54" s="4"/>
      <c r="QCK54" s="4"/>
      <c r="QCL54" s="4"/>
      <c r="QCM54" s="4"/>
      <c r="QCN54" s="4"/>
      <c r="QCO54" s="4"/>
      <c r="QCP54" s="4"/>
      <c r="QCQ54" s="4"/>
      <c r="QCR54" s="4"/>
      <c r="QCS54" s="4"/>
      <c r="QCT54" s="4"/>
      <c r="QCU54" s="4"/>
      <c r="QCV54" s="4"/>
      <c r="QCW54" s="4"/>
      <c r="QCX54" s="4"/>
      <c r="QCY54" s="4"/>
      <c r="QCZ54" s="4"/>
      <c r="QDA54" s="4"/>
      <c r="QDB54" s="4"/>
      <c r="QDC54" s="4"/>
      <c r="QDD54" s="4"/>
      <c r="QDE54" s="4"/>
      <c r="QDF54" s="4"/>
      <c r="QDG54" s="4"/>
      <c r="QDH54" s="4"/>
      <c r="QDI54" s="4"/>
      <c r="QDJ54" s="4"/>
      <c r="QDK54" s="4"/>
      <c r="QDL54" s="4"/>
      <c r="QDM54" s="4"/>
      <c r="QDN54" s="4"/>
      <c r="QDO54" s="4"/>
      <c r="QDP54" s="4"/>
      <c r="QDQ54" s="4"/>
      <c r="QDR54" s="4"/>
      <c r="QDS54" s="4"/>
      <c r="QDT54" s="4"/>
      <c r="QDU54" s="4"/>
      <c r="QDV54" s="4"/>
      <c r="QDW54" s="4"/>
      <c r="QDX54" s="4"/>
      <c r="QDY54" s="4"/>
      <c r="QDZ54" s="4"/>
      <c r="QEA54" s="4"/>
      <c r="QEB54" s="4"/>
      <c r="QEC54" s="4"/>
      <c r="QED54" s="4"/>
      <c r="QEE54" s="4"/>
      <c r="QEF54" s="4"/>
      <c r="QEG54" s="4"/>
      <c r="QEH54" s="4"/>
      <c r="QEI54" s="4"/>
      <c r="QEJ54" s="4"/>
      <c r="QEK54" s="4"/>
      <c r="QEL54" s="4"/>
      <c r="QEM54" s="4"/>
      <c r="QEN54" s="4"/>
      <c r="QEO54" s="4"/>
      <c r="QEP54" s="4"/>
      <c r="QEQ54" s="4"/>
      <c r="QER54" s="4"/>
      <c r="QES54" s="4"/>
      <c r="QET54" s="4"/>
      <c r="QEU54" s="4"/>
      <c r="QEV54" s="4"/>
      <c r="QEW54" s="4"/>
      <c r="QEX54" s="4"/>
      <c r="QEY54" s="4"/>
      <c r="QEZ54" s="4"/>
      <c r="QFA54" s="4"/>
      <c r="QFB54" s="4"/>
      <c r="QFC54" s="4"/>
      <c r="QFD54" s="4"/>
      <c r="QFE54" s="4"/>
      <c r="QFF54" s="4"/>
      <c r="QFG54" s="4"/>
      <c r="QFH54" s="4"/>
      <c r="QFI54" s="4"/>
      <c r="QFJ54" s="4"/>
      <c r="QFK54" s="4"/>
      <c r="QFL54" s="4"/>
      <c r="QFM54" s="4"/>
      <c r="QFN54" s="4"/>
      <c r="QFO54" s="4"/>
      <c r="QFP54" s="4"/>
      <c r="QFQ54" s="4"/>
      <c r="QFR54" s="4"/>
      <c r="QFS54" s="4"/>
      <c r="QFT54" s="4"/>
      <c r="QFU54" s="4"/>
      <c r="QFV54" s="4"/>
      <c r="QFW54" s="4"/>
      <c r="QFX54" s="4"/>
      <c r="QFY54" s="4"/>
      <c r="QFZ54" s="4"/>
      <c r="QGA54" s="4"/>
      <c r="QGB54" s="4"/>
      <c r="QGC54" s="4"/>
      <c r="QGD54" s="4"/>
      <c r="QGE54" s="4"/>
      <c r="QGF54" s="4"/>
      <c r="QGG54" s="4"/>
      <c r="QGH54" s="4"/>
      <c r="QGI54" s="4"/>
      <c r="QGJ54" s="4"/>
      <c r="QGK54" s="4"/>
      <c r="QGL54" s="4"/>
      <c r="QGM54" s="4"/>
      <c r="QGN54" s="4"/>
      <c r="QGO54" s="4"/>
      <c r="QGP54" s="4"/>
      <c r="QGQ54" s="4"/>
      <c r="QGR54" s="4"/>
      <c r="QGS54" s="4"/>
      <c r="QGT54" s="4"/>
      <c r="QGU54" s="4"/>
      <c r="QGV54" s="4"/>
      <c r="QGW54" s="4"/>
      <c r="QGX54" s="4"/>
      <c r="QGY54" s="4"/>
      <c r="QGZ54" s="4"/>
      <c r="QHA54" s="4"/>
      <c r="QHB54" s="4"/>
      <c r="QHC54" s="4"/>
      <c r="QHD54" s="4"/>
      <c r="QHE54" s="4"/>
      <c r="QHF54" s="4"/>
      <c r="QHG54" s="4"/>
      <c r="QHH54" s="4"/>
      <c r="QHI54" s="4"/>
      <c r="QHJ54" s="4"/>
      <c r="QHK54" s="4"/>
      <c r="QHL54" s="4"/>
      <c r="QHM54" s="4"/>
      <c r="QHN54" s="4"/>
      <c r="QHO54" s="4"/>
      <c r="QHP54" s="4"/>
      <c r="QHQ54" s="4"/>
      <c r="QHR54" s="4"/>
      <c r="QHS54" s="4"/>
      <c r="QHT54" s="4"/>
      <c r="QHU54" s="4"/>
      <c r="QHV54" s="4"/>
      <c r="QHW54" s="4"/>
      <c r="QHX54" s="4"/>
      <c r="QHY54" s="4"/>
      <c r="QHZ54" s="4"/>
      <c r="QIA54" s="4"/>
      <c r="QIB54" s="4"/>
      <c r="QIC54" s="4"/>
      <c r="QID54" s="4"/>
      <c r="QIE54" s="4"/>
      <c r="QIF54" s="4"/>
      <c r="QIG54" s="4"/>
      <c r="QIH54" s="4"/>
      <c r="QII54" s="4"/>
      <c r="QIJ54" s="4"/>
      <c r="QIK54" s="4"/>
      <c r="QIL54" s="4"/>
      <c r="QIM54" s="4"/>
      <c r="QIN54" s="4"/>
      <c r="QIO54" s="4"/>
      <c r="QIP54" s="4"/>
      <c r="QIQ54" s="4"/>
      <c r="QIR54" s="4"/>
      <c r="QIS54" s="4"/>
      <c r="QIT54" s="4"/>
      <c r="QIU54" s="4"/>
      <c r="QIV54" s="4"/>
      <c r="QIW54" s="4"/>
      <c r="QIX54" s="4"/>
      <c r="QIY54" s="4"/>
      <c r="QIZ54" s="4"/>
      <c r="QJA54" s="4"/>
      <c r="QJB54" s="4"/>
      <c r="QJC54" s="4"/>
      <c r="QJD54" s="4"/>
      <c r="QJE54" s="4"/>
      <c r="QJF54" s="4"/>
      <c r="QJG54" s="4"/>
      <c r="QJH54" s="4"/>
      <c r="QJI54" s="4"/>
      <c r="QJJ54" s="4"/>
      <c r="QJK54" s="4"/>
      <c r="QJL54" s="4"/>
      <c r="QJM54" s="4"/>
      <c r="QJN54" s="4"/>
      <c r="QJO54" s="4"/>
      <c r="QJP54" s="4"/>
      <c r="QJQ54" s="4"/>
      <c r="QJR54" s="4"/>
      <c r="QJS54" s="4"/>
      <c r="QJT54" s="4"/>
      <c r="QJU54" s="4"/>
      <c r="QJV54" s="4"/>
      <c r="QJW54" s="4"/>
      <c r="QJX54" s="4"/>
      <c r="QJY54" s="4"/>
      <c r="QJZ54" s="4"/>
      <c r="QKA54" s="4"/>
      <c r="QKB54" s="4"/>
      <c r="QKC54" s="4"/>
      <c r="QKD54" s="4"/>
      <c r="QKE54" s="4"/>
      <c r="QKF54" s="4"/>
      <c r="QKG54" s="4"/>
      <c r="QKH54" s="4"/>
      <c r="QKI54" s="4"/>
      <c r="QKJ54" s="4"/>
      <c r="QKK54" s="4"/>
      <c r="QKL54" s="4"/>
      <c r="QKM54" s="4"/>
      <c r="QKN54" s="4"/>
      <c r="QKO54" s="4"/>
      <c r="QKP54" s="4"/>
      <c r="QKQ54" s="4"/>
      <c r="QKR54" s="4"/>
      <c r="QKS54" s="4"/>
      <c r="QKT54" s="4"/>
      <c r="QKU54" s="4"/>
      <c r="QKV54" s="4"/>
      <c r="QKW54" s="4"/>
      <c r="QKX54" s="4"/>
      <c r="QKY54" s="4"/>
      <c r="QKZ54" s="4"/>
      <c r="QLA54" s="4"/>
      <c r="QLB54" s="4"/>
      <c r="QLC54" s="4"/>
      <c r="QLD54" s="4"/>
      <c r="QLE54" s="4"/>
      <c r="QLF54" s="4"/>
      <c r="QLG54" s="4"/>
      <c r="QLH54" s="4"/>
      <c r="QLI54" s="4"/>
      <c r="QLJ54" s="4"/>
      <c r="QLK54" s="4"/>
      <c r="QLL54" s="4"/>
      <c r="QLM54" s="4"/>
      <c r="QLN54" s="4"/>
      <c r="QLO54" s="4"/>
      <c r="QLP54" s="4"/>
      <c r="QLQ54" s="4"/>
      <c r="QLR54" s="4"/>
      <c r="QLS54" s="4"/>
      <c r="QLT54" s="4"/>
      <c r="QLU54" s="4"/>
      <c r="QLV54" s="4"/>
      <c r="QLW54" s="4"/>
      <c r="QLX54" s="4"/>
      <c r="QLY54" s="4"/>
      <c r="QLZ54" s="4"/>
      <c r="QMA54" s="4"/>
      <c r="QMB54" s="4"/>
      <c r="QMC54" s="4"/>
      <c r="QMD54" s="4"/>
      <c r="QME54" s="4"/>
      <c r="QMF54" s="4"/>
      <c r="QMG54" s="4"/>
      <c r="QMH54" s="4"/>
      <c r="QMI54" s="4"/>
      <c r="QMJ54" s="4"/>
      <c r="QMK54" s="4"/>
      <c r="QML54" s="4"/>
      <c r="QMM54" s="4"/>
      <c r="QMN54" s="4"/>
      <c r="QMO54" s="4"/>
      <c r="QMP54" s="4"/>
      <c r="QMQ54" s="4"/>
      <c r="QMR54" s="4"/>
      <c r="QMS54" s="4"/>
      <c r="QMT54" s="4"/>
      <c r="QMU54" s="4"/>
      <c r="QMV54" s="4"/>
      <c r="QMW54" s="4"/>
      <c r="QMX54" s="4"/>
      <c r="QMY54" s="4"/>
      <c r="QMZ54" s="4"/>
      <c r="QNA54" s="4"/>
      <c r="QNB54" s="4"/>
      <c r="QNC54" s="4"/>
      <c r="QND54" s="4"/>
      <c r="QNE54" s="4"/>
      <c r="QNF54" s="4"/>
      <c r="QNG54" s="4"/>
      <c r="QNH54" s="4"/>
      <c r="QNI54" s="4"/>
      <c r="QNJ54" s="4"/>
      <c r="QNK54" s="4"/>
      <c r="QNL54" s="4"/>
      <c r="QNM54" s="4"/>
      <c r="QNN54" s="4"/>
      <c r="QNO54" s="4"/>
      <c r="QNP54" s="4"/>
      <c r="QNQ54" s="4"/>
      <c r="QNR54" s="4"/>
      <c r="QNS54" s="4"/>
      <c r="QNT54" s="4"/>
      <c r="QNU54" s="4"/>
      <c r="QNV54" s="4"/>
      <c r="QNW54" s="4"/>
      <c r="QNX54" s="4"/>
      <c r="QNY54" s="4"/>
      <c r="QNZ54" s="4"/>
      <c r="QOA54" s="4"/>
      <c r="QOB54" s="4"/>
      <c r="QOC54" s="4"/>
      <c r="QOD54" s="4"/>
      <c r="QOE54" s="4"/>
      <c r="QOF54" s="4"/>
      <c r="QOG54" s="4"/>
      <c r="QOH54" s="4"/>
      <c r="QOI54" s="4"/>
      <c r="QOJ54" s="4"/>
      <c r="QOK54" s="4"/>
      <c r="QOL54" s="4"/>
      <c r="QOM54" s="4"/>
      <c r="QON54" s="4"/>
      <c r="QOO54" s="4"/>
      <c r="QOP54" s="4"/>
      <c r="QOQ54" s="4"/>
      <c r="QOR54" s="4"/>
      <c r="QOS54" s="4"/>
      <c r="QOT54" s="4"/>
      <c r="QOU54" s="4"/>
      <c r="QOV54" s="4"/>
      <c r="QOW54" s="4"/>
      <c r="QOX54" s="4"/>
      <c r="QOY54" s="4"/>
      <c r="QOZ54" s="4"/>
      <c r="QPA54" s="4"/>
      <c r="QPB54" s="4"/>
      <c r="QPC54" s="4"/>
      <c r="QPD54" s="4"/>
      <c r="QPE54" s="4"/>
      <c r="QPF54" s="4"/>
      <c r="QPG54" s="4"/>
      <c r="QPH54" s="4"/>
      <c r="QPI54" s="4"/>
      <c r="QPJ54" s="4"/>
      <c r="QPK54" s="4"/>
      <c r="QPL54" s="4"/>
      <c r="QPM54" s="4"/>
      <c r="QPN54" s="4"/>
      <c r="QPO54" s="4"/>
      <c r="QPP54" s="4"/>
      <c r="QPQ54" s="4"/>
      <c r="QPR54" s="4"/>
      <c r="QPS54" s="4"/>
      <c r="QPT54" s="4"/>
      <c r="QPU54" s="4"/>
      <c r="QPV54" s="4"/>
      <c r="QPW54" s="4"/>
      <c r="QPX54" s="4"/>
      <c r="QPY54" s="4"/>
      <c r="QPZ54" s="4"/>
      <c r="QQA54" s="4"/>
      <c r="QQB54" s="4"/>
      <c r="QQC54" s="4"/>
      <c r="QQD54" s="4"/>
      <c r="QQE54" s="4"/>
      <c r="QQF54" s="4"/>
      <c r="QQG54" s="4"/>
      <c r="QQH54" s="4"/>
      <c r="QQI54" s="4"/>
      <c r="QQJ54" s="4"/>
      <c r="QQK54" s="4"/>
      <c r="QQL54" s="4"/>
      <c r="QQM54" s="4"/>
      <c r="QQN54" s="4"/>
      <c r="QQO54" s="4"/>
      <c r="QQP54" s="4"/>
      <c r="QQQ54" s="4"/>
      <c r="QQR54" s="4"/>
      <c r="QQS54" s="4"/>
      <c r="QQT54" s="4"/>
      <c r="QQU54" s="4"/>
      <c r="QQV54" s="4"/>
      <c r="QQW54" s="4"/>
      <c r="QQX54" s="4"/>
      <c r="QQY54" s="4"/>
      <c r="QQZ54" s="4"/>
      <c r="QRA54" s="4"/>
      <c r="QRB54" s="4"/>
      <c r="QRC54" s="4"/>
      <c r="QRD54" s="4"/>
      <c r="QRE54" s="4"/>
      <c r="QRF54" s="4"/>
      <c r="QRG54" s="4"/>
      <c r="QRH54" s="4"/>
      <c r="QRI54" s="4"/>
      <c r="QRJ54" s="4"/>
      <c r="QRK54" s="4"/>
      <c r="QRL54" s="4"/>
      <c r="QRM54" s="4"/>
      <c r="QRN54" s="4"/>
      <c r="QRO54" s="4"/>
      <c r="QRP54" s="4"/>
      <c r="QRQ54" s="4"/>
      <c r="QRR54" s="4"/>
      <c r="QRS54" s="4"/>
      <c r="QRT54" s="4"/>
      <c r="QRU54" s="4"/>
      <c r="QRV54" s="4"/>
      <c r="QRW54" s="4"/>
      <c r="QRX54" s="4"/>
      <c r="QRY54" s="4"/>
      <c r="QRZ54" s="4"/>
      <c r="QSA54" s="4"/>
      <c r="QSB54" s="4"/>
      <c r="QSC54" s="4"/>
      <c r="QSD54" s="4"/>
      <c r="QSE54" s="4"/>
      <c r="QSF54" s="4"/>
      <c r="QSG54" s="4"/>
      <c r="QSH54" s="4"/>
      <c r="QSI54" s="4"/>
      <c r="QSJ54" s="4"/>
      <c r="QSK54" s="4"/>
      <c r="QSL54" s="4"/>
      <c r="QSM54" s="4"/>
      <c r="QSN54" s="4"/>
      <c r="QSO54" s="4"/>
      <c r="QSP54" s="4"/>
      <c r="QSQ54" s="4"/>
      <c r="QSR54" s="4"/>
      <c r="QSS54" s="4"/>
      <c r="QST54" s="4"/>
      <c r="QSU54" s="4"/>
      <c r="QSV54" s="4"/>
      <c r="QSW54" s="4"/>
      <c r="QSX54" s="4"/>
      <c r="QSY54" s="4"/>
      <c r="QSZ54" s="4"/>
      <c r="QTA54" s="4"/>
      <c r="QTB54" s="4"/>
      <c r="QTC54" s="4"/>
      <c r="QTD54" s="4"/>
      <c r="QTE54" s="4"/>
      <c r="QTF54" s="4"/>
      <c r="QTG54" s="4"/>
      <c r="QTH54" s="4"/>
      <c r="QTI54" s="4"/>
      <c r="QTJ54" s="4"/>
      <c r="QTK54" s="4"/>
      <c r="QTL54" s="4"/>
      <c r="QTM54" s="4"/>
      <c r="QTN54" s="4"/>
      <c r="QTO54" s="4"/>
      <c r="QTP54" s="4"/>
      <c r="QTQ54" s="4"/>
      <c r="QTR54" s="4"/>
      <c r="QTS54" s="4"/>
      <c r="QTT54" s="4"/>
      <c r="QTU54" s="4"/>
      <c r="QTV54" s="4"/>
      <c r="QTW54" s="4"/>
      <c r="QTX54" s="4"/>
      <c r="QTY54" s="4"/>
      <c r="QTZ54" s="4"/>
      <c r="QUA54" s="4"/>
      <c r="QUB54" s="4"/>
      <c r="QUC54" s="4"/>
      <c r="QUD54" s="4"/>
      <c r="QUE54" s="4"/>
      <c r="QUF54" s="4"/>
      <c r="QUG54" s="4"/>
      <c r="QUH54" s="4"/>
      <c r="QUI54" s="4"/>
      <c r="QUJ54" s="4"/>
      <c r="QUK54" s="4"/>
      <c r="QUL54" s="4"/>
      <c r="QUM54" s="4"/>
      <c r="QUN54" s="4"/>
      <c r="QUO54" s="4"/>
      <c r="QUP54" s="4"/>
      <c r="QUQ54" s="4"/>
      <c r="QUR54" s="4"/>
      <c r="QUS54" s="4"/>
      <c r="QUT54" s="4"/>
      <c r="QUU54" s="4"/>
      <c r="QUV54" s="4"/>
      <c r="QUW54" s="4"/>
      <c r="QUX54" s="4"/>
      <c r="QUY54" s="4"/>
      <c r="QUZ54" s="4"/>
      <c r="QVA54" s="4"/>
      <c r="QVB54" s="4"/>
      <c r="QVC54" s="4"/>
      <c r="QVD54" s="4"/>
      <c r="QVE54" s="4"/>
      <c r="QVF54" s="4"/>
      <c r="QVG54" s="4"/>
      <c r="QVH54" s="4"/>
      <c r="QVI54" s="4"/>
      <c r="QVJ54" s="4"/>
      <c r="QVK54" s="4"/>
      <c r="QVL54" s="4"/>
      <c r="QVM54" s="4"/>
      <c r="QVN54" s="4"/>
      <c r="QVO54" s="4"/>
      <c r="QVP54" s="4"/>
      <c r="QVQ54" s="4"/>
      <c r="QVR54" s="4"/>
      <c r="QVS54" s="4"/>
      <c r="QVT54" s="4"/>
      <c r="QVU54" s="4"/>
      <c r="QVV54" s="4"/>
      <c r="QVW54" s="4"/>
      <c r="QVX54" s="4"/>
      <c r="QVY54" s="4"/>
      <c r="QVZ54" s="4"/>
      <c r="QWA54" s="4"/>
      <c r="QWB54" s="4"/>
      <c r="QWC54" s="4"/>
      <c r="QWD54" s="4"/>
      <c r="QWE54" s="4"/>
      <c r="QWF54" s="4"/>
      <c r="QWG54" s="4"/>
      <c r="QWH54" s="4"/>
      <c r="QWI54" s="4"/>
      <c r="QWJ54" s="4"/>
      <c r="QWK54" s="4"/>
      <c r="QWL54" s="4"/>
      <c r="QWM54" s="4"/>
      <c r="QWN54" s="4"/>
      <c r="QWO54" s="4"/>
      <c r="QWP54" s="4"/>
      <c r="QWQ54" s="4"/>
      <c r="QWR54" s="4"/>
      <c r="QWS54" s="4"/>
      <c r="QWT54" s="4"/>
      <c r="QWU54" s="4"/>
      <c r="QWV54" s="4"/>
      <c r="QWW54" s="4"/>
      <c r="QWX54" s="4"/>
      <c r="QWY54" s="4"/>
      <c r="QWZ54" s="4"/>
      <c r="QXA54" s="4"/>
      <c r="QXB54" s="4"/>
      <c r="QXC54" s="4"/>
      <c r="QXD54" s="4"/>
      <c r="QXE54" s="4"/>
      <c r="QXF54" s="4"/>
      <c r="QXG54" s="4"/>
      <c r="QXH54" s="4"/>
      <c r="QXI54" s="4"/>
      <c r="QXJ54" s="4"/>
      <c r="QXK54" s="4"/>
      <c r="QXL54" s="4"/>
      <c r="QXM54" s="4"/>
      <c r="QXN54" s="4"/>
      <c r="QXO54" s="4"/>
      <c r="QXP54" s="4"/>
      <c r="QXQ54" s="4"/>
      <c r="QXR54" s="4"/>
      <c r="QXS54" s="4"/>
      <c r="QXT54" s="4"/>
      <c r="QXU54" s="4"/>
      <c r="QXV54" s="4"/>
      <c r="QXW54" s="4"/>
      <c r="QXX54" s="4"/>
      <c r="QXY54" s="4"/>
      <c r="QXZ54" s="4"/>
      <c r="QYA54" s="4"/>
      <c r="QYB54" s="4"/>
      <c r="QYC54" s="4"/>
      <c r="QYD54" s="4"/>
      <c r="QYE54" s="4"/>
      <c r="QYF54" s="4"/>
      <c r="QYG54" s="4"/>
      <c r="QYH54" s="4"/>
      <c r="QYI54" s="4"/>
      <c r="QYJ54" s="4"/>
      <c r="QYK54" s="4"/>
      <c r="QYL54" s="4"/>
      <c r="QYM54" s="4"/>
      <c r="QYN54" s="4"/>
      <c r="QYO54" s="4"/>
      <c r="QYP54" s="4"/>
      <c r="QYQ54" s="4"/>
      <c r="QYR54" s="4"/>
      <c r="QYS54" s="4"/>
      <c r="QYT54" s="4"/>
      <c r="QYU54" s="4"/>
      <c r="QYV54" s="4"/>
      <c r="QYW54" s="4"/>
      <c r="QYX54" s="4"/>
      <c r="QYY54" s="4"/>
      <c r="QYZ54" s="4"/>
      <c r="QZA54" s="4"/>
      <c r="QZB54" s="4"/>
      <c r="QZC54" s="4"/>
      <c r="QZD54" s="4"/>
      <c r="QZE54" s="4"/>
      <c r="QZF54" s="4"/>
      <c r="QZG54" s="4"/>
      <c r="QZH54" s="4"/>
      <c r="QZI54" s="4"/>
      <c r="QZJ54" s="4"/>
      <c r="QZK54" s="4"/>
      <c r="QZL54" s="4"/>
      <c r="QZM54" s="4"/>
      <c r="QZN54" s="4"/>
      <c r="QZO54" s="4"/>
      <c r="QZP54" s="4"/>
      <c r="QZQ54" s="4"/>
      <c r="QZR54" s="4"/>
      <c r="QZS54" s="4"/>
      <c r="QZT54" s="4"/>
      <c r="QZU54" s="4"/>
      <c r="QZV54" s="4"/>
      <c r="QZW54" s="4"/>
      <c r="QZX54" s="4"/>
      <c r="QZY54" s="4"/>
      <c r="QZZ54" s="4"/>
      <c r="RAA54" s="4"/>
      <c r="RAB54" s="4"/>
      <c r="RAC54" s="4"/>
      <c r="RAD54" s="4"/>
      <c r="RAE54" s="4"/>
      <c r="RAF54" s="4"/>
      <c r="RAG54" s="4"/>
      <c r="RAH54" s="4"/>
      <c r="RAI54" s="4"/>
      <c r="RAJ54" s="4"/>
      <c r="RAK54" s="4"/>
      <c r="RAL54" s="4"/>
      <c r="RAM54" s="4"/>
      <c r="RAN54" s="4"/>
      <c r="RAO54" s="4"/>
      <c r="RAP54" s="4"/>
      <c r="RAQ54" s="4"/>
      <c r="RAR54" s="4"/>
      <c r="RAS54" s="4"/>
      <c r="RAT54" s="4"/>
      <c r="RAU54" s="4"/>
      <c r="RAV54" s="4"/>
      <c r="RAW54" s="4"/>
      <c r="RAX54" s="4"/>
      <c r="RAY54" s="4"/>
      <c r="RAZ54" s="4"/>
      <c r="RBA54" s="4"/>
      <c r="RBB54" s="4"/>
      <c r="RBC54" s="4"/>
      <c r="RBD54" s="4"/>
      <c r="RBE54" s="4"/>
      <c r="RBF54" s="4"/>
      <c r="RBG54" s="4"/>
      <c r="RBH54" s="4"/>
      <c r="RBI54" s="4"/>
      <c r="RBJ54" s="4"/>
      <c r="RBK54" s="4"/>
      <c r="RBL54" s="4"/>
      <c r="RBM54" s="4"/>
      <c r="RBN54" s="4"/>
      <c r="RBO54" s="4"/>
      <c r="RBP54" s="4"/>
      <c r="RBQ54" s="4"/>
      <c r="RBR54" s="4"/>
      <c r="RBS54" s="4"/>
      <c r="RBT54" s="4"/>
      <c r="RBU54" s="4"/>
      <c r="RBV54" s="4"/>
      <c r="RBW54" s="4"/>
      <c r="RBX54" s="4"/>
      <c r="RBY54" s="4"/>
      <c r="RBZ54" s="4"/>
      <c r="RCA54" s="4"/>
      <c r="RCB54" s="4"/>
      <c r="RCC54" s="4"/>
      <c r="RCD54" s="4"/>
      <c r="RCE54" s="4"/>
      <c r="RCF54" s="4"/>
      <c r="RCG54" s="4"/>
      <c r="RCH54" s="4"/>
      <c r="RCI54" s="4"/>
      <c r="RCJ54" s="4"/>
      <c r="RCK54" s="4"/>
      <c r="RCL54" s="4"/>
      <c r="RCM54" s="4"/>
      <c r="RCN54" s="4"/>
      <c r="RCO54" s="4"/>
      <c r="RCP54" s="4"/>
      <c r="RCQ54" s="4"/>
      <c r="RCR54" s="4"/>
      <c r="RCS54" s="4"/>
      <c r="RCT54" s="4"/>
      <c r="RCU54" s="4"/>
      <c r="RCV54" s="4"/>
      <c r="RCW54" s="4"/>
      <c r="RCX54" s="4"/>
      <c r="RCY54" s="4"/>
      <c r="RCZ54" s="4"/>
      <c r="RDA54" s="4"/>
      <c r="RDB54" s="4"/>
      <c r="RDC54" s="4"/>
      <c r="RDD54" s="4"/>
      <c r="RDE54" s="4"/>
      <c r="RDF54" s="4"/>
      <c r="RDG54" s="4"/>
      <c r="RDH54" s="4"/>
      <c r="RDI54" s="4"/>
      <c r="RDJ54" s="4"/>
      <c r="RDK54" s="4"/>
      <c r="RDL54" s="4"/>
      <c r="RDM54" s="4"/>
      <c r="RDN54" s="4"/>
      <c r="RDO54" s="4"/>
      <c r="RDP54" s="4"/>
      <c r="RDQ54" s="4"/>
      <c r="RDR54" s="4"/>
      <c r="RDS54" s="4"/>
      <c r="RDT54" s="4"/>
      <c r="RDU54" s="4"/>
      <c r="RDV54" s="4"/>
      <c r="RDW54" s="4"/>
      <c r="RDX54" s="4"/>
      <c r="RDY54" s="4"/>
      <c r="RDZ54" s="4"/>
      <c r="REA54" s="4"/>
      <c r="REB54" s="4"/>
      <c r="REC54" s="4"/>
      <c r="RED54" s="4"/>
      <c r="REE54" s="4"/>
      <c r="REF54" s="4"/>
      <c r="REG54" s="4"/>
      <c r="REH54" s="4"/>
      <c r="REI54" s="4"/>
      <c r="REJ54" s="4"/>
      <c r="REK54" s="4"/>
      <c r="REL54" s="4"/>
      <c r="REM54" s="4"/>
      <c r="REN54" s="4"/>
      <c r="REO54" s="4"/>
      <c r="REP54" s="4"/>
      <c r="REQ54" s="4"/>
      <c r="RER54" s="4"/>
      <c r="RES54" s="4"/>
      <c r="RET54" s="4"/>
      <c r="REU54" s="4"/>
      <c r="REV54" s="4"/>
      <c r="REW54" s="4"/>
      <c r="REX54" s="4"/>
      <c r="REY54" s="4"/>
      <c r="REZ54" s="4"/>
      <c r="RFA54" s="4"/>
      <c r="RFB54" s="4"/>
      <c r="RFC54" s="4"/>
      <c r="RFD54" s="4"/>
      <c r="RFE54" s="4"/>
      <c r="RFF54" s="4"/>
      <c r="RFG54" s="4"/>
      <c r="RFH54" s="4"/>
      <c r="RFI54" s="4"/>
      <c r="RFJ54" s="4"/>
      <c r="RFK54" s="4"/>
      <c r="RFL54" s="4"/>
      <c r="RFM54" s="4"/>
      <c r="RFN54" s="4"/>
      <c r="RFO54" s="4"/>
      <c r="RFP54" s="4"/>
      <c r="RFQ54" s="4"/>
      <c r="RFR54" s="4"/>
      <c r="RFS54" s="4"/>
      <c r="RFT54" s="4"/>
      <c r="RFU54" s="4"/>
      <c r="RFV54" s="4"/>
      <c r="RFW54" s="4"/>
      <c r="RFX54" s="4"/>
      <c r="RFY54" s="4"/>
      <c r="RFZ54" s="4"/>
      <c r="RGA54" s="4"/>
      <c r="RGB54" s="4"/>
      <c r="RGC54" s="4"/>
      <c r="RGD54" s="4"/>
      <c r="RGE54" s="4"/>
      <c r="RGF54" s="4"/>
      <c r="RGG54" s="4"/>
      <c r="RGH54" s="4"/>
      <c r="RGI54" s="4"/>
      <c r="RGJ54" s="4"/>
      <c r="RGK54" s="4"/>
      <c r="RGL54" s="4"/>
      <c r="RGM54" s="4"/>
      <c r="RGN54" s="4"/>
      <c r="RGO54" s="4"/>
      <c r="RGP54" s="4"/>
      <c r="RGQ54" s="4"/>
      <c r="RGR54" s="4"/>
      <c r="RGS54" s="4"/>
      <c r="RGT54" s="4"/>
      <c r="RGU54" s="4"/>
      <c r="RGV54" s="4"/>
      <c r="RGW54" s="4"/>
      <c r="RGX54" s="4"/>
      <c r="RGY54" s="4"/>
      <c r="RGZ54" s="4"/>
      <c r="RHA54" s="4"/>
      <c r="RHB54" s="4"/>
      <c r="RHC54" s="4"/>
      <c r="RHD54" s="4"/>
      <c r="RHE54" s="4"/>
      <c r="RHF54" s="4"/>
      <c r="RHG54" s="4"/>
      <c r="RHH54" s="4"/>
      <c r="RHI54" s="4"/>
      <c r="RHJ54" s="4"/>
      <c r="RHK54" s="4"/>
      <c r="RHL54" s="4"/>
      <c r="RHM54" s="4"/>
      <c r="RHN54" s="4"/>
      <c r="RHO54" s="4"/>
      <c r="RHP54" s="4"/>
      <c r="RHQ54" s="4"/>
      <c r="RHR54" s="4"/>
      <c r="RHS54" s="4"/>
      <c r="RHT54" s="4"/>
      <c r="RHU54" s="4"/>
      <c r="RHV54" s="4"/>
      <c r="RHW54" s="4"/>
      <c r="RHX54" s="4"/>
      <c r="RHY54" s="4"/>
      <c r="RHZ54" s="4"/>
      <c r="RIA54" s="4"/>
      <c r="RIB54" s="4"/>
      <c r="RIC54" s="4"/>
      <c r="RID54" s="4"/>
      <c r="RIE54" s="4"/>
      <c r="RIF54" s="4"/>
      <c r="RIG54" s="4"/>
      <c r="RIH54" s="4"/>
      <c r="RII54" s="4"/>
      <c r="RIJ54" s="4"/>
      <c r="RIK54" s="4"/>
      <c r="RIL54" s="4"/>
      <c r="RIM54" s="4"/>
      <c r="RIN54" s="4"/>
      <c r="RIO54" s="4"/>
      <c r="RIP54" s="4"/>
      <c r="RIQ54" s="4"/>
      <c r="RIR54" s="4"/>
      <c r="RIS54" s="4"/>
      <c r="RIT54" s="4"/>
      <c r="RIU54" s="4"/>
      <c r="RIV54" s="4"/>
      <c r="RIW54" s="4"/>
      <c r="RIX54" s="4"/>
      <c r="RIY54" s="4"/>
      <c r="RIZ54" s="4"/>
      <c r="RJA54" s="4"/>
      <c r="RJB54" s="4"/>
      <c r="RJC54" s="4"/>
      <c r="RJD54" s="4"/>
      <c r="RJE54" s="4"/>
      <c r="RJF54" s="4"/>
      <c r="RJG54" s="4"/>
      <c r="RJH54" s="4"/>
      <c r="RJI54" s="4"/>
      <c r="RJJ54" s="4"/>
      <c r="RJK54" s="4"/>
      <c r="RJL54" s="4"/>
      <c r="RJM54" s="4"/>
      <c r="RJN54" s="4"/>
      <c r="RJO54" s="4"/>
      <c r="RJP54" s="4"/>
      <c r="RJQ54" s="4"/>
      <c r="RJR54" s="4"/>
      <c r="RJS54" s="4"/>
      <c r="RJT54" s="4"/>
      <c r="RJU54" s="4"/>
      <c r="RJV54" s="4"/>
      <c r="RJW54" s="4"/>
      <c r="RJX54" s="4"/>
      <c r="RJY54" s="4"/>
      <c r="RJZ54" s="4"/>
      <c r="RKA54" s="4"/>
      <c r="RKB54" s="4"/>
      <c r="RKC54" s="4"/>
      <c r="RKD54" s="4"/>
      <c r="RKE54" s="4"/>
      <c r="RKF54" s="4"/>
      <c r="RKG54" s="4"/>
      <c r="RKH54" s="4"/>
      <c r="RKI54" s="4"/>
      <c r="RKJ54" s="4"/>
      <c r="RKK54" s="4"/>
      <c r="RKL54" s="4"/>
      <c r="RKM54" s="4"/>
      <c r="RKN54" s="4"/>
      <c r="RKO54" s="4"/>
      <c r="RKP54" s="4"/>
      <c r="RKQ54" s="4"/>
      <c r="RKR54" s="4"/>
      <c r="RKS54" s="4"/>
      <c r="RKT54" s="4"/>
      <c r="RKU54" s="4"/>
      <c r="RKV54" s="4"/>
      <c r="RKW54" s="4"/>
      <c r="RKX54" s="4"/>
      <c r="RKY54" s="4"/>
      <c r="RKZ54" s="4"/>
      <c r="RLA54" s="4"/>
      <c r="RLB54" s="4"/>
      <c r="RLC54" s="4"/>
      <c r="RLD54" s="4"/>
      <c r="RLE54" s="4"/>
      <c r="RLF54" s="4"/>
      <c r="RLG54" s="4"/>
      <c r="RLH54" s="4"/>
      <c r="RLI54" s="4"/>
      <c r="RLJ54" s="4"/>
      <c r="RLK54" s="4"/>
      <c r="RLL54" s="4"/>
      <c r="RLM54" s="4"/>
      <c r="RLN54" s="4"/>
      <c r="RLO54" s="4"/>
      <c r="RLP54" s="4"/>
      <c r="RLQ54" s="4"/>
      <c r="RLR54" s="4"/>
      <c r="RLS54" s="4"/>
      <c r="RLT54" s="4"/>
      <c r="RLU54" s="4"/>
      <c r="RLV54" s="4"/>
      <c r="RLW54" s="4"/>
      <c r="RLX54" s="4"/>
      <c r="RLY54" s="4"/>
      <c r="RLZ54" s="4"/>
      <c r="RMA54" s="4"/>
      <c r="RMB54" s="4"/>
      <c r="RMC54" s="4"/>
      <c r="RMD54" s="4"/>
      <c r="RME54" s="4"/>
      <c r="RMF54" s="4"/>
      <c r="RMG54" s="4"/>
      <c r="RMH54" s="4"/>
      <c r="RMI54" s="4"/>
      <c r="RMJ54" s="4"/>
      <c r="RMK54" s="4"/>
      <c r="RML54" s="4"/>
      <c r="RMM54" s="4"/>
      <c r="RMN54" s="4"/>
      <c r="RMO54" s="4"/>
      <c r="RMP54" s="4"/>
      <c r="RMQ54" s="4"/>
      <c r="RMR54" s="4"/>
      <c r="RMS54" s="4"/>
      <c r="RMT54" s="4"/>
      <c r="RMU54" s="4"/>
      <c r="RMV54" s="4"/>
      <c r="RMW54" s="4"/>
      <c r="RMX54" s="4"/>
      <c r="RMY54" s="4"/>
      <c r="RMZ54" s="4"/>
      <c r="RNA54" s="4"/>
      <c r="RNB54" s="4"/>
      <c r="RNC54" s="4"/>
      <c r="RND54" s="4"/>
      <c r="RNE54" s="4"/>
      <c r="RNF54" s="4"/>
      <c r="RNG54" s="4"/>
      <c r="RNH54" s="4"/>
      <c r="RNI54" s="4"/>
      <c r="RNJ54" s="4"/>
      <c r="RNK54" s="4"/>
      <c r="RNL54" s="4"/>
      <c r="RNM54" s="4"/>
      <c r="RNN54" s="4"/>
      <c r="RNO54" s="4"/>
      <c r="RNP54" s="4"/>
      <c r="RNQ54" s="4"/>
      <c r="RNR54" s="4"/>
      <c r="RNS54" s="4"/>
      <c r="RNT54" s="4"/>
      <c r="RNU54" s="4"/>
      <c r="RNV54" s="4"/>
      <c r="RNW54" s="4"/>
      <c r="RNX54" s="4"/>
      <c r="RNY54" s="4"/>
      <c r="RNZ54" s="4"/>
      <c r="ROA54" s="4"/>
      <c r="ROB54" s="4"/>
      <c r="ROC54" s="4"/>
      <c r="ROD54" s="4"/>
      <c r="ROE54" s="4"/>
      <c r="ROF54" s="4"/>
      <c r="ROG54" s="4"/>
      <c r="ROH54" s="4"/>
      <c r="ROI54" s="4"/>
      <c r="ROJ54" s="4"/>
      <c r="ROK54" s="4"/>
      <c r="ROL54" s="4"/>
      <c r="ROM54" s="4"/>
      <c r="RON54" s="4"/>
      <c r="ROO54" s="4"/>
      <c r="ROP54" s="4"/>
      <c r="ROQ54" s="4"/>
      <c r="ROR54" s="4"/>
      <c r="ROS54" s="4"/>
      <c r="ROT54" s="4"/>
      <c r="ROU54" s="4"/>
      <c r="ROV54" s="4"/>
      <c r="ROW54" s="4"/>
      <c r="ROX54" s="4"/>
      <c r="ROY54" s="4"/>
      <c r="ROZ54" s="4"/>
      <c r="RPA54" s="4"/>
      <c r="RPB54" s="4"/>
      <c r="RPC54" s="4"/>
      <c r="RPD54" s="4"/>
      <c r="RPE54" s="4"/>
      <c r="RPF54" s="4"/>
      <c r="RPG54" s="4"/>
      <c r="RPH54" s="4"/>
      <c r="RPI54" s="4"/>
      <c r="RPJ54" s="4"/>
      <c r="RPK54" s="4"/>
      <c r="RPL54" s="4"/>
      <c r="RPM54" s="4"/>
      <c r="RPN54" s="4"/>
      <c r="RPO54" s="4"/>
      <c r="RPP54" s="4"/>
      <c r="RPQ54" s="4"/>
      <c r="RPR54" s="4"/>
      <c r="RPS54" s="4"/>
      <c r="RPT54" s="4"/>
      <c r="RPU54" s="4"/>
      <c r="RPV54" s="4"/>
      <c r="RPW54" s="4"/>
      <c r="RPX54" s="4"/>
      <c r="RPY54" s="4"/>
      <c r="RPZ54" s="4"/>
      <c r="RQA54" s="4"/>
      <c r="RQB54" s="4"/>
      <c r="RQC54" s="4"/>
      <c r="RQD54" s="4"/>
      <c r="RQE54" s="4"/>
      <c r="RQF54" s="4"/>
      <c r="RQG54" s="4"/>
      <c r="RQH54" s="4"/>
      <c r="RQI54" s="4"/>
      <c r="RQJ54" s="4"/>
      <c r="RQK54" s="4"/>
      <c r="RQL54" s="4"/>
      <c r="RQM54" s="4"/>
      <c r="RQN54" s="4"/>
      <c r="RQO54" s="4"/>
      <c r="RQP54" s="4"/>
      <c r="RQQ54" s="4"/>
      <c r="RQR54" s="4"/>
      <c r="RQS54" s="4"/>
      <c r="RQT54" s="4"/>
      <c r="RQU54" s="4"/>
      <c r="RQV54" s="4"/>
      <c r="RQW54" s="4"/>
      <c r="RQX54" s="4"/>
      <c r="RQY54" s="4"/>
      <c r="RQZ54" s="4"/>
      <c r="RRA54" s="4"/>
      <c r="RRB54" s="4"/>
      <c r="RRC54" s="4"/>
      <c r="RRD54" s="4"/>
      <c r="RRE54" s="4"/>
      <c r="RRF54" s="4"/>
      <c r="RRG54" s="4"/>
      <c r="RRH54" s="4"/>
      <c r="RRI54" s="4"/>
      <c r="RRJ54" s="4"/>
      <c r="RRK54" s="4"/>
      <c r="RRL54" s="4"/>
      <c r="RRM54" s="4"/>
      <c r="RRN54" s="4"/>
      <c r="RRO54" s="4"/>
      <c r="RRP54" s="4"/>
      <c r="RRQ54" s="4"/>
      <c r="RRR54" s="4"/>
      <c r="RRS54" s="4"/>
      <c r="RRT54" s="4"/>
      <c r="RRU54" s="4"/>
      <c r="RRV54" s="4"/>
      <c r="RRW54" s="4"/>
      <c r="RRX54" s="4"/>
      <c r="RRY54" s="4"/>
      <c r="RRZ54" s="4"/>
      <c r="RSA54" s="4"/>
      <c r="RSB54" s="4"/>
      <c r="RSC54" s="4"/>
      <c r="RSD54" s="4"/>
      <c r="RSE54" s="4"/>
      <c r="RSF54" s="4"/>
      <c r="RSG54" s="4"/>
      <c r="RSH54" s="4"/>
      <c r="RSI54" s="4"/>
      <c r="RSJ54" s="4"/>
      <c r="RSK54" s="4"/>
      <c r="RSL54" s="4"/>
      <c r="RSM54" s="4"/>
      <c r="RSN54" s="4"/>
      <c r="RSO54" s="4"/>
      <c r="RSP54" s="4"/>
      <c r="RSQ54" s="4"/>
      <c r="RSR54" s="4"/>
      <c r="RSS54" s="4"/>
      <c r="RST54" s="4"/>
      <c r="RSU54" s="4"/>
      <c r="RSV54" s="4"/>
      <c r="RSW54" s="4"/>
      <c r="RSX54" s="4"/>
      <c r="RSY54" s="4"/>
      <c r="RSZ54" s="4"/>
      <c r="RTA54" s="4"/>
      <c r="RTB54" s="4"/>
      <c r="RTC54" s="4"/>
      <c r="RTD54" s="4"/>
      <c r="RTE54" s="4"/>
      <c r="RTF54" s="4"/>
      <c r="RTG54" s="4"/>
      <c r="RTH54" s="4"/>
      <c r="RTI54" s="4"/>
      <c r="RTJ54" s="4"/>
      <c r="RTK54" s="4"/>
      <c r="RTL54" s="4"/>
      <c r="RTM54" s="4"/>
      <c r="RTN54" s="4"/>
      <c r="RTO54" s="4"/>
      <c r="RTP54" s="4"/>
      <c r="RTQ54" s="4"/>
      <c r="RTR54" s="4"/>
      <c r="RTS54" s="4"/>
      <c r="RTT54" s="4"/>
      <c r="RTU54" s="4"/>
      <c r="RTV54" s="4"/>
      <c r="RTW54" s="4"/>
      <c r="RTX54" s="4"/>
      <c r="RTY54" s="4"/>
      <c r="RTZ54" s="4"/>
      <c r="RUA54" s="4"/>
      <c r="RUB54" s="4"/>
      <c r="RUC54" s="4"/>
      <c r="RUD54" s="4"/>
      <c r="RUE54" s="4"/>
      <c r="RUF54" s="4"/>
      <c r="RUG54" s="4"/>
      <c r="RUH54" s="4"/>
      <c r="RUI54" s="4"/>
      <c r="RUJ54" s="4"/>
      <c r="RUK54" s="4"/>
      <c r="RUL54" s="4"/>
      <c r="RUM54" s="4"/>
      <c r="RUN54" s="4"/>
      <c r="RUO54" s="4"/>
      <c r="RUP54" s="4"/>
      <c r="RUQ54" s="4"/>
      <c r="RUR54" s="4"/>
      <c r="RUS54" s="4"/>
      <c r="RUT54" s="4"/>
      <c r="RUU54" s="4"/>
      <c r="RUV54" s="4"/>
      <c r="RUW54" s="4"/>
      <c r="RUX54" s="4"/>
      <c r="RUY54" s="4"/>
      <c r="RUZ54" s="4"/>
      <c r="RVA54" s="4"/>
      <c r="RVB54" s="4"/>
      <c r="RVC54" s="4"/>
      <c r="RVD54" s="4"/>
      <c r="RVE54" s="4"/>
      <c r="RVF54" s="4"/>
      <c r="RVG54" s="4"/>
      <c r="RVH54" s="4"/>
      <c r="RVI54" s="4"/>
      <c r="RVJ54" s="4"/>
      <c r="RVK54" s="4"/>
      <c r="RVL54" s="4"/>
      <c r="RVM54" s="4"/>
      <c r="RVN54" s="4"/>
      <c r="RVO54" s="4"/>
      <c r="RVP54" s="4"/>
      <c r="RVQ54" s="4"/>
      <c r="RVR54" s="4"/>
      <c r="RVS54" s="4"/>
      <c r="RVT54" s="4"/>
      <c r="RVU54" s="4"/>
      <c r="RVV54" s="4"/>
      <c r="RVW54" s="4"/>
      <c r="RVX54" s="4"/>
      <c r="RVY54" s="4"/>
      <c r="RVZ54" s="4"/>
      <c r="RWA54" s="4"/>
      <c r="RWB54" s="4"/>
      <c r="RWC54" s="4"/>
      <c r="RWD54" s="4"/>
      <c r="RWE54" s="4"/>
      <c r="RWF54" s="4"/>
      <c r="RWG54" s="4"/>
      <c r="RWH54" s="4"/>
      <c r="RWI54" s="4"/>
      <c r="RWJ54" s="4"/>
      <c r="RWK54" s="4"/>
      <c r="RWL54" s="4"/>
      <c r="RWM54" s="4"/>
      <c r="RWN54" s="4"/>
      <c r="RWO54" s="4"/>
      <c r="RWP54" s="4"/>
      <c r="RWQ54" s="4"/>
      <c r="RWR54" s="4"/>
      <c r="RWS54" s="4"/>
      <c r="RWT54" s="4"/>
      <c r="RWU54" s="4"/>
      <c r="RWV54" s="4"/>
      <c r="RWW54" s="4"/>
      <c r="RWX54" s="4"/>
      <c r="RWY54" s="4"/>
      <c r="RWZ54" s="4"/>
      <c r="RXA54" s="4"/>
      <c r="RXB54" s="4"/>
      <c r="RXC54" s="4"/>
      <c r="RXD54" s="4"/>
      <c r="RXE54" s="4"/>
      <c r="RXF54" s="4"/>
      <c r="RXG54" s="4"/>
      <c r="RXH54" s="4"/>
      <c r="RXI54" s="4"/>
      <c r="RXJ54" s="4"/>
      <c r="RXK54" s="4"/>
      <c r="RXL54" s="4"/>
      <c r="RXM54" s="4"/>
      <c r="RXN54" s="4"/>
      <c r="RXO54" s="4"/>
      <c r="RXP54" s="4"/>
      <c r="RXQ54" s="4"/>
      <c r="RXR54" s="4"/>
      <c r="RXS54" s="4"/>
      <c r="RXT54" s="4"/>
      <c r="RXU54" s="4"/>
      <c r="RXV54" s="4"/>
      <c r="RXW54" s="4"/>
      <c r="RXX54" s="4"/>
      <c r="RXY54" s="4"/>
      <c r="RXZ54" s="4"/>
      <c r="RYA54" s="4"/>
      <c r="RYB54" s="4"/>
      <c r="RYC54" s="4"/>
      <c r="RYD54" s="4"/>
      <c r="RYE54" s="4"/>
      <c r="RYF54" s="4"/>
      <c r="RYG54" s="4"/>
      <c r="RYH54" s="4"/>
      <c r="RYI54" s="4"/>
      <c r="RYJ54" s="4"/>
      <c r="RYK54" s="4"/>
      <c r="RYL54" s="4"/>
      <c r="RYM54" s="4"/>
      <c r="RYN54" s="4"/>
      <c r="RYO54" s="4"/>
      <c r="RYP54" s="4"/>
      <c r="RYQ54" s="4"/>
      <c r="RYR54" s="4"/>
      <c r="RYS54" s="4"/>
      <c r="RYT54" s="4"/>
      <c r="RYU54" s="4"/>
      <c r="RYV54" s="4"/>
      <c r="RYW54" s="4"/>
      <c r="RYX54" s="4"/>
      <c r="RYY54" s="4"/>
      <c r="RYZ54" s="4"/>
      <c r="RZA54" s="4"/>
      <c r="RZB54" s="4"/>
      <c r="RZC54" s="4"/>
      <c r="RZD54" s="4"/>
      <c r="RZE54" s="4"/>
      <c r="RZF54" s="4"/>
      <c r="RZG54" s="4"/>
      <c r="RZH54" s="4"/>
      <c r="RZI54" s="4"/>
      <c r="RZJ54" s="4"/>
      <c r="RZK54" s="4"/>
      <c r="RZL54" s="4"/>
      <c r="RZM54" s="4"/>
      <c r="RZN54" s="4"/>
      <c r="RZO54" s="4"/>
      <c r="RZP54" s="4"/>
      <c r="RZQ54" s="4"/>
      <c r="RZR54" s="4"/>
      <c r="RZS54" s="4"/>
      <c r="RZT54" s="4"/>
      <c r="RZU54" s="4"/>
      <c r="RZV54" s="4"/>
      <c r="RZW54" s="4"/>
      <c r="RZX54" s="4"/>
      <c r="RZY54" s="4"/>
      <c r="RZZ54" s="4"/>
      <c r="SAA54" s="4"/>
      <c r="SAB54" s="4"/>
      <c r="SAC54" s="4"/>
      <c r="SAD54" s="4"/>
      <c r="SAE54" s="4"/>
      <c r="SAF54" s="4"/>
      <c r="SAG54" s="4"/>
      <c r="SAH54" s="4"/>
      <c r="SAI54" s="4"/>
      <c r="SAJ54" s="4"/>
      <c r="SAK54" s="4"/>
      <c r="SAL54" s="4"/>
      <c r="SAM54" s="4"/>
      <c r="SAN54" s="4"/>
      <c r="SAO54" s="4"/>
      <c r="SAP54" s="4"/>
      <c r="SAQ54" s="4"/>
      <c r="SAR54" s="4"/>
      <c r="SAS54" s="4"/>
      <c r="SAT54" s="4"/>
      <c r="SAU54" s="4"/>
      <c r="SAV54" s="4"/>
      <c r="SAW54" s="4"/>
      <c r="SAX54" s="4"/>
      <c r="SAY54" s="4"/>
      <c r="SAZ54" s="4"/>
      <c r="SBA54" s="4"/>
      <c r="SBB54" s="4"/>
      <c r="SBC54" s="4"/>
      <c r="SBD54" s="4"/>
      <c r="SBE54" s="4"/>
      <c r="SBF54" s="4"/>
      <c r="SBG54" s="4"/>
      <c r="SBH54" s="4"/>
      <c r="SBI54" s="4"/>
      <c r="SBJ54" s="4"/>
      <c r="SBK54" s="4"/>
      <c r="SBL54" s="4"/>
      <c r="SBM54" s="4"/>
      <c r="SBN54" s="4"/>
      <c r="SBO54" s="4"/>
      <c r="SBP54" s="4"/>
      <c r="SBQ54" s="4"/>
      <c r="SBR54" s="4"/>
      <c r="SBS54" s="4"/>
      <c r="SBT54" s="4"/>
      <c r="SBU54" s="4"/>
      <c r="SBV54" s="4"/>
      <c r="SBW54" s="4"/>
      <c r="SBX54" s="4"/>
      <c r="SBY54" s="4"/>
      <c r="SBZ54" s="4"/>
      <c r="SCA54" s="4"/>
      <c r="SCB54" s="4"/>
      <c r="SCC54" s="4"/>
      <c r="SCD54" s="4"/>
      <c r="SCE54" s="4"/>
      <c r="SCF54" s="4"/>
      <c r="SCG54" s="4"/>
      <c r="SCH54" s="4"/>
      <c r="SCI54" s="4"/>
      <c r="SCJ54" s="4"/>
      <c r="SCK54" s="4"/>
      <c r="SCL54" s="4"/>
      <c r="SCM54" s="4"/>
      <c r="SCN54" s="4"/>
      <c r="SCO54" s="4"/>
      <c r="SCP54" s="4"/>
      <c r="SCQ54" s="4"/>
      <c r="SCR54" s="4"/>
      <c r="SCS54" s="4"/>
      <c r="SCT54" s="4"/>
      <c r="SCU54" s="4"/>
      <c r="SCV54" s="4"/>
      <c r="SCW54" s="4"/>
      <c r="SCX54" s="4"/>
      <c r="SCY54" s="4"/>
      <c r="SCZ54" s="4"/>
      <c r="SDA54" s="4"/>
      <c r="SDB54" s="4"/>
      <c r="SDC54" s="4"/>
      <c r="SDD54" s="4"/>
      <c r="SDE54" s="4"/>
      <c r="SDF54" s="4"/>
      <c r="SDG54" s="4"/>
      <c r="SDH54" s="4"/>
      <c r="SDI54" s="4"/>
      <c r="SDJ54" s="4"/>
      <c r="SDK54" s="4"/>
      <c r="SDL54" s="4"/>
      <c r="SDM54" s="4"/>
      <c r="SDN54" s="4"/>
      <c r="SDO54" s="4"/>
      <c r="SDP54" s="4"/>
      <c r="SDQ54" s="4"/>
      <c r="SDR54" s="4"/>
      <c r="SDS54" s="4"/>
      <c r="SDT54" s="4"/>
      <c r="SDU54" s="4"/>
      <c r="SDV54" s="4"/>
      <c r="SDW54" s="4"/>
      <c r="SDX54" s="4"/>
      <c r="SDY54" s="4"/>
      <c r="SDZ54" s="4"/>
      <c r="SEA54" s="4"/>
      <c r="SEB54" s="4"/>
      <c r="SEC54" s="4"/>
      <c r="SED54" s="4"/>
      <c r="SEE54" s="4"/>
      <c r="SEF54" s="4"/>
      <c r="SEG54" s="4"/>
      <c r="SEH54" s="4"/>
      <c r="SEI54" s="4"/>
      <c r="SEJ54" s="4"/>
      <c r="SEK54" s="4"/>
      <c r="SEL54" s="4"/>
      <c r="SEM54" s="4"/>
      <c r="SEN54" s="4"/>
      <c r="SEO54" s="4"/>
      <c r="SEP54" s="4"/>
      <c r="SEQ54" s="4"/>
      <c r="SER54" s="4"/>
      <c r="SES54" s="4"/>
      <c r="SET54" s="4"/>
      <c r="SEU54" s="4"/>
      <c r="SEV54" s="4"/>
      <c r="SEW54" s="4"/>
      <c r="SEX54" s="4"/>
      <c r="SEY54" s="4"/>
      <c r="SEZ54" s="4"/>
      <c r="SFA54" s="4"/>
      <c r="SFB54" s="4"/>
      <c r="SFC54" s="4"/>
      <c r="SFD54" s="4"/>
      <c r="SFE54" s="4"/>
      <c r="SFF54" s="4"/>
      <c r="SFG54" s="4"/>
      <c r="SFH54" s="4"/>
      <c r="SFI54" s="4"/>
      <c r="SFJ54" s="4"/>
      <c r="SFK54" s="4"/>
      <c r="SFL54" s="4"/>
      <c r="SFM54" s="4"/>
      <c r="SFN54" s="4"/>
      <c r="SFO54" s="4"/>
      <c r="SFP54" s="4"/>
      <c r="SFQ54" s="4"/>
      <c r="SFR54" s="4"/>
      <c r="SFS54" s="4"/>
      <c r="SFT54" s="4"/>
      <c r="SFU54" s="4"/>
      <c r="SFV54" s="4"/>
      <c r="SFW54" s="4"/>
      <c r="SFX54" s="4"/>
      <c r="SFY54" s="4"/>
      <c r="SFZ54" s="4"/>
      <c r="SGA54" s="4"/>
      <c r="SGB54" s="4"/>
      <c r="SGC54" s="4"/>
      <c r="SGD54" s="4"/>
      <c r="SGE54" s="4"/>
      <c r="SGF54" s="4"/>
      <c r="SGG54" s="4"/>
      <c r="SGH54" s="4"/>
      <c r="SGI54" s="4"/>
      <c r="SGJ54" s="4"/>
      <c r="SGK54" s="4"/>
      <c r="SGL54" s="4"/>
      <c r="SGM54" s="4"/>
      <c r="SGN54" s="4"/>
      <c r="SGO54" s="4"/>
      <c r="SGP54" s="4"/>
      <c r="SGQ54" s="4"/>
      <c r="SGR54" s="4"/>
      <c r="SGS54" s="4"/>
      <c r="SGT54" s="4"/>
      <c r="SGU54" s="4"/>
      <c r="SGV54" s="4"/>
      <c r="SGW54" s="4"/>
      <c r="SGX54" s="4"/>
      <c r="SGY54" s="4"/>
      <c r="SGZ54" s="4"/>
      <c r="SHA54" s="4"/>
      <c r="SHB54" s="4"/>
      <c r="SHC54" s="4"/>
      <c r="SHD54" s="4"/>
      <c r="SHE54" s="4"/>
      <c r="SHF54" s="4"/>
      <c r="SHG54" s="4"/>
      <c r="SHH54" s="4"/>
      <c r="SHI54" s="4"/>
      <c r="SHJ54" s="4"/>
      <c r="SHK54" s="4"/>
      <c r="SHL54" s="4"/>
      <c r="SHM54" s="4"/>
      <c r="SHN54" s="4"/>
      <c r="SHO54" s="4"/>
      <c r="SHP54" s="4"/>
      <c r="SHQ54" s="4"/>
      <c r="SHR54" s="4"/>
      <c r="SHS54" s="4"/>
      <c r="SHT54" s="4"/>
      <c r="SHU54" s="4"/>
      <c r="SHV54" s="4"/>
      <c r="SHW54" s="4"/>
      <c r="SHX54" s="4"/>
      <c r="SHY54" s="4"/>
      <c r="SHZ54" s="4"/>
      <c r="SIA54" s="4"/>
      <c r="SIB54" s="4"/>
      <c r="SIC54" s="4"/>
      <c r="SID54" s="4"/>
      <c r="SIE54" s="4"/>
      <c r="SIF54" s="4"/>
      <c r="SIG54" s="4"/>
      <c r="SIH54" s="4"/>
      <c r="SII54" s="4"/>
      <c r="SIJ54" s="4"/>
      <c r="SIK54" s="4"/>
      <c r="SIL54" s="4"/>
      <c r="SIM54" s="4"/>
      <c r="SIN54" s="4"/>
      <c r="SIO54" s="4"/>
      <c r="SIP54" s="4"/>
      <c r="SIQ54" s="4"/>
      <c r="SIR54" s="4"/>
      <c r="SIS54" s="4"/>
      <c r="SIT54" s="4"/>
      <c r="SIU54" s="4"/>
      <c r="SIV54" s="4"/>
      <c r="SIW54" s="4"/>
      <c r="SIX54" s="4"/>
      <c r="SIY54" s="4"/>
      <c r="SIZ54" s="4"/>
      <c r="SJA54" s="4"/>
      <c r="SJB54" s="4"/>
      <c r="SJC54" s="4"/>
      <c r="SJD54" s="4"/>
      <c r="SJE54" s="4"/>
      <c r="SJF54" s="4"/>
      <c r="SJG54" s="4"/>
      <c r="SJH54" s="4"/>
      <c r="SJI54" s="4"/>
      <c r="SJJ54" s="4"/>
      <c r="SJK54" s="4"/>
      <c r="SJL54" s="4"/>
      <c r="SJM54" s="4"/>
      <c r="SJN54" s="4"/>
      <c r="SJO54" s="4"/>
      <c r="SJP54" s="4"/>
      <c r="SJQ54" s="4"/>
      <c r="SJR54" s="4"/>
      <c r="SJS54" s="4"/>
      <c r="SJT54" s="4"/>
      <c r="SJU54" s="4"/>
      <c r="SJV54" s="4"/>
      <c r="SJW54" s="4"/>
      <c r="SJX54" s="4"/>
      <c r="SJY54" s="4"/>
      <c r="SJZ54" s="4"/>
      <c r="SKA54" s="4"/>
      <c r="SKB54" s="4"/>
      <c r="SKC54" s="4"/>
      <c r="SKD54" s="4"/>
      <c r="SKE54" s="4"/>
      <c r="SKF54" s="4"/>
      <c r="SKG54" s="4"/>
      <c r="SKH54" s="4"/>
      <c r="SKI54" s="4"/>
      <c r="SKJ54" s="4"/>
      <c r="SKK54" s="4"/>
      <c r="SKL54" s="4"/>
      <c r="SKM54" s="4"/>
      <c r="SKN54" s="4"/>
      <c r="SKO54" s="4"/>
      <c r="SKP54" s="4"/>
      <c r="SKQ54" s="4"/>
      <c r="SKR54" s="4"/>
      <c r="SKS54" s="4"/>
      <c r="SKT54" s="4"/>
      <c r="SKU54" s="4"/>
      <c r="SKV54" s="4"/>
      <c r="SKW54" s="4"/>
      <c r="SKX54" s="4"/>
      <c r="SKY54" s="4"/>
      <c r="SKZ54" s="4"/>
      <c r="SLA54" s="4"/>
      <c r="SLB54" s="4"/>
      <c r="SLC54" s="4"/>
      <c r="SLD54" s="4"/>
      <c r="SLE54" s="4"/>
      <c r="SLF54" s="4"/>
      <c r="SLG54" s="4"/>
      <c r="SLH54" s="4"/>
      <c r="SLI54" s="4"/>
      <c r="SLJ54" s="4"/>
      <c r="SLK54" s="4"/>
      <c r="SLL54" s="4"/>
      <c r="SLM54" s="4"/>
      <c r="SLN54" s="4"/>
      <c r="SLO54" s="4"/>
      <c r="SLP54" s="4"/>
      <c r="SLQ54" s="4"/>
      <c r="SLR54" s="4"/>
      <c r="SLS54" s="4"/>
      <c r="SLT54" s="4"/>
      <c r="SLU54" s="4"/>
      <c r="SLV54" s="4"/>
      <c r="SLW54" s="4"/>
      <c r="SLX54" s="4"/>
      <c r="SLY54" s="4"/>
      <c r="SLZ54" s="4"/>
      <c r="SMA54" s="4"/>
      <c r="SMB54" s="4"/>
      <c r="SMC54" s="4"/>
      <c r="SMD54" s="4"/>
      <c r="SME54" s="4"/>
      <c r="SMF54" s="4"/>
      <c r="SMG54" s="4"/>
      <c r="SMH54" s="4"/>
      <c r="SMI54" s="4"/>
      <c r="SMJ54" s="4"/>
      <c r="SMK54" s="4"/>
      <c r="SML54" s="4"/>
      <c r="SMM54" s="4"/>
      <c r="SMN54" s="4"/>
      <c r="SMO54" s="4"/>
      <c r="SMP54" s="4"/>
      <c r="SMQ54" s="4"/>
      <c r="SMR54" s="4"/>
      <c r="SMS54" s="4"/>
      <c r="SMT54" s="4"/>
      <c r="SMU54" s="4"/>
      <c r="SMV54" s="4"/>
      <c r="SMW54" s="4"/>
      <c r="SMX54" s="4"/>
      <c r="SMY54" s="4"/>
      <c r="SMZ54" s="4"/>
      <c r="SNA54" s="4"/>
      <c r="SNB54" s="4"/>
      <c r="SNC54" s="4"/>
      <c r="SND54" s="4"/>
      <c r="SNE54" s="4"/>
      <c r="SNF54" s="4"/>
      <c r="SNG54" s="4"/>
      <c r="SNH54" s="4"/>
      <c r="SNI54" s="4"/>
      <c r="SNJ54" s="4"/>
      <c r="SNK54" s="4"/>
      <c r="SNL54" s="4"/>
      <c r="SNM54" s="4"/>
      <c r="SNN54" s="4"/>
      <c r="SNO54" s="4"/>
      <c r="SNP54" s="4"/>
      <c r="SNQ54" s="4"/>
      <c r="SNR54" s="4"/>
      <c r="SNS54" s="4"/>
      <c r="SNT54" s="4"/>
      <c r="SNU54" s="4"/>
      <c r="SNV54" s="4"/>
      <c r="SNW54" s="4"/>
      <c r="SNX54" s="4"/>
      <c r="SNY54" s="4"/>
      <c r="SNZ54" s="4"/>
      <c r="SOA54" s="4"/>
      <c r="SOB54" s="4"/>
      <c r="SOC54" s="4"/>
      <c r="SOD54" s="4"/>
      <c r="SOE54" s="4"/>
      <c r="SOF54" s="4"/>
      <c r="SOG54" s="4"/>
      <c r="SOH54" s="4"/>
      <c r="SOI54" s="4"/>
      <c r="SOJ54" s="4"/>
      <c r="SOK54" s="4"/>
      <c r="SOL54" s="4"/>
      <c r="SOM54" s="4"/>
      <c r="SON54" s="4"/>
      <c r="SOO54" s="4"/>
      <c r="SOP54" s="4"/>
      <c r="SOQ54" s="4"/>
      <c r="SOR54" s="4"/>
      <c r="SOS54" s="4"/>
      <c r="SOT54" s="4"/>
      <c r="SOU54" s="4"/>
      <c r="SOV54" s="4"/>
      <c r="SOW54" s="4"/>
      <c r="SOX54" s="4"/>
      <c r="SOY54" s="4"/>
      <c r="SOZ54" s="4"/>
      <c r="SPA54" s="4"/>
      <c r="SPB54" s="4"/>
      <c r="SPC54" s="4"/>
      <c r="SPD54" s="4"/>
      <c r="SPE54" s="4"/>
      <c r="SPF54" s="4"/>
      <c r="SPG54" s="4"/>
      <c r="SPH54" s="4"/>
      <c r="SPI54" s="4"/>
      <c r="SPJ54" s="4"/>
      <c r="SPK54" s="4"/>
      <c r="SPL54" s="4"/>
      <c r="SPM54" s="4"/>
      <c r="SPN54" s="4"/>
      <c r="SPO54" s="4"/>
      <c r="SPP54" s="4"/>
      <c r="SPQ54" s="4"/>
      <c r="SPR54" s="4"/>
      <c r="SPS54" s="4"/>
      <c r="SPT54" s="4"/>
      <c r="SPU54" s="4"/>
      <c r="SPV54" s="4"/>
      <c r="SPW54" s="4"/>
      <c r="SPX54" s="4"/>
      <c r="SPY54" s="4"/>
      <c r="SPZ54" s="4"/>
      <c r="SQA54" s="4"/>
      <c r="SQB54" s="4"/>
      <c r="SQC54" s="4"/>
      <c r="SQD54" s="4"/>
      <c r="SQE54" s="4"/>
      <c r="SQF54" s="4"/>
      <c r="SQG54" s="4"/>
      <c r="SQH54" s="4"/>
      <c r="SQI54" s="4"/>
      <c r="SQJ54" s="4"/>
      <c r="SQK54" s="4"/>
      <c r="SQL54" s="4"/>
      <c r="SQM54" s="4"/>
      <c r="SQN54" s="4"/>
      <c r="SQO54" s="4"/>
      <c r="SQP54" s="4"/>
      <c r="SQQ54" s="4"/>
      <c r="SQR54" s="4"/>
      <c r="SQS54" s="4"/>
      <c r="SQT54" s="4"/>
      <c r="SQU54" s="4"/>
      <c r="SQV54" s="4"/>
      <c r="SQW54" s="4"/>
      <c r="SQX54" s="4"/>
      <c r="SQY54" s="4"/>
      <c r="SQZ54" s="4"/>
      <c r="SRA54" s="4"/>
      <c r="SRB54" s="4"/>
      <c r="SRC54" s="4"/>
      <c r="SRD54" s="4"/>
      <c r="SRE54" s="4"/>
      <c r="SRF54" s="4"/>
      <c r="SRG54" s="4"/>
      <c r="SRH54" s="4"/>
      <c r="SRI54" s="4"/>
      <c r="SRJ54" s="4"/>
      <c r="SRK54" s="4"/>
      <c r="SRL54" s="4"/>
      <c r="SRM54" s="4"/>
      <c r="SRN54" s="4"/>
      <c r="SRO54" s="4"/>
      <c r="SRP54" s="4"/>
      <c r="SRQ54" s="4"/>
      <c r="SRR54" s="4"/>
      <c r="SRS54" s="4"/>
      <c r="SRT54" s="4"/>
      <c r="SRU54" s="4"/>
      <c r="SRV54" s="4"/>
      <c r="SRW54" s="4"/>
      <c r="SRX54" s="4"/>
      <c r="SRY54" s="4"/>
      <c r="SRZ54" s="4"/>
      <c r="SSA54" s="4"/>
      <c r="SSB54" s="4"/>
      <c r="SSC54" s="4"/>
      <c r="SSD54" s="4"/>
      <c r="SSE54" s="4"/>
      <c r="SSF54" s="4"/>
      <c r="SSG54" s="4"/>
      <c r="SSH54" s="4"/>
      <c r="SSI54" s="4"/>
      <c r="SSJ54" s="4"/>
      <c r="SSK54" s="4"/>
      <c r="SSL54" s="4"/>
      <c r="SSM54" s="4"/>
      <c r="SSN54" s="4"/>
      <c r="SSO54" s="4"/>
      <c r="SSP54" s="4"/>
      <c r="SSQ54" s="4"/>
      <c r="SSR54" s="4"/>
      <c r="SSS54" s="4"/>
      <c r="SST54" s="4"/>
      <c r="SSU54" s="4"/>
      <c r="SSV54" s="4"/>
      <c r="SSW54" s="4"/>
      <c r="SSX54" s="4"/>
      <c r="SSY54" s="4"/>
      <c r="SSZ54" s="4"/>
      <c r="STA54" s="4"/>
      <c r="STB54" s="4"/>
      <c r="STC54" s="4"/>
      <c r="STD54" s="4"/>
      <c r="STE54" s="4"/>
      <c r="STF54" s="4"/>
      <c r="STG54" s="4"/>
      <c r="STH54" s="4"/>
      <c r="STI54" s="4"/>
      <c r="STJ54" s="4"/>
      <c r="STK54" s="4"/>
      <c r="STL54" s="4"/>
      <c r="STM54" s="4"/>
      <c r="STN54" s="4"/>
      <c r="STO54" s="4"/>
      <c r="STP54" s="4"/>
      <c r="STQ54" s="4"/>
      <c r="STR54" s="4"/>
      <c r="STS54" s="4"/>
      <c r="STT54" s="4"/>
      <c r="STU54" s="4"/>
      <c r="STV54" s="4"/>
      <c r="STW54" s="4"/>
      <c r="STX54" s="4"/>
      <c r="STY54" s="4"/>
      <c r="STZ54" s="4"/>
      <c r="SUA54" s="4"/>
      <c r="SUB54" s="4"/>
      <c r="SUC54" s="4"/>
      <c r="SUD54" s="4"/>
      <c r="SUE54" s="4"/>
      <c r="SUF54" s="4"/>
      <c r="SUG54" s="4"/>
      <c r="SUH54" s="4"/>
      <c r="SUI54" s="4"/>
      <c r="SUJ54" s="4"/>
      <c r="SUK54" s="4"/>
      <c r="SUL54" s="4"/>
      <c r="SUM54" s="4"/>
      <c r="SUN54" s="4"/>
      <c r="SUO54" s="4"/>
      <c r="SUP54" s="4"/>
      <c r="SUQ54" s="4"/>
      <c r="SUR54" s="4"/>
      <c r="SUS54" s="4"/>
      <c r="SUT54" s="4"/>
      <c r="SUU54" s="4"/>
      <c r="SUV54" s="4"/>
      <c r="SUW54" s="4"/>
      <c r="SUX54" s="4"/>
      <c r="SUY54" s="4"/>
      <c r="SUZ54" s="4"/>
      <c r="SVA54" s="4"/>
      <c r="SVB54" s="4"/>
      <c r="SVC54" s="4"/>
      <c r="SVD54" s="4"/>
      <c r="SVE54" s="4"/>
      <c r="SVF54" s="4"/>
      <c r="SVG54" s="4"/>
      <c r="SVH54" s="4"/>
      <c r="SVI54" s="4"/>
      <c r="SVJ54" s="4"/>
      <c r="SVK54" s="4"/>
      <c r="SVL54" s="4"/>
      <c r="SVM54" s="4"/>
      <c r="SVN54" s="4"/>
      <c r="SVO54" s="4"/>
      <c r="SVP54" s="4"/>
      <c r="SVQ54" s="4"/>
      <c r="SVR54" s="4"/>
      <c r="SVS54" s="4"/>
      <c r="SVT54" s="4"/>
      <c r="SVU54" s="4"/>
      <c r="SVV54" s="4"/>
      <c r="SVW54" s="4"/>
      <c r="SVX54" s="4"/>
      <c r="SVY54" s="4"/>
      <c r="SVZ54" s="4"/>
      <c r="SWA54" s="4"/>
      <c r="SWB54" s="4"/>
      <c r="SWC54" s="4"/>
      <c r="SWD54" s="4"/>
      <c r="SWE54" s="4"/>
      <c r="SWF54" s="4"/>
      <c r="SWG54" s="4"/>
      <c r="SWH54" s="4"/>
      <c r="SWI54" s="4"/>
      <c r="SWJ54" s="4"/>
      <c r="SWK54" s="4"/>
      <c r="SWL54" s="4"/>
      <c r="SWM54" s="4"/>
      <c r="SWN54" s="4"/>
      <c r="SWO54" s="4"/>
      <c r="SWP54" s="4"/>
      <c r="SWQ54" s="4"/>
      <c r="SWR54" s="4"/>
      <c r="SWS54" s="4"/>
      <c r="SWT54" s="4"/>
      <c r="SWU54" s="4"/>
      <c r="SWV54" s="4"/>
      <c r="SWW54" s="4"/>
      <c r="SWX54" s="4"/>
      <c r="SWY54" s="4"/>
      <c r="SWZ54" s="4"/>
      <c r="SXA54" s="4"/>
      <c r="SXB54" s="4"/>
      <c r="SXC54" s="4"/>
      <c r="SXD54" s="4"/>
      <c r="SXE54" s="4"/>
      <c r="SXF54" s="4"/>
      <c r="SXG54" s="4"/>
      <c r="SXH54" s="4"/>
      <c r="SXI54" s="4"/>
      <c r="SXJ54" s="4"/>
      <c r="SXK54" s="4"/>
      <c r="SXL54" s="4"/>
      <c r="SXM54" s="4"/>
      <c r="SXN54" s="4"/>
      <c r="SXO54" s="4"/>
      <c r="SXP54" s="4"/>
      <c r="SXQ54" s="4"/>
      <c r="SXR54" s="4"/>
      <c r="SXS54" s="4"/>
      <c r="SXT54" s="4"/>
      <c r="SXU54" s="4"/>
      <c r="SXV54" s="4"/>
      <c r="SXW54" s="4"/>
      <c r="SXX54" s="4"/>
      <c r="SXY54" s="4"/>
      <c r="SXZ54" s="4"/>
      <c r="SYA54" s="4"/>
      <c r="SYB54" s="4"/>
      <c r="SYC54" s="4"/>
      <c r="SYD54" s="4"/>
      <c r="SYE54" s="4"/>
      <c r="SYF54" s="4"/>
      <c r="SYG54" s="4"/>
      <c r="SYH54" s="4"/>
      <c r="SYI54" s="4"/>
      <c r="SYJ54" s="4"/>
      <c r="SYK54" s="4"/>
      <c r="SYL54" s="4"/>
      <c r="SYM54" s="4"/>
      <c r="SYN54" s="4"/>
      <c r="SYO54" s="4"/>
      <c r="SYP54" s="4"/>
      <c r="SYQ54" s="4"/>
      <c r="SYR54" s="4"/>
      <c r="SYS54" s="4"/>
      <c r="SYT54" s="4"/>
      <c r="SYU54" s="4"/>
      <c r="SYV54" s="4"/>
      <c r="SYW54" s="4"/>
      <c r="SYX54" s="4"/>
      <c r="SYY54" s="4"/>
      <c r="SYZ54" s="4"/>
      <c r="SZA54" s="4"/>
      <c r="SZB54" s="4"/>
      <c r="SZC54" s="4"/>
      <c r="SZD54" s="4"/>
      <c r="SZE54" s="4"/>
      <c r="SZF54" s="4"/>
      <c r="SZG54" s="4"/>
      <c r="SZH54" s="4"/>
      <c r="SZI54" s="4"/>
      <c r="SZJ54" s="4"/>
      <c r="SZK54" s="4"/>
      <c r="SZL54" s="4"/>
      <c r="SZM54" s="4"/>
      <c r="SZN54" s="4"/>
      <c r="SZO54" s="4"/>
      <c r="SZP54" s="4"/>
      <c r="SZQ54" s="4"/>
      <c r="SZR54" s="4"/>
      <c r="SZS54" s="4"/>
      <c r="SZT54" s="4"/>
      <c r="SZU54" s="4"/>
      <c r="SZV54" s="4"/>
      <c r="SZW54" s="4"/>
      <c r="SZX54" s="4"/>
      <c r="SZY54" s="4"/>
      <c r="SZZ54" s="4"/>
      <c r="TAA54" s="4"/>
      <c r="TAB54" s="4"/>
      <c r="TAC54" s="4"/>
      <c r="TAD54" s="4"/>
      <c r="TAE54" s="4"/>
      <c r="TAF54" s="4"/>
      <c r="TAG54" s="4"/>
      <c r="TAH54" s="4"/>
      <c r="TAI54" s="4"/>
      <c r="TAJ54" s="4"/>
      <c r="TAK54" s="4"/>
      <c r="TAL54" s="4"/>
      <c r="TAM54" s="4"/>
      <c r="TAN54" s="4"/>
      <c r="TAO54" s="4"/>
      <c r="TAP54" s="4"/>
      <c r="TAQ54" s="4"/>
      <c r="TAR54" s="4"/>
      <c r="TAS54" s="4"/>
      <c r="TAT54" s="4"/>
      <c r="TAU54" s="4"/>
      <c r="TAV54" s="4"/>
      <c r="TAW54" s="4"/>
      <c r="TAX54" s="4"/>
      <c r="TAY54" s="4"/>
      <c r="TAZ54" s="4"/>
      <c r="TBA54" s="4"/>
      <c r="TBB54" s="4"/>
      <c r="TBC54" s="4"/>
      <c r="TBD54" s="4"/>
      <c r="TBE54" s="4"/>
      <c r="TBF54" s="4"/>
      <c r="TBG54" s="4"/>
      <c r="TBH54" s="4"/>
      <c r="TBI54" s="4"/>
      <c r="TBJ54" s="4"/>
      <c r="TBK54" s="4"/>
      <c r="TBL54" s="4"/>
      <c r="TBM54" s="4"/>
      <c r="TBN54" s="4"/>
      <c r="TBO54" s="4"/>
      <c r="TBP54" s="4"/>
      <c r="TBQ54" s="4"/>
      <c r="TBR54" s="4"/>
      <c r="TBS54" s="4"/>
      <c r="TBT54" s="4"/>
      <c r="TBU54" s="4"/>
      <c r="TBV54" s="4"/>
      <c r="TBW54" s="4"/>
      <c r="TBX54" s="4"/>
      <c r="TBY54" s="4"/>
      <c r="TBZ54" s="4"/>
      <c r="TCA54" s="4"/>
      <c r="TCB54" s="4"/>
      <c r="TCC54" s="4"/>
      <c r="TCD54" s="4"/>
      <c r="TCE54" s="4"/>
      <c r="TCF54" s="4"/>
      <c r="TCG54" s="4"/>
      <c r="TCH54" s="4"/>
      <c r="TCI54" s="4"/>
      <c r="TCJ54" s="4"/>
      <c r="TCK54" s="4"/>
      <c r="TCL54" s="4"/>
      <c r="TCM54" s="4"/>
      <c r="TCN54" s="4"/>
      <c r="TCO54" s="4"/>
      <c r="TCP54" s="4"/>
      <c r="TCQ54" s="4"/>
      <c r="TCR54" s="4"/>
      <c r="TCS54" s="4"/>
      <c r="TCT54" s="4"/>
      <c r="TCU54" s="4"/>
      <c r="TCV54" s="4"/>
      <c r="TCW54" s="4"/>
      <c r="TCX54" s="4"/>
      <c r="TCY54" s="4"/>
      <c r="TCZ54" s="4"/>
      <c r="TDA54" s="4"/>
      <c r="TDB54" s="4"/>
      <c r="TDC54" s="4"/>
      <c r="TDD54" s="4"/>
      <c r="TDE54" s="4"/>
      <c r="TDF54" s="4"/>
      <c r="TDG54" s="4"/>
      <c r="TDH54" s="4"/>
      <c r="TDI54" s="4"/>
      <c r="TDJ54" s="4"/>
      <c r="TDK54" s="4"/>
      <c r="TDL54" s="4"/>
      <c r="TDM54" s="4"/>
      <c r="TDN54" s="4"/>
      <c r="TDO54" s="4"/>
      <c r="TDP54" s="4"/>
      <c r="TDQ54" s="4"/>
      <c r="TDR54" s="4"/>
      <c r="TDS54" s="4"/>
      <c r="TDT54" s="4"/>
      <c r="TDU54" s="4"/>
      <c r="TDV54" s="4"/>
      <c r="TDW54" s="4"/>
      <c r="TDX54" s="4"/>
      <c r="TDY54" s="4"/>
      <c r="TDZ54" s="4"/>
      <c r="TEA54" s="4"/>
      <c r="TEB54" s="4"/>
      <c r="TEC54" s="4"/>
      <c r="TED54" s="4"/>
      <c r="TEE54" s="4"/>
      <c r="TEF54" s="4"/>
      <c r="TEG54" s="4"/>
      <c r="TEH54" s="4"/>
      <c r="TEI54" s="4"/>
      <c r="TEJ54" s="4"/>
      <c r="TEK54" s="4"/>
      <c r="TEL54" s="4"/>
      <c r="TEM54" s="4"/>
      <c r="TEN54" s="4"/>
      <c r="TEO54" s="4"/>
      <c r="TEP54" s="4"/>
      <c r="TEQ54" s="4"/>
      <c r="TER54" s="4"/>
      <c r="TES54" s="4"/>
      <c r="TET54" s="4"/>
      <c r="TEU54" s="4"/>
      <c r="TEV54" s="4"/>
      <c r="TEW54" s="4"/>
      <c r="TEX54" s="4"/>
      <c r="TEY54" s="4"/>
      <c r="TEZ54" s="4"/>
      <c r="TFA54" s="4"/>
      <c r="TFB54" s="4"/>
      <c r="TFC54" s="4"/>
      <c r="TFD54" s="4"/>
      <c r="TFE54" s="4"/>
      <c r="TFF54" s="4"/>
      <c r="TFG54" s="4"/>
      <c r="TFH54" s="4"/>
      <c r="TFI54" s="4"/>
      <c r="TFJ54" s="4"/>
      <c r="TFK54" s="4"/>
      <c r="TFL54" s="4"/>
      <c r="TFM54" s="4"/>
      <c r="TFN54" s="4"/>
      <c r="TFO54" s="4"/>
      <c r="TFP54" s="4"/>
      <c r="TFQ54" s="4"/>
      <c r="TFR54" s="4"/>
      <c r="TFS54" s="4"/>
      <c r="TFT54" s="4"/>
      <c r="TFU54" s="4"/>
      <c r="TFV54" s="4"/>
      <c r="TFW54" s="4"/>
      <c r="TFX54" s="4"/>
      <c r="TFY54" s="4"/>
      <c r="TFZ54" s="4"/>
      <c r="TGA54" s="4"/>
      <c r="TGB54" s="4"/>
      <c r="TGC54" s="4"/>
      <c r="TGD54" s="4"/>
      <c r="TGE54" s="4"/>
      <c r="TGF54" s="4"/>
      <c r="TGG54" s="4"/>
      <c r="TGH54" s="4"/>
      <c r="TGI54" s="4"/>
      <c r="TGJ54" s="4"/>
      <c r="TGK54" s="4"/>
      <c r="TGL54" s="4"/>
      <c r="TGM54" s="4"/>
      <c r="TGN54" s="4"/>
      <c r="TGO54" s="4"/>
      <c r="TGP54" s="4"/>
      <c r="TGQ54" s="4"/>
      <c r="TGR54" s="4"/>
      <c r="TGS54" s="4"/>
      <c r="TGT54" s="4"/>
      <c r="TGU54" s="4"/>
      <c r="TGV54" s="4"/>
      <c r="TGW54" s="4"/>
      <c r="TGX54" s="4"/>
      <c r="TGY54" s="4"/>
      <c r="TGZ54" s="4"/>
      <c r="THA54" s="4"/>
      <c r="THB54" s="4"/>
      <c r="THC54" s="4"/>
      <c r="THD54" s="4"/>
      <c r="THE54" s="4"/>
      <c r="THF54" s="4"/>
      <c r="THG54" s="4"/>
      <c r="THH54" s="4"/>
      <c r="THI54" s="4"/>
      <c r="THJ54" s="4"/>
      <c r="THK54" s="4"/>
      <c r="THL54" s="4"/>
      <c r="THM54" s="4"/>
      <c r="THN54" s="4"/>
      <c r="THO54" s="4"/>
      <c r="THP54" s="4"/>
      <c r="THQ54" s="4"/>
      <c r="THR54" s="4"/>
      <c r="THS54" s="4"/>
      <c r="THT54" s="4"/>
      <c r="THU54" s="4"/>
      <c r="THV54" s="4"/>
      <c r="THW54" s="4"/>
      <c r="THX54" s="4"/>
      <c r="THY54" s="4"/>
      <c r="THZ54" s="4"/>
      <c r="TIA54" s="4"/>
      <c r="TIB54" s="4"/>
      <c r="TIC54" s="4"/>
      <c r="TID54" s="4"/>
      <c r="TIE54" s="4"/>
      <c r="TIF54" s="4"/>
      <c r="TIG54" s="4"/>
      <c r="TIH54" s="4"/>
      <c r="TII54" s="4"/>
      <c r="TIJ54" s="4"/>
      <c r="TIK54" s="4"/>
      <c r="TIL54" s="4"/>
      <c r="TIM54" s="4"/>
      <c r="TIN54" s="4"/>
      <c r="TIO54" s="4"/>
      <c r="TIP54" s="4"/>
      <c r="TIQ54" s="4"/>
      <c r="TIR54" s="4"/>
      <c r="TIS54" s="4"/>
      <c r="TIT54" s="4"/>
      <c r="TIU54" s="4"/>
      <c r="TIV54" s="4"/>
      <c r="TIW54" s="4"/>
      <c r="TIX54" s="4"/>
      <c r="TIY54" s="4"/>
      <c r="TIZ54" s="4"/>
      <c r="TJA54" s="4"/>
      <c r="TJB54" s="4"/>
      <c r="TJC54" s="4"/>
      <c r="TJD54" s="4"/>
      <c r="TJE54" s="4"/>
      <c r="TJF54" s="4"/>
      <c r="TJG54" s="4"/>
      <c r="TJH54" s="4"/>
      <c r="TJI54" s="4"/>
      <c r="TJJ54" s="4"/>
      <c r="TJK54" s="4"/>
      <c r="TJL54" s="4"/>
      <c r="TJM54" s="4"/>
      <c r="TJN54" s="4"/>
      <c r="TJO54" s="4"/>
      <c r="TJP54" s="4"/>
      <c r="TJQ54" s="4"/>
      <c r="TJR54" s="4"/>
      <c r="TJS54" s="4"/>
      <c r="TJT54" s="4"/>
      <c r="TJU54" s="4"/>
      <c r="TJV54" s="4"/>
      <c r="TJW54" s="4"/>
      <c r="TJX54" s="4"/>
      <c r="TJY54" s="4"/>
      <c r="TJZ54" s="4"/>
      <c r="TKA54" s="4"/>
      <c r="TKB54" s="4"/>
      <c r="TKC54" s="4"/>
      <c r="TKD54" s="4"/>
      <c r="TKE54" s="4"/>
      <c r="TKF54" s="4"/>
      <c r="TKG54" s="4"/>
      <c r="TKH54" s="4"/>
      <c r="TKI54" s="4"/>
      <c r="TKJ54" s="4"/>
      <c r="TKK54" s="4"/>
      <c r="TKL54" s="4"/>
      <c r="TKM54" s="4"/>
      <c r="TKN54" s="4"/>
      <c r="TKO54" s="4"/>
      <c r="TKP54" s="4"/>
      <c r="TKQ54" s="4"/>
      <c r="TKR54" s="4"/>
      <c r="TKS54" s="4"/>
      <c r="TKT54" s="4"/>
      <c r="TKU54" s="4"/>
      <c r="TKV54" s="4"/>
      <c r="TKW54" s="4"/>
      <c r="TKX54" s="4"/>
      <c r="TKY54" s="4"/>
      <c r="TKZ54" s="4"/>
      <c r="TLA54" s="4"/>
      <c r="TLB54" s="4"/>
      <c r="TLC54" s="4"/>
      <c r="TLD54" s="4"/>
      <c r="TLE54" s="4"/>
      <c r="TLF54" s="4"/>
      <c r="TLG54" s="4"/>
      <c r="TLH54" s="4"/>
      <c r="TLI54" s="4"/>
      <c r="TLJ54" s="4"/>
      <c r="TLK54" s="4"/>
      <c r="TLL54" s="4"/>
      <c r="TLM54" s="4"/>
      <c r="TLN54" s="4"/>
      <c r="TLO54" s="4"/>
      <c r="TLP54" s="4"/>
      <c r="TLQ54" s="4"/>
      <c r="TLR54" s="4"/>
      <c r="TLS54" s="4"/>
      <c r="TLT54" s="4"/>
      <c r="TLU54" s="4"/>
      <c r="TLV54" s="4"/>
      <c r="TLW54" s="4"/>
      <c r="TLX54" s="4"/>
      <c r="TLY54" s="4"/>
      <c r="TLZ54" s="4"/>
      <c r="TMA54" s="4"/>
      <c r="TMB54" s="4"/>
      <c r="TMC54" s="4"/>
      <c r="TMD54" s="4"/>
      <c r="TME54" s="4"/>
      <c r="TMF54" s="4"/>
      <c r="TMG54" s="4"/>
      <c r="TMH54" s="4"/>
      <c r="TMI54" s="4"/>
      <c r="TMJ54" s="4"/>
      <c r="TMK54" s="4"/>
      <c r="TML54" s="4"/>
      <c r="TMM54" s="4"/>
      <c r="TMN54" s="4"/>
      <c r="TMO54" s="4"/>
      <c r="TMP54" s="4"/>
      <c r="TMQ54" s="4"/>
      <c r="TMR54" s="4"/>
      <c r="TMS54" s="4"/>
      <c r="TMT54" s="4"/>
      <c r="TMU54" s="4"/>
      <c r="TMV54" s="4"/>
      <c r="TMW54" s="4"/>
      <c r="TMX54" s="4"/>
      <c r="TMY54" s="4"/>
      <c r="TMZ54" s="4"/>
      <c r="TNA54" s="4"/>
      <c r="TNB54" s="4"/>
      <c r="TNC54" s="4"/>
      <c r="TND54" s="4"/>
      <c r="TNE54" s="4"/>
      <c r="TNF54" s="4"/>
      <c r="TNG54" s="4"/>
      <c r="TNH54" s="4"/>
      <c r="TNI54" s="4"/>
      <c r="TNJ54" s="4"/>
      <c r="TNK54" s="4"/>
      <c r="TNL54" s="4"/>
      <c r="TNM54" s="4"/>
      <c r="TNN54" s="4"/>
      <c r="TNO54" s="4"/>
      <c r="TNP54" s="4"/>
      <c r="TNQ54" s="4"/>
      <c r="TNR54" s="4"/>
      <c r="TNS54" s="4"/>
      <c r="TNT54" s="4"/>
      <c r="TNU54" s="4"/>
      <c r="TNV54" s="4"/>
      <c r="TNW54" s="4"/>
      <c r="TNX54" s="4"/>
      <c r="TNY54" s="4"/>
      <c r="TNZ54" s="4"/>
      <c r="TOA54" s="4"/>
      <c r="TOB54" s="4"/>
      <c r="TOC54" s="4"/>
      <c r="TOD54" s="4"/>
      <c r="TOE54" s="4"/>
      <c r="TOF54" s="4"/>
      <c r="TOG54" s="4"/>
      <c r="TOH54" s="4"/>
      <c r="TOI54" s="4"/>
      <c r="TOJ54" s="4"/>
      <c r="TOK54" s="4"/>
      <c r="TOL54" s="4"/>
      <c r="TOM54" s="4"/>
      <c r="TON54" s="4"/>
      <c r="TOO54" s="4"/>
      <c r="TOP54" s="4"/>
      <c r="TOQ54" s="4"/>
      <c r="TOR54" s="4"/>
      <c r="TOS54" s="4"/>
      <c r="TOT54" s="4"/>
      <c r="TOU54" s="4"/>
      <c r="TOV54" s="4"/>
      <c r="TOW54" s="4"/>
      <c r="TOX54" s="4"/>
      <c r="TOY54" s="4"/>
      <c r="TOZ54" s="4"/>
      <c r="TPA54" s="4"/>
      <c r="TPB54" s="4"/>
      <c r="TPC54" s="4"/>
      <c r="TPD54" s="4"/>
      <c r="TPE54" s="4"/>
      <c r="TPF54" s="4"/>
      <c r="TPG54" s="4"/>
      <c r="TPH54" s="4"/>
      <c r="TPI54" s="4"/>
      <c r="TPJ54" s="4"/>
      <c r="TPK54" s="4"/>
      <c r="TPL54" s="4"/>
      <c r="TPM54" s="4"/>
      <c r="TPN54" s="4"/>
      <c r="TPO54" s="4"/>
      <c r="TPP54" s="4"/>
      <c r="TPQ54" s="4"/>
      <c r="TPR54" s="4"/>
      <c r="TPS54" s="4"/>
      <c r="TPT54" s="4"/>
      <c r="TPU54" s="4"/>
      <c r="TPV54" s="4"/>
      <c r="TPW54" s="4"/>
      <c r="TPX54" s="4"/>
      <c r="TPY54" s="4"/>
      <c r="TPZ54" s="4"/>
      <c r="TQA54" s="4"/>
      <c r="TQB54" s="4"/>
      <c r="TQC54" s="4"/>
      <c r="TQD54" s="4"/>
      <c r="TQE54" s="4"/>
      <c r="TQF54" s="4"/>
      <c r="TQG54" s="4"/>
      <c r="TQH54" s="4"/>
      <c r="TQI54" s="4"/>
      <c r="TQJ54" s="4"/>
      <c r="TQK54" s="4"/>
      <c r="TQL54" s="4"/>
      <c r="TQM54" s="4"/>
      <c r="TQN54" s="4"/>
      <c r="TQO54" s="4"/>
      <c r="TQP54" s="4"/>
      <c r="TQQ54" s="4"/>
      <c r="TQR54" s="4"/>
      <c r="TQS54" s="4"/>
      <c r="TQT54" s="4"/>
      <c r="TQU54" s="4"/>
      <c r="TQV54" s="4"/>
      <c r="TQW54" s="4"/>
      <c r="TQX54" s="4"/>
      <c r="TQY54" s="4"/>
      <c r="TQZ54" s="4"/>
      <c r="TRA54" s="4"/>
      <c r="TRB54" s="4"/>
      <c r="TRC54" s="4"/>
      <c r="TRD54" s="4"/>
      <c r="TRE54" s="4"/>
      <c r="TRF54" s="4"/>
      <c r="TRG54" s="4"/>
      <c r="TRH54" s="4"/>
      <c r="TRI54" s="4"/>
      <c r="TRJ54" s="4"/>
      <c r="TRK54" s="4"/>
      <c r="TRL54" s="4"/>
      <c r="TRM54" s="4"/>
      <c r="TRN54" s="4"/>
      <c r="TRO54" s="4"/>
      <c r="TRP54" s="4"/>
      <c r="TRQ54" s="4"/>
      <c r="TRR54" s="4"/>
      <c r="TRS54" s="4"/>
      <c r="TRT54" s="4"/>
      <c r="TRU54" s="4"/>
      <c r="TRV54" s="4"/>
      <c r="TRW54" s="4"/>
      <c r="TRX54" s="4"/>
      <c r="TRY54" s="4"/>
      <c r="TRZ54" s="4"/>
      <c r="TSA54" s="4"/>
      <c r="TSB54" s="4"/>
      <c r="TSC54" s="4"/>
      <c r="TSD54" s="4"/>
      <c r="TSE54" s="4"/>
      <c r="TSF54" s="4"/>
      <c r="TSG54" s="4"/>
      <c r="TSH54" s="4"/>
      <c r="TSI54" s="4"/>
      <c r="TSJ54" s="4"/>
      <c r="TSK54" s="4"/>
      <c r="TSL54" s="4"/>
      <c r="TSM54" s="4"/>
      <c r="TSN54" s="4"/>
      <c r="TSO54" s="4"/>
      <c r="TSP54" s="4"/>
      <c r="TSQ54" s="4"/>
      <c r="TSR54" s="4"/>
      <c r="TSS54" s="4"/>
      <c r="TST54" s="4"/>
      <c r="TSU54" s="4"/>
      <c r="TSV54" s="4"/>
      <c r="TSW54" s="4"/>
      <c r="TSX54" s="4"/>
      <c r="TSY54" s="4"/>
      <c r="TSZ54" s="4"/>
      <c r="TTA54" s="4"/>
      <c r="TTB54" s="4"/>
      <c r="TTC54" s="4"/>
      <c r="TTD54" s="4"/>
      <c r="TTE54" s="4"/>
      <c r="TTF54" s="4"/>
      <c r="TTG54" s="4"/>
      <c r="TTH54" s="4"/>
      <c r="TTI54" s="4"/>
      <c r="TTJ54" s="4"/>
      <c r="TTK54" s="4"/>
      <c r="TTL54" s="4"/>
      <c r="TTM54" s="4"/>
      <c r="TTN54" s="4"/>
      <c r="TTO54" s="4"/>
      <c r="TTP54" s="4"/>
      <c r="TTQ54" s="4"/>
      <c r="TTR54" s="4"/>
      <c r="TTS54" s="4"/>
      <c r="TTT54" s="4"/>
      <c r="TTU54" s="4"/>
      <c r="TTV54" s="4"/>
      <c r="TTW54" s="4"/>
      <c r="TTX54" s="4"/>
      <c r="TTY54" s="4"/>
      <c r="TTZ54" s="4"/>
      <c r="TUA54" s="4"/>
      <c r="TUB54" s="4"/>
      <c r="TUC54" s="4"/>
      <c r="TUD54" s="4"/>
      <c r="TUE54" s="4"/>
      <c r="TUF54" s="4"/>
      <c r="TUG54" s="4"/>
      <c r="TUH54" s="4"/>
      <c r="TUI54" s="4"/>
      <c r="TUJ54" s="4"/>
      <c r="TUK54" s="4"/>
      <c r="TUL54" s="4"/>
      <c r="TUM54" s="4"/>
      <c r="TUN54" s="4"/>
      <c r="TUO54" s="4"/>
      <c r="TUP54" s="4"/>
      <c r="TUQ54" s="4"/>
      <c r="TUR54" s="4"/>
      <c r="TUS54" s="4"/>
      <c r="TUT54" s="4"/>
      <c r="TUU54" s="4"/>
      <c r="TUV54" s="4"/>
      <c r="TUW54" s="4"/>
      <c r="TUX54" s="4"/>
      <c r="TUY54" s="4"/>
      <c r="TUZ54" s="4"/>
      <c r="TVA54" s="4"/>
      <c r="TVB54" s="4"/>
      <c r="TVC54" s="4"/>
      <c r="TVD54" s="4"/>
      <c r="TVE54" s="4"/>
      <c r="TVF54" s="4"/>
      <c r="TVG54" s="4"/>
      <c r="TVH54" s="4"/>
      <c r="TVI54" s="4"/>
      <c r="TVJ54" s="4"/>
      <c r="TVK54" s="4"/>
      <c r="TVL54" s="4"/>
      <c r="TVM54" s="4"/>
      <c r="TVN54" s="4"/>
      <c r="TVO54" s="4"/>
      <c r="TVP54" s="4"/>
      <c r="TVQ54" s="4"/>
      <c r="TVR54" s="4"/>
      <c r="TVS54" s="4"/>
      <c r="TVT54" s="4"/>
      <c r="TVU54" s="4"/>
      <c r="TVV54" s="4"/>
      <c r="TVW54" s="4"/>
      <c r="TVX54" s="4"/>
      <c r="TVY54" s="4"/>
      <c r="TVZ54" s="4"/>
      <c r="TWA54" s="4"/>
      <c r="TWB54" s="4"/>
      <c r="TWC54" s="4"/>
      <c r="TWD54" s="4"/>
      <c r="TWE54" s="4"/>
      <c r="TWF54" s="4"/>
      <c r="TWG54" s="4"/>
      <c r="TWH54" s="4"/>
      <c r="TWI54" s="4"/>
      <c r="TWJ54" s="4"/>
      <c r="TWK54" s="4"/>
      <c r="TWL54" s="4"/>
      <c r="TWM54" s="4"/>
      <c r="TWN54" s="4"/>
      <c r="TWO54" s="4"/>
      <c r="TWP54" s="4"/>
      <c r="TWQ54" s="4"/>
      <c r="TWR54" s="4"/>
      <c r="TWS54" s="4"/>
      <c r="TWT54" s="4"/>
      <c r="TWU54" s="4"/>
      <c r="TWV54" s="4"/>
      <c r="TWW54" s="4"/>
      <c r="TWX54" s="4"/>
      <c r="TWY54" s="4"/>
      <c r="TWZ54" s="4"/>
      <c r="TXA54" s="4"/>
      <c r="TXB54" s="4"/>
      <c r="TXC54" s="4"/>
      <c r="TXD54" s="4"/>
      <c r="TXE54" s="4"/>
      <c r="TXF54" s="4"/>
      <c r="TXG54" s="4"/>
      <c r="TXH54" s="4"/>
      <c r="TXI54" s="4"/>
      <c r="TXJ54" s="4"/>
      <c r="TXK54" s="4"/>
      <c r="TXL54" s="4"/>
      <c r="TXM54" s="4"/>
      <c r="TXN54" s="4"/>
      <c r="TXO54" s="4"/>
      <c r="TXP54" s="4"/>
      <c r="TXQ54" s="4"/>
      <c r="TXR54" s="4"/>
      <c r="TXS54" s="4"/>
      <c r="TXT54" s="4"/>
      <c r="TXU54" s="4"/>
      <c r="TXV54" s="4"/>
      <c r="TXW54" s="4"/>
      <c r="TXX54" s="4"/>
      <c r="TXY54" s="4"/>
      <c r="TXZ54" s="4"/>
      <c r="TYA54" s="4"/>
      <c r="TYB54" s="4"/>
      <c r="TYC54" s="4"/>
      <c r="TYD54" s="4"/>
      <c r="TYE54" s="4"/>
      <c r="TYF54" s="4"/>
      <c r="TYG54" s="4"/>
      <c r="TYH54" s="4"/>
      <c r="TYI54" s="4"/>
      <c r="TYJ54" s="4"/>
      <c r="TYK54" s="4"/>
      <c r="TYL54" s="4"/>
      <c r="TYM54" s="4"/>
      <c r="TYN54" s="4"/>
      <c r="TYO54" s="4"/>
      <c r="TYP54" s="4"/>
      <c r="TYQ54" s="4"/>
      <c r="TYR54" s="4"/>
      <c r="TYS54" s="4"/>
      <c r="TYT54" s="4"/>
      <c r="TYU54" s="4"/>
      <c r="TYV54" s="4"/>
      <c r="TYW54" s="4"/>
      <c r="TYX54" s="4"/>
      <c r="TYY54" s="4"/>
      <c r="TYZ54" s="4"/>
      <c r="TZA54" s="4"/>
      <c r="TZB54" s="4"/>
      <c r="TZC54" s="4"/>
      <c r="TZD54" s="4"/>
      <c r="TZE54" s="4"/>
      <c r="TZF54" s="4"/>
      <c r="TZG54" s="4"/>
      <c r="TZH54" s="4"/>
      <c r="TZI54" s="4"/>
      <c r="TZJ54" s="4"/>
      <c r="TZK54" s="4"/>
      <c r="TZL54" s="4"/>
      <c r="TZM54" s="4"/>
      <c r="TZN54" s="4"/>
      <c r="TZO54" s="4"/>
      <c r="TZP54" s="4"/>
      <c r="TZQ54" s="4"/>
      <c r="TZR54" s="4"/>
      <c r="TZS54" s="4"/>
      <c r="TZT54" s="4"/>
      <c r="TZU54" s="4"/>
      <c r="TZV54" s="4"/>
      <c r="TZW54" s="4"/>
      <c r="TZX54" s="4"/>
      <c r="TZY54" s="4"/>
      <c r="TZZ54" s="4"/>
      <c r="UAA54" s="4"/>
      <c r="UAB54" s="4"/>
      <c r="UAC54" s="4"/>
      <c r="UAD54" s="4"/>
      <c r="UAE54" s="4"/>
      <c r="UAF54" s="4"/>
      <c r="UAG54" s="4"/>
      <c r="UAH54" s="4"/>
      <c r="UAI54" s="4"/>
      <c r="UAJ54" s="4"/>
      <c r="UAK54" s="4"/>
      <c r="UAL54" s="4"/>
      <c r="UAM54" s="4"/>
      <c r="UAN54" s="4"/>
      <c r="UAO54" s="4"/>
      <c r="UAP54" s="4"/>
      <c r="UAQ54" s="4"/>
      <c r="UAR54" s="4"/>
      <c r="UAS54" s="4"/>
      <c r="UAT54" s="4"/>
      <c r="UAU54" s="4"/>
      <c r="UAV54" s="4"/>
      <c r="UAW54" s="4"/>
      <c r="UAX54" s="4"/>
      <c r="UAY54" s="4"/>
      <c r="UAZ54" s="4"/>
      <c r="UBA54" s="4"/>
      <c r="UBB54" s="4"/>
      <c r="UBC54" s="4"/>
      <c r="UBD54" s="4"/>
      <c r="UBE54" s="4"/>
      <c r="UBF54" s="4"/>
      <c r="UBG54" s="4"/>
      <c r="UBH54" s="4"/>
      <c r="UBI54" s="4"/>
      <c r="UBJ54" s="4"/>
      <c r="UBK54" s="4"/>
      <c r="UBL54" s="4"/>
      <c r="UBM54" s="4"/>
      <c r="UBN54" s="4"/>
      <c r="UBO54" s="4"/>
      <c r="UBP54" s="4"/>
      <c r="UBQ54" s="4"/>
      <c r="UBR54" s="4"/>
      <c r="UBS54" s="4"/>
      <c r="UBT54" s="4"/>
      <c r="UBU54" s="4"/>
      <c r="UBV54" s="4"/>
      <c r="UBW54" s="4"/>
      <c r="UBX54" s="4"/>
      <c r="UBY54" s="4"/>
      <c r="UBZ54" s="4"/>
      <c r="UCA54" s="4"/>
      <c r="UCB54" s="4"/>
      <c r="UCC54" s="4"/>
      <c r="UCD54" s="4"/>
      <c r="UCE54" s="4"/>
      <c r="UCF54" s="4"/>
      <c r="UCG54" s="4"/>
      <c r="UCH54" s="4"/>
      <c r="UCI54" s="4"/>
      <c r="UCJ54" s="4"/>
      <c r="UCK54" s="4"/>
      <c r="UCL54" s="4"/>
      <c r="UCM54" s="4"/>
      <c r="UCN54" s="4"/>
      <c r="UCO54" s="4"/>
      <c r="UCP54" s="4"/>
      <c r="UCQ54" s="4"/>
      <c r="UCR54" s="4"/>
      <c r="UCS54" s="4"/>
      <c r="UCT54" s="4"/>
      <c r="UCU54" s="4"/>
      <c r="UCV54" s="4"/>
      <c r="UCW54" s="4"/>
      <c r="UCX54" s="4"/>
      <c r="UCY54" s="4"/>
      <c r="UCZ54" s="4"/>
      <c r="UDA54" s="4"/>
      <c r="UDB54" s="4"/>
      <c r="UDC54" s="4"/>
      <c r="UDD54" s="4"/>
      <c r="UDE54" s="4"/>
      <c r="UDF54" s="4"/>
      <c r="UDG54" s="4"/>
      <c r="UDH54" s="4"/>
      <c r="UDI54" s="4"/>
      <c r="UDJ54" s="4"/>
      <c r="UDK54" s="4"/>
      <c r="UDL54" s="4"/>
      <c r="UDM54" s="4"/>
      <c r="UDN54" s="4"/>
      <c r="UDO54" s="4"/>
      <c r="UDP54" s="4"/>
      <c r="UDQ54" s="4"/>
      <c r="UDR54" s="4"/>
      <c r="UDS54" s="4"/>
      <c r="UDT54" s="4"/>
      <c r="UDU54" s="4"/>
      <c r="UDV54" s="4"/>
      <c r="UDW54" s="4"/>
      <c r="UDX54" s="4"/>
      <c r="UDY54" s="4"/>
      <c r="UDZ54" s="4"/>
      <c r="UEA54" s="4"/>
      <c r="UEB54" s="4"/>
      <c r="UEC54" s="4"/>
      <c r="UED54" s="4"/>
      <c r="UEE54" s="4"/>
      <c r="UEF54" s="4"/>
      <c r="UEG54" s="4"/>
      <c r="UEH54" s="4"/>
      <c r="UEI54" s="4"/>
      <c r="UEJ54" s="4"/>
      <c r="UEK54" s="4"/>
      <c r="UEL54" s="4"/>
      <c r="UEM54" s="4"/>
      <c r="UEN54" s="4"/>
      <c r="UEO54" s="4"/>
      <c r="UEP54" s="4"/>
      <c r="UEQ54" s="4"/>
      <c r="UER54" s="4"/>
      <c r="UES54" s="4"/>
      <c r="UET54" s="4"/>
      <c r="UEU54" s="4"/>
      <c r="UEV54" s="4"/>
      <c r="UEW54" s="4"/>
      <c r="UEX54" s="4"/>
      <c r="UEY54" s="4"/>
      <c r="UEZ54" s="4"/>
      <c r="UFA54" s="4"/>
      <c r="UFB54" s="4"/>
      <c r="UFC54" s="4"/>
      <c r="UFD54" s="4"/>
      <c r="UFE54" s="4"/>
      <c r="UFF54" s="4"/>
      <c r="UFG54" s="4"/>
      <c r="UFH54" s="4"/>
      <c r="UFI54" s="4"/>
      <c r="UFJ54" s="4"/>
      <c r="UFK54" s="4"/>
      <c r="UFL54" s="4"/>
      <c r="UFM54" s="4"/>
      <c r="UFN54" s="4"/>
      <c r="UFO54" s="4"/>
      <c r="UFP54" s="4"/>
      <c r="UFQ54" s="4"/>
      <c r="UFR54" s="4"/>
      <c r="UFS54" s="4"/>
      <c r="UFT54" s="4"/>
      <c r="UFU54" s="4"/>
      <c r="UFV54" s="4"/>
      <c r="UFW54" s="4"/>
      <c r="UFX54" s="4"/>
      <c r="UFY54" s="4"/>
      <c r="UFZ54" s="4"/>
      <c r="UGA54" s="4"/>
      <c r="UGB54" s="4"/>
      <c r="UGC54" s="4"/>
      <c r="UGD54" s="4"/>
      <c r="UGE54" s="4"/>
      <c r="UGF54" s="4"/>
      <c r="UGG54" s="4"/>
      <c r="UGH54" s="4"/>
      <c r="UGI54" s="4"/>
      <c r="UGJ54" s="4"/>
      <c r="UGK54" s="4"/>
      <c r="UGL54" s="4"/>
      <c r="UGM54" s="4"/>
      <c r="UGN54" s="4"/>
      <c r="UGO54" s="4"/>
      <c r="UGP54" s="4"/>
      <c r="UGQ54" s="4"/>
      <c r="UGR54" s="4"/>
      <c r="UGS54" s="4"/>
      <c r="UGT54" s="4"/>
      <c r="UGU54" s="4"/>
      <c r="UGV54" s="4"/>
      <c r="UGW54" s="4"/>
      <c r="UGX54" s="4"/>
      <c r="UGY54" s="4"/>
      <c r="UGZ54" s="4"/>
      <c r="UHA54" s="4"/>
      <c r="UHB54" s="4"/>
      <c r="UHC54" s="4"/>
      <c r="UHD54" s="4"/>
      <c r="UHE54" s="4"/>
      <c r="UHF54" s="4"/>
      <c r="UHG54" s="4"/>
      <c r="UHH54" s="4"/>
      <c r="UHI54" s="4"/>
      <c r="UHJ54" s="4"/>
      <c r="UHK54" s="4"/>
      <c r="UHL54" s="4"/>
      <c r="UHM54" s="4"/>
      <c r="UHN54" s="4"/>
      <c r="UHO54" s="4"/>
      <c r="UHP54" s="4"/>
      <c r="UHQ54" s="4"/>
      <c r="UHR54" s="4"/>
      <c r="UHS54" s="4"/>
      <c r="UHT54" s="4"/>
      <c r="UHU54" s="4"/>
      <c r="UHV54" s="4"/>
      <c r="UHW54" s="4"/>
      <c r="UHX54" s="4"/>
      <c r="UHY54" s="4"/>
      <c r="UHZ54" s="4"/>
      <c r="UIA54" s="4"/>
      <c r="UIB54" s="4"/>
      <c r="UIC54" s="4"/>
      <c r="UID54" s="4"/>
      <c r="UIE54" s="4"/>
      <c r="UIF54" s="4"/>
      <c r="UIG54" s="4"/>
      <c r="UIH54" s="4"/>
      <c r="UII54" s="4"/>
      <c r="UIJ54" s="4"/>
      <c r="UIK54" s="4"/>
      <c r="UIL54" s="4"/>
      <c r="UIM54" s="4"/>
      <c r="UIN54" s="4"/>
      <c r="UIO54" s="4"/>
      <c r="UIP54" s="4"/>
      <c r="UIQ54" s="4"/>
      <c r="UIR54" s="4"/>
      <c r="UIS54" s="4"/>
      <c r="UIT54" s="4"/>
      <c r="UIU54" s="4"/>
      <c r="UIV54" s="4"/>
      <c r="UIW54" s="4"/>
      <c r="UIX54" s="4"/>
      <c r="UIY54" s="4"/>
      <c r="UIZ54" s="4"/>
      <c r="UJA54" s="4"/>
      <c r="UJB54" s="4"/>
      <c r="UJC54" s="4"/>
      <c r="UJD54" s="4"/>
      <c r="UJE54" s="4"/>
      <c r="UJF54" s="4"/>
      <c r="UJG54" s="4"/>
      <c r="UJH54" s="4"/>
      <c r="UJI54" s="4"/>
      <c r="UJJ54" s="4"/>
      <c r="UJK54" s="4"/>
      <c r="UJL54" s="4"/>
      <c r="UJM54" s="4"/>
      <c r="UJN54" s="4"/>
      <c r="UJO54" s="4"/>
      <c r="UJP54" s="4"/>
      <c r="UJQ54" s="4"/>
      <c r="UJR54" s="4"/>
      <c r="UJS54" s="4"/>
      <c r="UJT54" s="4"/>
      <c r="UJU54" s="4"/>
      <c r="UJV54" s="4"/>
      <c r="UJW54" s="4"/>
      <c r="UJX54" s="4"/>
      <c r="UJY54" s="4"/>
      <c r="UJZ54" s="4"/>
      <c r="UKA54" s="4"/>
      <c r="UKB54" s="4"/>
      <c r="UKC54" s="4"/>
      <c r="UKD54" s="4"/>
      <c r="UKE54" s="4"/>
      <c r="UKF54" s="4"/>
      <c r="UKG54" s="4"/>
      <c r="UKH54" s="4"/>
      <c r="UKI54" s="4"/>
      <c r="UKJ54" s="4"/>
      <c r="UKK54" s="4"/>
      <c r="UKL54" s="4"/>
      <c r="UKM54" s="4"/>
      <c r="UKN54" s="4"/>
      <c r="UKO54" s="4"/>
      <c r="UKP54" s="4"/>
      <c r="UKQ54" s="4"/>
      <c r="UKR54" s="4"/>
      <c r="UKS54" s="4"/>
      <c r="UKT54" s="4"/>
      <c r="UKU54" s="4"/>
      <c r="UKV54" s="4"/>
      <c r="UKW54" s="4"/>
      <c r="UKX54" s="4"/>
      <c r="UKY54" s="4"/>
      <c r="UKZ54" s="4"/>
      <c r="ULA54" s="4"/>
      <c r="ULB54" s="4"/>
      <c r="ULC54" s="4"/>
      <c r="ULD54" s="4"/>
      <c r="ULE54" s="4"/>
      <c r="ULF54" s="4"/>
      <c r="ULG54" s="4"/>
      <c r="ULH54" s="4"/>
      <c r="ULI54" s="4"/>
      <c r="ULJ54" s="4"/>
      <c r="ULK54" s="4"/>
      <c r="ULL54" s="4"/>
      <c r="ULM54" s="4"/>
      <c r="ULN54" s="4"/>
      <c r="ULO54" s="4"/>
      <c r="ULP54" s="4"/>
      <c r="ULQ54" s="4"/>
      <c r="ULR54" s="4"/>
      <c r="ULS54" s="4"/>
      <c r="ULT54" s="4"/>
      <c r="ULU54" s="4"/>
      <c r="ULV54" s="4"/>
      <c r="ULW54" s="4"/>
      <c r="ULX54" s="4"/>
      <c r="ULY54" s="4"/>
      <c r="ULZ54" s="4"/>
      <c r="UMA54" s="4"/>
      <c r="UMB54" s="4"/>
      <c r="UMC54" s="4"/>
      <c r="UMD54" s="4"/>
      <c r="UME54" s="4"/>
      <c r="UMF54" s="4"/>
      <c r="UMG54" s="4"/>
      <c r="UMH54" s="4"/>
      <c r="UMI54" s="4"/>
      <c r="UMJ54" s="4"/>
      <c r="UMK54" s="4"/>
      <c r="UML54" s="4"/>
      <c r="UMM54" s="4"/>
      <c r="UMN54" s="4"/>
      <c r="UMO54" s="4"/>
      <c r="UMP54" s="4"/>
      <c r="UMQ54" s="4"/>
      <c r="UMR54" s="4"/>
      <c r="UMS54" s="4"/>
      <c r="UMT54" s="4"/>
      <c r="UMU54" s="4"/>
      <c r="UMV54" s="4"/>
      <c r="UMW54" s="4"/>
      <c r="UMX54" s="4"/>
      <c r="UMY54" s="4"/>
      <c r="UMZ54" s="4"/>
      <c r="UNA54" s="4"/>
      <c r="UNB54" s="4"/>
      <c r="UNC54" s="4"/>
      <c r="UND54" s="4"/>
      <c r="UNE54" s="4"/>
      <c r="UNF54" s="4"/>
      <c r="UNG54" s="4"/>
      <c r="UNH54" s="4"/>
      <c r="UNI54" s="4"/>
      <c r="UNJ54" s="4"/>
      <c r="UNK54" s="4"/>
      <c r="UNL54" s="4"/>
      <c r="UNM54" s="4"/>
      <c r="UNN54" s="4"/>
      <c r="UNO54" s="4"/>
      <c r="UNP54" s="4"/>
      <c r="UNQ54" s="4"/>
      <c r="UNR54" s="4"/>
      <c r="UNS54" s="4"/>
      <c r="UNT54" s="4"/>
      <c r="UNU54" s="4"/>
      <c r="UNV54" s="4"/>
      <c r="UNW54" s="4"/>
      <c r="UNX54" s="4"/>
      <c r="UNY54" s="4"/>
      <c r="UNZ54" s="4"/>
      <c r="UOA54" s="4"/>
      <c r="UOB54" s="4"/>
      <c r="UOC54" s="4"/>
      <c r="UOD54" s="4"/>
      <c r="UOE54" s="4"/>
      <c r="UOF54" s="4"/>
      <c r="UOG54" s="4"/>
      <c r="UOH54" s="4"/>
      <c r="UOI54" s="4"/>
      <c r="UOJ54" s="4"/>
      <c r="UOK54" s="4"/>
      <c r="UOL54" s="4"/>
      <c r="UOM54" s="4"/>
      <c r="UON54" s="4"/>
      <c r="UOO54" s="4"/>
      <c r="UOP54" s="4"/>
      <c r="UOQ54" s="4"/>
      <c r="UOR54" s="4"/>
      <c r="UOS54" s="4"/>
      <c r="UOT54" s="4"/>
      <c r="UOU54" s="4"/>
      <c r="UOV54" s="4"/>
      <c r="UOW54" s="4"/>
      <c r="UOX54" s="4"/>
      <c r="UOY54" s="4"/>
      <c r="UOZ54" s="4"/>
      <c r="UPA54" s="4"/>
      <c r="UPB54" s="4"/>
      <c r="UPC54" s="4"/>
      <c r="UPD54" s="4"/>
      <c r="UPE54" s="4"/>
      <c r="UPF54" s="4"/>
      <c r="UPG54" s="4"/>
      <c r="UPH54" s="4"/>
      <c r="UPI54" s="4"/>
      <c r="UPJ54" s="4"/>
      <c r="UPK54" s="4"/>
      <c r="UPL54" s="4"/>
      <c r="UPM54" s="4"/>
      <c r="UPN54" s="4"/>
      <c r="UPO54" s="4"/>
      <c r="UPP54" s="4"/>
      <c r="UPQ54" s="4"/>
      <c r="UPR54" s="4"/>
      <c r="UPS54" s="4"/>
      <c r="UPT54" s="4"/>
      <c r="UPU54" s="4"/>
      <c r="UPV54" s="4"/>
      <c r="UPW54" s="4"/>
      <c r="UPX54" s="4"/>
      <c r="UPY54" s="4"/>
      <c r="UPZ54" s="4"/>
      <c r="UQA54" s="4"/>
      <c r="UQB54" s="4"/>
      <c r="UQC54" s="4"/>
      <c r="UQD54" s="4"/>
      <c r="UQE54" s="4"/>
      <c r="UQF54" s="4"/>
      <c r="UQG54" s="4"/>
      <c r="UQH54" s="4"/>
      <c r="UQI54" s="4"/>
      <c r="UQJ54" s="4"/>
      <c r="UQK54" s="4"/>
      <c r="UQL54" s="4"/>
      <c r="UQM54" s="4"/>
      <c r="UQN54" s="4"/>
      <c r="UQO54" s="4"/>
      <c r="UQP54" s="4"/>
      <c r="UQQ54" s="4"/>
      <c r="UQR54" s="4"/>
      <c r="UQS54" s="4"/>
      <c r="UQT54" s="4"/>
      <c r="UQU54" s="4"/>
      <c r="UQV54" s="4"/>
      <c r="UQW54" s="4"/>
      <c r="UQX54" s="4"/>
      <c r="UQY54" s="4"/>
      <c r="UQZ54" s="4"/>
      <c r="URA54" s="4"/>
      <c r="URB54" s="4"/>
      <c r="URC54" s="4"/>
      <c r="URD54" s="4"/>
      <c r="URE54" s="4"/>
      <c r="URF54" s="4"/>
      <c r="URG54" s="4"/>
      <c r="URH54" s="4"/>
      <c r="URI54" s="4"/>
      <c r="URJ54" s="4"/>
      <c r="URK54" s="4"/>
      <c r="URL54" s="4"/>
      <c r="URM54" s="4"/>
      <c r="URN54" s="4"/>
      <c r="URO54" s="4"/>
      <c r="URP54" s="4"/>
      <c r="URQ54" s="4"/>
      <c r="URR54" s="4"/>
      <c r="URS54" s="4"/>
      <c r="URT54" s="4"/>
      <c r="URU54" s="4"/>
      <c r="URV54" s="4"/>
      <c r="URW54" s="4"/>
      <c r="URX54" s="4"/>
      <c r="URY54" s="4"/>
      <c r="URZ54" s="4"/>
      <c r="USA54" s="4"/>
      <c r="USB54" s="4"/>
      <c r="USC54" s="4"/>
      <c r="USD54" s="4"/>
      <c r="USE54" s="4"/>
      <c r="USF54" s="4"/>
      <c r="USG54" s="4"/>
      <c r="USH54" s="4"/>
      <c r="USI54" s="4"/>
      <c r="USJ54" s="4"/>
      <c r="USK54" s="4"/>
      <c r="USL54" s="4"/>
      <c r="USM54" s="4"/>
      <c r="USN54" s="4"/>
      <c r="USO54" s="4"/>
      <c r="USP54" s="4"/>
      <c r="USQ54" s="4"/>
      <c r="USR54" s="4"/>
      <c r="USS54" s="4"/>
      <c r="UST54" s="4"/>
      <c r="USU54" s="4"/>
      <c r="USV54" s="4"/>
      <c r="USW54" s="4"/>
      <c r="USX54" s="4"/>
      <c r="USY54" s="4"/>
      <c r="USZ54" s="4"/>
      <c r="UTA54" s="4"/>
      <c r="UTB54" s="4"/>
      <c r="UTC54" s="4"/>
      <c r="UTD54" s="4"/>
      <c r="UTE54" s="4"/>
      <c r="UTF54" s="4"/>
      <c r="UTG54" s="4"/>
      <c r="UTH54" s="4"/>
      <c r="UTI54" s="4"/>
      <c r="UTJ54" s="4"/>
      <c r="UTK54" s="4"/>
      <c r="UTL54" s="4"/>
      <c r="UTM54" s="4"/>
      <c r="UTN54" s="4"/>
      <c r="UTO54" s="4"/>
      <c r="UTP54" s="4"/>
      <c r="UTQ54" s="4"/>
      <c r="UTR54" s="4"/>
      <c r="UTS54" s="4"/>
      <c r="UTT54" s="4"/>
      <c r="UTU54" s="4"/>
      <c r="UTV54" s="4"/>
      <c r="UTW54" s="4"/>
      <c r="UTX54" s="4"/>
      <c r="UTY54" s="4"/>
      <c r="UTZ54" s="4"/>
      <c r="UUA54" s="4"/>
      <c r="UUB54" s="4"/>
      <c r="UUC54" s="4"/>
      <c r="UUD54" s="4"/>
      <c r="UUE54" s="4"/>
      <c r="UUF54" s="4"/>
      <c r="UUG54" s="4"/>
      <c r="UUH54" s="4"/>
      <c r="UUI54" s="4"/>
      <c r="UUJ54" s="4"/>
      <c r="UUK54" s="4"/>
      <c r="UUL54" s="4"/>
      <c r="UUM54" s="4"/>
      <c r="UUN54" s="4"/>
      <c r="UUO54" s="4"/>
      <c r="UUP54" s="4"/>
      <c r="UUQ54" s="4"/>
      <c r="UUR54" s="4"/>
      <c r="UUS54" s="4"/>
      <c r="UUT54" s="4"/>
      <c r="UUU54" s="4"/>
      <c r="UUV54" s="4"/>
      <c r="UUW54" s="4"/>
      <c r="UUX54" s="4"/>
      <c r="UUY54" s="4"/>
      <c r="UUZ54" s="4"/>
      <c r="UVA54" s="4"/>
      <c r="UVB54" s="4"/>
      <c r="UVC54" s="4"/>
      <c r="UVD54" s="4"/>
      <c r="UVE54" s="4"/>
      <c r="UVF54" s="4"/>
      <c r="UVG54" s="4"/>
      <c r="UVH54" s="4"/>
      <c r="UVI54" s="4"/>
      <c r="UVJ54" s="4"/>
      <c r="UVK54" s="4"/>
      <c r="UVL54" s="4"/>
      <c r="UVM54" s="4"/>
      <c r="UVN54" s="4"/>
      <c r="UVO54" s="4"/>
      <c r="UVP54" s="4"/>
      <c r="UVQ54" s="4"/>
      <c r="UVR54" s="4"/>
      <c r="UVS54" s="4"/>
      <c r="UVT54" s="4"/>
      <c r="UVU54" s="4"/>
      <c r="UVV54" s="4"/>
      <c r="UVW54" s="4"/>
      <c r="UVX54" s="4"/>
      <c r="UVY54" s="4"/>
      <c r="UVZ54" s="4"/>
      <c r="UWA54" s="4"/>
      <c r="UWB54" s="4"/>
      <c r="UWC54" s="4"/>
      <c r="UWD54" s="4"/>
      <c r="UWE54" s="4"/>
      <c r="UWF54" s="4"/>
      <c r="UWG54" s="4"/>
      <c r="UWH54" s="4"/>
      <c r="UWI54" s="4"/>
      <c r="UWJ54" s="4"/>
      <c r="UWK54" s="4"/>
      <c r="UWL54" s="4"/>
      <c r="UWM54" s="4"/>
      <c r="UWN54" s="4"/>
      <c r="UWO54" s="4"/>
      <c r="UWP54" s="4"/>
      <c r="UWQ54" s="4"/>
      <c r="UWR54" s="4"/>
      <c r="UWS54" s="4"/>
      <c r="UWT54" s="4"/>
      <c r="UWU54" s="4"/>
      <c r="UWV54" s="4"/>
      <c r="UWW54" s="4"/>
      <c r="UWX54" s="4"/>
      <c r="UWY54" s="4"/>
      <c r="UWZ54" s="4"/>
      <c r="UXA54" s="4"/>
      <c r="UXB54" s="4"/>
      <c r="UXC54" s="4"/>
      <c r="UXD54" s="4"/>
      <c r="UXE54" s="4"/>
      <c r="UXF54" s="4"/>
      <c r="UXG54" s="4"/>
      <c r="UXH54" s="4"/>
      <c r="UXI54" s="4"/>
      <c r="UXJ54" s="4"/>
      <c r="UXK54" s="4"/>
      <c r="UXL54" s="4"/>
      <c r="UXM54" s="4"/>
      <c r="UXN54" s="4"/>
      <c r="UXO54" s="4"/>
      <c r="UXP54" s="4"/>
      <c r="UXQ54" s="4"/>
      <c r="UXR54" s="4"/>
      <c r="UXS54" s="4"/>
      <c r="UXT54" s="4"/>
      <c r="UXU54" s="4"/>
      <c r="UXV54" s="4"/>
      <c r="UXW54" s="4"/>
      <c r="UXX54" s="4"/>
      <c r="UXY54" s="4"/>
      <c r="UXZ54" s="4"/>
      <c r="UYA54" s="4"/>
      <c r="UYB54" s="4"/>
      <c r="UYC54" s="4"/>
      <c r="UYD54" s="4"/>
      <c r="UYE54" s="4"/>
      <c r="UYF54" s="4"/>
      <c r="UYG54" s="4"/>
      <c r="UYH54" s="4"/>
      <c r="UYI54" s="4"/>
      <c r="UYJ54" s="4"/>
      <c r="UYK54" s="4"/>
      <c r="UYL54" s="4"/>
      <c r="UYM54" s="4"/>
      <c r="UYN54" s="4"/>
      <c r="UYO54" s="4"/>
      <c r="UYP54" s="4"/>
      <c r="UYQ54" s="4"/>
      <c r="UYR54" s="4"/>
      <c r="UYS54" s="4"/>
      <c r="UYT54" s="4"/>
      <c r="UYU54" s="4"/>
      <c r="UYV54" s="4"/>
      <c r="UYW54" s="4"/>
      <c r="UYX54" s="4"/>
      <c r="UYY54" s="4"/>
      <c r="UYZ54" s="4"/>
      <c r="UZA54" s="4"/>
      <c r="UZB54" s="4"/>
      <c r="UZC54" s="4"/>
      <c r="UZD54" s="4"/>
      <c r="UZE54" s="4"/>
      <c r="UZF54" s="4"/>
      <c r="UZG54" s="4"/>
      <c r="UZH54" s="4"/>
      <c r="UZI54" s="4"/>
      <c r="UZJ54" s="4"/>
      <c r="UZK54" s="4"/>
      <c r="UZL54" s="4"/>
      <c r="UZM54" s="4"/>
      <c r="UZN54" s="4"/>
      <c r="UZO54" s="4"/>
      <c r="UZP54" s="4"/>
      <c r="UZQ54" s="4"/>
      <c r="UZR54" s="4"/>
      <c r="UZS54" s="4"/>
      <c r="UZT54" s="4"/>
      <c r="UZU54" s="4"/>
      <c r="UZV54" s="4"/>
      <c r="UZW54" s="4"/>
      <c r="UZX54" s="4"/>
      <c r="UZY54" s="4"/>
      <c r="UZZ54" s="4"/>
      <c r="VAA54" s="4"/>
      <c r="VAB54" s="4"/>
      <c r="VAC54" s="4"/>
      <c r="VAD54" s="4"/>
      <c r="VAE54" s="4"/>
      <c r="VAF54" s="4"/>
      <c r="VAG54" s="4"/>
      <c r="VAH54" s="4"/>
      <c r="VAI54" s="4"/>
      <c r="VAJ54" s="4"/>
      <c r="VAK54" s="4"/>
      <c r="VAL54" s="4"/>
      <c r="VAM54" s="4"/>
      <c r="VAN54" s="4"/>
      <c r="VAO54" s="4"/>
      <c r="VAP54" s="4"/>
      <c r="VAQ54" s="4"/>
      <c r="VAR54" s="4"/>
      <c r="VAS54" s="4"/>
      <c r="VAT54" s="4"/>
      <c r="VAU54" s="4"/>
      <c r="VAV54" s="4"/>
      <c r="VAW54" s="4"/>
      <c r="VAX54" s="4"/>
      <c r="VAY54" s="4"/>
      <c r="VAZ54" s="4"/>
      <c r="VBA54" s="4"/>
      <c r="VBB54" s="4"/>
      <c r="VBC54" s="4"/>
      <c r="VBD54" s="4"/>
      <c r="VBE54" s="4"/>
      <c r="VBF54" s="4"/>
      <c r="VBG54" s="4"/>
      <c r="VBH54" s="4"/>
      <c r="VBI54" s="4"/>
      <c r="VBJ54" s="4"/>
      <c r="VBK54" s="4"/>
      <c r="VBL54" s="4"/>
      <c r="VBM54" s="4"/>
      <c r="VBN54" s="4"/>
      <c r="VBO54" s="4"/>
      <c r="VBP54" s="4"/>
      <c r="VBQ54" s="4"/>
      <c r="VBR54" s="4"/>
      <c r="VBS54" s="4"/>
      <c r="VBT54" s="4"/>
      <c r="VBU54" s="4"/>
      <c r="VBV54" s="4"/>
      <c r="VBW54" s="4"/>
      <c r="VBX54" s="4"/>
      <c r="VBY54" s="4"/>
      <c r="VBZ54" s="4"/>
      <c r="VCA54" s="4"/>
      <c r="VCB54" s="4"/>
      <c r="VCC54" s="4"/>
      <c r="VCD54" s="4"/>
      <c r="VCE54" s="4"/>
      <c r="VCF54" s="4"/>
      <c r="VCG54" s="4"/>
      <c r="VCH54" s="4"/>
      <c r="VCI54" s="4"/>
      <c r="VCJ54" s="4"/>
      <c r="VCK54" s="4"/>
      <c r="VCL54" s="4"/>
      <c r="VCM54" s="4"/>
      <c r="VCN54" s="4"/>
      <c r="VCO54" s="4"/>
      <c r="VCP54" s="4"/>
      <c r="VCQ54" s="4"/>
      <c r="VCR54" s="4"/>
      <c r="VCS54" s="4"/>
      <c r="VCT54" s="4"/>
      <c r="VCU54" s="4"/>
      <c r="VCV54" s="4"/>
      <c r="VCW54" s="4"/>
      <c r="VCX54" s="4"/>
      <c r="VCY54" s="4"/>
      <c r="VCZ54" s="4"/>
      <c r="VDA54" s="4"/>
      <c r="VDB54" s="4"/>
      <c r="VDC54" s="4"/>
      <c r="VDD54" s="4"/>
      <c r="VDE54" s="4"/>
      <c r="VDF54" s="4"/>
      <c r="VDG54" s="4"/>
      <c r="VDH54" s="4"/>
      <c r="VDI54" s="4"/>
      <c r="VDJ54" s="4"/>
      <c r="VDK54" s="4"/>
      <c r="VDL54" s="4"/>
      <c r="VDM54" s="4"/>
      <c r="VDN54" s="4"/>
      <c r="VDO54" s="4"/>
      <c r="VDP54" s="4"/>
      <c r="VDQ54" s="4"/>
      <c r="VDR54" s="4"/>
      <c r="VDS54" s="4"/>
      <c r="VDT54" s="4"/>
      <c r="VDU54" s="4"/>
      <c r="VDV54" s="4"/>
      <c r="VDW54" s="4"/>
      <c r="VDX54" s="4"/>
      <c r="VDY54" s="4"/>
      <c r="VDZ54" s="4"/>
      <c r="VEA54" s="4"/>
      <c r="VEB54" s="4"/>
      <c r="VEC54" s="4"/>
      <c r="VED54" s="4"/>
      <c r="VEE54" s="4"/>
      <c r="VEF54" s="4"/>
      <c r="VEG54" s="4"/>
      <c r="VEH54" s="4"/>
      <c r="VEI54" s="4"/>
      <c r="VEJ54" s="4"/>
      <c r="VEK54" s="4"/>
      <c r="VEL54" s="4"/>
      <c r="VEM54" s="4"/>
      <c r="VEN54" s="4"/>
      <c r="VEO54" s="4"/>
      <c r="VEP54" s="4"/>
      <c r="VEQ54" s="4"/>
      <c r="VER54" s="4"/>
      <c r="VES54" s="4"/>
      <c r="VET54" s="4"/>
      <c r="VEU54" s="4"/>
      <c r="VEV54" s="4"/>
      <c r="VEW54" s="4"/>
      <c r="VEX54" s="4"/>
      <c r="VEY54" s="4"/>
      <c r="VEZ54" s="4"/>
      <c r="VFA54" s="4"/>
      <c r="VFB54" s="4"/>
      <c r="VFC54" s="4"/>
      <c r="VFD54" s="4"/>
      <c r="VFE54" s="4"/>
      <c r="VFF54" s="4"/>
      <c r="VFG54" s="4"/>
      <c r="VFH54" s="4"/>
      <c r="VFI54" s="4"/>
      <c r="VFJ54" s="4"/>
      <c r="VFK54" s="4"/>
      <c r="VFL54" s="4"/>
      <c r="VFM54" s="4"/>
      <c r="VFN54" s="4"/>
      <c r="VFO54" s="4"/>
      <c r="VFP54" s="4"/>
      <c r="VFQ54" s="4"/>
      <c r="VFR54" s="4"/>
      <c r="VFS54" s="4"/>
      <c r="VFT54" s="4"/>
      <c r="VFU54" s="4"/>
      <c r="VFV54" s="4"/>
      <c r="VFW54" s="4"/>
      <c r="VFX54" s="4"/>
      <c r="VFY54" s="4"/>
      <c r="VFZ54" s="4"/>
      <c r="VGA54" s="4"/>
      <c r="VGB54" s="4"/>
      <c r="VGC54" s="4"/>
      <c r="VGD54" s="4"/>
      <c r="VGE54" s="4"/>
      <c r="VGF54" s="4"/>
      <c r="VGG54" s="4"/>
      <c r="VGH54" s="4"/>
      <c r="VGI54" s="4"/>
      <c r="VGJ54" s="4"/>
      <c r="VGK54" s="4"/>
      <c r="VGL54" s="4"/>
      <c r="VGM54" s="4"/>
      <c r="VGN54" s="4"/>
      <c r="VGO54" s="4"/>
      <c r="VGP54" s="4"/>
      <c r="VGQ54" s="4"/>
      <c r="VGR54" s="4"/>
      <c r="VGS54" s="4"/>
      <c r="VGT54" s="4"/>
      <c r="VGU54" s="4"/>
      <c r="VGV54" s="4"/>
      <c r="VGW54" s="4"/>
      <c r="VGX54" s="4"/>
      <c r="VGY54" s="4"/>
      <c r="VGZ54" s="4"/>
      <c r="VHA54" s="4"/>
      <c r="VHB54" s="4"/>
      <c r="VHC54" s="4"/>
      <c r="VHD54" s="4"/>
      <c r="VHE54" s="4"/>
      <c r="VHF54" s="4"/>
      <c r="VHG54" s="4"/>
      <c r="VHH54" s="4"/>
      <c r="VHI54" s="4"/>
      <c r="VHJ54" s="4"/>
      <c r="VHK54" s="4"/>
      <c r="VHL54" s="4"/>
      <c r="VHM54" s="4"/>
      <c r="VHN54" s="4"/>
      <c r="VHO54" s="4"/>
      <c r="VHP54" s="4"/>
      <c r="VHQ54" s="4"/>
      <c r="VHR54" s="4"/>
      <c r="VHS54" s="4"/>
      <c r="VHT54" s="4"/>
      <c r="VHU54" s="4"/>
      <c r="VHV54" s="4"/>
      <c r="VHW54" s="4"/>
      <c r="VHX54" s="4"/>
      <c r="VHY54" s="4"/>
      <c r="VHZ54" s="4"/>
      <c r="VIA54" s="4"/>
      <c r="VIB54" s="4"/>
      <c r="VIC54" s="4"/>
      <c r="VID54" s="4"/>
      <c r="VIE54" s="4"/>
      <c r="VIF54" s="4"/>
      <c r="VIG54" s="4"/>
      <c r="VIH54" s="4"/>
      <c r="VII54" s="4"/>
      <c r="VIJ54" s="4"/>
      <c r="VIK54" s="4"/>
      <c r="VIL54" s="4"/>
      <c r="VIM54" s="4"/>
      <c r="VIN54" s="4"/>
      <c r="VIO54" s="4"/>
      <c r="VIP54" s="4"/>
      <c r="VIQ54" s="4"/>
      <c r="VIR54" s="4"/>
      <c r="VIS54" s="4"/>
      <c r="VIT54" s="4"/>
      <c r="VIU54" s="4"/>
      <c r="VIV54" s="4"/>
      <c r="VIW54" s="4"/>
      <c r="VIX54" s="4"/>
      <c r="VIY54" s="4"/>
      <c r="VIZ54" s="4"/>
      <c r="VJA54" s="4"/>
      <c r="VJB54" s="4"/>
      <c r="VJC54" s="4"/>
      <c r="VJD54" s="4"/>
      <c r="VJE54" s="4"/>
      <c r="VJF54" s="4"/>
      <c r="VJG54" s="4"/>
      <c r="VJH54" s="4"/>
      <c r="VJI54" s="4"/>
      <c r="VJJ54" s="4"/>
      <c r="VJK54" s="4"/>
      <c r="VJL54" s="4"/>
      <c r="VJM54" s="4"/>
      <c r="VJN54" s="4"/>
      <c r="VJO54" s="4"/>
      <c r="VJP54" s="4"/>
      <c r="VJQ54" s="4"/>
      <c r="VJR54" s="4"/>
      <c r="VJS54" s="4"/>
      <c r="VJT54" s="4"/>
      <c r="VJU54" s="4"/>
      <c r="VJV54" s="4"/>
      <c r="VJW54" s="4"/>
      <c r="VJX54" s="4"/>
      <c r="VJY54" s="4"/>
      <c r="VJZ54" s="4"/>
      <c r="VKA54" s="4"/>
      <c r="VKB54" s="4"/>
      <c r="VKC54" s="4"/>
      <c r="VKD54" s="4"/>
      <c r="VKE54" s="4"/>
      <c r="VKF54" s="4"/>
      <c r="VKG54" s="4"/>
      <c r="VKH54" s="4"/>
      <c r="VKI54" s="4"/>
      <c r="VKJ54" s="4"/>
      <c r="VKK54" s="4"/>
      <c r="VKL54" s="4"/>
      <c r="VKM54" s="4"/>
      <c r="VKN54" s="4"/>
      <c r="VKO54" s="4"/>
      <c r="VKP54" s="4"/>
      <c r="VKQ54" s="4"/>
      <c r="VKR54" s="4"/>
      <c r="VKS54" s="4"/>
      <c r="VKT54" s="4"/>
      <c r="VKU54" s="4"/>
      <c r="VKV54" s="4"/>
      <c r="VKW54" s="4"/>
      <c r="VKX54" s="4"/>
      <c r="VKY54" s="4"/>
      <c r="VKZ54" s="4"/>
      <c r="VLA54" s="4"/>
      <c r="VLB54" s="4"/>
      <c r="VLC54" s="4"/>
      <c r="VLD54" s="4"/>
      <c r="VLE54" s="4"/>
      <c r="VLF54" s="4"/>
      <c r="VLG54" s="4"/>
      <c r="VLH54" s="4"/>
      <c r="VLI54" s="4"/>
      <c r="VLJ54" s="4"/>
      <c r="VLK54" s="4"/>
      <c r="VLL54" s="4"/>
      <c r="VLM54" s="4"/>
      <c r="VLN54" s="4"/>
      <c r="VLO54" s="4"/>
      <c r="VLP54" s="4"/>
      <c r="VLQ54" s="4"/>
      <c r="VLR54" s="4"/>
      <c r="VLS54" s="4"/>
      <c r="VLT54" s="4"/>
      <c r="VLU54" s="4"/>
      <c r="VLV54" s="4"/>
      <c r="VLW54" s="4"/>
      <c r="VLX54" s="4"/>
      <c r="VLY54" s="4"/>
      <c r="VLZ54" s="4"/>
      <c r="VMA54" s="4"/>
      <c r="VMB54" s="4"/>
      <c r="VMC54" s="4"/>
      <c r="VMD54" s="4"/>
      <c r="VME54" s="4"/>
      <c r="VMF54" s="4"/>
      <c r="VMG54" s="4"/>
      <c r="VMH54" s="4"/>
      <c r="VMI54" s="4"/>
      <c r="VMJ54" s="4"/>
      <c r="VMK54" s="4"/>
      <c r="VML54" s="4"/>
      <c r="VMM54" s="4"/>
      <c r="VMN54" s="4"/>
      <c r="VMO54" s="4"/>
      <c r="VMP54" s="4"/>
      <c r="VMQ54" s="4"/>
      <c r="VMR54" s="4"/>
      <c r="VMS54" s="4"/>
      <c r="VMT54" s="4"/>
      <c r="VMU54" s="4"/>
      <c r="VMV54" s="4"/>
      <c r="VMW54" s="4"/>
      <c r="VMX54" s="4"/>
      <c r="VMY54" s="4"/>
      <c r="VMZ54" s="4"/>
      <c r="VNA54" s="4"/>
      <c r="VNB54" s="4"/>
      <c r="VNC54" s="4"/>
      <c r="VND54" s="4"/>
      <c r="VNE54" s="4"/>
      <c r="VNF54" s="4"/>
      <c r="VNG54" s="4"/>
      <c r="VNH54" s="4"/>
      <c r="VNI54" s="4"/>
      <c r="VNJ54" s="4"/>
      <c r="VNK54" s="4"/>
      <c r="VNL54" s="4"/>
      <c r="VNM54" s="4"/>
      <c r="VNN54" s="4"/>
      <c r="VNO54" s="4"/>
      <c r="VNP54" s="4"/>
      <c r="VNQ54" s="4"/>
      <c r="VNR54" s="4"/>
      <c r="VNS54" s="4"/>
      <c r="VNT54" s="4"/>
      <c r="VNU54" s="4"/>
      <c r="VNV54" s="4"/>
      <c r="VNW54" s="4"/>
      <c r="VNX54" s="4"/>
      <c r="VNY54" s="4"/>
      <c r="VNZ54" s="4"/>
      <c r="VOA54" s="4"/>
      <c r="VOB54" s="4"/>
      <c r="VOC54" s="4"/>
      <c r="VOD54" s="4"/>
      <c r="VOE54" s="4"/>
      <c r="VOF54" s="4"/>
      <c r="VOG54" s="4"/>
      <c r="VOH54" s="4"/>
      <c r="VOI54" s="4"/>
      <c r="VOJ54" s="4"/>
      <c r="VOK54" s="4"/>
      <c r="VOL54" s="4"/>
      <c r="VOM54" s="4"/>
      <c r="VON54" s="4"/>
      <c r="VOO54" s="4"/>
      <c r="VOP54" s="4"/>
      <c r="VOQ54" s="4"/>
      <c r="VOR54" s="4"/>
      <c r="VOS54" s="4"/>
      <c r="VOT54" s="4"/>
      <c r="VOU54" s="4"/>
      <c r="VOV54" s="4"/>
      <c r="VOW54" s="4"/>
      <c r="VOX54" s="4"/>
      <c r="VOY54" s="4"/>
      <c r="VOZ54" s="4"/>
      <c r="VPA54" s="4"/>
      <c r="VPB54" s="4"/>
      <c r="VPC54" s="4"/>
      <c r="VPD54" s="4"/>
      <c r="VPE54" s="4"/>
      <c r="VPF54" s="4"/>
      <c r="VPG54" s="4"/>
      <c r="VPH54" s="4"/>
      <c r="VPI54" s="4"/>
      <c r="VPJ54" s="4"/>
      <c r="VPK54" s="4"/>
      <c r="VPL54" s="4"/>
      <c r="VPM54" s="4"/>
      <c r="VPN54" s="4"/>
      <c r="VPO54" s="4"/>
      <c r="VPP54" s="4"/>
      <c r="VPQ54" s="4"/>
      <c r="VPR54" s="4"/>
      <c r="VPS54" s="4"/>
      <c r="VPT54" s="4"/>
      <c r="VPU54" s="4"/>
      <c r="VPV54" s="4"/>
      <c r="VPW54" s="4"/>
      <c r="VPX54" s="4"/>
      <c r="VPY54" s="4"/>
      <c r="VPZ54" s="4"/>
      <c r="VQA54" s="4"/>
      <c r="VQB54" s="4"/>
      <c r="VQC54" s="4"/>
      <c r="VQD54" s="4"/>
      <c r="VQE54" s="4"/>
      <c r="VQF54" s="4"/>
      <c r="VQG54" s="4"/>
      <c r="VQH54" s="4"/>
      <c r="VQI54" s="4"/>
      <c r="VQJ54" s="4"/>
      <c r="VQK54" s="4"/>
      <c r="VQL54" s="4"/>
      <c r="VQM54" s="4"/>
      <c r="VQN54" s="4"/>
      <c r="VQO54" s="4"/>
      <c r="VQP54" s="4"/>
      <c r="VQQ54" s="4"/>
      <c r="VQR54" s="4"/>
      <c r="VQS54" s="4"/>
      <c r="VQT54" s="4"/>
      <c r="VQU54" s="4"/>
      <c r="VQV54" s="4"/>
      <c r="VQW54" s="4"/>
      <c r="VQX54" s="4"/>
      <c r="VQY54" s="4"/>
      <c r="VQZ54" s="4"/>
      <c r="VRA54" s="4"/>
      <c r="VRB54" s="4"/>
      <c r="VRC54" s="4"/>
      <c r="VRD54" s="4"/>
      <c r="VRE54" s="4"/>
      <c r="VRF54" s="4"/>
      <c r="VRG54" s="4"/>
      <c r="VRH54" s="4"/>
      <c r="VRI54" s="4"/>
      <c r="VRJ54" s="4"/>
      <c r="VRK54" s="4"/>
      <c r="VRL54" s="4"/>
      <c r="VRM54" s="4"/>
      <c r="VRN54" s="4"/>
      <c r="VRO54" s="4"/>
      <c r="VRP54" s="4"/>
      <c r="VRQ54" s="4"/>
      <c r="VRR54" s="4"/>
      <c r="VRS54" s="4"/>
      <c r="VRT54" s="4"/>
      <c r="VRU54" s="4"/>
      <c r="VRV54" s="4"/>
      <c r="VRW54" s="4"/>
      <c r="VRX54" s="4"/>
      <c r="VRY54" s="4"/>
      <c r="VRZ54" s="4"/>
      <c r="VSA54" s="4"/>
      <c r="VSB54" s="4"/>
      <c r="VSC54" s="4"/>
      <c r="VSD54" s="4"/>
      <c r="VSE54" s="4"/>
      <c r="VSF54" s="4"/>
      <c r="VSG54" s="4"/>
      <c r="VSH54" s="4"/>
      <c r="VSI54" s="4"/>
      <c r="VSJ54" s="4"/>
      <c r="VSK54" s="4"/>
      <c r="VSL54" s="4"/>
      <c r="VSM54" s="4"/>
      <c r="VSN54" s="4"/>
      <c r="VSO54" s="4"/>
      <c r="VSP54" s="4"/>
      <c r="VSQ54" s="4"/>
      <c r="VSR54" s="4"/>
      <c r="VSS54" s="4"/>
      <c r="VST54" s="4"/>
      <c r="VSU54" s="4"/>
      <c r="VSV54" s="4"/>
      <c r="VSW54" s="4"/>
      <c r="VSX54" s="4"/>
      <c r="VSY54" s="4"/>
      <c r="VSZ54" s="4"/>
      <c r="VTA54" s="4"/>
      <c r="VTB54" s="4"/>
      <c r="VTC54" s="4"/>
      <c r="VTD54" s="4"/>
      <c r="VTE54" s="4"/>
      <c r="VTF54" s="4"/>
      <c r="VTG54" s="4"/>
      <c r="VTH54" s="4"/>
      <c r="VTI54" s="4"/>
      <c r="VTJ54" s="4"/>
      <c r="VTK54" s="4"/>
      <c r="VTL54" s="4"/>
      <c r="VTM54" s="4"/>
      <c r="VTN54" s="4"/>
      <c r="VTO54" s="4"/>
      <c r="VTP54" s="4"/>
      <c r="VTQ54" s="4"/>
      <c r="VTR54" s="4"/>
      <c r="VTS54" s="4"/>
      <c r="VTT54" s="4"/>
      <c r="VTU54" s="4"/>
      <c r="VTV54" s="4"/>
      <c r="VTW54" s="4"/>
      <c r="VTX54" s="4"/>
      <c r="VTY54" s="4"/>
      <c r="VTZ54" s="4"/>
      <c r="VUA54" s="4"/>
      <c r="VUB54" s="4"/>
      <c r="VUC54" s="4"/>
      <c r="VUD54" s="4"/>
      <c r="VUE54" s="4"/>
      <c r="VUF54" s="4"/>
      <c r="VUG54" s="4"/>
      <c r="VUH54" s="4"/>
      <c r="VUI54" s="4"/>
      <c r="VUJ54" s="4"/>
      <c r="VUK54" s="4"/>
      <c r="VUL54" s="4"/>
      <c r="VUM54" s="4"/>
      <c r="VUN54" s="4"/>
      <c r="VUO54" s="4"/>
      <c r="VUP54" s="4"/>
      <c r="VUQ54" s="4"/>
      <c r="VUR54" s="4"/>
      <c r="VUS54" s="4"/>
      <c r="VUT54" s="4"/>
      <c r="VUU54" s="4"/>
      <c r="VUV54" s="4"/>
      <c r="VUW54" s="4"/>
      <c r="VUX54" s="4"/>
      <c r="VUY54" s="4"/>
      <c r="VUZ54" s="4"/>
      <c r="VVA54" s="4"/>
      <c r="VVB54" s="4"/>
      <c r="VVC54" s="4"/>
      <c r="VVD54" s="4"/>
      <c r="VVE54" s="4"/>
      <c r="VVF54" s="4"/>
      <c r="VVG54" s="4"/>
      <c r="VVH54" s="4"/>
      <c r="VVI54" s="4"/>
      <c r="VVJ54" s="4"/>
      <c r="VVK54" s="4"/>
      <c r="VVL54" s="4"/>
      <c r="VVM54" s="4"/>
      <c r="VVN54" s="4"/>
      <c r="VVO54" s="4"/>
      <c r="VVP54" s="4"/>
      <c r="VVQ54" s="4"/>
      <c r="VVR54" s="4"/>
      <c r="VVS54" s="4"/>
      <c r="VVT54" s="4"/>
      <c r="VVU54" s="4"/>
      <c r="VVV54" s="4"/>
      <c r="VVW54" s="4"/>
      <c r="VVX54" s="4"/>
      <c r="VVY54" s="4"/>
      <c r="VVZ54" s="4"/>
      <c r="VWA54" s="4"/>
      <c r="VWB54" s="4"/>
      <c r="VWC54" s="4"/>
      <c r="VWD54" s="4"/>
      <c r="VWE54" s="4"/>
      <c r="VWF54" s="4"/>
      <c r="VWG54" s="4"/>
      <c r="VWH54" s="4"/>
      <c r="VWI54" s="4"/>
      <c r="VWJ54" s="4"/>
      <c r="VWK54" s="4"/>
      <c r="VWL54" s="4"/>
      <c r="VWM54" s="4"/>
      <c r="VWN54" s="4"/>
      <c r="VWO54" s="4"/>
      <c r="VWP54" s="4"/>
      <c r="VWQ54" s="4"/>
      <c r="VWR54" s="4"/>
      <c r="VWS54" s="4"/>
      <c r="VWT54" s="4"/>
      <c r="VWU54" s="4"/>
      <c r="VWV54" s="4"/>
      <c r="VWW54" s="4"/>
      <c r="VWX54" s="4"/>
      <c r="VWY54" s="4"/>
      <c r="VWZ54" s="4"/>
      <c r="VXA54" s="4"/>
      <c r="VXB54" s="4"/>
      <c r="VXC54" s="4"/>
      <c r="VXD54" s="4"/>
      <c r="VXE54" s="4"/>
      <c r="VXF54" s="4"/>
      <c r="VXG54" s="4"/>
      <c r="VXH54" s="4"/>
      <c r="VXI54" s="4"/>
      <c r="VXJ54" s="4"/>
      <c r="VXK54" s="4"/>
      <c r="VXL54" s="4"/>
      <c r="VXM54" s="4"/>
      <c r="VXN54" s="4"/>
      <c r="VXO54" s="4"/>
      <c r="VXP54" s="4"/>
      <c r="VXQ54" s="4"/>
      <c r="VXR54" s="4"/>
      <c r="VXS54" s="4"/>
      <c r="VXT54" s="4"/>
      <c r="VXU54" s="4"/>
      <c r="VXV54" s="4"/>
      <c r="VXW54" s="4"/>
      <c r="VXX54" s="4"/>
      <c r="VXY54" s="4"/>
      <c r="VXZ54" s="4"/>
      <c r="VYA54" s="4"/>
      <c r="VYB54" s="4"/>
      <c r="VYC54" s="4"/>
      <c r="VYD54" s="4"/>
      <c r="VYE54" s="4"/>
      <c r="VYF54" s="4"/>
      <c r="VYG54" s="4"/>
      <c r="VYH54" s="4"/>
      <c r="VYI54" s="4"/>
      <c r="VYJ54" s="4"/>
      <c r="VYK54" s="4"/>
      <c r="VYL54" s="4"/>
      <c r="VYM54" s="4"/>
      <c r="VYN54" s="4"/>
      <c r="VYO54" s="4"/>
      <c r="VYP54" s="4"/>
      <c r="VYQ54" s="4"/>
      <c r="VYR54" s="4"/>
      <c r="VYS54" s="4"/>
      <c r="VYT54" s="4"/>
      <c r="VYU54" s="4"/>
      <c r="VYV54" s="4"/>
      <c r="VYW54" s="4"/>
      <c r="VYX54" s="4"/>
      <c r="VYY54" s="4"/>
      <c r="VYZ54" s="4"/>
      <c r="VZA54" s="4"/>
      <c r="VZB54" s="4"/>
      <c r="VZC54" s="4"/>
      <c r="VZD54" s="4"/>
      <c r="VZE54" s="4"/>
      <c r="VZF54" s="4"/>
      <c r="VZG54" s="4"/>
      <c r="VZH54" s="4"/>
      <c r="VZI54" s="4"/>
      <c r="VZJ54" s="4"/>
      <c r="VZK54" s="4"/>
      <c r="VZL54" s="4"/>
      <c r="VZM54" s="4"/>
      <c r="VZN54" s="4"/>
      <c r="VZO54" s="4"/>
      <c r="VZP54" s="4"/>
      <c r="VZQ54" s="4"/>
      <c r="VZR54" s="4"/>
      <c r="VZS54" s="4"/>
      <c r="VZT54" s="4"/>
      <c r="VZU54" s="4"/>
      <c r="VZV54" s="4"/>
      <c r="VZW54" s="4"/>
      <c r="VZX54" s="4"/>
      <c r="VZY54" s="4"/>
      <c r="VZZ54" s="4"/>
      <c r="WAA54" s="4"/>
      <c r="WAB54" s="4"/>
      <c r="WAC54" s="4"/>
      <c r="WAD54" s="4"/>
      <c r="WAE54" s="4"/>
      <c r="WAF54" s="4"/>
      <c r="WAG54" s="4"/>
      <c r="WAH54" s="4"/>
      <c r="WAI54" s="4"/>
      <c r="WAJ54" s="4"/>
      <c r="WAK54" s="4"/>
      <c r="WAL54" s="4"/>
      <c r="WAM54" s="4"/>
      <c r="WAN54" s="4"/>
      <c r="WAO54" s="4"/>
      <c r="WAP54" s="4"/>
      <c r="WAQ54" s="4"/>
      <c r="WAR54" s="4"/>
      <c r="WAS54" s="4"/>
      <c r="WAT54" s="4"/>
      <c r="WAU54" s="4"/>
      <c r="WAV54" s="4"/>
      <c r="WAW54" s="4"/>
      <c r="WAX54" s="4"/>
      <c r="WAY54" s="4"/>
      <c r="WAZ54" s="4"/>
      <c r="WBA54" s="4"/>
      <c r="WBB54" s="4"/>
      <c r="WBC54" s="4"/>
      <c r="WBD54" s="4"/>
      <c r="WBE54" s="4"/>
      <c r="WBF54" s="4"/>
      <c r="WBG54" s="4"/>
      <c r="WBH54" s="4"/>
      <c r="WBI54" s="4"/>
      <c r="WBJ54" s="4"/>
      <c r="WBK54" s="4"/>
      <c r="WBL54" s="4"/>
      <c r="WBM54" s="4"/>
      <c r="WBN54" s="4"/>
      <c r="WBO54" s="4"/>
      <c r="WBP54" s="4"/>
      <c r="WBQ54" s="4"/>
      <c r="WBR54" s="4"/>
      <c r="WBS54" s="4"/>
      <c r="WBT54" s="4"/>
      <c r="WBU54" s="4"/>
      <c r="WBV54" s="4"/>
      <c r="WBW54" s="4"/>
      <c r="WBX54" s="4"/>
      <c r="WBY54" s="4"/>
      <c r="WBZ54" s="4"/>
      <c r="WCA54" s="4"/>
      <c r="WCB54" s="4"/>
      <c r="WCC54" s="4"/>
      <c r="WCD54" s="4"/>
      <c r="WCE54" s="4"/>
      <c r="WCF54" s="4"/>
      <c r="WCG54" s="4"/>
      <c r="WCH54" s="4"/>
      <c r="WCI54" s="4"/>
      <c r="WCJ54" s="4"/>
      <c r="WCK54" s="4"/>
      <c r="WCL54" s="4"/>
      <c r="WCM54" s="4"/>
      <c r="WCN54" s="4"/>
      <c r="WCO54" s="4"/>
      <c r="WCP54" s="4"/>
      <c r="WCQ54" s="4"/>
      <c r="WCR54" s="4"/>
      <c r="WCS54" s="4"/>
      <c r="WCT54" s="4"/>
      <c r="WCU54" s="4"/>
      <c r="WCV54" s="4"/>
      <c r="WCW54" s="4"/>
      <c r="WCX54" s="4"/>
      <c r="WCY54" s="4"/>
      <c r="WCZ54" s="4"/>
      <c r="WDA54" s="4"/>
      <c r="WDB54" s="4"/>
      <c r="WDC54" s="4"/>
      <c r="WDD54" s="4"/>
      <c r="WDE54" s="4"/>
      <c r="WDF54" s="4"/>
      <c r="WDG54" s="4"/>
      <c r="WDH54" s="4"/>
      <c r="WDI54" s="4"/>
      <c r="WDJ54" s="4"/>
      <c r="WDK54" s="4"/>
      <c r="WDL54" s="4"/>
      <c r="WDM54" s="4"/>
      <c r="WDN54" s="4"/>
      <c r="WDO54" s="4"/>
      <c r="WDP54" s="4"/>
      <c r="WDQ54" s="4"/>
      <c r="WDR54" s="4"/>
      <c r="WDS54" s="4"/>
      <c r="WDT54" s="4"/>
      <c r="WDU54" s="4"/>
      <c r="WDV54" s="4"/>
      <c r="WDW54" s="4"/>
      <c r="WDX54" s="4"/>
      <c r="WDY54" s="4"/>
      <c r="WDZ54" s="4"/>
      <c r="WEA54" s="4"/>
      <c r="WEB54" s="4"/>
      <c r="WEC54" s="4"/>
      <c r="WED54" s="4"/>
      <c r="WEE54" s="4"/>
      <c r="WEF54" s="4"/>
      <c r="WEG54" s="4"/>
      <c r="WEH54" s="4"/>
      <c r="WEI54" s="4"/>
      <c r="WEJ54" s="4"/>
      <c r="WEK54" s="4"/>
      <c r="WEL54" s="4"/>
      <c r="WEM54" s="4"/>
      <c r="WEN54" s="4"/>
      <c r="WEO54" s="4"/>
      <c r="WEP54" s="4"/>
      <c r="WEQ54" s="4"/>
      <c r="WER54" s="4"/>
      <c r="WES54" s="4"/>
      <c r="WET54" s="4"/>
      <c r="WEU54" s="4"/>
      <c r="WEV54" s="4"/>
      <c r="WEW54" s="4"/>
      <c r="WEX54" s="4"/>
      <c r="WEY54" s="4"/>
      <c r="WEZ54" s="4"/>
      <c r="WFA54" s="4"/>
      <c r="WFB54" s="4"/>
      <c r="WFC54" s="4"/>
      <c r="WFD54" s="4"/>
      <c r="WFE54" s="4"/>
      <c r="WFF54" s="4"/>
      <c r="WFG54" s="4"/>
      <c r="WFH54" s="4"/>
      <c r="WFI54" s="4"/>
      <c r="WFJ54" s="4"/>
      <c r="WFK54" s="4"/>
      <c r="WFL54" s="4"/>
      <c r="WFM54" s="4"/>
      <c r="WFN54" s="4"/>
      <c r="WFO54" s="4"/>
      <c r="WFP54" s="4"/>
      <c r="WFQ54" s="4"/>
      <c r="WFR54" s="4"/>
      <c r="WFS54" s="4"/>
      <c r="WFT54" s="4"/>
      <c r="WFU54" s="4"/>
      <c r="WFV54" s="4"/>
      <c r="WFW54" s="4"/>
      <c r="WFX54" s="4"/>
      <c r="WFY54" s="4"/>
      <c r="WFZ54" s="4"/>
      <c r="WGA54" s="4"/>
      <c r="WGB54" s="4"/>
      <c r="WGC54" s="4"/>
      <c r="WGD54" s="4"/>
      <c r="WGE54" s="4"/>
      <c r="WGF54" s="4"/>
      <c r="WGG54" s="4"/>
      <c r="WGH54" s="4"/>
      <c r="WGI54" s="4"/>
      <c r="WGJ54" s="4"/>
      <c r="WGK54" s="4"/>
      <c r="WGL54" s="4"/>
      <c r="WGM54" s="4"/>
      <c r="WGN54" s="4"/>
      <c r="WGO54" s="4"/>
      <c r="WGP54" s="4"/>
      <c r="WGQ54" s="4"/>
      <c r="WGR54" s="4"/>
      <c r="WGS54" s="4"/>
      <c r="WGT54" s="4"/>
      <c r="WGU54" s="4"/>
      <c r="WGV54" s="4"/>
      <c r="WGW54" s="4"/>
      <c r="WGX54" s="4"/>
      <c r="WGY54" s="4"/>
      <c r="WGZ54" s="4"/>
      <c r="WHA54" s="4"/>
      <c r="WHB54" s="4"/>
      <c r="WHC54" s="4"/>
      <c r="WHD54" s="4"/>
      <c r="WHE54" s="4"/>
      <c r="WHF54" s="4"/>
      <c r="WHG54" s="4"/>
      <c r="WHH54" s="4"/>
      <c r="WHI54" s="4"/>
      <c r="WHJ54" s="4"/>
      <c r="WHK54" s="4"/>
      <c r="WHL54" s="4"/>
      <c r="WHM54" s="4"/>
      <c r="WHN54" s="4"/>
      <c r="WHO54" s="4"/>
      <c r="WHP54" s="4"/>
      <c r="WHQ54" s="4"/>
      <c r="WHR54" s="4"/>
      <c r="WHS54" s="4"/>
      <c r="WHT54" s="4"/>
      <c r="WHU54" s="4"/>
      <c r="WHV54" s="4"/>
      <c r="WHW54" s="4"/>
      <c r="WHX54" s="4"/>
      <c r="WHY54" s="4"/>
      <c r="WHZ54" s="4"/>
      <c r="WIA54" s="4"/>
      <c r="WIB54" s="4"/>
      <c r="WIC54" s="4"/>
      <c r="WID54" s="4"/>
      <c r="WIE54" s="4"/>
      <c r="WIF54" s="4"/>
      <c r="WIG54" s="4"/>
      <c r="WIH54" s="4"/>
      <c r="WII54" s="4"/>
      <c r="WIJ54" s="4"/>
      <c r="WIK54" s="4"/>
      <c r="WIL54" s="4"/>
      <c r="WIM54" s="4"/>
      <c r="WIN54" s="4"/>
      <c r="WIO54" s="4"/>
      <c r="WIP54" s="4"/>
      <c r="WIQ54" s="4"/>
      <c r="WIR54" s="4"/>
      <c r="WIS54" s="4"/>
      <c r="WIT54" s="4"/>
      <c r="WIU54" s="4"/>
      <c r="WIV54" s="4"/>
      <c r="WIW54" s="4"/>
      <c r="WIX54" s="4"/>
      <c r="WIY54" s="4"/>
      <c r="WIZ54" s="4"/>
      <c r="WJA54" s="4"/>
      <c r="WJB54" s="4"/>
      <c r="WJC54" s="4"/>
      <c r="WJD54" s="4"/>
      <c r="WJE54" s="4"/>
      <c r="WJF54" s="4"/>
      <c r="WJG54" s="4"/>
      <c r="WJH54" s="4"/>
      <c r="WJI54" s="4"/>
      <c r="WJJ54" s="4"/>
      <c r="WJK54" s="4"/>
      <c r="WJL54" s="4"/>
      <c r="WJM54" s="4"/>
      <c r="WJN54" s="4"/>
      <c r="WJO54" s="4"/>
      <c r="WJP54" s="4"/>
      <c r="WJQ54" s="4"/>
      <c r="WJR54" s="4"/>
      <c r="WJS54" s="4"/>
      <c r="WJT54" s="4"/>
      <c r="WJU54" s="4"/>
      <c r="WJV54" s="4"/>
      <c r="WJW54" s="4"/>
      <c r="WJX54" s="4"/>
      <c r="WJY54" s="4"/>
      <c r="WJZ54" s="4"/>
      <c r="WKA54" s="4"/>
      <c r="WKB54" s="4"/>
      <c r="WKC54" s="4"/>
      <c r="WKD54" s="4"/>
      <c r="WKE54" s="4"/>
      <c r="WKF54" s="4"/>
      <c r="WKG54" s="4"/>
      <c r="WKH54" s="4"/>
      <c r="WKI54" s="4"/>
      <c r="WKJ54" s="4"/>
      <c r="WKK54" s="4"/>
      <c r="WKL54" s="4"/>
      <c r="WKM54" s="4"/>
      <c r="WKN54" s="4"/>
      <c r="WKO54" s="4"/>
      <c r="WKP54" s="4"/>
      <c r="WKQ54" s="4"/>
      <c r="WKR54" s="4"/>
      <c r="WKS54" s="4"/>
      <c r="WKT54" s="4"/>
      <c r="WKU54" s="4"/>
      <c r="WKV54" s="4"/>
      <c r="WKW54" s="4"/>
      <c r="WKX54" s="4"/>
      <c r="WKY54" s="4"/>
      <c r="WKZ54" s="4"/>
      <c r="WLA54" s="4"/>
      <c r="WLB54" s="4"/>
      <c r="WLC54" s="4"/>
      <c r="WLD54" s="4"/>
      <c r="WLE54" s="4"/>
      <c r="WLF54" s="4"/>
      <c r="WLG54" s="4"/>
      <c r="WLH54" s="4"/>
      <c r="WLI54" s="4"/>
      <c r="WLJ54" s="4"/>
      <c r="WLK54" s="4"/>
      <c r="WLL54" s="4"/>
      <c r="WLM54" s="4"/>
      <c r="WLN54" s="4"/>
      <c r="WLO54" s="4"/>
      <c r="WLP54" s="4"/>
      <c r="WLQ54" s="4"/>
      <c r="WLR54" s="4"/>
      <c r="WLS54" s="4"/>
      <c r="WLT54" s="4"/>
      <c r="WLU54" s="4"/>
      <c r="WLV54" s="4"/>
      <c r="WLW54" s="4"/>
      <c r="WLX54" s="4"/>
      <c r="WLY54" s="4"/>
      <c r="WLZ54" s="4"/>
      <c r="WMA54" s="4"/>
      <c r="WMB54" s="4"/>
      <c r="WMC54" s="4"/>
      <c r="WMD54" s="4"/>
      <c r="WME54" s="4"/>
      <c r="WMF54" s="4"/>
      <c r="WMG54" s="4"/>
      <c r="WMH54" s="4"/>
      <c r="WMI54" s="4"/>
      <c r="WMJ54" s="4"/>
      <c r="WMK54" s="4"/>
      <c r="WML54" s="4"/>
      <c r="WMM54" s="4"/>
      <c r="WMN54" s="4"/>
      <c r="WMO54" s="4"/>
      <c r="WMP54" s="4"/>
      <c r="WMQ54" s="4"/>
      <c r="WMR54" s="4"/>
      <c r="WMS54" s="4"/>
      <c r="WMT54" s="4"/>
      <c r="WMU54" s="4"/>
      <c r="WMV54" s="4"/>
      <c r="WMW54" s="4"/>
      <c r="WMX54" s="4"/>
      <c r="WMY54" s="4"/>
      <c r="WMZ54" s="4"/>
      <c r="WNA54" s="4"/>
      <c r="WNB54" s="4"/>
      <c r="WNC54" s="4"/>
      <c r="WND54" s="4"/>
      <c r="WNE54" s="4"/>
      <c r="WNF54" s="4"/>
      <c r="WNG54" s="4"/>
      <c r="WNH54" s="4"/>
      <c r="WNI54" s="4"/>
      <c r="WNJ54" s="4"/>
      <c r="WNK54" s="4"/>
      <c r="WNL54" s="4"/>
      <c r="WNM54" s="4"/>
      <c r="WNN54" s="4"/>
      <c r="WNO54" s="4"/>
      <c r="WNP54" s="4"/>
      <c r="WNQ54" s="4"/>
      <c r="WNR54" s="4"/>
      <c r="WNS54" s="4"/>
      <c r="WNT54" s="4"/>
      <c r="WNU54" s="4"/>
      <c r="WNV54" s="4"/>
      <c r="WNW54" s="4"/>
      <c r="WNX54" s="4"/>
      <c r="WNY54" s="4"/>
      <c r="WNZ54" s="4"/>
      <c r="WOA54" s="4"/>
      <c r="WOB54" s="4"/>
      <c r="WOC54" s="4"/>
      <c r="WOD54" s="4"/>
      <c r="WOE54" s="4"/>
      <c r="WOF54" s="4"/>
      <c r="WOG54" s="4"/>
      <c r="WOH54" s="4"/>
      <c r="WOI54" s="4"/>
      <c r="WOJ54" s="4"/>
      <c r="WOK54" s="4"/>
      <c r="WOL54" s="4"/>
      <c r="WOM54" s="4"/>
      <c r="WON54" s="4"/>
      <c r="WOO54" s="4"/>
      <c r="WOP54" s="4"/>
      <c r="WOQ54" s="4"/>
      <c r="WOR54" s="4"/>
      <c r="WOS54" s="4"/>
      <c r="WOT54" s="4"/>
      <c r="WOU54" s="4"/>
      <c r="WOV54" s="4"/>
      <c r="WOW54" s="4"/>
      <c r="WOX54" s="4"/>
      <c r="WOY54" s="4"/>
      <c r="WOZ54" s="4"/>
      <c r="WPA54" s="4"/>
      <c r="WPB54" s="4"/>
      <c r="WPC54" s="4"/>
      <c r="WPD54" s="4"/>
      <c r="WPE54" s="4"/>
      <c r="WPF54" s="4"/>
      <c r="WPG54" s="4"/>
      <c r="WPH54" s="4"/>
      <c r="WPI54" s="4"/>
      <c r="WPJ54" s="4"/>
      <c r="WPK54" s="4"/>
      <c r="WPL54" s="4"/>
      <c r="WPM54" s="4"/>
      <c r="WPN54" s="4"/>
      <c r="WPO54" s="4"/>
      <c r="WPP54" s="4"/>
      <c r="WPQ54" s="4"/>
      <c r="WPR54" s="4"/>
      <c r="WPS54" s="4"/>
      <c r="WPT54" s="4"/>
      <c r="WPU54" s="4"/>
      <c r="WPV54" s="4"/>
      <c r="WPW54" s="4"/>
      <c r="WPX54" s="4"/>
      <c r="WPY54" s="4"/>
      <c r="WPZ54" s="4"/>
      <c r="WQA54" s="4"/>
      <c r="WQB54" s="4"/>
      <c r="WQC54" s="4"/>
      <c r="WQD54" s="4"/>
      <c r="WQE54" s="4"/>
      <c r="WQF54" s="4"/>
      <c r="WQG54" s="4"/>
      <c r="WQH54" s="4"/>
      <c r="WQI54" s="4"/>
      <c r="WQJ54" s="4"/>
      <c r="WQK54" s="4"/>
      <c r="WQL54" s="4"/>
      <c r="WQM54" s="4"/>
      <c r="WQN54" s="4"/>
      <c r="WQO54" s="4"/>
      <c r="WQP54" s="4"/>
      <c r="WQQ54" s="4"/>
      <c r="WQR54" s="4"/>
      <c r="WQS54" s="4"/>
      <c r="WQT54" s="4"/>
      <c r="WQU54" s="4"/>
      <c r="WQV54" s="4"/>
      <c r="WQW54" s="4"/>
      <c r="WQX54" s="4"/>
      <c r="WQY54" s="4"/>
      <c r="WQZ54" s="4"/>
      <c r="WRA54" s="4"/>
      <c r="WRB54" s="4"/>
      <c r="WRC54" s="4"/>
      <c r="WRD54" s="4"/>
      <c r="WRE54" s="4"/>
      <c r="WRF54" s="4"/>
      <c r="WRG54" s="4"/>
      <c r="WRH54" s="4"/>
      <c r="WRI54" s="4"/>
      <c r="WRJ54" s="4"/>
      <c r="WRK54" s="4"/>
      <c r="WRL54" s="4"/>
      <c r="WRM54" s="4"/>
      <c r="WRN54" s="4"/>
      <c r="WRO54" s="4"/>
      <c r="WRP54" s="4"/>
      <c r="WRQ54" s="4"/>
      <c r="WRR54" s="4"/>
      <c r="WRS54" s="4"/>
      <c r="WRT54" s="4"/>
      <c r="WRU54" s="4"/>
      <c r="WRV54" s="4"/>
      <c r="WRW54" s="4"/>
      <c r="WRX54" s="4"/>
      <c r="WRY54" s="4"/>
      <c r="WRZ54" s="4"/>
      <c r="WSA54" s="4"/>
      <c r="WSB54" s="4"/>
      <c r="WSC54" s="4"/>
      <c r="WSD54" s="4"/>
      <c r="WSE54" s="4"/>
      <c r="WSF54" s="4"/>
      <c r="WSG54" s="4"/>
      <c r="WSH54" s="4"/>
      <c r="WSI54" s="4"/>
      <c r="WSJ54" s="4"/>
      <c r="WSK54" s="4"/>
      <c r="WSL54" s="4"/>
      <c r="WSM54" s="4"/>
      <c r="WSN54" s="4"/>
      <c r="WSO54" s="4"/>
      <c r="WSP54" s="4"/>
      <c r="WSQ54" s="4"/>
      <c r="WSR54" s="4"/>
      <c r="WSS54" s="4"/>
      <c r="WST54" s="4"/>
      <c r="WSU54" s="4"/>
      <c r="WSV54" s="4"/>
      <c r="WSW54" s="4"/>
      <c r="WSX54" s="4"/>
      <c r="WSY54" s="4"/>
      <c r="WSZ54" s="4"/>
      <c r="WTA54" s="4"/>
      <c r="WTB54" s="4"/>
      <c r="WTC54" s="4"/>
      <c r="WTD54" s="4"/>
      <c r="WTE54" s="4"/>
      <c r="WTF54" s="4"/>
      <c r="WTG54" s="4"/>
      <c r="WTH54" s="4"/>
      <c r="WTI54" s="4"/>
      <c r="WTJ54" s="4"/>
      <c r="WTK54" s="4"/>
      <c r="WTL54" s="4"/>
      <c r="WTM54" s="4"/>
      <c r="WTN54" s="4"/>
      <c r="WTO54" s="4"/>
      <c r="WTP54" s="4"/>
      <c r="WTQ54" s="4"/>
      <c r="WTR54" s="4"/>
      <c r="WTS54" s="4"/>
      <c r="WTT54" s="4"/>
      <c r="WTU54" s="4"/>
      <c r="WTV54" s="4"/>
      <c r="WTW54" s="4"/>
      <c r="WTX54" s="4"/>
      <c r="WTY54" s="4"/>
      <c r="WTZ54" s="4"/>
      <c r="WUA54" s="4"/>
      <c r="WUB54" s="4"/>
      <c r="WUC54" s="4"/>
      <c r="WUD54" s="4"/>
      <c r="WUE54" s="4"/>
      <c r="WUF54" s="4"/>
      <c r="WUG54" s="4"/>
      <c r="WUH54" s="4"/>
      <c r="WUI54" s="4"/>
      <c r="WUJ54" s="4"/>
      <c r="WUK54" s="4"/>
      <c r="WUL54" s="4"/>
      <c r="WUM54" s="4"/>
      <c r="WUN54" s="4"/>
      <c r="WUO54" s="4"/>
      <c r="WUP54" s="4"/>
      <c r="WUQ54" s="4"/>
      <c r="WUR54" s="4"/>
      <c r="WUS54" s="4"/>
      <c r="WUT54" s="4"/>
      <c r="WUU54" s="4"/>
      <c r="WUV54" s="4"/>
      <c r="WUW54" s="4"/>
      <c r="WUX54" s="4"/>
      <c r="WUY54" s="4"/>
      <c r="WUZ54" s="4"/>
      <c r="WVA54" s="4"/>
      <c r="WVB54" s="4"/>
      <c r="WVC54" s="4"/>
      <c r="WVD54" s="4"/>
      <c r="WVE54" s="4"/>
      <c r="WVF54" s="4"/>
      <c r="WVG54" s="4"/>
      <c r="WVH54" s="4"/>
      <c r="WVI54" s="4"/>
      <c r="WVJ54" s="4"/>
      <c r="WVK54" s="4"/>
      <c r="WVL54" s="4"/>
      <c r="WVM54" s="4"/>
      <c r="WVN54" s="4"/>
      <c r="WVO54" s="4"/>
      <c r="WVP54" s="4"/>
      <c r="WVQ54" s="4"/>
      <c r="WVR54" s="4"/>
      <c r="WVS54" s="4"/>
      <c r="WVT54" s="4"/>
      <c r="WVU54" s="4"/>
      <c r="WVV54" s="4"/>
      <c r="WVW54" s="4"/>
      <c r="WVX54" s="4"/>
      <c r="WVY54" s="4"/>
      <c r="WVZ54" s="4"/>
      <c r="WWA54" s="4"/>
      <c r="WWB54" s="4"/>
      <c r="WWC54" s="4"/>
      <c r="WWD54" s="4"/>
      <c r="WWE54" s="4"/>
      <c r="WWF54" s="4"/>
      <c r="WWG54" s="4"/>
      <c r="WWH54" s="4"/>
      <c r="WWI54" s="4"/>
      <c r="WWJ54" s="4"/>
      <c r="WWK54" s="4"/>
      <c r="WWL54" s="4"/>
      <c r="WWM54" s="4"/>
      <c r="WWN54" s="4"/>
      <c r="WWO54" s="4"/>
      <c r="WWP54" s="4"/>
      <c r="WWQ54" s="4"/>
      <c r="WWR54" s="4"/>
      <c r="WWS54" s="4"/>
      <c r="WWT54" s="4"/>
      <c r="WWU54" s="4"/>
      <c r="WWV54" s="4"/>
      <c r="WWW54" s="4"/>
      <c r="WWX54" s="4"/>
      <c r="WWY54" s="4"/>
      <c r="WWZ54" s="4"/>
      <c r="WXA54" s="4"/>
      <c r="WXB54" s="4"/>
      <c r="WXC54" s="4"/>
      <c r="WXD54" s="4"/>
      <c r="WXE54" s="4"/>
      <c r="WXF54" s="4"/>
      <c r="WXG54" s="4"/>
      <c r="WXH54" s="4"/>
      <c r="WXI54" s="4"/>
      <c r="WXJ54" s="4"/>
      <c r="WXK54" s="4"/>
      <c r="WXL54" s="4"/>
      <c r="WXM54" s="4"/>
      <c r="WXN54" s="4"/>
      <c r="WXO54" s="4"/>
      <c r="WXP54" s="4"/>
      <c r="WXQ54" s="4"/>
      <c r="WXR54" s="4"/>
      <c r="WXS54" s="4"/>
      <c r="WXT54" s="4"/>
      <c r="WXU54" s="4"/>
      <c r="WXV54" s="4"/>
      <c r="WXW54" s="4"/>
      <c r="WXX54" s="4"/>
      <c r="WXY54" s="4"/>
      <c r="WXZ54" s="4"/>
      <c r="WYA54" s="4"/>
      <c r="WYB54" s="4"/>
      <c r="WYC54" s="4"/>
      <c r="WYD54" s="4"/>
      <c r="WYE54" s="4"/>
      <c r="WYF54" s="4"/>
      <c r="WYG54" s="4"/>
      <c r="WYH54" s="4"/>
      <c r="WYI54" s="4"/>
      <c r="WYJ54" s="4"/>
      <c r="WYK54" s="4"/>
      <c r="WYL54" s="4"/>
      <c r="WYM54" s="4"/>
      <c r="WYN54" s="4"/>
      <c r="WYO54" s="4"/>
      <c r="WYP54" s="4"/>
      <c r="WYQ54" s="4"/>
      <c r="WYR54" s="4"/>
      <c r="WYS54" s="4"/>
      <c r="WYT54" s="4"/>
      <c r="WYU54" s="4"/>
      <c r="WYV54" s="4"/>
      <c r="WYW54" s="4"/>
      <c r="WYX54" s="4"/>
      <c r="WYY54" s="4"/>
      <c r="WYZ54" s="4"/>
      <c r="WZA54" s="4"/>
      <c r="WZB54" s="4"/>
      <c r="WZC54" s="4"/>
      <c r="WZD54" s="4"/>
      <c r="WZE54" s="4"/>
      <c r="WZF54" s="4"/>
      <c r="WZG54" s="4"/>
      <c r="WZH54" s="4"/>
      <c r="WZI54" s="4"/>
      <c r="WZJ54" s="4"/>
      <c r="WZK54" s="4"/>
      <c r="WZL54" s="4"/>
      <c r="WZM54" s="4"/>
      <c r="WZN54" s="4"/>
      <c r="WZO54" s="4"/>
      <c r="WZP54" s="4"/>
      <c r="WZQ54" s="4"/>
      <c r="WZR54" s="4"/>
      <c r="WZS54" s="4"/>
      <c r="WZT54" s="4"/>
      <c r="WZU54" s="4"/>
      <c r="WZV54" s="4"/>
      <c r="WZW54" s="4"/>
      <c r="WZX54" s="4"/>
      <c r="WZY54" s="4"/>
      <c r="WZZ54" s="4"/>
      <c r="XAA54" s="4"/>
      <c r="XAB54" s="4"/>
      <c r="XAC54" s="4"/>
      <c r="XAD54" s="4"/>
      <c r="XAE54" s="4"/>
      <c r="XAF54" s="4"/>
      <c r="XAG54" s="4"/>
      <c r="XAH54" s="4"/>
      <c r="XAI54" s="4"/>
      <c r="XAJ54" s="4"/>
      <c r="XAK54" s="4"/>
      <c r="XAL54" s="4"/>
      <c r="XAM54" s="4"/>
      <c r="XAN54" s="4"/>
      <c r="XAO54" s="4"/>
      <c r="XAP54" s="4"/>
      <c r="XAQ54" s="4"/>
      <c r="XAR54" s="4"/>
      <c r="XAS54" s="4"/>
      <c r="XAT54" s="4"/>
      <c r="XAU54" s="4"/>
      <c r="XAV54" s="4"/>
      <c r="XAW54" s="4"/>
      <c r="XAX54" s="4"/>
      <c r="XAY54" s="4"/>
      <c r="XAZ54" s="4"/>
      <c r="XBA54" s="4"/>
      <c r="XBB54" s="4"/>
      <c r="XBC54" s="4"/>
      <c r="XBD54" s="4"/>
      <c r="XBE54" s="4"/>
      <c r="XBF54" s="4"/>
      <c r="XBG54" s="4"/>
      <c r="XBH54" s="4"/>
      <c r="XBI54" s="4"/>
      <c r="XBJ54" s="4"/>
      <c r="XBK54" s="4"/>
      <c r="XBL54" s="4"/>
      <c r="XBM54" s="4"/>
      <c r="XBN54" s="4"/>
      <c r="XBO54" s="4"/>
      <c r="XBP54" s="4"/>
      <c r="XBQ54" s="4"/>
      <c r="XBR54" s="4"/>
      <c r="XBS54" s="4"/>
      <c r="XBT54" s="4"/>
      <c r="XBU54" s="4"/>
      <c r="XBV54" s="4"/>
      <c r="XBW54" s="4"/>
      <c r="XBX54" s="4"/>
      <c r="XBY54" s="4"/>
      <c r="XBZ54" s="4"/>
      <c r="XCA54" s="4"/>
      <c r="XCB54" s="4"/>
      <c r="XCC54" s="4"/>
      <c r="XCD54" s="4"/>
      <c r="XCE54" s="4"/>
      <c r="XCF54" s="4"/>
      <c r="XCG54" s="4"/>
      <c r="XCH54" s="4"/>
      <c r="XCI54" s="4"/>
      <c r="XCJ54" s="4"/>
      <c r="XCK54" s="4"/>
      <c r="XCL54" s="4"/>
      <c r="XCM54" s="4"/>
      <c r="XCN54" s="4"/>
      <c r="XCO54" s="4"/>
      <c r="XCP54" s="4"/>
      <c r="XCQ54" s="4"/>
      <c r="XCR54" s="4"/>
      <c r="XCS54" s="4"/>
      <c r="XCT54" s="4"/>
      <c r="XCU54" s="4"/>
      <c r="XCV54" s="4"/>
      <c r="XCW54" s="4"/>
      <c r="XCX54" s="4"/>
      <c r="XCY54" s="4"/>
      <c r="XCZ54" s="4"/>
      <c r="XDA54" s="4"/>
      <c r="XDB54" s="4"/>
      <c r="XDC54" s="4"/>
      <c r="XDD54" s="4"/>
      <c r="XDE54" s="4"/>
      <c r="XDF54" s="4"/>
      <c r="XDG54" s="4"/>
      <c r="XDH54" s="4"/>
      <c r="XDI54" s="4"/>
      <c r="XDJ54" s="4"/>
      <c r="XDK54" s="4"/>
      <c r="XDL54" s="4"/>
      <c r="XDM54" s="4"/>
      <c r="XDN54" s="4"/>
      <c r="XDO54" s="4"/>
      <c r="XDP54" s="4"/>
      <c r="XDQ54" s="4"/>
      <c r="XDR54" s="4"/>
      <c r="XDS54" s="4"/>
      <c r="XDT54" s="4"/>
      <c r="XDU54" s="4"/>
      <c r="XDV54" s="4"/>
      <c r="XDW54" s="4"/>
      <c r="XDX54" s="4"/>
      <c r="XDY54" s="4"/>
      <c r="XDZ54" s="4"/>
      <c r="XEA54" s="4"/>
      <c r="XEB54" s="4"/>
      <c r="XEC54" s="4"/>
      <c r="XED54" s="4"/>
      <c r="XEE54" s="4"/>
      <c r="XEF54" s="4"/>
      <c r="XEG54" s="4"/>
      <c r="XEH54" s="4"/>
      <c r="XEI54" s="4"/>
      <c r="XEJ54" s="4"/>
      <c r="XEK54" s="4"/>
      <c r="XEL54" s="4"/>
      <c r="XEM54" s="4"/>
      <c r="XEN54" s="4"/>
      <c r="XEO54" s="4"/>
      <c r="XEP54" s="4"/>
      <c r="XEQ54" s="4"/>
      <c r="XER54" s="4"/>
      <c r="XES54" s="4"/>
      <c r="XET54" s="4"/>
      <c r="XEU54" s="4"/>
      <c r="XEV54" s="4"/>
      <c r="XEW54" s="4"/>
      <c r="XEX54" s="4"/>
      <c r="XEY54" s="4"/>
      <c r="XEZ54" s="4"/>
      <c r="XFA54" s="4"/>
      <c r="XFB54" s="4"/>
      <c r="XFC54" s="4"/>
      <c r="XFD54" s="4"/>
    </row>
    <row r="55" spans="1:13 1026:16384" x14ac:dyDescent="0.3">
      <c r="A55" s="41" t="s">
        <v>58</v>
      </c>
      <c r="B55" s="30">
        <v>30</v>
      </c>
      <c r="C55" s="42"/>
      <c r="D55" s="71" t="s">
        <v>59</v>
      </c>
      <c r="E55" s="43"/>
      <c r="F55" s="4"/>
      <c r="G55" s="44"/>
      <c r="M55" s="44"/>
    </row>
    <row r="56" spans="1:13 1026:16384" ht="12.75" customHeight="1" x14ac:dyDescent="0.3">
      <c r="F56" s="44"/>
    </row>
    <row r="57" spans="1:13 1026:16384" ht="12.75" customHeight="1" x14ac:dyDescent="0.3">
      <c r="A57" s="45" t="s">
        <v>60</v>
      </c>
      <c r="B57" s="46"/>
      <c r="C57" s="46"/>
      <c r="D57" s="46"/>
      <c r="E57" s="28"/>
    </row>
    <row r="58" spans="1:13 1026:16384" ht="12.75" customHeight="1" x14ac:dyDescent="0.3">
      <c r="A58" s="47" t="s">
        <v>61</v>
      </c>
      <c r="B58" s="48"/>
      <c r="C58" s="48"/>
      <c r="D58" s="49" t="s">
        <v>62</v>
      </c>
      <c r="E58" s="50" t="s">
        <v>54</v>
      </c>
    </row>
    <row r="59" spans="1:13 1026:16384" ht="12.75" customHeight="1" x14ac:dyDescent="0.3">
      <c r="A59" s="26" t="s">
        <v>55</v>
      </c>
      <c r="B59" s="54" t="s">
        <v>56</v>
      </c>
      <c r="C59" s="56" t="s">
        <v>63</v>
      </c>
      <c r="D59" s="51" t="s">
        <v>58</v>
      </c>
      <c r="E59" s="52" t="s">
        <v>58</v>
      </c>
    </row>
    <row r="60" spans="1:13 1026:16384" ht="12.75" customHeight="1" x14ac:dyDescent="0.3">
      <c r="A60" s="53" t="s">
        <v>64</v>
      </c>
      <c r="B60" s="30">
        <v>0</v>
      </c>
      <c r="C60" s="42">
        <v>10000000000</v>
      </c>
      <c r="D60" s="54" t="s">
        <v>65</v>
      </c>
      <c r="E60" s="71" t="s">
        <v>59</v>
      </c>
    </row>
    <row r="61" spans="1:13 1026:16384" ht="12.75" customHeight="1" thickBot="1" x14ac:dyDescent="0.35">
      <c r="A61" s="53" t="s">
        <v>66</v>
      </c>
      <c r="B61" s="30">
        <v>0</v>
      </c>
      <c r="C61" s="42">
        <v>10000000000</v>
      </c>
      <c r="D61" s="54" t="s">
        <v>65</v>
      </c>
      <c r="E61" s="71" t="s">
        <v>59</v>
      </c>
      <c r="F61" s="4"/>
      <c r="G61" s="34"/>
      <c r="M61" s="67"/>
    </row>
    <row r="62" spans="1:13 1026:16384" ht="12.75" customHeight="1" x14ac:dyDescent="0.3">
      <c r="A62" s="55" t="s">
        <v>67</v>
      </c>
      <c r="B62" s="56" t="s">
        <v>68</v>
      </c>
      <c r="C62" s="56" t="s">
        <v>63</v>
      </c>
      <c r="D62" s="57"/>
      <c r="E62" s="57"/>
      <c r="F62" s="67"/>
      <c r="G62" s="23"/>
      <c r="M62" s="44"/>
    </row>
    <row r="63" spans="1:13 1026:16384" ht="12.75" customHeight="1" x14ac:dyDescent="0.3">
      <c r="A63" s="53" t="s">
        <v>69</v>
      </c>
      <c r="B63" s="30">
        <v>0</v>
      </c>
      <c r="C63" s="42"/>
      <c r="D63" s="54" t="s">
        <v>65</v>
      </c>
      <c r="E63" s="71" t="s">
        <v>65</v>
      </c>
      <c r="F63" s="44"/>
      <c r="G63" s="23"/>
      <c r="M63" s="44"/>
    </row>
    <row r="64" spans="1:13 1026:16384" ht="12.75" customHeight="1" x14ac:dyDescent="0.3">
      <c r="A64" s="53" t="s">
        <v>70</v>
      </c>
      <c r="B64" s="30">
        <v>0</v>
      </c>
      <c r="C64" s="42">
        <v>10000000000</v>
      </c>
      <c r="D64" s="54" t="s">
        <v>65</v>
      </c>
      <c r="E64" s="71" t="s">
        <v>59</v>
      </c>
      <c r="F64" s="44"/>
      <c r="G64" s="23"/>
      <c r="M64" s="44"/>
    </row>
    <row r="65" spans="1:7" ht="12.75" customHeight="1" x14ac:dyDescent="0.3">
      <c r="A65" s="53" t="s">
        <v>71</v>
      </c>
      <c r="B65" s="30">
        <v>0</v>
      </c>
      <c r="C65" s="58">
        <v>10000000000</v>
      </c>
      <c r="D65" s="59" t="s">
        <v>65</v>
      </c>
      <c r="E65" s="60" t="s">
        <v>59</v>
      </c>
      <c r="F65" s="44"/>
      <c r="G65" s="44"/>
    </row>
    <row r="66" spans="1:7" ht="12.75" customHeight="1" x14ac:dyDescent="0.3">
      <c r="A66" s="55" t="s">
        <v>72</v>
      </c>
      <c r="B66" s="56" t="s">
        <v>73</v>
      </c>
      <c r="C66" s="54" t="s">
        <v>74</v>
      </c>
      <c r="D66" s="61" t="s">
        <v>75</v>
      </c>
      <c r="E66" s="61" t="s">
        <v>76</v>
      </c>
      <c r="F66" s="62" t="s">
        <v>77</v>
      </c>
      <c r="G66" s="44"/>
    </row>
    <row r="67" spans="1:7" ht="12.75" customHeight="1" x14ac:dyDescent="0.3">
      <c r="A67" s="53" t="s">
        <v>78</v>
      </c>
      <c r="B67" s="30">
        <v>0</v>
      </c>
      <c r="C67" s="42">
        <v>1000000000</v>
      </c>
      <c r="D67" s="54" t="s">
        <v>59</v>
      </c>
      <c r="E67" s="71">
        <v>1</v>
      </c>
      <c r="F67" s="63">
        <v>1000000000</v>
      </c>
      <c r="G67" s="44"/>
    </row>
    <row r="68" spans="1:7" ht="12.75" customHeight="1" x14ac:dyDescent="0.3">
      <c r="A68" s="64"/>
      <c r="B68" s="65"/>
      <c r="C68" s="66"/>
      <c r="D68" s="67"/>
      <c r="E68" s="68"/>
      <c r="F68" s="69"/>
      <c r="G68" s="44"/>
    </row>
    <row r="69" spans="1:7" ht="12.75" customHeight="1" x14ac:dyDescent="0.3">
      <c r="A69" s="27" t="s">
        <v>79</v>
      </c>
      <c r="B69" s="35"/>
      <c r="C69" s="35"/>
      <c r="D69" s="28"/>
      <c r="F69" s="4"/>
      <c r="G69" s="44"/>
    </row>
    <row r="70" spans="1:7" ht="12.75" customHeight="1" x14ac:dyDescent="0.3">
      <c r="A70" s="36" t="s">
        <v>53</v>
      </c>
      <c r="B70" s="37"/>
      <c r="D70" s="38" t="s">
        <v>54</v>
      </c>
      <c r="E70" s="39"/>
      <c r="F70" s="4"/>
      <c r="G70" s="44"/>
    </row>
    <row r="71" spans="1:7" ht="12.75" customHeight="1" x14ac:dyDescent="0.3">
      <c r="A71" s="40" t="s">
        <v>55</v>
      </c>
      <c r="B71" s="71" t="s">
        <v>56</v>
      </c>
      <c r="C71" s="71" t="s">
        <v>57</v>
      </c>
      <c r="D71" s="71" t="s">
        <v>58</v>
      </c>
      <c r="F71" s="4"/>
      <c r="G71" s="44"/>
    </row>
    <row r="72" spans="1:7" ht="12.75" customHeight="1" x14ac:dyDescent="0.3">
      <c r="A72" s="41" t="s">
        <v>58</v>
      </c>
      <c r="B72" s="30">
        <v>30</v>
      </c>
      <c r="C72" s="42"/>
      <c r="D72" s="71" t="s">
        <v>59</v>
      </c>
      <c r="E72" s="43"/>
      <c r="F72" s="4"/>
      <c r="G72" s="44"/>
    </row>
    <row r="73" spans="1:7" ht="12.75" customHeight="1" x14ac:dyDescent="0.3">
      <c r="F73" s="44"/>
      <c r="G73" s="44"/>
    </row>
    <row r="74" spans="1:7" ht="12.75" customHeight="1" x14ac:dyDescent="0.3">
      <c r="A74" s="45" t="s">
        <v>80</v>
      </c>
      <c r="B74" s="46"/>
      <c r="C74" s="46"/>
      <c r="D74" s="46"/>
      <c r="E74" s="28"/>
      <c r="G74" s="44"/>
    </row>
    <row r="75" spans="1:7" ht="12.75" customHeight="1" x14ac:dyDescent="0.3">
      <c r="A75" s="47" t="s">
        <v>61</v>
      </c>
      <c r="B75" s="48"/>
      <c r="C75" s="48"/>
      <c r="D75" s="49" t="s">
        <v>62</v>
      </c>
      <c r="E75" s="50" t="s">
        <v>54</v>
      </c>
      <c r="G75" s="44"/>
    </row>
    <row r="76" spans="1:7" ht="12.75" customHeight="1" x14ac:dyDescent="0.3">
      <c r="A76" s="26" t="s">
        <v>55</v>
      </c>
      <c r="B76" s="54" t="s">
        <v>56</v>
      </c>
      <c r="C76" s="56" t="s">
        <v>63</v>
      </c>
      <c r="D76" s="51" t="s">
        <v>58</v>
      </c>
      <c r="E76" s="52" t="s">
        <v>58</v>
      </c>
      <c r="G76" s="44"/>
    </row>
    <row r="77" spans="1:7" ht="12.75" customHeight="1" x14ac:dyDescent="0.3">
      <c r="A77" s="53" t="s">
        <v>64</v>
      </c>
      <c r="B77" s="30">
        <v>0</v>
      </c>
      <c r="C77" s="42">
        <v>10000000000</v>
      </c>
      <c r="D77" s="54" t="s">
        <v>65</v>
      </c>
      <c r="E77" s="71" t="s">
        <v>59</v>
      </c>
      <c r="G77" s="44"/>
    </row>
    <row r="78" spans="1:7" ht="12.75" customHeight="1" thickBot="1" x14ac:dyDescent="0.35">
      <c r="A78" s="53" t="s">
        <v>66</v>
      </c>
      <c r="B78" s="30">
        <v>0</v>
      </c>
      <c r="C78" s="42">
        <v>10000000000</v>
      </c>
      <c r="D78" s="54" t="s">
        <v>65</v>
      </c>
      <c r="E78" s="71" t="s">
        <v>59</v>
      </c>
      <c r="F78" s="4"/>
      <c r="G78" s="44"/>
    </row>
    <row r="79" spans="1:7" ht="12.75" customHeight="1" x14ac:dyDescent="0.3">
      <c r="A79" s="55" t="s">
        <v>67</v>
      </c>
      <c r="B79" s="56" t="s">
        <v>68</v>
      </c>
      <c r="C79" s="56" t="s">
        <v>63</v>
      </c>
      <c r="D79" s="57"/>
      <c r="E79" s="57"/>
      <c r="F79" s="67"/>
      <c r="G79" s="44"/>
    </row>
    <row r="80" spans="1:7" ht="12.75" customHeight="1" x14ac:dyDescent="0.3">
      <c r="A80" s="53" t="s">
        <v>69</v>
      </c>
      <c r="B80" s="30">
        <v>0</v>
      </c>
      <c r="C80" s="42"/>
      <c r="D80" s="54" t="s">
        <v>65</v>
      </c>
      <c r="E80" s="71" t="s">
        <v>65</v>
      </c>
      <c r="F80" s="44"/>
      <c r="G80" s="44"/>
    </row>
    <row r="81" spans="1:15" ht="12.75" customHeight="1" x14ac:dyDescent="0.3">
      <c r="A81" s="53" t="s">
        <v>70</v>
      </c>
      <c r="B81" s="30">
        <v>0</v>
      </c>
      <c r="C81" s="42">
        <v>10000000000</v>
      </c>
      <c r="D81" s="54" t="s">
        <v>65</v>
      </c>
      <c r="E81" s="71" t="s">
        <v>59</v>
      </c>
      <c r="F81" s="44"/>
      <c r="G81" s="44"/>
    </row>
    <row r="82" spans="1:15" ht="12.75" customHeight="1" x14ac:dyDescent="0.3">
      <c r="A82" s="53" t="s">
        <v>71</v>
      </c>
      <c r="B82" s="30">
        <v>0</v>
      </c>
      <c r="C82" s="58">
        <v>10000000000</v>
      </c>
      <c r="D82" s="59" t="s">
        <v>65</v>
      </c>
      <c r="E82" s="60" t="s">
        <v>59</v>
      </c>
      <c r="F82" s="44"/>
      <c r="G82" s="44"/>
    </row>
    <row r="83" spans="1:15" ht="12.75" customHeight="1" x14ac:dyDescent="0.3">
      <c r="A83" s="55" t="s">
        <v>72</v>
      </c>
      <c r="B83" s="56" t="s">
        <v>73</v>
      </c>
      <c r="C83" s="54" t="s">
        <v>74</v>
      </c>
      <c r="D83" s="61" t="s">
        <v>75</v>
      </c>
      <c r="E83" s="61" t="s">
        <v>76</v>
      </c>
      <c r="F83" s="62" t="s">
        <v>77</v>
      </c>
      <c r="G83" s="44"/>
    </row>
    <row r="84" spans="1:15" ht="12.75" customHeight="1" x14ac:dyDescent="0.3">
      <c r="A84" s="53" t="s">
        <v>78</v>
      </c>
      <c r="B84" s="30">
        <v>0</v>
      </c>
      <c r="C84" s="42">
        <v>1000000000</v>
      </c>
      <c r="D84" s="54" t="s">
        <v>59</v>
      </c>
      <c r="E84" s="71">
        <v>1</v>
      </c>
      <c r="F84" s="63">
        <v>1000000000</v>
      </c>
      <c r="G84" s="44"/>
    </row>
    <row r="85" spans="1:15" ht="12.75" customHeight="1" x14ac:dyDescent="0.3">
      <c r="A85" s="64"/>
      <c r="B85" s="65"/>
      <c r="C85" s="66"/>
      <c r="D85" s="67"/>
      <c r="E85" s="68"/>
      <c r="F85" s="69"/>
      <c r="G85" s="44"/>
    </row>
    <row r="86" spans="1:15" ht="12.75" customHeight="1" x14ac:dyDescent="0.3">
      <c r="A86" s="27" t="s">
        <v>81</v>
      </c>
      <c r="B86" s="35"/>
      <c r="C86" s="35"/>
      <c r="D86" s="28"/>
      <c r="F86" s="69"/>
      <c r="G86" s="44"/>
    </row>
    <row r="87" spans="1:15" ht="12.75" customHeight="1" x14ac:dyDescent="0.3">
      <c r="A87" s="36" t="s">
        <v>53</v>
      </c>
      <c r="B87" s="37"/>
      <c r="C87" s="4"/>
      <c r="D87" s="38" t="s">
        <v>54</v>
      </c>
      <c r="E87" s="39"/>
      <c r="F87" s="69"/>
      <c r="G87" s="44"/>
    </row>
    <row r="88" spans="1:15" ht="12.75" customHeight="1" x14ac:dyDescent="0.3">
      <c r="A88" s="40" t="s">
        <v>55</v>
      </c>
      <c r="B88" s="71" t="s">
        <v>56</v>
      </c>
      <c r="C88" s="71" t="s">
        <v>57</v>
      </c>
      <c r="D88" s="71" t="s">
        <v>58</v>
      </c>
      <c r="F88" s="69"/>
      <c r="G88" s="44"/>
    </row>
    <row r="89" spans="1:15" ht="12.75" customHeight="1" x14ac:dyDescent="0.3">
      <c r="A89" s="41" t="s">
        <v>58</v>
      </c>
      <c r="B89" s="30">
        <v>0</v>
      </c>
      <c r="C89" s="42">
        <v>10000000000</v>
      </c>
      <c r="D89" s="71" t="s">
        <v>59</v>
      </c>
      <c r="E89" s="43"/>
      <c r="F89" s="69"/>
      <c r="G89" s="44"/>
    </row>
    <row r="90" spans="1:15" ht="12.75" customHeight="1" x14ac:dyDescent="0.3">
      <c r="F90" s="69"/>
    </row>
    <row r="91" spans="1:15" ht="12.75" customHeight="1" x14ac:dyDescent="0.3">
      <c r="A91" s="45" t="s">
        <v>82</v>
      </c>
      <c r="B91" s="46"/>
      <c r="C91" s="46"/>
      <c r="D91" s="46"/>
      <c r="E91" s="28"/>
      <c r="F91" s="69"/>
    </row>
    <row r="92" spans="1:15" ht="12.75" customHeight="1" x14ac:dyDescent="0.3">
      <c r="A92" s="47" t="s">
        <v>61</v>
      </c>
      <c r="B92" s="48"/>
      <c r="C92" s="48"/>
      <c r="D92" s="49" t="s">
        <v>62</v>
      </c>
      <c r="E92" s="50" t="s">
        <v>54</v>
      </c>
      <c r="F92" s="69"/>
    </row>
    <row r="93" spans="1:15" ht="12.75" customHeight="1" x14ac:dyDescent="0.3">
      <c r="A93" s="26" t="s">
        <v>55</v>
      </c>
      <c r="B93" s="54" t="s">
        <v>56</v>
      </c>
      <c r="C93" s="56" t="s">
        <v>63</v>
      </c>
      <c r="D93" s="51" t="s">
        <v>58</v>
      </c>
      <c r="E93" s="52" t="s">
        <v>58</v>
      </c>
      <c r="F93" s="69"/>
    </row>
    <row r="94" spans="1:15" ht="12.75" customHeight="1" x14ac:dyDescent="0.3">
      <c r="A94" s="53" t="s">
        <v>64</v>
      </c>
      <c r="B94" s="30">
        <v>0</v>
      </c>
      <c r="C94" s="42">
        <v>10000000000</v>
      </c>
      <c r="D94" s="54" t="s">
        <v>65</v>
      </c>
      <c r="E94" s="71" t="s">
        <v>65</v>
      </c>
      <c r="F94" s="69"/>
      <c r="G94" s="23"/>
      <c r="H94" s="68"/>
      <c r="I94" s="68"/>
      <c r="J94" s="68"/>
      <c r="K94" s="68"/>
      <c r="L94" s="68"/>
      <c r="M94" s="68"/>
      <c r="N94" s="68"/>
      <c r="O94" s="68"/>
    </row>
    <row r="95" spans="1:15" ht="12.75" customHeight="1" thickBot="1" x14ac:dyDescent="0.35">
      <c r="A95" s="53" t="s">
        <v>66</v>
      </c>
      <c r="B95" s="30">
        <v>0</v>
      </c>
      <c r="C95" s="42">
        <v>10000000000</v>
      </c>
      <c r="D95" s="54" t="s">
        <v>65</v>
      </c>
      <c r="E95" s="71" t="s">
        <v>65</v>
      </c>
      <c r="F95" s="69"/>
      <c r="G95" s="44"/>
    </row>
    <row r="96" spans="1:15" ht="12.75" customHeight="1" x14ac:dyDescent="0.3">
      <c r="A96" s="55" t="s">
        <v>67</v>
      </c>
      <c r="B96" s="56" t="s">
        <v>68</v>
      </c>
      <c r="C96" s="56" t="s">
        <v>63</v>
      </c>
      <c r="D96" s="57"/>
      <c r="E96" s="57"/>
      <c r="F96" s="69"/>
      <c r="G96" s="44"/>
    </row>
    <row r="97" spans="1:102" ht="12.75" customHeight="1" x14ac:dyDescent="0.3">
      <c r="A97" s="53" t="s">
        <v>69</v>
      </c>
      <c r="B97" s="30">
        <v>0</v>
      </c>
      <c r="C97" s="42">
        <v>10000000000</v>
      </c>
      <c r="D97" s="54" t="s">
        <v>65</v>
      </c>
      <c r="E97" s="71" t="s">
        <v>65</v>
      </c>
      <c r="F97" s="69"/>
      <c r="G97" s="44"/>
    </row>
    <row r="98" spans="1:102" ht="12.75" customHeight="1" x14ac:dyDescent="0.3">
      <c r="A98" s="53" t="s">
        <v>70</v>
      </c>
      <c r="B98" s="30">
        <v>0</v>
      </c>
      <c r="C98" s="42">
        <v>10000000000</v>
      </c>
      <c r="D98" s="54" t="s">
        <v>65</v>
      </c>
      <c r="E98" s="71" t="s">
        <v>65</v>
      </c>
      <c r="F98" s="69"/>
      <c r="G98" s="45" t="s">
        <v>83</v>
      </c>
      <c r="H98" s="46"/>
      <c r="I98" s="46"/>
      <c r="J98" s="46"/>
      <c r="K98" s="70"/>
      <c r="L98" s="70"/>
      <c r="M98" s="70"/>
      <c r="N98" s="70"/>
      <c r="O98" s="70"/>
    </row>
    <row r="99" spans="1:102" ht="12.75" customHeight="1" x14ac:dyDescent="0.3">
      <c r="A99" s="53" t="s">
        <v>71</v>
      </c>
      <c r="B99" s="30">
        <v>0</v>
      </c>
      <c r="C99" s="42">
        <v>10000000000</v>
      </c>
      <c r="D99" s="54" t="s">
        <v>65</v>
      </c>
      <c r="E99" s="71" t="s">
        <v>65</v>
      </c>
      <c r="G99" s="72" t="s">
        <v>84</v>
      </c>
      <c r="H99" s="71">
        <v>1</v>
      </c>
      <c r="I99" s="71">
        <v>2</v>
      </c>
      <c r="J99" s="71">
        <v>3</v>
      </c>
      <c r="K99" s="71">
        <v>4</v>
      </c>
      <c r="L99" s="71">
        <v>5</v>
      </c>
      <c r="M99" s="71">
        <v>6</v>
      </c>
      <c r="N99" s="71">
        <v>7</v>
      </c>
      <c r="O99" s="71">
        <v>8</v>
      </c>
    </row>
    <row r="100" spans="1:102" ht="12.75" customHeight="1" x14ac:dyDescent="0.3">
      <c r="G100" s="72" t="s">
        <v>85</v>
      </c>
      <c r="H100" s="73">
        <v>0.2</v>
      </c>
      <c r="I100" s="73">
        <v>0.32</v>
      </c>
      <c r="J100" s="73">
        <v>0.192</v>
      </c>
      <c r="K100" s="73">
        <v>0.1152</v>
      </c>
      <c r="L100" s="73">
        <v>0.1152</v>
      </c>
      <c r="M100" s="73">
        <v>5.7599999999999998E-2</v>
      </c>
      <c r="N100" s="71">
        <v>0</v>
      </c>
      <c r="O100" s="71">
        <v>0</v>
      </c>
    </row>
    <row r="101" spans="1:102" ht="12.75" customHeight="1" x14ac:dyDescent="0.3">
      <c r="A101" s="45" t="s">
        <v>176</v>
      </c>
      <c r="B101" s="28" t="s">
        <v>86</v>
      </c>
      <c r="C101" s="28" t="s">
        <v>87</v>
      </c>
      <c r="D101" s="28" t="s">
        <v>88</v>
      </c>
      <c r="G101" s="72" t="s">
        <v>89</v>
      </c>
      <c r="H101" s="71">
        <v>0.1429</v>
      </c>
      <c r="I101" s="71">
        <v>0.24490000000000001</v>
      </c>
      <c r="J101" s="71">
        <v>0.1749</v>
      </c>
      <c r="K101" s="71">
        <v>0.1249</v>
      </c>
      <c r="L101" s="71">
        <v>8.9300000000000004E-2</v>
      </c>
      <c r="M101" s="71">
        <v>8.9200000000000002E-2</v>
      </c>
      <c r="N101" s="71">
        <v>8.9300000000000004E-2</v>
      </c>
      <c r="O101" s="71">
        <v>4.4600000000000001E-2</v>
      </c>
    </row>
    <row r="102" spans="1:102" ht="12.75" customHeight="1" x14ac:dyDescent="0.3">
      <c r="A102" s="74" t="s">
        <v>90</v>
      </c>
      <c r="B102" s="75">
        <v>5</v>
      </c>
      <c r="C102" s="75">
        <v>7</v>
      </c>
      <c r="D102" s="75">
        <v>5</v>
      </c>
      <c r="H102" s="68"/>
      <c r="K102" s="68"/>
    </row>
    <row r="103" spans="1:102" ht="12.75" customHeight="1" x14ac:dyDescent="0.3">
      <c r="A103" s="76" t="s">
        <v>91</v>
      </c>
      <c r="B103" s="71">
        <v>0</v>
      </c>
      <c r="C103" s="71">
        <v>0</v>
      </c>
      <c r="D103" s="71">
        <v>0</v>
      </c>
      <c r="H103" s="44"/>
      <c r="I103" s="23"/>
      <c r="J103" s="23"/>
      <c r="K103" s="34"/>
      <c r="L103" s="67"/>
    </row>
    <row r="104" spans="1:102" ht="12.75" customHeight="1" x14ac:dyDescent="0.3">
      <c r="A104" s="124"/>
      <c r="B104" s="125"/>
      <c r="C104" s="125"/>
      <c r="D104" s="125"/>
      <c r="H104" s="44"/>
      <c r="I104" s="23"/>
      <c r="J104" s="23"/>
      <c r="K104" s="34"/>
      <c r="L104" s="67"/>
    </row>
    <row r="105" spans="1:102" ht="12.75" customHeight="1" x14ac:dyDescent="0.3">
      <c r="A105" s="77" t="s">
        <v>92</v>
      </c>
      <c r="B105" s="78">
        <v>0</v>
      </c>
      <c r="C105" s="78">
        <v>1</v>
      </c>
      <c r="D105" s="78">
        <v>2</v>
      </c>
      <c r="E105" s="78">
        <v>3</v>
      </c>
      <c r="F105" s="78">
        <v>4</v>
      </c>
      <c r="G105" s="78">
        <v>5</v>
      </c>
      <c r="H105" s="78">
        <v>6</v>
      </c>
      <c r="I105" s="78">
        <v>7</v>
      </c>
      <c r="J105" s="78">
        <v>8</v>
      </c>
      <c r="K105" s="78">
        <v>9</v>
      </c>
      <c r="L105" s="78">
        <v>10</v>
      </c>
      <c r="M105" s="78">
        <v>11</v>
      </c>
      <c r="N105" s="78">
        <v>12</v>
      </c>
      <c r="O105" s="78">
        <v>13</v>
      </c>
      <c r="P105" s="78">
        <v>14</v>
      </c>
      <c r="Q105" s="78">
        <v>15</v>
      </c>
      <c r="R105" s="78">
        <v>16</v>
      </c>
      <c r="S105" s="78">
        <v>17</v>
      </c>
      <c r="T105" s="78">
        <v>18</v>
      </c>
      <c r="U105" s="78">
        <v>19</v>
      </c>
      <c r="V105" s="78">
        <v>20</v>
      </c>
      <c r="W105" s="78">
        <v>21</v>
      </c>
      <c r="X105" s="78">
        <v>22</v>
      </c>
      <c r="Y105" s="78">
        <v>23</v>
      </c>
      <c r="Z105" s="78">
        <v>24</v>
      </c>
      <c r="AA105" s="78">
        <v>25</v>
      </c>
      <c r="AB105" s="78">
        <v>26</v>
      </c>
      <c r="AC105" s="78">
        <v>27</v>
      </c>
      <c r="AD105" s="78">
        <v>28</v>
      </c>
      <c r="AE105" s="78">
        <v>29</v>
      </c>
      <c r="AF105" s="78">
        <v>30</v>
      </c>
      <c r="AG105" s="78">
        <v>31</v>
      </c>
      <c r="AH105" s="78">
        <v>32</v>
      </c>
      <c r="AI105" s="78">
        <v>33</v>
      </c>
      <c r="AJ105" s="78">
        <v>34</v>
      </c>
      <c r="AK105" s="78">
        <v>35</v>
      </c>
      <c r="AL105" s="78">
        <v>36</v>
      </c>
      <c r="AM105" s="78">
        <v>37</v>
      </c>
      <c r="AN105" s="78">
        <v>38</v>
      </c>
      <c r="AO105" s="78">
        <v>39</v>
      </c>
      <c r="AP105" s="78">
        <v>40</v>
      </c>
      <c r="AQ105" s="78">
        <v>41</v>
      </c>
      <c r="AR105" s="78">
        <v>42</v>
      </c>
      <c r="AS105" s="78">
        <v>43</v>
      </c>
      <c r="AT105" s="78">
        <v>44</v>
      </c>
      <c r="AU105" s="78">
        <v>45</v>
      </c>
      <c r="AV105" s="78">
        <v>46</v>
      </c>
      <c r="AW105" s="78">
        <v>47</v>
      </c>
      <c r="AX105" s="78">
        <v>48</v>
      </c>
      <c r="AY105" s="78">
        <v>49</v>
      </c>
      <c r="AZ105" s="78">
        <v>50</v>
      </c>
      <c r="BA105" s="78">
        <v>51</v>
      </c>
      <c r="BB105" s="78">
        <v>52</v>
      </c>
      <c r="BC105" s="78">
        <v>53</v>
      </c>
      <c r="BD105" s="78">
        <v>54</v>
      </c>
      <c r="BE105" s="78">
        <v>55</v>
      </c>
      <c r="BF105" s="78">
        <v>56</v>
      </c>
      <c r="BG105" s="78">
        <v>57</v>
      </c>
      <c r="BH105" s="78">
        <v>58</v>
      </c>
      <c r="BI105" s="78">
        <v>59</v>
      </c>
      <c r="BJ105" s="78">
        <v>60</v>
      </c>
      <c r="BK105" s="78">
        <v>61</v>
      </c>
      <c r="BL105" s="78">
        <v>62</v>
      </c>
      <c r="BM105" s="78">
        <v>63</v>
      </c>
      <c r="BN105" s="78">
        <v>64</v>
      </c>
      <c r="BO105" s="78">
        <v>65</v>
      </c>
      <c r="BP105" s="78">
        <v>66</v>
      </c>
      <c r="BQ105" s="78">
        <v>67</v>
      </c>
      <c r="BR105" s="78">
        <v>68</v>
      </c>
      <c r="BS105" s="78">
        <v>69</v>
      </c>
      <c r="BT105" s="78">
        <v>70</v>
      </c>
      <c r="BU105" s="78">
        <v>71</v>
      </c>
      <c r="BV105" s="78">
        <v>72</v>
      </c>
      <c r="BW105" s="78">
        <v>73</v>
      </c>
      <c r="BX105" s="78">
        <v>74</v>
      </c>
      <c r="BY105" s="78">
        <v>75</v>
      </c>
      <c r="BZ105" s="78">
        <v>76</v>
      </c>
      <c r="CA105" s="78">
        <v>77</v>
      </c>
      <c r="CB105" s="78">
        <v>78</v>
      </c>
      <c r="CC105" s="78">
        <v>79</v>
      </c>
      <c r="CD105" s="78">
        <v>80</v>
      </c>
      <c r="CE105" s="78">
        <v>81</v>
      </c>
      <c r="CF105" s="78">
        <v>82</v>
      </c>
      <c r="CG105" s="78">
        <v>83</v>
      </c>
      <c r="CH105" s="78">
        <v>84</v>
      </c>
      <c r="CI105" s="78">
        <v>85</v>
      </c>
      <c r="CJ105" s="78">
        <v>86</v>
      </c>
      <c r="CK105" s="78">
        <v>87</v>
      </c>
      <c r="CL105" s="78">
        <v>88</v>
      </c>
      <c r="CM105" s="78">
        <v>89</v>
      </c>
      <c r="CN105" s="78">
        <v>90</v>
      </c>
      <c r="CO105" s="78">
        <v>91</v>
      </c>
      <c r="CP105" s="78">
        <v>92</v>
      </c>
      <c r="CQ105" s="78">
        <v>93</v>
      </c>
      <c r="CR105" s="78">
        <v>94</v>
      </c>
      <c r="CS105" s="78">
        <v>95</v>
      </c>
      <c r="CT105" s="78">
        <v>96</v>
      </c>
      <c r="CU105" s="78">
        <v>97</v>
      </c>
      <c r="CV105" s="78">
        <v>98</v>
      </c>
      <c r="CW105" s="78">
        <v>99</v>
      </c>
      <c r="CX105" s="78">
        <v>100</v>
      </c>
    </row>
    <row r="106" spans="1:102" ht="12.75" customHeight="1" x14ac:dyDescent="0.3">
      <c r="A106" s="79" t="s">
        <v>93</v>
      </c>
      <c r="B106" s="80">
        <v>0</v>
      </c>
      <c r="C106" s="81">
        <f>B19</f>
        <v>67893</v>
      </c>
      <c r="D106" s="82">
        <f t="shared" ref="D106:AI106" si="0">IF(ISNUMBER(outYear),C106*(1-pv_degradation_rate/100),"")</f>
        <v>67553.535000000003</v>
      </c>
      <c r="E106" s="82">
        <f t="shared" si="0"/>
        <v>67215.767325000008</v>
      </c>
      <c r="F106" s="82">
        <f t="shared" si="0"/>
        <v>66879.688488375003</v>
      </c>
      <c r="G106" s="82">
        <f t="shared" si="0"/>
        <v>66545.290045933129</v>
      </c>
      <c r="H106" s="82">
        <f t="shared" si="0"/>
        <v>66212.563595703468</v>
      </c>
      <c r="I106" s="82">
        <f t="shared" si="0"/>
        <v>65881.500777724956</v>
      </c>
      <c r="J106" s="82">
        <f t="shared" si="0"/>
        <v>65552.093273836334</v>
      </c>
      <c r="K106" s="82">
        <f t="shared" si="0"/>
        <v>65224.332807467152</v>
      </c>
      <c r="L106" s="82">
        <f t="shared" si="0"/>
        <v>64898.211143429813</v>
      </c>
      <c r="M106" s="82">
        <f t="shared" si="0"/>
        <v>64573.720087712667</v>
      </c>
      <c r="N106" s="82">
        <f t="shared" si="0"/>
        <v>64250.8514872741</v>
      </c>
      <c r="O106" s="82">
        <f t="shared" si="0"/>
        <v>63929.597229837731</v>
      </c>
      <c r="P106" s="82">
        <f t="shared" si="0"/>
        <v>63609.949243688541</v>
      </c>
      <c r="Q106" s="82">
        <f t="shared" si="0"/>
        <v>63291.899497470098</v>
      </c>
      <c r="R106" s="82">
        <f t="shared" si="0"/>
        <v>62975.439999982744</v>
      </c>
      <c r="S106" s="82">
        <f t="shared" si="0"/>
        <v>62660.562799982828</v>
      </c>
      <c r="T106" s="82">
        <f t="shared" si="0"/>
        <v>62347.259985982913</v>
      </c>
      <c r="U106" s="82">
        <f t="shared" si="0"/>
        <v>62035.523686052999</v>
      </c>
      <c r="V106" s="82">
        <f t="shared" si="0"/>
        <v>61725.346067622733</v>
      </c>
      <c r="W106" s="82" t="str">
        <f t="shared" si="0"/>
        <v/>
      </c>
      <c r="X106" s="82" t="str">
        <f t="shared" si="0"/>
        <v/>
      </c>
      <c r="Y106" s="82" t="str">
        <f t="shared" si="0"/>
        <v/>
      </c>
      <c r="Z106" s="82" t="str">
        <f t="shared" si="0"/>
        <v/>
      </c>
      <c r="AA106" s="82" t="str">
        <f t="shared" si="0"/>
        <v/>
      </c>
      <c r="AB106" s="82" t="str">
        <f t="shared" si="0"/>
        <v/>
      </c>
      <c r="AC106" s="82" t="str">
        <f t="shared" si="0"/>
        <v/>
      </c>
      <c r="AD106" s="82" t="str">
        <f t="shared" si="0"/>
        <v/>
      </c>
      <c r="AE106" s="82" t="str">
        <f t="shared" si="0"/>
        <v/>
      </c>
      <c r="AF106" s="82" t="str">
        <f t="shared" si="0"/>
        <v/>
      </c>
      <c r="AG106" s="82" t="str">
        <f t="shared" si="0"/>
        <v/>
      </c>
      <c r="AH106" s="82" t="str">
        <f t="shared" si="0"/>
        <v/>
      </c>
      <c r="AI106" s="82" t="str">
        <f t="shared" si="0"/>
        <v/>
      </c>
      <c r="AJ106" s="82" t="str">
        <f t="shared" ref="AJ106:BO106" si="1">IF(ISNUMBER(outYear),AI106*(1-pv_degradation_rate/100),"")</f>
        <v/>
      </c>
      <c r="AK106" s="82" t="str">
        <f t="shared" si="1"/>
        <v/>
      </c>
      <c r="AL106" s="82" t="str">
        <f t="shared" si="1"/>
        <v/>
      </c>
      <c r="AM106" s="82" t="str">
        <f t="shared" si="1"/>
        <v/>
      </c>
      <c r="AN106" s="82" t="str">
        <f t="shared" si="1"/>
        <v/>
      </c>
      <c r="AO106" s="82" t="str">
        <f t="shared" si="1"/>
        <v/>
      </c>
      <c r="AP106" s="82" t="str">
        <f t="shared" si="1"/>
        <v/>
      </c>
      <c r="AQ106" s="82" t="str">
        <f t="shared" si="1"/>
        <v/>
      </c>
      <c r="AR106" s="82" t="str">
        <f t="shared" si="1"/>
        <v/>
      </c>
      <c r="AS106" s="82" t="str">
        <f t="shared" si="1"/>
        <v/>
      </c>
      <c r="AT106" s="82" t="str">
        <f t="shared" si="1"/>
        <v/>
      </c>
      <c r="AU106" s="82" t="str">
        <f t="shared" si="1"/>
        <v/>
      </c>
      <c r="AV106" s="82" t="str">
        <f t="shared" si="1"/>
        <v/>
      </c>
      <c r="AW106" s="82" t="str">
        <f t="shared" si="1"/>
        <v/>
      </c>
      <c r="AX106" s="82" t="str">
        <f t="shared" si="1"/>
        <v/>
      </c>
      <c r="AY106" s="82" t="str">
        <f t="shared" si="1"/>
        <v/>
      </c>
      <c r="AZ106" s="82" t="str">
        <f t="shared" si="1"/>
        <v/>
      </c>
      <c r="BA106" s="82" t="str">
        <f t="shared" si="1"/>
        <v/>
      </c>
      <c r="BB106" s="82" t="str">
        <f t="shared" si="1"/>
        <v/>
      </c>
      <c r="BC106" s="82" t="str">
        <f t="shared" si="1"/>
        <v/>
      </c>
      <c r="BD106" s="82" t="str">
        <f t="shared" si="1"/>
        <v/>
      </c>
      <c r="BE106" s="82" t="str">
        <f t="shared" si="1"/>
        <v/>
      </c>
      <c r="BF106" s="82" t="str">
        <f t="shared" si="1"/>
        <v/>
      </c>
      <c r="BG106" s="82" t="str">
        <f t="shared" si="1"/>
        <v/>
      </c>
      <c r="BH106" s="82" t="str">
        <f t="shared" si="1"/>
        <v/>
      </c>
      <c r="BI106" s="82" t="str">
        <f t="shared" si="1"/>
        <v/>
      </c>
      <c r="BJ106" s="82" t="str">
        <f t="shared" si="1"/>
        <v/>
      </c>
      <c r="BK106" s="82" t="str">
        <f t="shared" si="1"/>
        <v/>
      </c>
      <c r="BL106" s="82" t="str">
        <f t="shared" si="1"/>
        <v/>
      </c>
      <c r="BM106" s="82" t="str">
        <f t="shared" si="1"/>
        <v/>
      </c>
      <c r="BN106" s="82" t="str">
        <f t="shared" si="1"/>
        <v/>
      </c>
      <c r="BO106" s="82" t="str">
        <f t="shared" si="1"/>
        <v/>
      </c>
      <c r="BP106" s="82" t="str">
        <f t="shared" ref="BP106:CX106" si="2">IF(ISNUMBER(outYear),BO106*(1-pv_degradation_rate/100),"")</f>
        <v/>
      </c>
      <c r="BQ106" s="82" t="str">
        <f t="shared" si="2"/>
        <v/>
      </c>
      <c r="BR106" s="82" t="str">
        <f t="shared" si="2"/>
        <v/>
      </c>
      <c r="BS106" s="82" t="str">
        <f t="shared" si="2"/>
        <v/>
      </c>
      <c r="BT106" s="82" t="str">
        <f t="shared" si="2"/>
        <v/>
      </c>
      <c r="BU106" s="82" t="str">
        <f t="shared" si="2"/>
        <v/>
      </c>
      <c r="BV106" s="82" t="str">
        <f t="shared" si="2"/>
        <v/>
      </c>
      <c r="BW106" s="82" t="str">
        <f t="shared" si="2"/>
        <v/>
      </c>
      <c r="BX106" s="82" t="str">
        <f t="shared" si="2"/>
        <v/>
      </c>
      <c r="BY106" s="82" t="str">
        <f t="shared" si="2"/>
        <v/>
      </c>
      <c r="BZ106" s="82" t="str">
        <f t="shared" si="2"/>
        <v/>
      </c>
      <c r="CA106" s="82" t="str">
        <f t="shared" si="2"/>
        <v/>
      </c>
      <c r="CB106" s="82" t="str">
        <f t="shared" si="2"/>
        <v/>
      </c>
      <c r="CC106" s="82" t="str">
        <f t="shared" si="2"/>
        <v/>
      </c>
      <c r="CD106" s="82" t="str">
        <f t="shared" si="2"/>
        <v/>
      </c>
      <c r="CE106" s="82" t="str">
        <f t="shared" si="2"/>
        <v/>
      </c>
      <c r="CF106" s="82" t="str">
        <f t="shared" si="2"/>
        <v/>
      </c>
      <c r="CG106" s="82" t="str">
        <f t="shared" si="2"/>
        <v/>
      </c>
      <c r="CH106" s="82" t="str">
        <f t="shared" si="2"/>
        <v/>
      </c>
      <c r="CI106" s="82" t="str">
        <f t="shared" si="2"/>
        <v/>
      </c>
      <c r="CJ106" s="82" t="str">
        <f t="shared" si="2"/>
        <v/>
      </c>
      <c r="CK106" s="82" t="str">
        <f t="shared" si="2"/>
        <v/>
      </c>
      <c r="CL106" s="82" t="str">
        <f t="shared" si="2"/>
        <v/>
      </c>
      <c r="CM106" s="82" t="str">
        <f t="shared" si="2"/>
        <v/>
      </c>
      <c r="CN106" s="82" t="str">
        <f t="shared" si="2"/>
        <v/>
      </c>
      <c r="CO106" s="82" t="str">
        <f t="shared" si="2"/>
        <v/>
      </c>
      <c r="CP106" s="82" t="str">
        <f t="shared" si="2"/>
        <v/>
      </c>
      <c r="CQ106" s="82" t="str">
        <f t="shared" si="2"/>
        <v/>
      </c>
      <c r="CR106" s="82" t="str">
        <f t="shared" si="2"/>
        <v/>
      </c>
      <c r="CS106" s="82" t="str">
        <f t="shared" si="2"/>
        <v/>
      </c>
      <c r="CT106" s="82" t="str">
        <f t="shared" si="2"/>
        <v/>
      </c>
      <c r="CU106" s="82" t="str">
        <f t="shared" si="2"/>
        <v/>
      </c>
      <c r="CV106" s="82" t="str">
        <f t="shared" si="2"/>
        <v/>
      </c>
      <c r="CW106" s="82" t="str">
        <f t="shared" si="2"/>
        <v/>
      </c>
      <c r="CX106" s="82" t="str">
        <f t="shared" si="2"/>
        <v/>
      </c>
    </row>
    <row r="107" spans="1:102" ht="12.75" customHeight="1" x14ac:dyDescent="0.3">
      <c r="A107" s="79" t="s">
        <v>94</v>
      </c>
      <c r="B107" s="80">
        <v>0</v>
      </c>
      <c r="C107" s="81">
        <f>B16</f>
        <v>67893</v>
      </c>
      <c r="D107" s="82">
        <f t="shared" ref="D107:AI107" si="3">IF(ISNUMBER(outYear),C107*(1-pv_degradation_rate/100),"")</f>
        <v>67553.535000000003</v>
      </c>
      <c r="E107" s="82">
        <f t="shared" si="3"/>
        <v>67215.767325000008</v>
      </c>
      <c r="F107" s="82">
        <f t="shared" si="3"/>
        <v>66879.688488375003</v>
      </c>
      <c r="G107" s="82">
        <f t="shared" si="3"/>
        <v>66545.290045933129</v>
      </c>
      <c r="H107" s="82">
        <f t="shared" si="3"/>
        <v>66212.563595703468</v>
      </c>
      <c r="I107" s="82">
        <f t="shared" si="3"/>
        <v>65881.500777724956</v>
      </c>
      <c r="J107" s="82">
        <f t="shared" si="3"/>
        <v>65552.093273836334</v>
      </c>
      <c r="K107" s="82">
        <f t="shared" si="3"/>
        <v>65224.332807467152</v>
      </c>
      <c r="L107" s="82">
        <f t="shared" si="3"/>
        <v>64898.211143429813</v>
      </c>
      <c r="M107" s="82">
        <f t="shared" si="3"/>
        <v>64573.720087712667</v>
      </c>
      <c r="N107" s="82">
        <f t="shared" si="3"/>
        <v>64250.8514872741</v>
      </c>
      <c r="O107" s="82">
        <f t="shared" si="3"/>
        <v>63929.597229837731</v>
      </c>
      <c r="P107" s="82">
        <f t="shared" si="3"/>
        <v>63609.949243688541</v>
      </c>
      <c r="Q107" s="82">
        <f t="shared" si="3"/>
        <v>63291.899497470098</v>
      </c>
      <c r="R107" s="82">
        <f t="shared" si="3"/>
        <v>62975.439999982744</v>
      </c>
      <c r="S107" s="82">
        <f t="shared" si="3"/>
        <v>62660.562799982828</v>
      </c>
      <c r="T107" s="82">
        <f t="shared" si="3"/>
        <v>62347.259985982913</v>
      </c>
      <c r="U107" s="82">
        <f t="shared" si="3"/>
        <v>62035.523686052999</v>
      </c>
      <c r="V107" s="82">
        <f t="shared" si="3"/>
        <v>61725.346067622733</v>
      </c>
      <c r="W107" s="82" t="str">
        <f t="shared" si="3"/>
        <v/>
      </c>
      <c r="X107" s="82" t="str">
        <f t="shared" si="3"/>
        <v/>
      </c>
      <c r="Y107" s="82" t="str">
        <f t="shared" si="3"/>
        <v/>
      </c>
      <c r="Z107" s="82" t="str">
        <f t="shared" si="3"/>
        <v/>
      </c>
      <c r="AA107" s="82" t="str">
        <f t="shared" si="3"/>
        <v/>
      </c>
      <c r="AB107" s="82" t="str">
        <f t="shared" si="3"/>
        <v/>
      </c>
      <c r="AC107" s="82" t="str">
        <f t="shared" si="3"/>
        <v/>
      </c>
      <c r="AD107" s="82" t="str">
        <f t="shared" si="3"/>
        <v/>
      </c>
      <c r="AE107" s="82" t="str">
        <f t="shared" si="3"/>
        <v/>
      </c>
      <c r="AF107" s="82" t="str">
        <f t="shared" si="3"/>
        <v/>
      </c>
      <c r="AG107" s="82" t="str">
        <f t="shared" si="3"/>
        <v/>
      </c>
      <c r="AH107" s="82" t="str">
        <f t="shared" si="3"/>
        <v/>
      </c>
      <c r="AI107" s="82" t="str">
        <f t="shared" si="3"/>
        <v/>
      </c>
      <c r="AJ107" s="82" t="str">
        <f t="shared" ref="AJ107:BO107" si="4">IF(ISNUMBER(outYear),AI107*(1-pv_degradation_rate/100),"")</f>
        <v/>
      </c>
      <c r="AK107" s="82" t="str">
        <f t="shared" si="4"/>
        <v/>
      </c>
      <c r="AL107" s="82" t="str">
        <f t="shared" si="4"/>
        <v/>
      </c>
      <c r="AM107" s="82" t="str">
        <f t="shared" si="4"/>
        <v/>
      </c>
      <c r="AN107" s="82" t="str">
        <f t="shared" si="4"/>
        <v/>
      </c>
      <c r="AO107" s="82" t="str">
        <f t="shared" si="4"/>
        <v/>
      </c>
      <c r="AP107" s="82" t="str">
        <f t="shared" si="4"/>
        <v/>
      </c>
      <c r="AQ107" s="82" t="str">
        <f t="shared" si="4"/>
        <v/>
      </c>
      <c r="AR107" s="82" t="str">
        <f t="shared" si="4"/>
        <v/>
      </c>
      <c r="AS107" s="82" t="str">
        <f t="shared" si="4"/>
        <v/>
      </c>
      <c r="AT107" s="82" t="str">
        <f t="shared" si="4"/>
        <v/>
      </c>
      <c r="AU107" s="82" t="str">
        <f t="shared" si="4"/>
        <v/>
      </c>
      <c r="AV107" s="82" t="str">
        <f t="shared" si="4"/>
        <v/>
      </c>
      <c r="AW107" s="82" t="str">
        <f t="shared" si="4"/>
        <v/>
      </c>
      <c r="AX107" s="82" t="str">
        <f t="shared" si="4"/>
        <v/>
      </c>
      <c r="AY107" s="82" t="str">
        <f t="shared" si="4"/>
        <v/>
      </c>
      <c r="AZ107" s="82" t="str">
        <f t="shared" si="4"/>
        <v/>
      </c>
      <c r="BA107" s="82" t="str">
        <f t="shared" si="4"/>
        <v/>
      </c>
      <c r="BB107" s="82" t="str">
        <f t="shared" si="4"/>
        <v/>
      </c>
      <c r="BC107" s="82" t="str">
        <f t="shared" si="4"/>
        <v/>
      </c>
      <c r="BD107" s="82" t="str">
        <f t="shared" si="4"/>
        <v/>
      </c>
      <c r="BE107" s="82" t="str">
        <f t="shared" si="4"/>
        <v/>
      </c>
      <c r="BF107" s="82" t="str">
        <f t="shared" si="4"/>
        <v/>
      </c>
      <c r="BG107" s="82" t="str">
        <f t="shared" si="4"/>
        <v/>
      </c>
      <c r="BH107" s="82" t="str">
        <f t="shared" si="4"/>
        <v/>
      </c>
      <c r="BI107" s="82" t="str">
        <f t="shared" si="4"/>
        <v/>
      </c>
      <c r="BJ107" s="82" t="str">
        <f t="shared" si="4"/>
        <v/>
      </c>
      <c r="BK107" s="82" t="str">
        <f t="shared" si="4"/>
        <v/>
      </c>
      <c r="BL107" s="82" t="str">
        <f t="shared" si="4"/>
        <v/>
      </c>
      <c r="BM107" s="82" t="str">
        <f t="shared" si="4"/>
        <v/>
      </c>
      <c r="BN107" s="82" t="str">
        <f t="shared" si="4"/>
        <v/>
      </c>
      <c r="BO107" s="82" t="str">
        <f t="shared" si="4"/>
        <v/>
      </c>
      <c r="BP107" s="82" t="str">
        <f t="shared" ref="BP107:CX107" si="5">IF(ISNUMBER(outYear),BO107*(1-pv_degradation_rate/100),"")</f>
        <v/>
      </c>
      <c r="BQ107" s="82" t="str">
        <f t="shared" si="5"/>
        <v/>
      </c>
      <c r="BR107" s="82" t="str">
        <f t="shared" si="5"/>
        <v/>
      </c>
      <c r="BS107" s="82" t="str">
        <f t="shared" si="5"/>
        <v/>
      </c>
      <c r="BT107" s="82" t="str">
        <f t="shared" si="5"/>
        <v/>
      </c>
      <c r="BU107" s="82" t="str">
        <f t="shared" si="5"/>
        <v/>
      </c>
      <c r="BV107" s="82" t="str">
        <f t="shared" si="5"/>
        <v/>
      </c>
      <c r="BW107" s="82" t="str">
        <f t="shared" si="5"/>
        <v/>
      </c>
      <c r="BX107" s="82" t="str">
        <f t="shared" si="5"/>
        <v/>
      </c>
      <c r="BY107" s="82" t="str">
        <f t="shared" si="5"/>
        <v/>
      </c>
      <c r="BZ107" s="82" t="str">
        <f t="shared" si="5"/>
        <v/>
      </c>
      <c r="CA107" s="82" t="str">
        <f t="shared" si="5"/>
        <v/>
      </c>
      <c r="CB107" s="82" t="str">
        <f t="shared" si="5"/>
        <v/>
      </c>
      <c r="CC107" s="82" t="str">
        <f t="shared" si="5"/>
        <v/>
      </c>
      <c r="CD107" s="82" t="str">
        <f t="shared" si="5"/>
        <v/>
      </c>
      <c r="CE107" s="82" t="str">
        <f t="shared" si="5"/>
        <v/>
      </c>
      <c r="CF107" s="82" t="str">
        <f t="shared" si="5"/>
        <v/>
      </c>
      <c r="CG107" s="82" t="str">
        <f t="shared" si="5"/>
        <v/>
      </c>
      <c r="CH107" s="82" t="str">
        <f t="shared" si="5"/>
        <v/>
      </c>
      <c r="CI107" s="82" t="str">
        <f t="shared" si="5"/>
        <v/>
      </c>
      <c r="CJ107" s="82" t="str">
        <f t="shared" si="5"/>
        <v/>
      </c>
      <c r="CK107" s="82" t="str">
        <f t="shared" si="5"/>
        <v/>
      </c>
      <c r="CL107" s="82" t="str">
        <f t="shared" si="5"/>
        <v/>
      </c>
      <c r="CM107" s="82" t="str">
        <f t="shared" si="5"/>
        <v/>
      </c>
      <c r="CN107" s="82" t="str">
        <f t="shared" si="5"/>
        <v/>
      </c>
      <c r="CO107" s="82" t="str">
        <f t="shared" si="5"/>
        <v/>
      </c>
      <c r="CP107" s="82" t="str">
        <f t="shared" si="5"/>
        <v/>
      </c>
      <c r="CQ107" s="82" t="str">
        <f t="shared" si="5"/>
        <v/>
      </c>
      <c r="CR107" s="82" t="str">
        <f t="shared" si="5"/>
        <v/>
      </c>
      <c r="CS107" s="82" t="str">
        <f t="shared" si="5"/>
        <v/>
      </c>
      <c r="CT107" s="82" t="str">
        <f t="shared" si="5"/>
        <v/>
      </c>
      <c r="CU107" s="82" t="str">
        <f t="shared" si="5"/>
        <v/>
      </c>
      <c r="CV107" s="82" t="str">
        <f t="shared" si="5"/>
        <v/>
      </c>
      <c r="CW107" s="82" t="str">
        <f t="shared" si="5"/>
        <v/>
      </c>
      <c r="CX107" s="82" t="str">
        <f t="shared" si="5"/>
        <v/>
      </c>
    </row>
    <row r="108" spans="1:102" ht="12.75" customHeight="1" x14ac:dyDescent="0.3">
      <c r="A108" s="79" t="s">
        <v>95</v>
      </c>
      <c r="B108" s="80">
        <v>0</v>
      </c>
      <c r="C108" s="81">
        <f>B17</f>
        <v>0</v>
      </c>
      <c r="D108" s="82">
        <f t="shared" ref="D108:AI108" si="6">IF(ISNUMBER(outYear),C108,"")</f>
        <v>0</v>
      </c>
      <c r="E108" s="82">
        <f t="shared" si="6"/>
        <v>0</v>
      </c>
      <c r="F108" s="82">
        <f t="shared" si="6"/>
        <v>0</v>
      </c>
      <c r="G108" s="82">
        <f t="shared" si="6"/>
        <v>0</v>
      </c>
      <c r="H108" s="82">
        <f t="shared" si="6"/>
        <v>0</v>
      </c>
      <c r="I108" s="82">
        <f t="shared" si="6"/>
        <v>0</v>
      </c>
      <c r="J108" s="82">
        <f t="shared" si="6"/>
        <v>0</v>
      </c>
      <c r="K108" s="82">
        <f t="shared" si="6"/>
        <v>0</v>
      </c>
      <c r="L108" s="82">
        <f t="shared" si="6"/>
        <v>0</v>
      </c>
      <c r="M108" s="82">
        <f t="shared" si="6"/>
        <v>0</v>
      </c>
      <c r="N108" s="82">
        <f t="shared" si="6"/>
        <v>0</v>
      </c>
      <c r="O108" s="82">
        <f t="shared" si="6"/>
        <v>0</v>
      </c>
      <c r="P108" s="82">
        <f t="shared" si="6"/>
        <v>0</v>
      </c>
      <c r="Q108" s="82">
        <f t="shared" si="6"/>
        <v>0</v>
      </c>
      <c r="R108" s="82">
        <f t="shared" si="6"/>
        <v>0</v>
      </c>
      <c r="S108" s="82">
        <f t="shared" si="6"/>
        <v>0</v>
      </c>
      <c r="T108" s="82">
        <f t="shared" si="6"/>
        <v>0</v>
      </c>
      <c r="U108" s="82">
        <f t="shared" si="6"/>
        <v>0</v>
      </c>
      <c r="V108" s="82">
        <f t="shared" si="6"/>
        <v>0</v>
      </c>
      <c r="W108" s="82" t="str">
        <f t="shared" si="6"/>
        <v/>
      </c>
      <c r="X108" s="82" t="str">
        <f t="shared" si="6"/>
        <v/>
      </c>
      <c r="Y108" s="82" t="str">
        <f t="shared" si="6"/>
        <v/>
      </c>
      <c r="Z108" s="82" t="str">
        <f t="shared" si="6"/>
        <v/>
      </c>
      <c r="AA108" s="82" t="str">
        <f t="shared" si="6"/>
        <v/>
      </c>
      <c r="AB108" s="82" t="str">
        <f t="shared" si="6"/>
        <v/>
      </c>
      <c r="AC108" s="82" t="str">
        <f t="shared" si="6"/>
        <v/>
      </c>
      <c r="AD108" s="82" t="str">
        <f t="shared" si="6"/>
        <v/>
      </c>
      <c r="AE108" s="82" t="str">
        <f t="shared" si="6"/>
        <v/>
      </c>
      <c r="AF108" s="82" t="str">
        <f t="shared" si="6"/>
        <v/>
      </c>
      <c r="AG108" s="82" t="str">
        <f t="shared" si="6"/>
        <v/>
      </c>
      <c r="AH108" s="82" t="str">
        <f t="shared" si="6"/>
        <v/>
      </c>
      <c r="AI108" s="82" t="str">
        <f t="shared" si="6"/>
        <v/>
      </c>
      <c r="AJ108" s="82" t="str">
        <f t="shared" ref="AJ108:BO108" si="7">IF(ISNUMBER(outYear),AI108,"")</f>
        <v/>
      </c>
      <c r="AK108" s="82" t="str">
        <f t="shared" si="7"/>
        <v/>
      </c>
      <c r="AL108" s="82" t="str">
        <f t="shared" si="7"/>
        <v/>
      </c>
      <c r="AM108" s="82" t="str">
        <f t="shared" si="7"/>
        <v/>
      </c>
      <c r="AN108" s="82" t="str">
        <f t="shared" si="7"/>
        <v/>
      </c>
      <c r="AO108" s="82" t="str">
        <f t="shared" si="7"/>
        <v/>
      </c>
      <c r="AP108" s="82" t="str">
        <f t="shared" si="7"/>
        <v/>
      </c>
      <c r="AQ108" s="82" t="str">
        <f t="shared" si="7"/>
        <v/>
      </c>
      <c r="AR108" s="82" t="str">
        <f t="shared" si="7"/>
        <v/>
      </c>
      <c r="AS108" s="82" t="str">
        <f t="shared" si="7"/>
        <v/>
      </c>
      <c r="AT108" s="82" t="str">
        <f t="shared" si="7"/>
        <v/>
      </c>
      <c r="AU108" s="82" t="str">
        <f t="shared" si="7"/>
        <v/>
      </c>
      <c r="AV108" s="82" t="str">
        <f t="shared" si="7"/>
        <v/>
      </c>
      <c r="AW108" s="82" t="str">
        <f t="shared" si="7"/>
        <v/>
      </c>
      <c r="AX108" s="82" t="str">
        <f t="shared" si="7"/>
        <v/>
      </c>
      <c r="AY108" s="82" t="str">
        <f t="shared" si="7"/>
        <v/>
      </c>
      <c r="AZ108" s="82" t="str">
        <f t="shared" si="7"/>
        <v/>
      </c>
      <c r="BA108" s="82" t="str">
        <f t="shared" si="7"/>
        <v/>
      </c>
      <c r="BB108" s="82" t="str">
        <f t="shared" si="7"/>
        <v/>
      </c>
      <c r="BC108" s="82" t="str">
        <f t="shared" si="7"/>
        <v/>
      </c>
      <c r="BD108" s="82" t="str">
        <f t="shared" si="7"/>
        <v/>
      </c>
      <c r="BE108" s="82" t="str">
        <f t="shared" si="7"/>
        <v/>
      </c>
      <c r="BF108" s="82" t="str">
        <f t="shared" si="7"/>
        <v/>
      </c>
      <c r="BG108" s="82" t="str">
        <f t="shared" si="7"/>
        <v/>
      </c>
      <c r="BH108" s="82" t="str">
        <f t="shared" si="7"/>
        <v/>
      </c>
      <c r="BI108" s="82" t="str">
        <f t="shared" si="7"/>
        <v/>
      </c>
      <c r="BJ108" s="82" t="str">
        <f t="shared" si="7"/>
        <v/>
      </c>
      <c r="BK108" s="82" t="str">
        <f t="shared" si="7"/>
        <v/>
      </c>
      <c r="BL108" s="82" t="str">
        <f t="shared" si="7"/>
        <v/>
      </c>
      <c r="BM108" s="82" t="str">
        <f t="shared" si="7"/>
        <v/>
      </c>
      <c r="BN108" s="82" t="str">
        <f t="shared" si="7"/>
        <v/>
      </c>
      <c r="BO108" s="82" t="str">
        <f t="shared" si="7"/>
        <v/>
      </c>
      <c r="BP108" s="82" t="str">
        <f t="shared" ref="BP108:CX108" si="8">IF(ISNUMBER(outYear),BO108,"")</f>
        <v/>
      </c>
      <c r="BQ108" s="82" t="str">
        <f t="shared" si="8"/>
        <v/>
      </c>
      <c r="BR108" s="82" t="str">
        <f t="shared" si="8"/>
        <v/>
      </c>
      <c r="BS108" s="82" t="str">
        <f t="shared" si="8"/>
        <v/>
      </c>
      <c r="BT108" s="82" t="str">
        <f t="shared" si="8"/>
        <v/>
      </c>
      <c r="BU108" s="82" t="str">
        <f t="shared" si="8"/>
        <v/>
      </c>
      <c r="BV108" s="82" t="str">
        <f t="shared" si="8"/>
        <v/>
      </c>
      <c r="BW108" s="82" t="str">
        <f t="shared" si="8"/>
        <v/>
      </c>
      <c r="BX108" s="82" t="str">
        <f t="shared" si="8"/>
        <v/>
      </c>
      <c r="BY108" s="82" t="str">
        <f t="shared" si="8"/>
        <v/>
      </c>
      <c r="BZ108" s="82" t="str">
        <f t="shared" si="8"/>
        <v/>
      </c>
      <c r="CA108" s="82" t="str">
        <f t="shared" si="8"/>
        <v/>
      </c>
      <c r="CB108" s="82" t="str">
        <f t="shared" si="8"/>
        <v/>
      </c>
      <c r="CC108" s="82" t="str">
        <f t="shared" si="8"/>
        <v/>
      </c>
      <c r="CD108" s="82" t="str">
        <f t="shared" si="8"/>
        <v/>
      </c>
      <c r="CE108" s="82" t="str">
        <f t="shared" si="8"/>
        <v/>
      </c>
      <c r="CF108" s="82" t="str">
        <f t="shared" si="8"/>
        <v/>
      </c>
      <c r="CG108" s="82" t="str">
        <f t="shared" si="8"/>
        <v/>
      </c>
      <c r="CH108" s="82" t="str">
        <f t="shared" si="8"/>
        <v/>
      </c>
      <c r="CI108" s="82" t="str">
        <f t="shared" si="8"/>
        <v/>
      </c>
      <c r="CJ108" s="82" t="str">
        <f t="shared" si="8"/>
        <v/>
      </c>
      <c r="CK108" s="82" t="str">
        <f t="shared" si="8"/>
        <v/>
      </c>
      <c r="CL108" s="82" t="str">
        <f t="shared" si="8"/>
        <v/>
      </c>
      <c r="CM108" s="82" t="str">
        <f t="shared" si="8"/>
        <v/>
      </c>
      <c r="CN108" s="82" t="str">
        <f t="shared" si="8"/>
        <v/>
      </c>
      <c r="CO108" s="82" t="str">
        <f t="shared" si="8"/>
        <v/>
      </c>
      <c r="CP108" s="82" t="str">
        <f t="shared" si="8"/>
        <v/>
      </c>
      <c r="CQ108" s="82" t="str">
        <f t="shared" si="8"/>
        <v/>
      </c>
      <c r="CR108" s="82" t="str">
        <f t="shared" si="8"/>
        <v/>
      </c>
      <c r="CS108" s="82" t="str">
        <f t="shared" si="8"/>
        <v/>
      </c>
      <c r="CT108" s="82" t="str">
        <f t="shared" si="8"/>
        <v/>
      </c>
      <c r="CU108" s="82" t="str">
        <f t="shared" si="8"/>
        <v/>
      </c>
      <c r="CV108" s="82" t="str">
        <f t="shared" si="8"/>
        <v/>
      </c>
      <c r="CW108" s="82" t="str">
        <f t="shared" si="8"/>
        <v/>
      </c>
      <c r="CX108" s="82" t="str">
        <f t="shared" si="8"/>
        <v/>
      </c>
    </row>
    <row r="109" spans="1:102" ht="12.75" customHeight="1" x14ac:dyDescent="0.3">
      <c r="A109" s="79" t="s">
        <v>96</v>
      </c>
      <c r="B109" s="80"/>
      <c r="C109" s="129">
        <f>B18</f>
        <v>0</v>
      </c>
      <c r="D109" s="82">
        <f t="shared" ref="D109:AI109" si="9">IF(ISNUMBER(outYear),C109,"")</f>
        <v>0</v>
      </c>
      <c r="E109" s="82">
        <f t="shared" si="9"/>
        <v>0</v>
      </c>
      <c r="F109" s="82">
        <f t="shared" si="9"/>
        <v>0</v>
      </c>
      <c r="G109" s="82">
        <f t="shared" si="9"/>
        <v>0</v>
      </c>
      <c r="H109" s="82">
        <f t="shared" si="9"/>
        <v>0</v>
      </c>
      <c r="I109" s="82">
        <f t="shared" si="9"/>
        <v>0</v>
      </c>
      <c r="J109" s="82">
        <f t="shared" si="9"/>
        <v>0</v>
      </c>
      <c r="K109" s="82">
        <f t="shared" si="9"/>
        <v>0</v>
      </c>
      <c r="L109" s="82">
        <f t="shared" si="9"/>
        <v>0</v>
      </c>
      <c r="M109" s="82">
        <f t="shared" si="9"/>
        <v>0</v>
      </c>
      <c r="N109" s="82">
        <f t="shared" si="9"/>
        <v>0</v>
      </c>
      <c r="O109" s="82">
        <f t="shared" si="9"/>
        <v>0</v>
      </c>
      <c r="P109" s="82">
        <f t="shared" si="9"/>
        <v>0</v>
      </c>
      <c r="Q109" s="82">
        <f t="shared" si="9"/>
        <v>0</v>
      </c>
      <c r="R109" s="82">
        <f t="shared" si="9"/>
        <v>0</v>
      </c>
      <c r="S109" s="82">
        <f t="shared" si="9"/>
        <v>0</v>
      </c>
      <c r="T109" s="82">
        <f t="shared" si="9"/>
        <v>0</v>
      </c>
      <c r="U109" s="82">
        <f t="shared" si="9"/>
        <v>0</v>
      </c>
      <c r="V109" s="82">
        <f t="shared" si="9"/>
        <v>0</v>
      </c>
      <c r="W109" s="82" t="str">
        <f t="shared" si="9"/>
        <v/>
      </c>
      <c r="X109" s="82" t="str">
        <f t="shared" si="9"/>
        <v/>
      </c>
      <c r="Y109" s="82" t="str">
        <f t="shared" si="9"/>
        <v/>
      </c>
      <c r="Z109" s="82" t="str">
        <f t="shared" si="9"/>
        <v/>
      </c>
      <c r="AA109" s="82" t="str">
        <f t="shared" si="9"/>
        <v/>
      </c>
      <c r="AB109" s="82" t="str">
        <f t="shared" si="9"/>
        <v/>
      </c>
      <c r="AC109" s="82" t="str">
        <f t="shared" si="9"/>
        <v/>
      </c>
      <c r="AD109" s="82" t="str">
        <f t="shared" si="9"/>
        <v/>
      </c>
      <c r="AE109" s="82" t="str">
        <f t="shared" si="9"/>
        <v/>
      </c>
      <c r="AF109" s="82" t="str">
        <f t="shared" si="9"/>
        <v/>
      </c>
      <c r="AG109" s="82" t="str">
        <f t="shared" si="9"/>
        <v/>
      </c>
      <c r="AH109" s="82" t="str">
        <f t="shared" si="9"/>
        <v/>
      </c>
      <c r="AI109" s="82" t="str">
        <f t="shared" si="9"/>
        <v/>
      </c>
      <c r="AJ109" s="82" t="str">
        <f t="shared" ref="AJ109:BO109" si="10">IF(ISNUMBER(outYear),AI109,"")</f>
        <v/>
      </c>
      <c r="AK109" s="82" t="str">
        <f t="shared" si="10"/>
        <v/>
      </c>
      <c r="AL109" s="82" t="str">
        <f t="shared" si="10"/>
        <v/>
      </c>
      <c r="AM109" s="82" t="str">
        <f t="shared" si="10"/>
        <v/>
      </c>
      <c r="AN109" s="82" t="str">
        <f t="shared" si="10"/>
        <v/>
      </c>
      <c r="AO109" s="82" t="str">
        <f t="shared" si="10"/>
        <v/>
      </c>
      <c r="AP109" s="82" t="str">
        <f t="shared" si="10"/>
        <v/>
      </c>
      <c r="AQ109" s="82" t="str">
        <f t="shared" si="10"/>
        <v/>
      </c>
      <c r="AR109" s="82" t="str">
        <f t="shared" si="10"/>
        <v/>
      </c>
      <c r="AS109" s="82" t="str">
        <f t="shared" si="10"/>
        <v/>
      </c>
      <c r="AT109" s="82" t="str">
        <f t="shared" si="10"/>
        <v/>
      </c>
      <c r="AU109" s="82" t="str">
        <f t="shared" si="10"/>
        <v/>
      </c>
      <c r="AV109" s="82" t="str">
        <f t="shared" si="10"/>
        <v/>
      </c>
      <c r="AW109" s="82" t="str">
        <f t="shared" si="10"/>
        <v/>
      </c>
      <c r="AX109" s="82" t="str">
        <f t="shared" si="10"/>
        <v/>
      </c>
      <c r="AY109" s="82" t="str">
        <f t="shared" si="10"/>
        <v/>
      </c>
      <c r="AZ109" s="82" t="str">
        <f t="shared" si="10"/>
        <v/>
      </c>
      <c r="BA109" s="82" t="str">
        <f t="shared" si="10"/>
        <v/>
      </c>
      <c r="BB109" s="82" t="str">
        <f t="shared" si="10"/>
        <v/>
      </c>
      <c r="BC109" s="82" t="str">
        <f t="shared" si="10"/>
        <v/>
      </c>
      <c r="BD109" s="82" t="str">
        <f t="shared" si="10"/>
        <v/>
      </c>
      <c r="BE109" s="82" t="str">
        <f t="shared" si="10"/>
        <v/>
      </c>
      <c r="BF109" s="82" t="str">
        <f t="shared" si="10"/>
        <v/>
      </c>
      <c r="BG109" s="82" t="str">
        <f t="shared" si="10"/>
        <v/>
      </c>
      <c r="BH109" s="82" t="str">
        <f t="shared" si="10"/>
        <v/>
      </c>
      <c r="BI109" s="82" t="str">
        <f t="shared" si="10"/>
        <v/>
      </c>
      <c r="BJ109" s="82" t="str">
        <f t="shared" si="10"/>
        <v/>
      </c>
      <c r="BK109" s="82" t="str">
        <f t="shared" si="10"/>
        <v/>
      </c>
      <c r="BL109" s="82" t="str">
        <f t="shared" si="10"/>
        <v/>
      </c>
      <c r="BM109" s="82" t="str">
        <f t="shared" si="10"/>
        <v/>
      </c>
      <c r="BN109" s="82" t="str">
        <f t="shared" si="10"/>
        <v/>
      </c>
      <c r="BO109" s="82" t="str">
        <f t="shared" si="10"/>
        <v/>
      </c>
      <c r="BP109" s="82" t="str">
        <f t="shared" ref="BP109:CX109" si="11">IF(ISNUMBER(outYear),BO109,"")</f>
        <v/>
      </c>
      <c r="BQ109" s="82" t="str">
        <f t="shared" si="11"/>
        <v/>
      </c>
      <c r="BR109" s="82" t="str">
        <f t="shared" si="11"/>
        <v/>
      </c>
      <c r="BS109" s="82" t="str">
        <f t="shared" si="11"/>
        <v/>
      </c>
      <c r="BT109" s="82" t="str">
        <f t="shared" si="11"/>
        <v/>
      </c>
      <c r="BU109" s="82" t="str">
        <f t="shared" si="11"/>
        <v/>
      </c>
      <c r="BV109" s="82" t="str">
        <f t="shared" si="11"/>
        <v/>
      </c>
      <c r="BW109" s="82" t="str">
        <f t="shared" si="11"/>
        <v/>
      </c>
      <c r="BX109" s="82" t="str">
        <f t="shared" si="11"/>
        <v/>
      </c>
      <c r="BY109" s="82" t="str">
        <f t="shared" si="11"/>
        <v/>
      </c>
      <c r="BZ109" s="82" t="str">
        <f t="shared" si="11"/>
        <v/>
      </c>
      <c r="CA109" s="82" t="str">
        <f t="shared" si="11"/>
        <v/>
      </c>
      <c r="CB109" s="82" t="str">
        <f t="shared" si="11"/>
        <v/>
      </c>
      <c r="CC109" s="82" t="str">
        <f t="shared" si="11"/>
        <v/>
      </c>
      <c r="CD109" s="82" t="str">
        <f t="shared" si="11"/>
        <v/>
      </c>
      <c r="CE109" s="82" t="str">
        <f t="shared" si="11"/>
        <v/>
      </c>
      <c r="CF109" s="82" t="str">
        <f t="shared" si="11"/>
        <v/>
      </c>
      <c r="CG109" s="82" t="str">
        <f t="shared" si="11"/>
        <v/>
      </c>
      <c r="CH109" s="82" t="str">
        <f t="shared" si="11"/>
        <v/>
      </c>
      <c r="CI109" s="82" t="str">
        <f t="shared" si="11"/>
        <v/>
      </c>
      <c r="CJ109" s="82" t="str">
        <f t="shared" si="11"/>
        <v/>
      </c>
      <c r="CK109" s="82" t="str">
        <f t="shared" si="11"/>
        <v/>
      </c>
      <c r="CL109" s="82" t="str">
        <f t="shared" si="11"/>
        <v/>
      </c>
      <c r="CM109" s="82" t="str">
        <f t="shared" si="11"/>
        <v/>
      </c>
      <c r="CN109" s="82" t="str">
        <f t="shared" si="11"/>
        <v/>
      </c>
      <c r="CO109" s="82" t="str">
        <f t="shared" si="11"/>
        <v/>
      </c>
      <c r="CP109" s="82" t="str">
        <f t="shared" si="11"/>
        <v/>
      </c>
      <c r="CQ109" s="82" t="str">
        <f t="shared" si="11"/>
        <v/>
      </c>
      <c r="CR109" s="82" t="str">
        <f t="shared" si="11"/>
        <v/>
      </c>
      <c r="CS109" s="82" t="str">
        <f t="shared" si="11"/>
        <v/>
      </c>
      <c r="CT109" s="82" t="str">
        <f t="shared" si="11"/>
        <v/>
      </c>
      <c r="CU109" s="82" t="str">
        <f t="shared" si="11"/>
        <v/>
      </c>
      <c r="CV109" s="82" t="str">
        <f t="shared" si="11"/>
        <v/>
      </c>
      <c r="CW109" s="82" t="str">
        <f t="shared" si="11"/>
        <v/>
      </c>
      <c r="CX109" s="82" t="str">
        <f t="shared" si="11"/>
        <v/>
      </c>
    </row>
    <row r="110" spans="1:102" ht="12.75" customHeight="1" x14ac:dyDescent="0.3">
      <c r="A110" s="79" t="s">
        <v>97</v>
      </c>
      <c r="B110" s="80"/>
      <c r="C110" s="81">
        <f>$B$13</f>
        <v>11649.73</v>
      </c>
      <c r="D110" s="82">
        <f t="shared" ref="D110:AH110" si="12">IF(ISNUMBER(outYear),$B$13*(1+escalation_rate_nominal/100)^D105,"")</f>
        <v>12263.391177479998</v>
      </c>
      <c r="E110" s="82">
        <f t="shared" si="12"/>
        <v>12582.239348094481</v>
      </c>
      <c r="F110" s="82">
        <f t="shared" si="12"/>
        <v>12909.377571144936</v>
      </c>
      <c r="G110" s="82">
        <f t="shared" si="12"/>
        <v>13245.021387994704</v>
      </c>
      <c r="H110" s="82">
        <f t="shared" si="12"/>
        <v>13589.391944082565</v>
      </c>
      <c r="I110" s="82">
        <f t="shared" si="12"/>
        <v>13942.716134628714</v>
      </c>
      <c r="J110" s="82">
        <f t="shared" si="12"/>
        <v>14305.226754129057</v>
      </c>
      <c r="K110" s="82">
        <f t="shared" si="12"/>
        <v>14677.162649736412</v>
      </c>
      <c r="L110" s="82">
        <f t="shared" si="12"/>
        <v>15058.768878629558</v>
      </c>
      <c r="M110" s="82">
        <f t="shared" si="12"/>
        <v>15450.296869473928</v>
      </c>
      <c r="N110" s="82">
        <f t="shared" si="12"/>
        <v>15852.004588080248</v>
      </c>
      <c r="O110" s="82">
        <f t="shared" si="12"/>
        <v>16264.156707370337</v>
      </c>
      <c r="P110" s="82">
        <f t="shared" si="12"/>
        <v>16687.024781761964</v>
      </c>
      <c r="Q110" s="82">
        <f t="shared" si="12"/>
        <v>17120.887426087775</v>
      </c>
      <c r="R110" s="82">
        <f t="shared" si="12"/>
        <v>17566.030499166056</v>
      </c>
      <c r="S110" s="82">
        <f t="shared" si="12"/>
        <v>18022.747292144373</v>
      </c>
      <c r="T110" s="82">
        <f t="shared" si="12"/>
        <v>18491.338721740125</v>
      </c>
      <c r="U110" s="82">
        <f t="shared" si="12"/>
        <v>18972.113528505372</v>
      </c>
      <c r="V110" s="82">
        <f t="shared" si="12"/>
        <v>19465.388480246511</v>
      </c>
      <c r="W110" s="82" t="str">
        <f t="shared" si="12"/>
        <v/>
      </c>
      <c r="X110" s="82" t="str">
        <f t="shared" si="12"/>
        <v/>
      </c>
      <c r="Y110" s="82" t="str">
        <f t="shared" si="12"/>
        <v/>
      </c>
      <c r="Z110" s="82" t="str">
        <f t="shared" si="12"/>
        <v/>
      </c>
      <c r="AA110" s="82" t="str">
        <f t="shared" si="12"/>
        <v/>
      </c>
      <c r="AB110" s="82" t="str">
        <f t="shared" si="12"/>
        <v/>
      </c>
      <c r="AC110" s="82" t="str">
        <f t="shared" si="12"/>
        <v/>
      </c>
      <c r="AD110" s="82" t="str">
        <f t="shared" si="12"/>
        <v/>
      </c>
      <c r="AE110" s="82" t="str">
        <f t="shared" si="12"/>
        <v/>
      </c>
      <c r="AF110" s="82" t="str">
        <f t="shared" si="12"/>
        <v/>
      </c>
      <c r="AG110" s="82" t="str">
        <f t="shared" si="12"/>
        <v/>
      </c>
      <c r="AH110" s="82" t="str">
        <f t="shared" si="12"/>
        <v/>
      </c>
      <c r="AI110" s="82" t="str">
        <f t="shared" ref="AI110:BN110" si="13">IF(ISNUMBER(outYear),$B$13*(1+escalation_rate_nominal/100)^AI105,"")</f>
        <v/>
      </c>
      <c r="AJ110" s="82" t="str">
        <f t="shared" si="13"/>
        <v/>
      </c>
      <c r="AK110" s="82" t="str">
        <f t="shared" si="13"/>
        <v/>
      </c>
      <c r="AL110" s="82" t="str">
        <f t="shared" si="13"/>
        <v/>
      </c>
      <c r="AM110" s="82" t="str">
        <f t="shared" si="13"/>
        <v/>
      </c>
      <c r="AN110" s="82" t="str">
        <f t="shared" si="13"/>
        <v/>
      </c>
      <c r="AO110" s="82" t="str">
        <f t="shared" si="13"/>
        <v/>
      </c>
      <c r="AP110" s="82" t="str">
        <f t="shared" si="13"/>
        <v/>
      </c>
      <c r="AQ110" s="82" t="str">
        <f t="shared" si="13"/>
        <v/>
      </c>
      <c r="AR110" s="82" t="str">
        <f t="shared" si="13"/>
        <v/>
      </c>
      <c r="AS110" s="82" t="str">
        <f t="shared" si="13"/>
        <v/>
      </c>
      <c r="AT110" s="82" t="str">
        <f t="shared" si="13"/>
        <v/>
      </c>
      <c r="AU110" s="82" t="str">
        <f t="shared" si="13"/>
        <v/>
      </c>
      <c r="AV110" s="82" t="str">
        <f t="shared" si="13"/>
        <v/>
      </c>
      <c r="AW110" s="82" t="str">
        <f t="shared" si="13"/>
        <v/>
      </c>
      <c r="AX110" s="82" t="str">
        <f t="shared" si="13"/>
        <v/>
      </c>
      <c r="AY110" s="82" t="str">
        <f t="shared" si="13"/>
        <v/>
      </c>
      <c r="AZ110" s="82" t="str">
        <f t="shared" si="13"/>
        <v/>
      </c>
      <c r="BA110" s="82" t="str">
        <f t="shared" si="13"/>
        <v/>
      </c>
      <c r="BB110" s="82" t="str">
        <f t="shared" si="13"/>
        <v/>
      </c>
      <c r="BC110" s="82" t="str">
        <f t="shared" si="13"/>
        <v/>
      </c>
      <c r="BD110" s="82" t="str">
        <f t="shared" si="13"/>
        <v/>
      </c>
      <c r="BE110" s="82" t="str">
        <f t="shared" si="13"/>
        <v/>
      </c>
      <c r="BF110" s="82" t="str">
        <f t="shared" si="13"/>
        <v/>
      </c>
      <c r="BG110" s="82" t="str">
        <f t="shared" si="13"/>
        <v/>
      </c>
      <c r="BH110" s="82" t="str">
        <f t="shared" si="13"/>
        <v/>
      </c>
      <c r="BI110" s="82" t="str">
        <f t="shared" si="13"/>
        <v/>
      </c>
      <c r="BJ110" s="82" t="str">
        <f t="shared" si="13"/>
        <v/>
      </c>
      <c r="BK110" s="82" t="str">
        <f t="shared" si="13"/>
        <v/>
      </c>
      <c r="BL110" s="82" t="str">
        <f t="shared" si="13"/>
        <v/>
      </c>
      <c r="BM110" s="82" t="str">
        <f t="shared" si="13"/>
        <v/>
      </c>
      <c r="BN110" s="82" t="str">
        <f t="shared" si="13"/>
        <v/>
      </c>
      <c r="BO110" s="82" t="str">
        <f t="shared" ref="BO110:CX110" si="14">IF(ISNUMBER(outYear),$B$13*(1+escalation_rate_nominal/100)^BO105,"")</f>
        <v/>
      </c>
      <c r="BP110" s="82" t="str">
        <f t="shared" si="14"/>
        <v/>
      </c>
      <c r="BQ110" s="82" t="str">
        <f t="shared" si="14"/>
        <v/>
      </c>
      <c r="BR110" s="82" t="str">
        <f t="shared" si="14"/>
        <v/>
      </c>
      <c r="BS110" s="82" t="str">
        <f t="shared" si="14"/>
        <v/>
      </c>
      <c r="BT110" s="82" t="str">
        <f t="shared" si="14"/>
        <v/>
      </c>
      <c r="BU110" s="82" t="str">
        <f t="shared" si="14"/>
        <v/>
      </c>
      <c r="BV110" s="82" t="str">
        <f t="shared" si="14"/>
        <v/>
      </c>
      <c r="BW110" s="82" t="str">
        <f t="shared" si="14"/>
        <v/>
      </c>
      <c r="BX110" s="82" t="str">
        <f t="shared" si="14"/>
        <v/>
      </c>
      <c r="BY110" s="82" t="str">
        <f t="shared" si="14"/>
        <v/>
      </c>
      <c r="BZ110" s="82" t="str">
        <f t="shared" si="14"/>
        <v/>
      </c>
      <c r="CA110" s="82" t="str">
        <f t="shared" si="14"/>
        <v/>
      </c>
      <c r="CB110" s="82" t="str">
        <f t="shared" si="14"/>
        <v/>
      </c>
      <c r="CC110" s="82" t="str">
        <f t="shared" si="14"/>
        <v/>
      </c>
      <c r="CD110" s="82" t="str">
        <f t="shared" si="14"/>
        <v/>
      </c>
      <c r="CE110" s="82" t="str">
        <f t="shared" si="14"/>
        <v/>
      </c>
      <c r="CF110" s="82" t="str">
        <f t="shared" si="14"/>
        <v/>
      </c>
      <c r="CG110" s="82" t="str">
        <f t="shared" si="14"/>
        <v/>
      </c>
      <c r="CH110" s="82" t="str">
        <f t="shared" si="14"/>
        <v/>
      </c>
      <c r="CI110" s="82" t="str">
        <f t="shared" si="14"/>
        <v/>
      </c>
      <c r="CJ110" s="82" t="str">
        <f t="shared" si="14"/>
        <v/>
      </c>
      <c r="CK110" s="82" t="str">
        <f t="shared" si="14"/>
        <v/>
      </c>
      <c r="CL110" s="82" t="str">
        <f t="shared" si="14"/>
        <v/>
      </c>
      <c r="CM110" s="82" t="str">
        <f t="shared" si="14"/>
        <v/>
      </c>
      <c r="CN110" s="82" t="str">
        <f t="shared" si="14"/>
        <v/>
      </c>
      <c r="CO110" s="82" t="str">
        <f t="shared" si="14"/>
        <v/>
      </c>
      <c r="CP110" s="82" t="str">
        <f t="shared" si="14"/>
        <v/>
      </c>
      <c r="CQ110" s="82" t="str">
        <f t="shared" si="14"/>
        <v/>
      </c>
      <c r="CR110" s="82" t="str">
        <f t="shared" si="14"/>
        <v/>
      </c>
      <c r="CS110" s="82" t="str">
        <f t="shared" si="14"/>
        <v/>
      </c>
      <c r="CT110" s="82" t="str">
        <f t="shared" si="14"/>
        <v/>
      </c>
      <c r="CU110" s="82" t="str">
        <f t="shared" si="14"/>
        <v/>
      </c>
      <c r="CV110" s="82" t="str">
        <f t="shared" si="14"/>
        <v/>
      </c>
      <c r="CW110" s="82" t="str">
        <f t="shared" si="14"/>
        <v/>
      </c>
      <c r="CX110" s="82" t="str">
        <f t="shared" si="14"/>
        <v/>
      </c>
    </row>
    <row r="111" spans="1:102" x14ac:dyDescent="0.3">
      <c r="A111" s="79" t="s">
        <v>98</v>
      </c>
      <c r="B111" s="80"/>
      <c r="C111" s="81">
        <f>$B$14</f>
        <v>8423.2900000000009</v>
      </c>
      <c r="D111" s="82">
        <f t="shared" ref="D111:AH111" si="15">IF(ISNUMBER(outYear),$B$14*(1+escalation_rate_nominal/100)^D105,"")</f>
        <v>8866.9952240399998</v>
      </c>
      <c r="E111" s="82">
        <f t="shared" si="15"/>
        <v>9097.5370998650415</v>
      </c>
      <c r="F111" s="82">
        <f t="shared" si="15"/>
        <v>9334.0730644615323</v>
      </c>
      <c r="G111" s="82">
        <f t="shared" si="15"/>
        <v>9576.7589641375325</v>
      </c>
      <c r="H111" s="82">
        <f t="shared" si="15"/>
        <v>9825.7546972051077</v>
      </c>
      <c r="I111" s="82">
        <f t="shared" si="15"/>
        <v>10081.224319332441</v>
      </c>
      <c r="J111" s="82">
        <f t="shared" si="15"/>
        <v>10343.336151635081</v>
      </c>
      <c r="K111" s="82">
        <f t="shared" si="15"/>
        <v>10612.262891577595</v>
      </c>
      <c r="L111" s="82">
        <f t="shared" si="15"/>
        <v>10888.181726758612</v>
      </c>
      <c r="M111" s="82">
        <f t="shared" si="15"/>
        <v>11171.274451654335</v>
      </c>
      <c r="N111" s="82">
        <f t="shared" si="15"/>
        <v>11461.727587397347</v>
      </c>
      <c r="O111" s="82">
        <f t="shared" si="15"/>
        <v>11759.732504669679</v>
      </c>
      <c r="P111" s="82">
        <f t="shared" si="15"/>
        <v>12065.48554979109</v>
      </c>
      <c r="Q111" s="82">
        <f t="shared" si="15"/>
        <v>12379.188174085659</v>
      </c>
      <c r="R111" s="82">
        <f t="shared" si="15"/>
        <v>12701.047066611885</v>
      </c>
      <c r="S111" s="82">
        <f t="shared" si="15"/>
        <v>13031.274290343794</v>
      </c>
      <c r="T111" s="82">
        <f t="shared" si="15"/>
        <v>13370.087421892731</v>
      </c>
      <c r="U111" s="82">
        <f t="shared" si="15"/>
        <v>13717.709694861946</v>
      </c>
      <c r="V111" s="82">
        <f t="shared" si="15"/>
        <v>14074.370146928353</v>
      </c>
      <c r="W111" s="82" t="str">
        <f t="shared" si="15"/>
        <v/>
      </c>
      <c r="X111" s="82" t="str">
        <f t="shared" si="15"/>
        <v/>
      </c>
      <c r="Y111" s="82" t="str">
        <f t="shared" si="15"/>
        <v/>
      </c>
      <c r="Z111" s="82" t="str">
        <f t="shared" si="15"/>
        <v/>
      </c>
      <c r="AA111" s="82" t="str">
        <f t="shared" si="15"/>
        <v/>
      </c>
      <c r="AB111" s="82" t="str">
        <f t="shared" si="15"/>
        <v/>
      </c>
      <c r="AC111" s="82" t="str">
        <f t="shared" si="15"/>
        <v/>
      </c>
      <c r="AD111" s="82" t="str">
        <f t="shared" si="15"/>
        <v/>
      </c>
      <c r="AE111" s="82" t="str">
        <f t="shared" si="15"/>
        <v/>
      </c>
      <c r="AF111" s="82" t="str">
        <f t="shared" si="15"/>
        <v/>
      </c>
      <c r="AG111" s="82" t="str">
        <f t="shared" si="15"/>
        <v/>
      </c>
      <c r="AH111" s="82" t="str">
        <f t="shared" si="15"/>
        <v/>
      </c>
      <c r="AI111" s="82" t="str">
        <f t="shared" ref="AI111:BN111" si="16">IF(ISNUMBER(outYear),$B$14*(1+escalation_rate_nominal/100)^AI105,"")</f>
        <v/>
      </c>
      <c r="AJ111" s="82" t="str">
        <f t="shared" si="16"/>
        <v/>
      </c>
      <c r="AK111" s="82" t="str">
        <f t="shared" si="16"/>
        <v/>
      </c>
      <c r="AL111" s="82" t="str">
        <f t="shared" si="16"/>
        <v/>
      </c>
      <c r="AM111" s="82" t="str">
        <f t="shared" si="16"/>
        <v/>
      </c>
      <c r="AN111" s="82" t="str">
        <f t="shared" si="16"/>
        <v/>
      </c>
      <c r="AO111" s="82" t="str">
        <f t="shared" si="16"/>
        <v/>
      </c>
      <c r="AP111" s="82" t="str">
        <f t="shared" si="16"/>
        <v/>
      </c>
      <c r="AQ111" s="82" t="str">
        <f t="shared" si="16"/>
        <v/>
      </c>
      <c r="AR111" s="82" t="str">
        <f t="shared" si="16"/>
        <v/>
      </c>
      <c r="AS111" s="82" t="str">
        <f t="shared" si="16"/>
        <v/>
      </c>
      <c r="AT111" s="82" t="str">
        <f t="shared" si="16"/>
        <v/>
      </c>
      <c r="AU111" s="82" t="str">
        <f t="shared" si="16"/>
        <v/>
      </c>
      <c r="AV111" s="82" t="str">
        <f t="shared" si="16"/>
        <v/>
      </c>
      <c r="AW111" s="82" t="str">
        <f t="shared" si="16"/>
        <v/>
      </c>
      <c r="AX111" s="82" t="str">
        <f t="shared" si="16"/>
        <v/>
      </c>
      <c r="AY111" s="82" t="str">
        <f t="shared" si="16"/>
        <v/>
      </c>
      <c r="AZ111" s="82" t="str">
        <f t="shared" si="16"/>
        <v/>
      </c>
      <c r="BA111" s="82" t="str">
        <f t="shared" si="16"/>
        <v/>
      </c>
      <c r="BB111" s="82" t="str">
        <f t="shared" si="16"/>
        <v/>
      </c>
      <c r="BC111" s="82" t="str">
        <f t="shared" si="16"/>
        <v/>
      </c>
      <c r="BD111" s="82" t="str">
        <f t="shared" si="16"/>
        <v/>
      </c>
      <c r="BE111" s="82" t="str">
        <f t="shared" si="16"/>
        <v/>
      </c>
      <c r="BF111" s="82" t="str">
        <f t="shared" si="16"/>
        <v/>
      </c>
      <c r="BG111" s="82" t="str">
        <f t="shared" si="16"/>
        <v/>
      </c>
      <c r="BH111" s="82" t="str">
        <f t="shared" si="16"/>
        <v/>
      </c>
      <c r="BI111" s="82" t="str">
        <f t="shared" si="16"/>
        <v/>
      </c>
      <c r="BJ111" s="82" t="str">
        <f t="shared" si="16"/>
        <v/>
      </c>
      <c r="BK111" s="82" t="str">
        <f t="shared" si="16"/>
        <v/>
      </c>
      <c r="BL111" s="82" t="str">
        <f t="shared" si="16"/>
        <v/>
      </c>
      <c r="BM111" s="82" t="str">
        <f t="shared" si="16"/>
        <v/>
      </c>
      <c r="BN111" s="82" t="str">
        <f t="shared" si="16"/>
        <v/>
      </c>
      <c r="BO111" s="82" t="str">
        <f t="shared" ref="BO111:CX111" si="17">IF(ISNUMBER(outYear),$B$14*(1+escalation_rate_nominal/100)^BO105,"")</f>
        <v/>
      </c>
      <c r="BP111" s="82" t="str">
        <f t="shared" si="17"/>
        <v/>
      </c>
      <c r="BQ111" s="82" t="str">
        <f t="shared" si="17"/>
        <v/>
      </c>
      <c r="BR111" s="82" t="str">
        <f t="shared" si="17"/>
        <v/>
      </c>
      <c r="BS111" s="82" t="str">
        <f t="shared" si="17"/>
        <v/>
      </c>
      <c r="BT111" s="82" t="str">
        <f t="shared" si="17"/>
        <v/>
      </c>
      <c r="BU111" s="82" t="str">
        <f t="shared" si="17"/>
        <v/>
      </c>
      <c r="BV111" s="82" t="str">
        <f t="shared" si="17"/>
        <v/>
      </c>
      <c r="BW111" s="82" t="str">
        <f t="shared" si="17"/>
        <v/>
      </c>
      <c r="BX111" s="82" t="str">
        <f t="shared" si="17"/>
        <v/>
      </c>
      <c r="BY111" s="82" t="str">
        <f t="shared" si="17"/>
        <v/>
      </c>
      <c r="BZ111" s="82" t="str">
        <f t="shared" si="17"/>
        <v/>
      </c>
      <c r="CA111" s="82" t="str">
        <f t="shared" si="17"/>
        <v/>
      </c>
      <c r="CB111" s="82" t="str">
        <f t="shared" si="17"/>
        <v/>
      </c>
      <c r="CC111" s="82" t="str">
        <f t="shared" si="17"/>
        <v/>
      </c>
      <c r="CD111" s="82" t="str">
        <f t="shared" si="17"/>
        <v/>
      </c>
      <c r="CE111" s="82" t="str">
        <f t="shared" si="17"/>
        <v/>
      </c>
      <c r="CF111" s="82" t="str">
        <f t="shared" si="17"/>
        <v/>
      </c>
      <c r="CG111" s="82" t="str">
        <f t="shared" si="17"/>
        <v/>
      </c>
      <c r="CH111" s="82" t="str">
        <f t="shared" si="17"/>
        <v/>
      </c>
      <c r="CI111" s="82" t="str">
        <f t="shared" si="17"/>
        <v/>
      </c>
      <c r="CJ111" s="82" t="str">
        <f t="shared" si="17"/>
        <v/>
      </c>
      <c r="CK111" s="82" t="str">
        <f t="shared" si="17"/>
        <v/>
      </c>
      <c r="CL111" s="82" t="str">
        <f t="shared" si="17"/>
        <v/>
      </c>
      <c r="CM111" s="82" t="str">
        <f t="shared" si="17"/>
        <v/>
      </c>
      <c r="CN111" s="82" t="str">
        <f t="shared" si="17"/>
        <v/>
      </c>
      <c r="CO111" s="82" t="str">
        <f t="shared" si="17"/>
        <v/>
      </c>
      <c r="CP111" s="82" t="str">
        <f t="shared" si="17"/>
        <v/>
      </c>
      <c r="CQ111" s="82" t="str">
        <f t="shared" si="17"/>
        <v/>
      </c>
      <c r="CR111" s="82" t="str">
        <f t="shared" si="17"/>
        <v/>
      </c>
      <c r="CS111" s="82" t="str">
        <f t="shared" si="17"/>
        <v/>
      </c>
      <c r="CT111" s="82" t="str">
        <f t="shared" si="17"/>
        <v/>
      </c>
      <c r="CU111" s="82" t="str">
        <f t="shared" si="17"/>
        <v/>
      </c>
      <c r="CV111" s="82" t="str">
        <f t="shared" si="17"/>
        <v/>
      </c>
      <c r="CW111" s="82" t="str">
        <f t="shared" si="17"/>
        <v/>
      </c>
      <c r="CX111" s="82" t="str">
        <f t="shared" si="17"/>
        <v/>
      </c>
    </row>
    <row r="112" spans="1:102" x14ac:dyDescent="0.3">
      <c r="A112" s="79" t="s">
        <v>99</v>
      </c>
      <c r="B112" s="80"/>
      <c r="C112" s="81">
        <f t="shared" ref="C112:AH112" si="18">IF(ISNUMBER(outYear),$B$15*((1+escalation_rate_nominal/100)^C105)*(1-pv_degradation/100)^C105,"")</f>
        <v>0</v>
      </c>
      <c r="D112" s="82">
        <f t="shared" si="18"/>
        <v>0</v>
      </c>
      <c r="E112" s="82">
        <f t="shared" si="18"/>
        <v>0</v>
      </c>
      <c r="F112" s="82">
        <f t="shared" si="18"/>
        <v>0</v>
      </c>
      <c r="G112" s="82">
        <f t="shared" si="18"/>
        <v>0</v>
      </c>
      <c r="H112" s="82">
        <f t="shared" si="18"/>
        <v>0</v>
      </c>
      <c r="I112" s="82">
        <f t="shared" si="18"/>
        <v>0</v>
      </c>
      <c r="J112" s="82">
        <f t="shared" si="18"/>
        <v>0</v>
      </c>
      <c r="K112" s="82">
        <f t="shared" si="18"/>
        <v>0</v>
      </c>
      <c r="L112" s="82">
        <f t="shared" si="18"/>
        <v>0</v>
      </c>
      <c r="M112" s="82">
        <f t="shared" si="18"/>
        <v>0</v>
      </c>
      <c r="N112" s="82">
        <f t="shared" si="18"/>
        <v>0</v>
      </c>
      <c r="O112" s="82">
        <f t="shared" si="18"/>
        <v>0</v>
      </c>
      <c r="P112" s="82">
        <f t="shared" si="18"/>
        <v>0</v>
      </c>
      <c r="Q112" s="82">
        <f t="shared" si="18"/>
        <v>0</v>
      </c>
      <c r="R112" s="82">
        <f t="shared" si="18"/>
        <v>0</v>
      </c>
      <c r="S112" s="82">
        <f t="shared" si="18"/>
        <v>0</v>
      </c>
      <c r="T112" s="82">
        <f t="shared" si="18"/>
        <v>0</v>
      </c>
      <c r="U112" s="82">
        <f t="shared" si="18"/>
        <v>0</v>
      </c>
      <c r="V112" s="82">
        <f t="shared" si="18"/>
        <v>0</v>
      </c>
      <c r="W112" s="82" t="str">
        <f t="shared" si="18"/>
        <v/>
      </c>
      <c r="X112" s="82" t="str">
        <f t="shared" si="18"/>
        <v/>
      </c>
      <c r="Y112" s="82" t="str">
        <f t="shared" si="18"/>
        <v/>
      </c>
      <c r="Z112" s="82" t="str">
        <f t="shared" si="18"/>
        <v/>
      </c>
      <c r="AA112" s="82" t="str">
        <f t="shared" si="18"/>
        <v/>
      </c>
      <c r="AB112" s="82" t="str">
        <f t="shared" si="18"/>
        <v/>
      </c>
      <c r="AC112" s="82" t="str">
        <f t="shared" si="18"/>
        <v/>
      </c>
      <c r="AD112" s="82" t="str">
        <f t="shared" si="18"/>
        <v/>
      </c>
      <c r="AE112" s="82" t="str">
        <f t="shared" si="18"/>
        <v/>
      </c>
      <c r="AF112" s="82" t="str">
        <f t="shared" si="18"/>
        <v/>
      </c>
      <c r="AG112" s="82" t="str">
        <f t="shared" si="18"/>
        <v/>
      </c>
      <c r="AH112" s="82" t="str">
        <f t="shared" si="18"/>
        <v/>
      </c>
      <c r="AI112" s="82" t="str">
        <f t="shared" ref="AI112:BN112" si="19">IF(ISNUMBER(outYear),$B$15*((1+escalation_rate_nominal/100)^AI105)*(1-pv_degradation/100)^AI105,"")</f>
        <v/>
      </c>
      <c r="AJ112" s="82" t="str">
        <f t="shared" si="19"/>
        <v/>
      </c>
      <c r="AK112" s="82" t="str">
        <f t="shared" si="19"/>
        <v/>
      </c>
      <c r="AL112" s="82" t="str">
        <f t="shared" si="19"/>
        <v/>
      </c>
      <c r="AM112" s="82" t="str">
        <f t="shared" si="19"/>
        <v/>
      </c>
      <c r="AN112" s="82" t="str">
        <f t="shared" si="19"/>
        <v/>
      </c>
      <c r="AO112" s="82" t="str">
        <f t="shared" si="19"/>
        <v/>
      </c>
      <c r="AP112" s="82" t="str">
        <f t="shared" si="19"/>
        <v/>
      </c>
      <c r="AQ112" s="82" t="str">
        <f t="shared" si="19"/>
        <v/>
      </c>
      <c r="AR112" s="82" t="str">
        <f t="shared" si="19"/>
        <v/>
      </c>
      <c r="AS112" s="82" t="str">
        <f t="shared" si="19"/>
        <v/>
      </c>
      <c r="AT112" s="82" t="str">
        <f t="shared" si="19"/>
        <v/>
      </c>
      <c r="AU112" s="82" t="str">
        <f t="shared" si="19"/>
        <v/>
      </c>
      <c r="AV112" s="82" t="str">
        <f t="shared" si="19"/>
        <v/>
      </c>
      <c r="AW112" s="82" t="str">
        <f t="shared" si="19"/>
        <v/>
      </c>
      <c r="AX112" s="82" t="str">
        <f t="shared" si="19"/>
        <v/>
      </c>
      <c r="AY112" s="82" t="str">
        <f t="shared" si="19"/>
        <v/>
      </c>
      <c r="AZ112" s="82" t="str">
        <f t="shared" si="19"/>
        <v/>
      </c>
      <c r="BA112" s="82" t="str">
        <f t="shared" si="19"/>
        <v/>
      </c>
      <c r="BB112" s="82" t="str">
        <f t="shared" si="19"/>
        <v/>
      </c>
      <c r="BC112" s="82" t="str">
        <f t="shared" si="19"/>
        <v/>
      </c>
      <c r="BD112" s="82" t="str">
        <f t="shared" si="19"/>
        <v/>
      </c>
      <c r="BE112" s="82" t="str">
        <f t="shared" si="19"/>
        <v/>
      </c>
      <c r="BF112" s="82" t="str">
        <f t="shared" si="19"/>
        <v/>
      </c>
      <c r="BG112" s="82" t="str">
        <f t="shared" si="19"/>
        <v/>
      </c>
      <c r="BH112" s="82" t="str">
        <f t="shared" si="19"/>
        <v/>
      </c>
      <c r="BI112" s="82" t="str">
        <f t="shared" si="19"/>
        <v/>
      </c>
      <c r="BJ112" s="82" t="str">
        <f t="shared" si="19"/>
        <v/>
      </c>
      <c r="BK112" s="82" t="str">
        <f t="shared" si="19"/>
        <v/>
      </c>
      <c r="BL112" s="82" t="str">
        <f t="shared" si="19"/>
        <v/>
      </c>
      <c r="BM112" s="82" t="str">
        <f t="shared" si="19"/>
        <v/>
      </c>
      <c r="BN112" s="82" t="str">
        <f t="shared" si="19"/>
        <v/>
      </c>
      <c r="BO112" s="82" t="str">
        <f t="shared" ref="BO112:CX112" si="20">IF(ISNUMBER(outYear),$B$15*((1+escalation_rate_nominal/100)^BO105)*(1-pv_degradation/100)^BO105,"")</f>
        <v/>
      </c>
      <c r="BP112" s="82" t="str">
        <f t="shared" si="20"/>
        <v/>
      </c>
      <c r="BQ112" s="82" t="str">
        <f t="shared" si="20"/>
        <v/>
      </c>
      <c r="BR112" s="82" t="str">
        <f t="shared" si="20"/>
        <v/>
      </c>
      <c r="BS112" s="82" t="str">
        <f t="shared" si="20"/>
        <v/>
      </c>
      <c r="BT112" s="82" t="str">
        <f t="shared" si="20"/>
        <v/>
      </c>
      <c r="BU112" s="82" t="str">
        <f t="shared" si="20"/>
        <v/>
      </c>
      <c r="BV112" s="82" t="str">
        <f t="shared" si="20"/>
        <v/>
      </c>
      <c r="BW112" s="82" t="str">
        <f t="shared" si="20"/>
        <v/>
      </c>
      <c r="BX112" s="82" t="str">
        <f t="shared" si="20"/>
        <v/>
      </c>
      <c r="BY112" s="82" t="str">
        <f t="shared" si="20"/>
        <v/>
      </c>
      <c r="BZ112" s="82" t="str">
        <f t="shared" si="20"/>
        <v/>
      </c>
      <c r="CA112" s="82" t="str">
        <f t="shared" si="20"/>
        <v/>
      </c>
      <c r="CB112" s="82" t="str">
        <f t="shared" si="20"/>
        <v/>
      </c>
      <c r="CC112" s="82" t="str">
        <f t="shared" si="20"/>
        <v/>
      </c>
      <c r="CD112" s="82" t="str">
        <f t="shared" si="20"/>
        <v/>
      </c>
      <c r="CE112" s="82" t="str">
        <f t="shared" si="20"/>
        <v/>
      </c>
      <c r="CF112" s="82" t="str">
        <f t="shared" si="20"/>
        <v/>
      </c>
      <c r="CG112" s="82" t="str">
        <f t="shared" si="20"/>
        <v/>
      </c>
      <c r="CH112" s="82" t="str">
        <f t="shared" si="20"/>
        <v/>
      </c>
      <c r="CI112" s="82" t="str">
        <f t="shared" si="20"/>
        <v/>
      </c>
      <c r="CJ112" s="82" t="str">
        <f t="shared" si="20"/>
        <v/>
      </c>
      <c r="CK112" s="82" t="str">
        <f t="shared" si="20"/>
        <v/>
      </c>
      <c r="CL112" s="82" t="str">
        <f t="shared" si="20"/>
        <v/>
      </c>
      <c r="CM112" s="82" t="str">
        <f t="shared" si="20"/>
        <v/>
      </c>
      <c r="CN112" s="82" t="str">
        <f t="shared" si="20"/>
        <v/>
      </c>
      <c r="CO112" s="82" t="str">
        <f t="shared" si="20"/>
        <v/>
      </c>
      <c r="CP112" s="82" t="str">
        <f t="shared" si="20"/>
        <v/>
      </c>
      <c r="CQ112" s="82" t="str">
        <f t="shared" si="20"/>
        <v/>
      </c>
      <c r="CR112" s="82" t="str">
        <f t="shared" si="20"/>
        <v/>
      </c>
      <c r="CS112" s="82" t="str">
        <f t="shared" si="20"/>
        <v/>
      </c>
      <c r="CT112" s="82" t="str">
        <f t="shared" si="20"/>
        <v/>
      </c>
      <c r="CU112" s="82" t="str">
        <f t="shared" si="20"/>
        <v/>
      </c>
      <c r="CV112" s="82" t="str">
        <f t="shared" si="20"/>
        <v/>
      </c>
      <c r="CW112" s="82" t="str">
        <f t="shared" si="20"/>
        <v/>
      </c>
      <c r="CX112" s="82" t="str">
        <f t="shared" si="20"/>
        <v/>
      </c>
    </row>
    <row r="113" spans="1:102" x14ac:dyDescent="0.3">
      <c r="A113" s="79" t="s">
        <v>100</v>
      </c>
      <c r="B113" s="80">
        <v>0</v>
      </c>
      <c r="C113" s="81">
        <f t="shared" ref="C113:AH113" si="21">IF(C105&lt;=analysis_period,C110-(C111 + C112),"")</f>
        <v>3226.4399999999987</v>
      </c>
      <c r="D113" s="82">
        <f t="shared" si="21"/>
        <v>3396.3959534399983</v>
      </c>
      <c r="E113" s="82">
        <f t="shared" si="21"/>
        <v>3484.7022482294396</v>
      </c>
      <c r="F113" s="82">
        <f t="shared" si="21"/>
        <v>3575.3045066834038</v>
      </c>
      <c r="G113" s="82">
        <f t="shared" si="21"/>
        <v>3668.2624238571716</v>
      </c>
      <c r="H113" s="82">
        <f t="shared" si="21"/>
        <v>3763.6372468774571</v>
      </c>
      <c r="I113" s="82">
        <f t="shared" si="21"/>
        <v>3861.4918152962728</v>
      </c>
      <c r="J113" s="82">
        <f t="shared" si="21"/>
        <v>3961.8906024939752</v>
      </c>
      <c r="K113" s="82">
        <f t="shared" si="21"/>
        <v>4064.8997581588173</v>
      </c>
      <c r="L113" s="82">
        <f t="shared" si="21"/>
        <v>4170.5871518709464</v>
      </c>
      <c r="M113" s="82">
        <f t="shared" si="21"/>
        <v>4279.0224178195931</v>
      </c>
      <c r="N113" s="82">
        <f t="shared" si="21"/>
        <v>4390.2770006829014</v>
      </c>
      <c r="O113" s="82">
        <f t="shared" si="21"/>
        <v>4504.4242027006585</v>
      </c>
      <c r="P113" s="82">
        <f t="shared" si="21"/>
        <v>4621.5392319708735</v>
      </c>
      <c r="Q113" s="82">
        <f t="shared" si="21"/>
        <v>4741.6992520021158</v>
      </c>
      <c r="R113" s="82">
        <f t="shared" si="21"/>
        <v>4864.9834325541706</v>
      </c>
      <c r="S113" s="82">
        <f t="shared" si="21"/>
        <v>4991.4730018005794</v>
      </c>
      <c r="T113" s="82">
        <f t="shared" si="21"/>
        <v>5121.251299847394</v>
      </c>
      <c r="U113" s="82">
        <f t="shared" si="21"/>
        <v>5254.403833643426</v>
      </c>
      <c r="V113" s="82">
        <f t="shared" si="21"/>
        <v>5391.0183333181576</v>
      </c>
      <c r="W113" s="82" t="str">
        <f t="shared" si="21"/>
        <v/>
      </c>
      <c r="X113" s="82" t="str">
        <f t="shared" si="21"/>
        <v/>
      </c>
      <c r="Y113" s="82" t="str">
        <f t="shared" si="21"/>
        <v/>
      </c>
      <c r="Z113" s="82" t="str">
        <f t="shared" si="21"/>
        <v/>
      </c>
      <c r="AA113" s="82" t="str">
        <f t="shared" si="21"/>
        <v/>
      </c>
      <c r="AB113" s="82" t="str">
        <f t="shared" si="21"/>
        <v/>
      </c>
      <c r="AC113" s="82" t="str">
        <f t="shared" si="21"/>
        <v/>
      </c>
      <c r="AD113" s="82" t="str">
        <f t="shared" si="21"/>
        <v/>
      </c>
      <c r="AE113" s="82" t="str">
        <f t="shared" si="21"/>
        <v/>
      </c>
      <c r="AF113" s="82" t="str">
        <f t="shared" si="21"/>
        <v/>
      </c>
      <c r="AG113" s="82" t="str">
        <f t="shared" si="21"/>
        <v/>
      </c>
      <c r="AH113" s="82" t="str">
        <f t="shared" si="21"/>
        <v/>
      </c>
      <c r="AI113" s="82" t="str">
        <f t="shared" ref="AI113:BN113" si="22">IF(AI105&lt;=analysis_period,AI110-(AI111 + AI112),"")</f>
        <v/>
      </c>
      <c r="AJ113" s="82" t="str">
        <f t="shared" si="22"/>
        <v/>
      </c>
      <c r="AK113" s="82" t="str">
        <f t="shared" si="22"/>
        <v/>
      </c>
      <c r="AL113" s="82" t="str">
        <f t="shared" si="22"/>
        <v/>
      </c>
      <c r="AM113" s="82" t="str">
        <f t="shared" si="22"/>
        <v/>
      </c>
      <c r="AN113" s="82" t="str">
        <f t="shared" si="22"/>
        <v/>
      </c>
      <c r="AO113" s="82" t="str">
        <f t="shared" si="22"/>
        <v/>
      </c>
      <c r="AP113" s="82" t="str">
        <f t="shared" si="22"/>
        <v/>
      </c>
      <c r="AQ113" s="82" t="str">
        <f t="shared" si="22"/>
        <v/>
      </c>
      <c r="AR113" s="82" t="str">
        <f t="shared" si="22"/>
        <v/>
      </c>
      <c r="AS113" s="82" t="str">
        <f t="shared" si="22"/>
        <v/>
      </c>
      <c r="AT113" s="82" t="str">
        <f t="shared" si="22"/>
        <v/>
      </c>
      <c r="AU113" s="82" t="str">
        <f t="shared" si="22"/>
        <v/>
      </c>
      <c r="AV113" s="82" t="str">
        <f t="shared" si="22"/>
        <v/>
      </c>
      <c r="AW113" s="82" t="str">
        <f t="shared" si="22"/>
        <v/>
      </c>
      <c r="AX113" s="82" t="str">
        <f t="shared" si="22"/>
        <v/>
      </c>
      <c r="AY113" s="82" t="str">
        <f t="shared" si="22"/>
        <v/>
      </c>
      <c r="AZ113" s="82" t="str">
        <f t="shared" si="22"/>
        <v/>
      </c>
      <c r="BA113" s="82" t="str">
        <f t="shared" si="22"/>
        <v/>
      </c>
      <c r="BB113" s="82" t="str">
        <f t="shared" si="22"/>
        <v/>
      </c>
      <c r="BC113" s="82" t="str">
        <f t="shared" si="22"/>
        <v/>
      </c>
      <c r="BD113" s="82" t="str">
        <f t="shared" si="22"/>
        <v/>
      </c>
      <c r="BE113" s="82" t="str">
        <f t="shared" si="22"/>
        <v/>
      </c>
      <c r="BF113" s="82" t="str">
        <f t="shared" si="22"/>
        <v/>
      </c>
      <c r="BG113" s="82" t="str">
        <f t="shared" si="22"/>
        <v/>
      </c>
      <c r="BH113" s="82" t="str">
        <f t="shared" si="22"/>
        <v/>
      </c>
      <c r="BI113" s="82" t="str">
        <f t="shared" si="22"/>
        <v/>
      </c>
      <c r="BJ113" s="82" t="str">
        <f t="shared" si="22"/>
        <v/>
      </c>
      <c r="BK113" s="82" t="str">
        <f t="shared" si="22"/>
        <v/>
      </c>
      <c r="BL113" s="82" t="str">
        <f t="shared" si="22"/>
        <v/>
      </c>
      <c r="BM113" s="82" t="str">
        <f t="shared" si="22"/>
        <v/>
      </c>
      <c r="BN113" s="82" t="str">
        <f t="shared" si="22"/>
        <v/>
      </c>
      <c r="BO113" s="82" t="str">
        <f t="shared" ref="BO113:CT113" si="23">IF(BO105&lt;=analysis_period,BO110-(BO111 + BO112),"")</f>
        <v/>
      </c>
      <c r="BP113" s="82" t="str">
        <f t="shared" si="23"/>
        <v/>
      </c>
      <c r="BQ113" s="82" t="str">
        <f t="shared" si="23"/>
        <v/>
      </c>
      <c r="BR113" s="82" t="str">
        <f t="shared" si="23"/>
        <v/>
      </c>
      <c r="BS113" s="82" t="str">
        <f t="shared" si="23"/>
        <v/>
      </c>
      <c r="BT113" s="82" t="str">
        <f t="shared" si="23"/>
        <v/>
      </c>
      <c r="BU113" s="82" t="str">
        <f t="shared" si="23"/>
        <v/>
      </c>
      <c r="BV113" s="82" t="str">
        <f t="shared" si="23"/>
        <v/>
      </c>
      <c r="BW113" s="82" t="str">
        <f t="shared" si="23"/>
        <v/>
      </c>
      <c r="BX113" s="82" t="str">
        <f t="shared" si="23"/>
        <v/>
      </c>
      <c r="BY113" s="82" t="str">
        <f t="shared" si="23"/>
        <v/>
      </c>
      <c r="BZ113" s="82" t="str">
        <f t="shared" si="23"/>
        <v/>
      </c>
      <c r="CA113" s="82" t="str">
        <f t="shared" si="23"/>
        <v/>
      </c>
      <c r="CB113" s="82" t="str">
        <f t="shared" si="23"/>
        <v/>
      </c>
      <c r="CC113" s="82" t="str">
        <f t="shared" si="23"/>
        <v/>
      </c>
      <c r="CD113" s="82" t="str">
        <f t="shared" si="23"/>
        <v/>
      </c>
      <c r="CE113" s="82" t="str">
        <f t="shared" si="23"/>
        <v/>
      </c>
      <c r="CF113" s="82" t="str">
        <f t="shared" si="23"/>
        <v/>
      </c>
      <c r="CG113" s="82" t="str">
        <f t="shared" si="23"/>
        <v/>
      </c>
      <c r="CH113" s="82" t="str">
        <f t="shared" si="23"/>
        <v/>
      </c>
      <c r="CI113" s="82" t="str">
        <f t="shared" si="23"/>
        <v/>
      </c>
      <c r="CJ113" s="82" t="str">
        <f t="shared" si="23"/>
        <v/>
      </c>
      <c r="CK113" s="82" t="str">
        <f t="shared" si="23"/>
        <v/>
      </c>
      <c r="CL113" s="82" t="str">
        <f t="shared" si="23"/>
        <v/>
      </c>
      <c r="CM113" s="82" t="str">
        <f t="shared" si="23"/>
        <v/>
      </c>
      <c r="CN113" s="82" t="str">
        <f t="shared" si="23"/>
        <v/>
      </c>
      <c r="CO113" s="82" t="str">
        <f t="shared" si="23"/>
        <v/>
      </c>
      <c r="CP113" s="82" t="str">
        <f t="shared" si="23"/>
        <v/>
      </c>
      <c r="CQ113" s="82" t="str">
        <f t="shared" si="23"/>
        <v/>
      </c>
      <c r="CR113" s="82" t="str">
        <f t="shared" si="23"/>
        <v/>
      </c>
      <c r="CS113" s="82" t="str">
        <f t="shared" si="23"/>
        <v/>
      </c>
      <c r="CT113" s="82" t="str">
        <f t="shared" si="23"/>
        <v/>
      </c>
      <c r="CU113" s="82" t="str">
        <f t="shared" ref="CU113:CX113" si="24">IF(CU105&lt;=analysis_period,CU110-(CU111 + CU112),"")</f>
        <v/>
      </c>
      <c r="CV113" s="82" t="str">
        <f t="shared" si="24"/>
        <v/>
      </c>
      <c r="CW113" s="82" t="str">
        <f t="shared" si="24"/>
        <v/>
      </c>
      <c r="CX113" s="82" t="str">
        <f t="shared" si="24"/>
        <v/>
      </c>
    </row>
    <row r="114" spans="1:102" x14ac:dyDescent="0.3">
      <c r="A114" s="79" t="s">
        <v>101</v>
      </c>
      <c r="B114" s="83">
        <v>0</v>
      </c>
      <c r="C114" s="73">
        <f t="shared" ref="C114:J114" si="25">IF(ISNUMBER(outYear),IF(FederalDepreciation=5,H100,IF(FederalDepreciation=7,H101,0)),"")</f>
        <v>0.2</v>
      </c>
      <c r="D114" s="130">
        <f t="shared" si="25"/>
        <v>0.32</v>
      </c>
      <c r="E114" s="130">
        <f t="shared" si="25"/>
        <v>0.192</v>
      </c>
      <c r="F114" s="130">
        <f t="shared" si="25"/>
        <v>0.1152</v>
      </c>
      <c r="G114" s="130">
        <f t="shared" si="25"/>
        <v>0.1152</v>
      </c>
      <c r="H114" s="130">
        <f t="shared" si="25"/>
        <v>5.7599999999999998E-2</v>
      </c>
      <c r="I114" s="130">
        <f t="shared" si="25"/>
        <v>0</v>
      </c>
      <c r="J114" s="130">
        <f t="shared" si="25"/>
        <v>0</v>
      </c>
      <c r="K114" s="130">
        <f t="shared" ref="K114:AP114" si="26">IF(ISNUMBER(outYear),IF(FederalDepreciation=5,P92,IF(FederalDepreciation=7,P93,0)),"")</f>
        <v>0</v>
      </c>
      <c r="L114" s="130">
        <f t="shared" si="26"/>
        <v>0</v>
      </c>
      <c r="M114" s="130">
        <f t="shared" si="26"/>
        <v>0</v>
      </c>
      <c r="N114" s="130">
        <f t="shared" si="26"/>
        <v>0</v>
      </c>
      <c r="O114" s="130">
        <f t="shared" si="26"/>
        <v>0</v>
      </c>
      <c r="P114" s="130">
        <f t="shared" si="26"/>
        <v>0</v>
      </c>
      <c r="Q114" s="130">
        <f t="shared" si="26"/>
        <v>0</v>
      </c>
      <c r="R114" s="130">
        <f t="shared" si="26"/>
        <v>0</v>
      </c>
      <c r="S114" s="130">
        <f t="shared" si="26"/>
        <v>0</v>
      </c>
      <c r="T114" s="130">
        <f t="shared" si="26"/>
        <v>0</v>
      </c>
      <c r="U114" s="130">
        <f t="shared" si="26"/>
        <v>0</v>
      </c>
      <c r="V114" s="130">
        <f t="shared" si="26"/>
        <v>0</v>
      </c>
      <c r="W114" s="130" t="str">
        <f t="shared" si="26"/>
        <v/>
      </c>
      <c r="X114" s="130" t="str">
        <f t="shared" si="26"/>
        <v/>
      </c>
      <c r="Y114" s="130" t="str">
        <f t="shared" si="26"/>
        <v/>
      </c>
      <c r="Z114" s="130" t="str">
        <f t="shared" si="26"/>
        <v/>
      </c>
      <c r="AA114" s="130" t="str">
        <f t="shared" si="26"/>
        <v/>
      </c>
      <c r="AB114" s="130" t="str">
        <f t="shared" si="26"/>
        <v/>
      </c>
      <c r="AC114" s="130" t="str">
        <f t="shared" si="26"/>
        <v/>
      </c>
      <c r="AD114" s="130" t="str">
        <f t="shared" si="26"/>
        <v/>
      </c>
      <c r="AE114" s="130" t="str">
        <f t="shared" si="26"/>
        <v/>
      </c>
      <c r="AF114" s="130" t="str">
        <f t="shared" si="26"/>
        <v/>
      </c>
      <c r="AG114" s="130" t="str">
        <f t="shared" si="26"/>
        <v/>
      </c>
      <c r="AH114" s="130" t="str">
        <f t="shared" si="26"/>
        <v/>
      </c>
      <c r="AI114" s="130" t="str">
        <f t="shared" si="26"/>
        <v/>
      </c>
      <c r="AJ114" s="130" t="str">
        <f t="shared" si="26"/>
        <v/>
      </c>
      <c r="AK114" s="130" t="str">
        <f t="shared" si="26"/>
        <v/>
      </c>
      <c r="AL114" s="130" t="str">
        <f t="shared" si="26"/>
        <v/>
      </c>
      <c r="AM114" s="130" t="str">
        <f t="shared" si="26"/>
        <v/>
      </c>
      <c r="AN114" s="130" t="str">
        <f t="shared" si="26"/>
        <v/>
      </c>
      <c r="AO114" s="130" t="str">
        <f t="shared" si="26"/>
        <v/>
      </c>
      <c r="AP114" s="130" t="str">
        <f t="shared" si="26"/>
        <v/>
      </c>
      <c r="AQ114" s="130" t="str">
        <f t="shared" ref="AQ114:BV114" si="27">IF(ISNUMBER(outYear),IF(FederalDepreciation=5,AV92,IF(FederalDepreciation=7,AV93,0)),"")</f>
        <v/>
      </c>
      <c r="AR114" s="130" t="str">
        <f t="shared" si="27"/>
        <v/>
      </c>
      <c r="AS114" s="130" t="str">
        <f t="shared" si="27"/>
        <v/>
      </c>
      <c r="AT114" s="130" t="str">
        <f t="shared" si="27"/>
        <v/>
      </c>
      <c r="AU114" s="130" t="str">
        <f t="shared" si="27"/>
        <v/>
      </c>
      <c r="AV114" s="130" t="str">
        <f t="shared" si="27"/>
        <v/>
      </c>
      <c r="AW114" s="130" t="str">
        <f t="shared" si="27"/>
        <v/>
      </c>
      <c r="AX114" s="130" t="str">
        <f t="shared" si="27"/>
        <v/>
      </c>
      <c r="AY114" s="130" t="str">
        <f t="shared" si="27"/>
        <v/>
      </c>
      <c r="AZ114" s="130" t="str">
        <f t="shared" si="27"/>
        <v/>
      </c>
      <c r="BA114" s="130" t="str">
        <f t="shared" si="27"/>
        <v/>
      </c>
      <c r="BB114" s="130" t="str">
        <f t="shared" si="27"/>
        <v/>
      </c>
      <c r="BC114" s="130" t="str">
        <f t="shared" si="27"/>
        <v/>
      </c>
      <c r="BD114" s="130" t="str">
        <f t="shared" si="27"/>
        <v/>
      </c>
      <c r="BE114" s="130" t="str">
        <f t="shared" si="27"/>
        <v/>
      </c>
      <c r="BF114" s="130" t="str">
        <f t="shared" si="27"/>
        <v/>
      </c>
      <c r="BG114" s="130" t="str">
        <f t="shared" si="27"/>
        <v/>
      </c>
      <c r="BH114" s="130" t="str">
        <f t="shared" si="27"/>
        <v/>
      </c>
      <c r="BI114" s="130" t="str">
        <f t="shared" si="27"/>
        <v/>
      </c>
      <c r="BJ114" s="130" t="str">
        <f t="shared" si="27"/>
        <v/>
      </c>
      <c r="BK114" s="130" t="str">
        <f t="shared" si="27"/>
        <v/>
      </c>
      <c r="BL114" s="130" t="str">
        <f t="shared" si="27"/>
        <v/>
      </c>
      <c r="BM114" s="130" t="str">
        <f t="shared" si="27"/>
        <v/>
      </c>
      <c r="BN114" s="130" t="str">
        <f t="shared" si="27"/>
        <v/>
      </c>
      <c r="BO114" s="130" t="str">
        <f t="shared" si="27"/>
        <v/>
      </c>
      <c r="BP114" s="130" t="str">
        <f t="shared" si="27"/>
        <v/>
      </c>
      <c r="BQ114" s="130" t="str">
        <f t="shared" si="27"/>
        <v/>
      </c>
      <c r="BR114" s="130" t="str">
        <f t="shared" si="27"/>
        <v/>
      </c>
      <c r="BS114" s="130" t="str">
        <f t="shared" si="27"/>
        <v/>
      </c>
      <c r="BT114" s="130" t="str">
        <f t="shared" si="27"/>
        <v/>
      </c>
      <c r="BU114" s="130" t="str">
        <f t="shared" si="27"/>
        <v/>
      </c>
      <c r="BV114" s="130" t="str">
        <f t="shared" si="27"/>
        <v/>
      </c>
      <c r="BW114" s="130" t="str">
        <f t="shared" ref="BW114:CX114" si="28">IF(ISNUMBER(outYear),IF(FederalDepreciation=5,CB92,IF(FederalDepreciation=7,CB93,0)),"")</f>
        <v/>
      </c>
      <c r="BX114" s="130" t="str">
        <f t="shared" si="28"/>
        <v/>
      </c>
      <c r="BY114" s="130" t="str">
        <f t="shared" si="28"/>
        <v/>
      </c>
      <c r="BZ114" s="130" t="str">
        <f t="shared" si="28"/>
        <v/>
      </c>
      <c r="CA114" s="130" t="str">
        <f t="shared" si="28"/>
        <v/>
      </c>
      <c r="CB114" s="130" t="str">
        <f t="shared" si="28"/>
        <v/>
      </c>
      <c r="CC114" s="130" t="str">
        <f t="shared" si="28"/>
        <v/>
      </c>
      <c r="CD114" s="130" t="str">
        <f t="shared" si="28"/>
        <v/>
      </c>
      <c r="CE114" s="130" t="str">
        <f t="shared" si="28"/>
        <v/>
      </c>
      <c r="CF114" s="130" t="str">
        <f t="shared" si="28"/>
        <v/>
      </c>
      <c r="CG114" s="130" t="str">
        <f t="shared" si="28"/>
        <v/>
      </c>
      <c r="CH114" s="130" t="str">
        <f t="shared" si="28"/>
        <v/>
      </c>
      <c r="CI114" s="130" t="str">
        <f t="shared" si="28"/>
        <v/>
      </c>
      <c r="CJ114" s="130" t="str">
        <f t="shared" si="28"/>
        <v/>
      </c>
      <c r="CK114" s="130" t="str">
        <f t="shared" si="28"/>
        <v/>
      </c>
      <c r="CL114" s="130" t="str">
        <f t="shared" si="28"/>
        <v/>
      </c>
      <c r="CM114" s="130" t="str">
        <f t="shared" si="28"/>
        <v/>
      </c>
      <c r="CN114" s="130" t="str">
        <f t="shared" si="28"/>
        <v/>
      </c>
      <c r="CO114" s="130" t="str">
        <f t="shared" si="28"/>
        <v/>
      </c>
      <c r="CP114" s="130" t="str">
        <f t="shared" si="28"/>
        <v/>
      </c>
      <c r="CQ114" s="130" t="str">
        <f t="shared" si="28"/>
        <v/>
      </c>
      <c r="CR114" s="130" t="str">
        <f t="shared" si="28"/>
        <v/>
      </c>
      <c r="CS114" s="130" t="str">
        <f t="shared" si="28"/>
        <v/>
      </c>
      <c r="CT114" s="130" t="str">
        <f t="shared" si="28"/>
        <v/>
      </c>
      <c r="CU114" s="130" t="str">
        <f t="shared" si="28"/>
        <v/>
      </c>
      <c r="CV114" s="130" t="str">
        <f t="shared" si="28"/>
        <v/>
      </c>
      <c r="CW114" s="130" t="str">
        <f t="shared" si="28"/>
        <v/>
      </c>
      <c r="CX114" s="130" t="str">
        <f t="shared" si="28"/>
        <v/>
      </c>
    </row>
    <row r="115" spans="1:102" x14ac:dyDescent="0.3">
      <c r="A115" s="79" t="s">
        <v>102</v>
      </c>
      <c r="B115" s="83">
        <v>0</v>
      </c>
      <c r="C115" s="73">
        <f t="shared" ref="C115:AH115" si="29">IF(ISNUMBER(outYear),IF(FederalDepreciation=5,H100,IF(FederalDepreciation=7,H101,0)),"")</f>
        <v>0.2</v>
      </c>
      <c r="D115" s="130">
        <f t="shared" si="29"/>
        <v>0.32</v>
      </c>
      <c r="E115" s="130">
        <f t="shared" si="29"/>
        <v>0.192</v>
      </c>
      <c r="F115" s="130">
        <f t="shared" si="29"/>
        <v>0.1152</v>
      </c>
      <c r="G115" s="130">
        <f t="shared" si="29"/>
        <v>0.1152</v>
      </c>
      <c r="H115" s="130">
        <f t="shared" si="29"/>
        <v>5.7599999999999998E-2</v>
      </c>
      <c r="I115" s="130">
        <f t="shared" si="29"/>
        <v>0</v>
      </c>
      <c r="J115" s="130">
        <f t="shared" si="29"/>
        <v>0</v>
      </c>
      <c r="K115" s="130">
        <f t="shared" si="29"/>
        <v>0</v>
      </c>
      <c r="L115" s="130">
        <f t="shared" si="29"/>
        <v>0</v>
      </c>
      <c r="M115" s="130">
        <f t="shared" si="29"/>
        <v>0</v>
      </c>
      <c r="N115" s="130">
        <f t="shared" si="29"/>
        <v>0</v>
      </c>
      <c r="O115" s="130">
        <f t="shared" si="29"/>
        <v>0</v>
      </c>
      <c r="P115" s="130">
        <f t="shared" si="29"/>
        <v>0</v>
      </c>
      <c r="Q115" s="130">
        <f t="shared" si="29"/>
        <v>0</v>
      </c>
      <c r="R115" s="130">
        <f t="shared" si="29"/>
        <v>0</v>
      </c>
      <c r="S115" s="130">
        <f t="shared" si="29"/>
        <v>0</v>
      </c>
      <c r="T115" s="130">
        <f t="shared" si="29"/>
        <v>0</v>
      </c>
      <c r="U115" s="130">
        <f t="shared" si="29"/>
        <v>0</v>
      </c>
      <c r="V115" s="130">
        <f t="shared" si="29"/>
        <v>0</v>
      </c>
      <c r="W115" s="130" t="str">
        <f t="shared" si="29"/>
        <v/>
      </c>
      <c r="X115" s="130" t="str">
        <f t="shared" si="29"/>
        <v/>
      </c>
      <c r="Y115" s="130" t="str">
        <f t="shared" si="29"/>
        <v/>
      </c>
      <c r="Z115" s="130" t="str">
        <f t="shared" si="29"/>
        <v/>
      </c>
      <c r="AA115" s="130" t="str">
        <f t="shared" si="29"/>
        <v/>
      </c>
      <c r="AB115" s="130" t="str">
        <f t="shared" si="29"/>
        <v/>
      </c>
      <c r="AC115" s="130" t="str">
        <f t="shared" si="29"/>
        <v/>
      </c>
      <c r="AD115" s="130" t="str">
        <f t="shared" si="29"/>
        <v/>
      </c>
      <c r="AE115" s="130" t="str">
        <f t="shared" si="29"/>
        <v/>
      </c>
      <c r="AF115" s="130" t="str">
        <f t="shared" si="29"/>
        <v/>
      </c>
      <c r="AG115" s="130" t="str">
        <f t="shared" si="29"/>
        <v/>
      </c>
      <c r="AH115" s="130" t="str">
        <f t="shared" si="29"/>
        <v/>
      </c>
      <c r="AI115" s="130" t="str">
        <f t="shared" ref="AI115:BN115" si="30">IF(ISNUMBER(outYear),IF(FederalDepreciation=5,AN100,IF(FederalDepreciation=7,AN101,0)),"")</f>
        <v/>
      </c>
      <c r="AJ115" s="130" t="str">
        <f t="shared" si="30"/>
        <v/>
      </c>
      <c r="AK115" s="130" t="str">
        <f t="shared" si="30"/>
        <v/>
      </c>
      <c r="AL115" s="130" t="str">
        <f t="shared" si="30"/>
        <v/>
      </c>
      <c r="AM115" s="130" t="str">
        <f t="shared" si="30"/>
        <v/>
      </c>
      <c r="AN115" s="130" t="str">
        <f t="shared" si="30"/>
        <v/>
      </c>
      <c r="AO115" s="130" t="str">
        <f t="shared" si="30"/>
        <v/>
      </c>
      <c r="AP115" s="130" t="str">
        <f t="shared" si="30"/>
        <v/>
      </c>
      <c r="AQ115" s="130" t="str">
        <f t="shared" si="30"/>
        <v/>
      </c>
      <c r="AR115" s="130" t="str">
        <f t="shared" si="30"/>
        <v/>
      </c>
      <c r="AS115" s="130" t="str">
        <f t="shared" si="30"/>
        <v/>
      </c>
      <c r="AT115" s="130" t="str">
        <f t="shared" si="30"/>
        <v/>
      </c>
      <c r="AU115" s="130" t="str">
        <f t="shared" si="30"/>
        <v/>
      </c>
      <c r="AV115" s="130" t="str">
        <f t="shared" si="30"/>
        <v/>
      </c>
      <c r="AW115" s="130" t="str">
        <f t="shared" si="30"/>
        <v/>
      </c>
      <c r="AX115" s="130" t="str">
        <f t="shared" si="30"/>
        <v/>
      </c>
      <c r="AY115" s="130" t="str">
        <f t="shared" si="30"/>
        <v/>
      </c>
      <c r="AZ115" s="130" t="str">
        <f t="shared" si="30"/>
        <v/>
      </c>
      <c r="BA115" s="130" t="str">
        <f t="shared" si="30"/>
        <v/>
      </c>
      <c r="BB115" s="130" t="str">
        <f t="shared" si="30"/>
        <v/>
      </c>
      <c r="BC115" s="130" t="str">
        <f t="shared" si="30"/>
        <v/>
      </c>
      <c r="BD115" s="130" t="str">
        <f t="shared" si="30"/>
        <v/>
      </c>
      <c r="BE115" s="130" t="str">
        <f t="shared" si="30"/>
        <v/>
      </c>
      <c r="BF115" s="130" t="str">
        <f t="shared" si="30"/>
        <v/>
      </c>
      <c r="BG115" s="130" t="str">
        <f t="shared" si="30"/>
        <v/>
      </c>
      <c r="BH115" s="130" t="str">
        <f t="shared" si="30"/>
        <v/>
      </c>
      <c r="BI115" s="130" t="str">
        <f t="shared" si="30"/>
        <v/>
      </c>
      <c r="BJ115" s="130" t="str">
        <f t="shared" si="30"/>
        <v/>
      </c>
      <c r="BK115" s="130" t="str">
        <f t="shared" si="30"/>
        <v/>
      </c>
      <c r="BL115" s="130" t="str">
        <f t="shared" si="30"/>
        <v/>
      </c>
      <c r="BM115" s="130" t="str">
        <f t="shared" si="30"/>
        <v/>
      </c>
      <c r="BN115" s="130" t="str">
        <f t="shared" si="30"/>
        <v/>
      </c>
      <c r="BO115" s="130" t="str">
        <f t="shared" ref="BO115:CT115" si="31">IF(ISNUMBER(outYear),IF(FederalDepreciation=5,BT100,IF(FederalDepreciation=7,BT101,0)),"")</f>
        <v/>
      </c>
      <c r="BP115" s="130" t="str">
        <f t="shared" si="31"/>
        <v/>
      </c>
      <c r="BQ115" s="130" t="str">
        <f t="shared" si="31"/>
        <v/>
      </c>
      <c r="BR115" s="130" t="str">
        <f t="shared" si="31"/>
        <v/>
      </c>
      <c r="BS115" s="130" t="str">
        <f t="shared" si="31"/>
        <v/>
      </c>
      <c r="BT115" s="130" t="str">
        <f t="shared" si="31"/>
        <v/>
      </c>
      <c r="BU115" s="130" t="str">
        <f t="shared" si="31"/>
        <v/>
      </c>
      <c r="BV115" s="130" t="str">
        <f t="shared" si="31"/>
        <v/>
      </c>
      <c r="BW115" s="130" t="str">
        <f t="shared" si="31"/>
        <v/>
      </c>
      <c r="BX115" s="130" t="str">
        <f t="shared" si="31"/>
        <v/>
      </c>
      <c r="BY115" s="130" t="str">
        <f t="shared" si="31"/>
        <v/>
      </c>
      <c r="BZ115" s="130" t="str">
        <f t="shared" si="31"/>
        <v/>
      </c>
      <c r="CA115" s="130" t="str">
        <f t="shared" si="31"/>
        <v/>
      </c>
      <c r="CB115" s="130" t="str">
        <f t="shared" si="31"/>
        <v/>
      </c>
      <c r="CC115" s="130" t="str">
        <f t="shared" si="31"/>
        <v/>
      </c>
      <c r="CD115" s="130" t="str">
        <f t="shared" si="31"/>
        <v/>
      </c>
      <c r="CE115" s="130" t="str">
        <f t="shared" si="31"/>
        <v/>
      </c>
      <c r="CF115" s="130" t="str">
        <f t="shared" si="31"/>
        <v/>
      </c>
      <c r="CG115" s="130" t="str">
        <f t="shared" si="31"/>
        <v/>
      </c>
      <c r="CH115" s="130" t="str">
        <f t="shared" si="31"/>
        <v/>
      </c>
      <c r="CI115" s="130" t="str">
        <f t="shared" si="31"/>
        <v/>
      </c>
      <c r="CJ115" s="130" t="str">
        <f t="shared" si="31"/>
        <v/>
      </c>
      <c r="CK115" s="130" t="str">
        <f t="shared" si="31"/>
        <v/>
      </c>
      <c r="CL115" s="130" t="str">
        <f t="shared" si="31"/>
        <v/>
      </c>
      <c r="CM115" s="130" t="str">
        <f t="shared" si="31"/>
        <v/>
      </c>
      <c r="CN115" s="130" t="str">
        <f t="shared" si="31"/>
        <v/>
      </c>
      <c r="CO115" s="130" t="str">
        <f t="shared" si="31"/>
        <v/>
      </c>
      <c r="CP115" s="130" t="str">
        <f t="shared" si="31"/>
        <v/>
      </c>
      <c r="CQ115" s="130" t="str">
        <f t="shared" si="31"/>
        <v/>
      </c>
      <c r="CR115" s="130" t="str">
        <f t="shared" si="31"/>
        <v/>
      </c>
      <c r="CS115" s="130" t="str">
        <f t="shared" si="31"/>
        <v/>
      </c>
      <c r="CT115" s="130" t="str">
        <f t="shared" si="31"/>
        <v/>
      </c>
      <c r="CU115" s="130" t="str">
        <f t="shared" ref="CU115:CX115" si="32">IF(ISNUMBER(outYear),IF(FederalDepreciation=5,CZ100,IF(FederalDepreciation=7,CZ101,0)),"")</f>
        <v/>
      </c>
      <c r="CV115" s="130" t="str">
        <f t="shared" si="32"/>
        <v/>
      </c>
      <c r="CW115" s="130" t="str">
        <f t="shared" si="32"/>
        <v/>
      </c>
      <c r="CX115" s="130" t="str">
        <f t="shared" si="32"/>
        <v/>
      </c>
    </row>
    <row r="116" spans="1:102" x14ac:dyDescent="0.3">
      <c r="A116" s="79" t="s">
        <v>103</v>
      </c>
      <c r="B116" s="83">
        <v>0</v>
      </c>
      <c r="C116" s="73">
        <f t="shared" ref="C116:J116" si="33">IF(ISNUMBER(outYear),IF(BatteryFederalDepreciation=5,H100,IF(BatteryFederalDepreciation=7,H101,0)),"")</f>
        <v>0.1429</v>
      </c>
      <c r="D116" s="130">
        <f t="shared" si="33"/>
        <v>0.24490000000000001</v>
      </c>
      <c r="E116" s="130">
        <f t="shared" si="33"/>
        <v>0.1749</v>
      </c>
      <c r="F116" s="130">
        <f t="shared" si="33"/>
        <v>0.1249</v>
      </c>
      <c r="G116" s="130">
        <f t="shared" si="33"/>
        <v>8.9300000000000004E-2</v>
      </c>
      <c r="H116" s="130">
        <f t="shared" si="33"/>
        <v>8.9200000000000002E-2</v>
      </c>
      <c r="I116" s="130">
        <f t="shared" si="33"/>
        <v>8.9300000000000004E-2</v>
      </c>
      <c r="J116" s="130">
        <f t="shared" si="33"/>
        <v>4.4600000000000001E-2</v>
      </c>
      <c r="K116" s="130">
        <f t="shared" ref="K116:AP116" si="34">IF(ISNUMBER(outYear),IF(BatteryFederalDepreciation=5,P92,IF(BatteryFederalDepreciation=7,P93,0)),"")</f>
        <v>0</v>
      </c>
      <c r="L116" s="130">
        <f t="shared" si="34"/>
        <v>0</v>
      </c>
      <c r="M116" s="130">
        <f t="shared" si="34"/>
        <v>0</v>
      </c>
      <c r="N116" s="130">
        <f t="shared" si="34"/>
        <v>0</v>
      </c>
      <c r="O116" s="130">
        <f t="shared" si="34"/>
        <v>0</v>
      </c>
      <c r="P116" s="130">
        <f t="shared" si="34"/>
        <v>0</v>
      </c>
      <c r="Q116" s="130">
        <f t="shared" si="34"/>
        <v>0</v>
      </c>
      <c r="R116" s="130">
        <f t="shared" si="34"/>
        <v>0</v>
      </c>
      <c r="S116" s="130">
        <f t="shared" si="34"/>
        <v>0</v>
      </c>
      <c r="T116" s="130">
        <f t="shared" si="34"/>
        <v>0</v>
      </c>
      <c r="U116" s="130">
        <f t="shared" si="34"/>
        <v>0</v>
      </c>
      <c r="V116" s="130">
        <f t="shared" si="34"/>
        <v>0</v>
      </c>
      <c r="W116" s="130" t="str">
        <f t="shared" si="34"/>
        <v/>
      </c>
      <c r="X116" s="130" t="str">
        <f t="shared" si="34"/>
        <v/>
      </c>
      <c r="Y116" s="130" t="str">
        <f t="shared" si="34"/>
        <v/>
      </c>
      <c r="Z116" s="130" t="str">
        <f t="shared" si="34"/>
        <v/>
      </c>
      <c r="AA116" s="130" t="str">
        <f t="shared" si="34"/>
        <v/>
      </c>
      <c r="AB116" s="130" t="str">
        <f t="shared" si="34"/>
        <v/>
      </c>
      <c r="AC116" s="130" t="str">
        <f t="shared" si="34"/>
        <v/>
      </c>
      <c r="AD116" s="130" t="str">
        <f t="shared" si="34"/>
        <v/>
      </c>
      <c r="AE116" s="130" t="str">
        <f t="shared" si="34"/>
        <v/>
      </c>
      <c r="AF116" s="130" t="str">
        <f t="shared" si="34"/>
        <v/>
      </c>
      <c r="AG116" s="130" t="str">
        <f t="shared" si="34"/>
        <v/>
      </c>
      <c r="AH116" s="130" t="str">
        <f t="shared" si="34"/>
        <v/>
      </c>
      <c r="AI116" s="130" t="str">
        <f t="shared" si="34"/>
        <v/>
      </c>
      <c r="AJ116" s="130" t="str">
        <f t="shared" si="34"/>
        <v/>
      </c>
      <c r="AK116" s="130" t="str">
        <f t="shared" si="34"/>
        <v/>
      </c>
      <c r="AL116" s="130" t="str">
        <f t="shared" si="34"/>
        <v/>
      </c>
      <c r="AM116" s="130" t="str">
        <f t="shared" si="34"/>
        <v/>
      </c>
      <c r="AN116" s="130" t="str">
        <f t="shared" si="34"/>
        <v/>
      </c>
      <c r="AO116" s="130" t="str">
        <f t="shared" si="34"/>
        <v/>
      </c>
      <c r="AP116" s="130" t="str">
        <f t="shared" si="34"/>
        <v/>
      </c>
      <c r="AQ116" s="130" t="str">
        <f t="shared" ref="AQ116:BV116" si="35">IF(ISNUMBER(outYear),IF(BatteryFederalDepreciation=5,AV92,IF(BatteryFederalDepreciation=7,AV93,0)),"")</f>
        <v/>
      </c>
      <c r="AR116" s="130" t="str">
        <f t="shared" si="35"/>
        <v/>
      </c>
      <c r="AS116" s="130" t="str">
        <f t="shared" si="35"/>
        <v/>
      </c>
      <c r="AT116" s="130" t="str">
        <f t="shared" si="35"/>
        <v/>
      </c>
      <c r="AU116" s="130" t="str">
        <f t="shared" si="35"/>
        <v/>
      </c>
      <c r="AV116" s="130" t="str">
        <f t="shared" si="35"/>
        <v/>
      </c>
      <c r="AW116" s="130" t="str">
        <f t="shared" si="35"/>
        <v/>
      </c>
      <c r="AX116" s="130" t="str">
        <f t="shared" si="35"/>
        <v/>
      </c>
      <c r="AY116" s="130" t="str">
        <f t="shared" si="35"/>
        <v/>
      </c>
      <c r="AZ116" s="130" t="str">
        <f t="shared" si="35"/>
        <v/>
      </c>
      <c r="BA116" s="130" t="str">
        <f t="shared" si="35"/>
        <v/>
      </c>
      <c r="BB116" s="130" t="str">
        <f t="shared" si="35"/>
        <v/>
      </c>
      <c r="BC116" s="130" t="str">
        <f t="shared" si="35"/>
        <v/>
      </c>
      <c r="BD116" s="130" t="str">
        <f t="shared" si="35"/>
        <v/>
      </c>
      <c r="BE116" s="130" t="str">
        <f t="shared" si="35"/>
        <v/>
      </c>
      <c r="BF116" s="130" t="str">
        <f t="shared" si="35"/>
        <v/>
      </c>
      <c r="BG116" s="130" t="str">
        <f t="shared" si="35"/>
        <v/>
      </c>
      <c r="BH116" s="130" t="str">
        <f t="shared" si="35"/>
        <v/>
      </c>
      <c r="BI116" s="130" t="str">
        <f t="shared" si="35"/>
        <v/>
      </c>
      <c r="BJ116" s="130" t="str">
        <f t="shared" si="35"/>
        <v/>
      </c>
      <c r="BK116" s="130" t="str">
        <f t="shared" si="35"/>
        <v/>
      </c>
      <c r="BL116" s="130" t="str">
        <f t="shared" si="35"/>
        <v/>
      </c>
      <c r="BM116" s="130" t="str">
        <f t="shared" si="35"/>
        <v/>
      </c>
      <c r="BN116" s="130" t="str">
        <f t="shared" si="35"/>
        <v/>
      </c>
      <c r="BO116" s="130" t="str">
        <f t="shared" si="35"/>
        <v/>
      </c>
      <c r="BP116" s="130" t="str">
        <f t="shared" si="35"/>
        <v/>
      </c>
      <c r="BQ116" s="130" t="str">
        <f t="shared" si="35"/>
        <v/>
      </c>
      <c r="BR116" s="130" t="str">
        <f t="shared" si="35"/>
        <v/>
      </c>
      <c r="BS116" s="130" t="str">
        <f t="shared" si="35"/>
        <v/>
      </c>
      <c r="BT116" s="130" t="str">
        <f t="shared" si="35"/>
        <v/>
      </c>
      <c r="BU116" s="130" t="str">
        <f t="shared" si="35"/>
        <v/>
      </c>
      <c r="BV116" s="130" t="str">
        <f t="shared" si="35"/>
        <v/>
      </c>
      <c r="BW116" s="130" t="str">
        <f t="shared" ref="BW116:CX116" si="36">IF(ISNUMBER(outYear),IF(BatteryFederalDepreciation=5,CB92,IF(BatteryFederalDepreciation=7,CB93,0)),"")</f>
        <v/>
      </c>
      <c r="BX116" s="130" t="str">
        <f t="shared" si="36"/>
        <v/>
      </c>
      <c r="BY116" s="130" t="str">
        <f t="shared" si="36"/>
        <v/>
      </c>
      <c r="BZ116" s="130" t="str">
        <f t="shared" si="36"/>
        <v/>
      </c>
      <c r="CA116" s="130" t="str">
        <f t="shared" si="36"/>
        <v/>
      </c>
      <c r="CB116" s="130" t="str">
        <f t="shared" si="36"/>
        <v/>
      </c>
      <c r="CC116" s="130" t="str">
        <f t="shared" si="36"/>
        <v/>
      </c>
      <c r="CD116" s="130" t="str">
        <f t="shared" si="36"/>
        <v/>
      </c>
      <c r="CE116" s="130" t="str">
        <f t="shared" si="36"/>
        <v/>
      </c>
      <c r="CF116" s="130" t="str">
        <f t="shared" si="36"/>
        <v/>
      </c>
      <c r="CG116" s="130" t="str">
        <f t="shared" si="36"/>
        <v/>
      </c>
      <c r="CH116" s="130" t="str">
        <f t="shared" si="36"/>
        <v/>
      </c>
      <c r="CI116" s="130" t="str">
        <f t="shared" si="36"/>
        <v/>
      </c>
      <c r="CJ116" s="130" t="str">
        <f t="shared" si="36"/>
        <v/>
      </c>
      <c r="CK116" s="130" t="str">
        <f t="shared" si="36"/>
        <v/>
      </c>
      <c r="CL116" s="130" t="str">
        <f t="shared" si="36"/>
        <v/>
      </c>
      <c r="CM116" s="130" t="str">
        <f t="shared" si="36"/>
        <v/>
      </c>
      <c r="CN116" s="130" t="str">
        <f t="shared" si="36"/>
        <v/>
      </c>
      <c r="CO116" s="130" t="str">
        <f t="shared" si="36"/>
        <v/>
      </c>
      <c r="CP116" s="130" t="str">
        <f t="shared" si="36"/>
        <v/>
      </c>
      <c r="CQ116" s="130" t="str">
        <f t="shared" si="36"/>
        <v/>
      </c>
      <c r="CR116" s="130" t="str">
        <f t="shared" si="36"/>
        <v/>
      </c>
      <c r="CS116" s="130" t="str">
        <f t="shared" si="36"/>
        <v/>
      </c>
      <c r="CT116" s="130" t="str">
        <f t="shared" si="36"/>
        <v/>
      </c>
      <c r="CU116" s="130" t="str">
        <f t="shared" si="36"/>
        <v/>
      </c>
      <c r="CV116" s="130" t="str">
        <f t="shared" si="36"/>
        <v/>
      </c>
      <c r="CW116" s="130" t="str">
        <f t="shared" si="36"/>
        <v/>
      </c>
      <c r="CX116" s="130" t="str">
        <f t="shared" si="36"/>
        <v/>
      </c>
    </row>
    <row r="117" spans="1:102" x14ac:dyDescent="0.3">
      <c r="A117" s="131" t="s">
        <v>178</v>
      </c>
      <c r="B117" s="62">
        <v>0</v>
      </c>
      <c r="C117" s="71">
        <v>1</v>
      </c>
      <c r="D117" s="62">
        <v>1</v>
      </c>
      <c r="E117" s="62">
        <f>$D$117</f>
        <v>1</v>
      </c>
      <c r="F117" s="62">
        <f t="shared" ref="F117:BQ117" si="37">$D$117</f>
        <v>1</v>
      </c>
      <c r="G117" s="62">
        <f t="shared" si="37"/>
        <v>1</v>
      </c>
      <c r="H117" s="62">
        <f t="shared" si="37"/>
        <v>1</v>
      </c>
      <c r="I117" s="62">
        <f t="shared" si="37"/>
        <v>1</v>
      </c>
      <c r="J117" s="62">
        <f t="shared" si="37"/>
        <v>1</v>
      </c>
      <c r="K117" s="62">
        <f t="shared" si="37"/>
        <v>1</v>
      </c>
      <c r="L117" s="62">
        <f t="shared" si="37"/>
        <v>1</v>
      </c>
      <c r="M117" s="62">
        <f t="shared" si="37"/>
        <v>1</v>
      </c>
      <c r="N117" s="62">
        <f t="shared" si="37"/>
        <v>1</v>
      </c>
      <c r="O117" s="62">
        <f t="shared" si="37"/>
        <v>1</v>
      </c>
      <c r="P117" s="62">
        <f t="shared" si="37"/>
        <v>1</v>
      </c>
      <c r="Q117" s="62">
        <f t="shared" si="37"/>
        <v>1</v>
      </c>
      <c r="R117" s="62">
        <f t="shared" si="37"/>
        <v>1</v>
      </c>
      <c r="S117" s="62">
        <f t="shared" si="37"/>
        <v>1</v>
      </c>
      <c r="T117" s="62">
        <f t="shared" si="37"/>
        <v>1</v>
      </c>
      <c r="U117" s="62">
        <f t="shared" si="37"/>
        <v>1</v>
      </c>
      <c r="V117" s="62">
        <f t="shared" si="37"/>
        <v>1</v>
      </c>
      <c r="W117" s="62">
        <f t="shared" si="37"/>
        <v>1</v>
      </c>
      <c r="X117" s="62">
        <f t="shared" si="37"/>
        <v>1</v>
      </c>
      <c r="Y117" s="62">
        <f t="shared" si="37"/>
        <v>1</v>
      </c>
      <c r="Z117" s="62">
        <f t="shared" si="37"/>
        <v>1</v>
      </c>
      <c r="AA117" s="62">
        <f t="shared" si="37"/>
        <v>1</v>
      </c>
      <c r="AB117" s="62">
        <f t="shared" si="37"/>
        <v>1</v>
      </c>
      <c r="AC117" s="62">
        <f t="shared" si="37"/>
        <v>1</v>
      </c>
      <c r="AD117" s="62">
        <f t="shared" si="37"/>
        <v>1</v>
      </c>
      <c r="AE117" s="62">
        <f t="shared" si="37"/>
        <v>1</v>
      </c>
      <c r="AF117" s="62">
        <f t="shared" si="37"/>
        <v>1</v>
      </c>
      <c r="AG117" s="62">
        <f t="shared" si="37"/>
        <v>1</v>
      </c>
      <c r="AH117" s="62">
        <f t="shared" si="37"/>
        <v>1</v>
      </c>
      <c r="AI117" s="62">
        <f t="shared" si="37"/>
        <v>1</v>
      </c>
      <c r="AJ117" s="62">
        <f t="shared" si="37"/>
        <v>1</v>
      </c>
      <c r="AK117" s="62">
        <f t="shared" si="37"/>
        <v>1</v>
      </c>
      <c r="AL117" s="62">
        <f t="shared" si="37"/>
        <v>1</v>
      </c>
      <c r="AM117" s="62">
        <f t="shared" si="37"/>
        <v>1</v>
      </c>
      <c r="AN117" s="62">
        <f t="shared" si="37"/>
        <v>1</v>
      </c>
      <c r="AO117" s="62">
        <f t="shared" si="37"/>
        <v>1</v>
      </c>
      <c r="AP117" s="62">
        <f t="shared" si="37"/>
        <v>1</v>
      </c>
      <c r="AQ117" s="62">
        <f t="shared" si="37"/>
        <v>1</v>
      </c>
      <c r="AR117" s="62">
        <f t="shared" si="37"/>
        <v>1</v>
      </c>
      <c r="AS117" s="62">
        <f t="shared" si="37"/>
        <v>1</v>
      </c>
      <c r="AT117" s="62">
        <f t="shared" si="37"/>
        <v>1</v>
      </c>
      <c r="AU117" s="62">
        <f t="shared" si="37"/>
        <v>1</v>
      </c>
      <c r="AV117" s="62">
        <f t="shared" si="37"/>
        <v>1</v>
      </c>
      <c r="AW117" s="62">
        <f t="shared" si="37"/>
        <v>1</v>
      </c>
      <c r="AX117" s="62">
        <f t="shared" si="37"/>
        <v>1</v>
      </c>
      <c r="AY117" s="62">
        <f t="shared" si="37"/>
        <v>1</v>
      </c>
      <c r="AZ117" s="62">
        <f t="shared" si="37"/>
        <v>1</v>
      </c>
      <c r="BA117" s="62">
        <f t="shared" si="37"/>
        <v>1</v>
      </c>
      <c r="BB117" s="62">
        <f t="shared" si="37"/>
        <v>1</v>
      </c>
      <c r="BC117" s="62">
        <f t="shared" si="37"/>
        <v>1</v>
      </c>
      <c r="BD117" s="62">
        <f t="shared" si="37"/>
        <v>1</v>
      </c>
      <c r="BE117" s="62">
        <f t="shared" si="37"/>
        <v>1</v>
      </c>
      <c r="BF117" s="62">
        <f t="shared" si="37"/>
        <v>1</v>
      </c>
      <c r="BG117" s="62">
        <f t="shared" si="37"/>
        <v>1</v>
      </c>
      <c r="BH117" s="62">
        <f t="shared" si="37"/>
        <v>1</v>
      </c>
      <c r="BI117" s="62">
        <f t="shared" si="37"/>
        <v>1</v>
      </c>
      <c r="BJ117" s="62">
        <f t="shared" si="37"/>
        <v>1</v>
      </c>
      <c r="BK117" s="62">
        <f t="shared" si="37"/>
        <v>1</v>
      </c>
      <c r="BL117" s="62">
        <f t="shared" si="37"/>
        <v>1</v>
      </c>
      <c r="BM117" s="62">
        <f t="shared" si="37"/>
        <v>1</v>
      </c>
      <c r="BN117" s="62">
        <f t="shared" si="37"/>
        <v>1</v>
      </c>
      <c r="BO117" s="62">
        <f t="shared" si="37"/>
        <v>1</v>
      </c>
      <c r="BP117" s="62">
        <f t="shared" si="37"/>
        <v>1</v>
      </c>
      <c r="BQ117" s="62">
        <f t="shared" si="37"/>
        <v>1</v>
      </c>
      <c r="BR117" s="62">
        <f t="shared" ref="BR117:CX117" si="38">$D$117</f>
        <v>1</v>
      </c>
      <c r="BS117" s="62">
        <f t="shared" si="38"/>
        <v>1</v>
      </c>
      <c r="BT117" s="62">
        <f t="shared" si="38"/>
        <v>1</v>
      </c>
      <c r="BU117" s="62">
        <f t="shared" si="38"/>
        <v>1</v>
      </c>
      <c r="BV117" s="62">
        <f t="shared" si="38"/>
        <v>1</v>
      </c>
      <c r="BW117" s="62">
        <f t="shared" si="38"/>
        <v>1</v>
      </c>
      <c r="BX117" s="62">
        <f t="shared" si="38"/>
        <v>1</v>
      </c>
      <c r="BY117" s="62">
        <f t="shared" si="38"/>
        <v>1</v>
      </c>
      <c r="BZ117" s="62">
        <f t="shared" si="38"/>
        <v>1</v>
      </c>
      <c r="CA117" s="62">
        <f t="shared" si="38"/>
        <v>1</v>
      </c>
      <c r="CB117" s="62">
        <f t="shared" si="38"/>
        <v>1</v>
      </c>
      <c r="CC117" s="62">
        <f t="shared" si="38"/>
        <v>1</v>
      </c>
      <c r="CD117" s="62">
        <f t="shared" si="38"/>
        <v>1</v>
      </c>
      <c r="CE117" s="62">
        <f t="shared" si="38"/>
        <v>1</v>
      </c>
      <c r="CF117" s="62">
        <f t="shared" si="38"/>
        <v>1</v>
      </c>
      <c r="CG117" s="62">
        <f t="shared" si="38"/>
        <v>1</v>
      </c>
      <c r="CH117" s="62">
        <f t="shared" si="38"/>
        <v>1</v>
      </c>
      <c r="CI117" s="62">
        <f t="shared" si="38"/>
        <v>1</v>
      </c>
      <c r="CJ117" s="62">
        <f t="shared" si="38"/>
        <v>1</v>
      </c>
      <c r="CK117" s="62">
        <f t="shared" si="38"/>
        <v>1</v>
      </c>
      <c r="CL117" s="62">
        <f t="shared" si="38"/>
        <v>1</v>
      </c>
      <c r="CM117" s="62">
        <f t="shared" si="38"/>
        <v>1</v>
      </c>
      <c r="CN117" s="62">
        <f t="shared" si="38"/>
        <v>1</v>
      </c>
      <c r="CO117" s="62">
        <f t="shared" si="38"/>
        <v>1</v>
      </c>
      <c r="CP117" s="62">
        <f t="shared" si="38"/>
        <v>1</v>
      </c>
      <c r="CQ117" s="62">
        <f t="shared" si="38"/>
        <v>1</v>
      </c>
      <c r="CR117" s="62">
        <f t="shared" si="38"/>
        <v>1</v>
      </c>
      <c r="CS117" s="62">
        <f t="shared" si="38"/>
        <v>1</v>
      </c>
      <c r="CT117" s="62">
        <f t="shared" si="38"/>
        <v>1</v>
      </c>
      <c r="CU117" s="62">
        <f t="shared" si="38"/>
        <v>1</v>
      </c>
      <c r="CV117" s="62">
        <f t="shared" si="38"/>
        <v>1</v>
      </c>
      <c r="CW117" s="62">
        <f t="shared" si="38"/>
        <v>1</v>
      </c>
      <c r="CX117" s="62">
        <f t="shared" si="38"/>
        <v>1</v>
      </c>
    </row>
  </sheetData>
  <conditionalFormatting sqref="B55">
    <cfRule type="expression" dxfId="8" priority="5">
      <formula>#REF!="Fixed"</formula>
    </cfRule>
  </conditionalFormatting>
  <conditionalFormatting sqref="B60">
    <cfRule type="expression" dxfId="7" priority="6">
      <formula>#REF!="Fixed"</formula>
    </cfRule>
  </conditionalFormatting>
  <conditionalFormatting sqref="B61">
    <cfRule type="expression" dxfId="6" priority="7">
      <formula>#REF!="Fixed"</formula>
    </cfRule>
  </conditionalFormatting>
  <conditionalFormatting sqref="B89">
    <cfRule type="expression" dxfId="5" priority="8">
      <formula>#REF!="Fixed"</formula>
    </cfRule>
  </conditionalFormatting>
  <conditionalFormatting sqref="B94">
    <cfRule type="expression" dxfId="4" priority="9">
      <formula>#REF!="Fixed"</formula>
    </cfRule>
  </conditionalFormatting>
  <conditionalFormatting sqref="B95">
    <cfRule type="expression" dxfId="3" priority="10">
      <formula>#REF!="Fixed"</formula>
    </cfRule>
  </conditionalFormatting>
  <conditionalFormatting sqref="B72">
    <cfRule type="expression" dxfId="2" priority="1">
      <formula>#REF!="Fixed"</formula>
    </cfRule>
  </conditionalFormatting>
  <conditionalFormatting sqref="B77">
    <cfRule type="expression" dxfId="1" priority="2">
      <formula>#REF!="Fixed"</formula>
    </cfRule>
  </conditionalFormatting>
  <conditionalFormatting sqref="B78">
    <cfRule type="expression" dxfId="0" priority="3">
      <formula>#REF!="Fixed"</formula>
    </cfRule>
  </conditionalFormatting>
  <dataValidations count="1">
    <dataValidation type="list" showInputMessage="1" showErrorMessage="1" sqref="B102:D102" xr:uid="{00000000-0002-0000-0000-000000000000}">
      <formula1>$CV$4:$CV$10</formula1>
      <formula2>0</formula2>
    </dataValidation>
  </dataValidations>
  <pageMargins left="0.75" right="0.75" top="1" bottom="1" header="0.51180555555555496" footer="0.51180555555555496"/>
  <pageSetup firstPageNumber="0" orientation="portrait"/>
  <ignoredErrors>
    <ignoredError sqref="F108 D108:E108 G108:CX10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K109"/>
  <sheetViews>
    <sheetView windowProtection="1" zoomScale="140" zoomScaleNormal="140" workbookViewId="0">
      <pane xSplit="1" ySplit="2" topLeftCell="B9" activePane="bottomRight" state="frozen"/>
      <selection pane="topRight" activeCell="B1" sqref="B1"/>
      <selection pane="bottomLeft" activeCell="A21" sqref="A21"/>
      <selection pane="bottomRight" activeCell="A16" sqref="A16"/>
    </sheetView>
  </sheetViews>
  <sheetFormatPr defaultRowHeight="13.2" x14ac:dyDescent="0.25"/>
  <cols>
    <col min="1" max="1" width="53.6640625" style="118" customWidth="1"/>
    <col min="2" max="2" width="15.5546875" style="118" customWidth="1"/>
    <col min="3" max="3" width="13.109375" style="118" customWidth="1"/>
    <col min="4" max="102" width="15.5546875" style="118" customWidth="1"/>
    <col min="103" max="1025" width="8.5546875" style="118" customWidth="1"/>
  </cols>
  <sheetData>
    <row r="1" spans="1:102" ht="20.399999999999999" customHeight="1" x14ac:dyDescent="0.45">
      <c r="A1" s="84" t="s">
        <v>104</v>
      </c>
      <c r="B1" s="122"/>
      <c r="C1" s="86"/>
      <c r="D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</row>
    <row r="2" spans="1:102" ht="13.8" customHeight="1" x14ac:dyDescent="0.3">
      <c r="A2" s="87" t="s">
        <v>105</v>
      </c>
      <c r="B2" s="88">
        <v>0</v>
      </c>
      <c r="C2" s="88">
        <f t="shared" ref="C2:AH2" si="0">IF(B2="","",IF(B2+1&lt;=analysis_period,B2+1,""))</f>
        <v>1</v>
      </c>
      <c r="D2" s="88">
        <f t="shared" si="0"/>
        <v>2</v>
      </c>
      <c r="E2" s="88">
        <f t="shared" si="0"/>
        <v>3</v>
      </c>
      <c r="F2" s="88">
        <f t="shared" si="0"/>
        <v>4</v>
      </c>
      <c r="G2" s="88">
        <f t="shared" si="0"/>
        <v>5</v>
      </c>
      <c r="H2" s="88">
        <f t="shared" si="0"/>
        <v>6</v>
      </c>
      <c r="I2" s="88">
        <f t="shared" si="0"/>
        <v>7</v>
      </c>
      <c r="J2" s="88">
        <f t="shared" si="0"/>
        <v>8</v>
      </c>
      <c r="K2" s="88">
        <f t="shared" si="0"/>
        <v>9</v>
      </c>
      <c r="L2" s="88">
        <f t="shared" si="0"/>
        <v>10</v>
      </c>
      <c r="M2" s="88">
        <f t="shared" si="0"/>
        <v>11</v>
      </c>
      <c r="N2" s="88">
        <f t="shared" si="0"/>
        <v>12</v>
      </c>
      <c r="O2" s="88">
        <f t="shared" si="0"/>
        <v>13</v>
      </c>
      <c r="P2" s="88">
        <f t="shared" si="0"/>
        <v>14</v>
      </c>
      <c r="Q2" s="88">
        <f t="shared" si="0"/>
        <v>15</v>
      </c>
      <c r="R2" s="88">
        <f t="shared" si="0"/>
        <v>16</v>
      </c>
      <c r="S2" s="88">
        <f t="shared" si="0"/>
        <v>17</v>
      </c>
      <c r="T2" s="88">
        <f t="shared" si="0"/>
        <v>18</v>
      </c>
      <c r="U2" s="88">
        <f t="shared" si="0"/>
        <v>19</v>
      </c>
      <c r="V2" s="88">
        <f t="shared" si="0"/>
        <v>20</v>
      </c>
      <c r="W2" s="88" t="str">
        <f t="shared" si="0"/>
        <v/>
      </c>
      <c r="X2" s="88" t="str">
        <f t="shared" si="0"/>
        <v/>
      </c>
      <c r="Y2" s="88" t="str">
        <f t="shared" si="0"/>
        <v/>
      </c>
      <c r="Z2" s="88" t="str">
        <f t="shared" si="0"/>
        <v/>
      </c>
      <c r="AA2" s="88" t="str">
        <f t="shared" si="0"/>
        <v/>
      </c>
      <c r="AB2" s="88" t="str">
        <f t="shared" si="0"/>
        <v/>
      </c>
      <c r="AC2" s="88" t="str">
        <f t="shared" si="0"/>
        <v/>
      </c>
      <c r="AD2" s="88" t="str">
        <f t="shared" si="0"/>
        <v/>
      </c>
      <c r="AE2" s="88" t="str">
        <f t="shared" si="0"/>
        <v/>
      </c>
      <c r="AF2" s="88" t="str">
        <f t="shared" si="0"/>
        <v/>
      </c>
      <c r="AG2" s="88" t="str">
        <f t="shared" si="0"/>
        <v/>
      </c>
      <c r="AH2" s="88" t="str">
        <f t="shared" si="0"/>
        <v/>
      </c>
      <c r="AI2" s="88" t="str">
        <f t="shared" ref="AI2:BN2" si="1">IF(AH2="","",IF(AH2+1&lt;=analysis_period,AH2+1,""))</f>
        <v/>
      </c>
      <c r="AJ2" s="88" t="str">
        <f t="shared" si="1"/>
        <v/>
      </c>
      <c r="AK2" s="88" t="str">
        <f t="shared" si="1"/>
        <v/>
      </c>
      <c r="AL2" s="88" t="str">
        <f t="shared" si="1"/>
        <v/>
      </c>
      <c r="AM2" s="88" t="str">
        <f t="shared" si="1"/>
        <v/>
      </c>
      <c r="AN2" s="88" t="str">
        <f t="shared" si="1"/>
        <v/>
      </c>
      <c r="AO2" s="88" t="str">
        <f t="shared" si="1"/>
        <v/>
      </c>
      <c r="AP2" s="88" t="str">
        <f t="shared" si="1"/>
        <v/>
      </c>
      <c r="AQ2" s="88" t="str">
        <f t="shared" si="1"/>
        <v/>
      </c>
      <c r="AR2" s="88" t="str">
        <f t="shared" si="1"/>
        <v/>
      </c>
      <c r="AS2" s="88" t="str">
        <f t="shared" si="1"/>
        <v/>
      </c>
      <c r="AT2" s="88" t="str">
        <f t="shared" si="1"/>
        <v/>
      </c>
      <c r="AU2" s="88" t="str">
        <f t="shared" si="1"/>
        <v/>
      </c>
      <c r="AV2" s="88" t="str">
        <f t="shared" si="1"/>
        <v/>
      </c>
      <c r="AW2" s="88" t="str">
        <f t="shared" si="1"/>
        <v/>
      </c>
      <c r="AX2" s="88" t="str">
        <f t="shared" si="1"/>
        <v/>
      </c>
      <c r="AY2" s="88" t="str">
        <f t="shared" si="1"/>
        <v/>
      </c>
      <c r="AZ2" s="88" t="str">
        <f t="shared" si="1"/>
        <v/>
      </c>
      <c r="BA2" s="88" t="str">
        <f t="shared" si="1"/>
        <v/>
      </c>
      <c r="BB2" s="88" t="str">
        <f t="shared" si="1"/>
        <v/>
      </c>
      <c r="BC2" s="88" t="str">
        <f t="shared" si="1"/>
        <v/>
      </c>
      <c r="BD2" s="88" t="str">
        <f t="shared" si="1"/>
        <v/>
      </c>
      <c r="BE2" s="88" t="str">
        <f t="shared" si="1"/>
        <v/>
      </c>
      <c r="BF2" s="88" t="str">
        <f t="shared" si="1"/>
        <v/>
      </c>
      <c r="BG2" s="88" t="str">
        <f t="shared" si="1"/>
        <v/>
      </c>
      <c r="BH2" s="88" t="str">
        <f t="shared" si="1"/>
        <v/>
      </c>
      <c r="BI2" s="88" t="str">
        <f t="shared" si="1"/>
        <v/>
      </c>
      <c r="BJ2" s="88" t="str">
        <f t="shared" si="1"/>
        <v/>
      </c>
      <c r="BK2" s="88" t="str">
        <f t="shared" si="1"/>
        <v/>
      </c>
      <c r="BL2" s="88" t="str">
        <f t="shared" si="1"/>
        <v/>
      </c>
      <c r="BM2" s="88" t="str">
        <f t="shared" si="1"/>
        <v/>
      </c>
      <c r="BN2" s="88" t="str">
        <f t="shared" si="1"/>
        <v/>
      </c>
      <c r="BO2" s="88" t="str">
        <f t="shared" ref="BO2:CX2" si="2">IF(BN2="","",IF(BN2+1&lt;=analysis_period,BN2+1,""))</f>
        <v/>
      </c>
      <c r="BP2" s="88" t="str">
        <f t="shared" si="2"/>
        <v/>
      </c>
      <c r="BQ2" s="88" t="str">
        <f t="shared" si="2"/>
        <v/>
      </c>
      <c r="BR2" s="88" t="str">
        <f t="shared" si="2"/>
        <v/>
      </c>
      <c r="BS2" s="88" t="str">
        <f t="shared" si="2"/>
        <v/>
      </c>
      <c r="BT2" s="88" t="str">
        <f t="shared" si="2"/>
        <v/>
      </c>
      <c r="BU2" s="88" t="str">
        <f t="shared" si="2"/>
        <v/>
      </c>
      <c r="BV2" s="88" t="str">
        <f t="shared" si="2"/>
        <v/>
      </c>
      <c r="BW2" s="88" t="str">
        <f t="shared" si="2"/>
        <v/>
      </c>
      <c r="BX2" s="88" t="str">
        <f t="shared" si="2"/>
        <v/>
      </c>
      <c r="BY2" s="88" t="str">
        <f t="shared" si="2"/>
        <v/>
      </c>
      <c r="BZ2" s="88" t="str">
        <f t="shared" si="2"/>
        <v/>
      </c>
      <c r="CA2" s="88" t="str">
        <f t="shared" si="2"/>
        <v/>
      </c>
      <c r="CB2" s="88" t="str">
        <f t="shared" si="2"/>
        <v/>
      </c>
      <c r="CC2" s="88" t="str">
        <f t="shared" si="2"/>
        <v/>
      </c>
      <c r="CD2" s="88" t="str">
        <f t="shared" si="2"/>
        <v/>
      </c>
      <c r="CE2" s="88" t="str">
        <f t="shared" si="2"/>
        <v/>
      </c>
      <c r="CF2" s="88" t="str">
        <f t="shared" si="2"/>
        <v/>
      </c>
      <c r="CG2" s="88" t="str">
        <f t="shared" si="2"/>
        <v/>
      </c>
      <c r="CH2" s="88" t="str">
        <f t="shared" si="2"/>
        <v/>
      </c>
      <c r="CI2" s="88" t="str">
        <f t="shared" si="2"/>
        <v/>
      </c>
      <c r="CJ2" s="88" t="str">
        <f t="shared" si="2"/>
        <v/>
      </c>
      <c r="CK2" s="88" t="str">
        <f t="shared" si="2"/>
        <v/>
      </c>
      <c r="CL2" s="88" t="str">
        <f t="shared" si="2"/>
        <v/>
      </c>
      <c r="CM2" s="88" t="str">
        <f t="shared" si="2"/>
        <v/>
      </c>
      <c r="CN2" s="88" t="str">
        <f t="shared" si="2"/>
        <v/>
      </c>
      <c r="CO2" s="88" t="str">
        <f t="shared" si="2"/>
        <v/>
      </c>
      <c r="CP2" s="88" t="str">
        <f t="shared" si="2"/>
        <v/>
      </c>
      <c r="CQ2" s="88" t="str">
        <f t="shared" si="2"/>
        <v/>
      </c>
      <c r="CR2" s="88" t="str">
        <f t="shared" si="2"/>
        <v/>
      </c>
      <c r="CS2" s="88" t="str">
        <f t="shared" si="2"/>
        <v/>
      </c>
      <c r="CT2" s="88" t="str">
        <f t="shared" si="2"/>
        <v/>
      </c>
      <c r="CU2" s="88" t="str">
        <f t="shared" si="2"/>
        <v/>
      </c>
      <c r="CV2" s="88" t="str">
        <f t="shared" si="2"/>
        <v/>
      </c>
      <c r="CW2" s="88" t="str">
        <f t="shared" si="2"/>
        <v/>
      </c>
      <c r="CX2" s="88" t="str">
        <f t="shared" si="2"/>
        <v/>
      </c>
    </row>
    <row r="3" spans="1:102" x14ac:dyDescent="0.25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</row>
    <row r="4" spans="1:102" ht="13.8" customHeight="1" x14ac:dyDescent="0.3">
      <c r="A4" s="87" t="s">
        <v>106</v>
      </c>
      <c r="B4" s="91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92"/>
    </row>
    <row r="5" spans="1:102" x14ac:dyDescent="0.25">
      <c r="A5" s="112" t="s">
        <v>107</v>
      </c>
      <c r="B5" s="93">
        <f>'Inputs and Outputs'!B107</f>
        <v>0</v>
      </c>
      <c r="C5" s="93">
        <f>'Inputs and Outputs'!C107</f>
        <v>67893</v>
      </c>
      <c r="D5" s="93">
        <f>'Inputs and Outputs'!D107</f>
        <v>67553.535000000003</v>
      </c>
      <c r="E5" s="93">
        <f>'Inputs and Outputs'!E107</f>
        <v>67215.767325000008</v>
      </c>
      <c r="F5" s="93">
        <f>'Inputs and Outputs'!F107</f>
        <v>66879.688488375003</v>
      </c>
      <c r="G5" s="93">
        <f>'Inputs and Outputs'!G107</f>
        <v>66545.290045933129</v>
      </c>
      <c r="H5" s="93">
        <f>'Inputs and Outputs'!H107</f>
        <v>66212.563595703468</v>
      </c>
      <c r="I5" s="93">
        <f>'Inputs and Outputs'!I107</f>
        <v>65881.500777724956</v>
      </c>
      <c r="J5" s="93">
        <f>'Inputs and Outputs'!J107</f>
        <v>65552.093273836334</v>
      </c>
      <c r="K5" s="93">
        <f>'Inputs and Outputs'!K107</f>
        <v>65224.332807467152</v>
      </c>
      <c r="L5" s="93">
        <f>'Inputs and Outputs'!L107</f>
        <v>64898.211143429813</v>
      </c>
      <c r="M5" s="93">
        <f>'Inputs and Outputs'!M107</f>
        <v>64573.720087712667</v>
      </c>
      <c r="N5" s="93">
        <f>'Inputs and Outputs'!N107</f>
        <v>64250.8514872741</v>
      </c>
      <c r="O5" s="93">
        <f>'Inputs and Outputs'!O107</f>
        <v>63929.597229837731</v>
      </c>
      <c r="P5" s="93">
        <f>'Inputs and Outputs'!P107</f>
        <v>63609.949243688541</v>
      </c>
      <c r="Q5" s="93">
        <f>'Inputs and Outputs'!Q107</f>
        <v>63291.899497470098</v>
      </c>
      <c r="R5" s="93">
        <f>'Inputs and Outputs'!R107</f>
        <v>62975.439999982744</v>
      </c>
      <c r="S5" s="93">
        <f>'Inputs and Outputs'!S107</f>
        <v>62660.562799982828</v>
      </c>
      <c r="T5" s="93">
        <f>'Inputs and Outputs'!T107</f>
        <v>62347.259985982913</v>
      </c>
      <c r="U5" s="93">
        <f>'Inputs and Outputs'!U107</f>
        <v>62035.523686052999</v>
      </c>
      <c r="V5" s="93">
        <f>'Inputs and Outputs'!V107</f>
        <v>61725.346067622733</v>
      </c>
      <c r="W5" s="93" t="str">
        <f>'Inputs and Outputs'!W107</f>
        <v/>
      </c>
      <c r="X5" s="93" t="str">
        <f>'Inputs and Outputs'!X107</f>
        <v/>
      </c>
      <c r="Y5" s="93" t="str">
        <f>'Inputs and Outputs'!Y107</f>
        <v/>
      </c>
      <c r="Z5" s="93" t="str">
        <f>'Inputs and Outputs'!Z107</f>
        <v/>
      </c>
      <c r="AA5" s="93" t="str">
        <f>'Inputs and Outputs'!AA107</f>
        <v/>
      </c>
      <c r="AB5" s="93" t="str">
        <f>'Inputs and Outputs'!AB107</f>
        <v/>
      </c>
      <c r="AC5" s="93" t="str">
        <f>'Inputs and Outputs'!AC107</f>
        <v/>
      </c>
      <c r="AD5" s="93" t="str">
        <f>'Inputs and Outputs'!AD107</f>
        <v/>
      </c>
      <c r="AE5" s="93" t="str">
        <f>'Inputs and Outputs'!AE107</f>
        <v/>
      </c>
      <c r="AF5" s="93" t="str">
        <f>'Inputs and Outputs'!AF107</f>
        <v/>
      </c>
      <c r="AG5" s="93" t="str">
        <f>'Inputs and Outputs'!AG107</f>
        <v/>
      </c>
      <c r="AH5" s="93" t="str">
        <f>'Inputs and Outputs'!AH107</f>
        <v/>
      </c>
      <c r="AI5" s="93" t="str">
        <f>'Inputs and Outputs'!AI107</f>
        <v/>
      </c>
      <c r="AJ5" s="93" t="str">
        <f>'Inputs and Outputs'!AJ107</f>
        <v/>
      </c>
      <c r="AK5" s="93" t="str">
        <f>'Inputs and Outputs'!AK107</f>
        <v/>
      </c>
      <c r="AL5" s="93" t="str">
        <f>'Inputs and Outputs'!AL107</f>
        <v/>
      </c>
      <c r="AM5" s="93" t="str">
        <f>'Inputs and Outputs'!AM107</f>
        <v/>
      </c>
      <c r="AN5" s="93" t="str">
        <f>'Inputs and Outputs'!AN107</f>
        <v/>
      </c>
      <c r="AO5" s="93" t="str">
        <f>'Inputs and Outputs'!AO107</f>
        <v/>
      </c>
      <c r="AP5" s="93" t="str">
        <f>'Inputs and Outputs'!AP107</f>
        <v/>
      </c>
      <c r="AQ5" s="93" t="str">
        <f>'Inputs and Outputs'!AQ107</f>
        <v/>
      </c>
      <c r="AR5" s="93" t="str">
        <f>'Inputs and Outputs'!AR107</f>
        <v/>
      </c>
      <c r="AS5" s="93" t="str">
        <f>'Inputs and Outputs'!AS107</f>
        <v/>
      </c>
      <c r="AT5" s="93" t="str">
        <f>'Inputs and Outputs'!AT107</f>
        <v/>
      </c>
      <c r="AU5" s="93" t="str">
        <f>'Inputs and Outputs'!AU107</f>
        <v/>
      </c>
      <c r="AV5" s="93" t="str">
        <f>'Inputs and Outputs'!AV107</f>
        <v/>
      </c>
      <c r="AW5" s="93" t="str">
        <f>'Inputs and Outputs'!AW107</f>
        <v/>
      </c>
      <c r="AX5" s="93" t="str">
        <f>'Inputs and Outputs'!AX107</f>
        <v/>
      </c>
      <c r="AY5" s="93" t="str">
        <f>'Inputs and Outputs'!AY107</f>
        <v/>
      </c>
      <c r="AZ5" s="93" t="str">
        <f>'Inputs and Outputs'!AZ107</f>
        <v/>
      </c>
      <c r="BA5" s="93" t="str">
        <f>'Inputs and Outputs'!BA107</f>
        <v/>
      </c>
      <c r="BB5" s="93" t="str">
        <f>'Inputs and Outputs'!BB107</f>
        <v/>
      </c>
      <c r="BC5" s="93" t="str">
        <f>'Inputs and Outputs'!BC107</f>
        <v/>
      </c>
      <c r="BD5" s="93" t="str">
        <f>'Inputs and Outputs'!BD107</f>
        <v/>
      </c>
      <c r="BE5" s="93" t="str">
        <f>'Inputs and Outputs'!BE107</f>
        <v/>
      </c>
      <c r="BF5" s="93" t="str">
        <f>'Inputs and Outputs'!BF107</f>
        <v/>
      </c>
      <c r="BG5" s="93" t="str">
        <f>'Inputs and Outputs'!BG107</f>
        <v/>
      </c>
      <c r="BH5" s="93" t="str">
        <f>'Inputs and Outputs'!BH107</f>
        <v/>
      </c>
      <c r="BI5" s="93" t="str">
        <f>'Inputs and Outputs'!BI107</f>
        <v/>
      </c>
      <c r="BJ5" s="93" t="str">
        <f>'Inputs and Outputs'!BJ107</f>
        <v/>
      </c>
      <c r="BK5" s="93" t="str">
        <f>'Inputs and Outputs'!BK107</f>
        <v/>
      </c>
      <c r="BL5" s="93" t="str">
        <f>'Inputs and Outputs'!BL107</f>
        <v/>
      </c>
      <c r="BM5" s="93" t="str">
        <f>'Inputs and Outputs'!BM107</f>
        <v/>
      </c>
      <c r="BN5" s="93" t="str">
        <f>'Inputs and Outputs'!BN107</f>
        <v/>
      </c>
      <c r="BO5" s="93" t="str">
        <f>'Inputs and Outputs'!BO107</f>
        <v/>
      </c>
      <c r="BP5" s="93" t="str">
        <f>'Inputs and Outputs'!BP107</f>
        <v/>
      </c>
      <c r="BQ5" s="93" t="str">
        <f>'Inputs and Outputs'!BQ107</f>
        <v/>
      </c>
      <c r="BR5" s="93" t="str">
        <f>'Inputs and Outputs'!BR107</f>
        <v/>
      </c>
      <c r="BS5" s="93" t="str">
        <f>'Inputs and Outputs'!BS107</f>
        <v/>
      </c>
      <c r="BT5" s="93" t="str">
        <f>'Inputs and Outputs'!BT107</f>
        <v/>
      </c>
      <c r="BU5" s="93" t="str">
        <f>'Inputs and Outputs'!BU107</f>
        <v/>
      </c>
      <c r="BV5" s="93" t="str">
        <f>'Inputs and Outputs'!BV107</f>
        <v/>
      </c>
      <c r="BW5" s="93" t="str">
        <f>'Inputs and Outputs'!BW107</f>
        <v/>
      </c>
      <c r="BX5" s="93" t="str">
        <f>'Inputs and Outputs'!BX107</f>
        <v/>
      </c>
      <c r="BY5" s="93" t="str">
        <f>'Inputs and Outputs'!BY107</f>
        <v/>
      </c>
      <c r="BZ5" s="93" t="str">
        <f>'Inputs and Outputs'!BZ107</f>
        <v/>
      </c>
      <c r="CA5" s="93" t="str">
        <f>'Inputs and Outputs'!CA107</f>
        <v/>
      </c>
      <c r="CB5" s="93" t="str">
        <f>'Inputs and Outputs'!CB107</f>
        <v/>
      </c>
      <c r="CC5" s="93" t="str">
        <f>'Inputs and Outputs'!CC107</f>
        <v/>
      </c>
      <c r="CD5" s="93" t="str">
        <f>'Inputs and Outputs'!CD107</f>
        <v/>
      </c>
      <c r="CE5" s="93" t="str">
        <f>'Inputs and Outputs'!CE107</f>
        <v/>
      </c>
      <c r="CF5" s="93" t="str">
        <f>'Inputs and Outputs'!CF107</f>
        <v/>
      </c>
      <c r="CG5" s="93" t="str">
        <f>'Inputs and Outputs'!CG107</f>
        <v/>
      </c>
      <c r="CH5" s="93" t="str">
        <f>'Inputs and Outputs'!CH107</f>
        <v/>
      </c>
      <c r="CI5" s="93" t="str">
        <f>'Inputs and Outputs'!CI107</f>
        <v/>
      </c>
      <c r="CJ5" s="93" t="str">
        <f>'Inputs and Outputs'!CJ107</f>
        <v/>
      </c>
      <c r="CK5" s="93" t="str">
        <f>'Inputs and Outputs'!CK107</f>
        <v/>
      </c>
      <c r="CL5" s="93" t="str">
        <f>'Inputs and Outputs'!CL107</f>
        <v/>
      </c>
      <c r="CM5" s="93" t="str">
        <f>'Inputs and Outputs'!CM107</f>
        <v/>
      </c>
      <c r="CN5" s="93" t="str">
        <f>'Inputs and Outputs'!CN107</f>
        <v/>
      </c>
      <c r="CO5" s="93" t="str">
        <f>'Inputs and Outputs'!CO107</f>
        <v/>
      </c>
      <c r="CP5" s="93" t="str">
        <f>'Inputs and Outputs'!CP107</f>
        <v/>
      </c>
      <c r="CQ5" s="93" t="str">
        <f>'Inputs and Outputs'!CQ107</f>
        <v/>
      </c>
      <c r="CR5" s="93" t="str">
        <f>'Inputs and Outputs'!CR107</f>
        <v/>
      </c>
      <c r="CS5" s="93" t="str">
        <f>'Inputs and Outputs'!CS107</f>
        <v/>
      </c>
      <c r="CT5" s="93" t="str">
        <f>'Inputs and Outputs'!CT107</f>
        <v/>
      </c>
      <c r="CU5" s="93" t="str">
        <f>'Inputs and Outputs'!CU107</f>
        <v/>
      </c>
      <c r="CV5" s="93" t="str">
        <f>'Inputs and Outputs'!CV107</f>
        <v/>
      </c>
      <c r="CW5" s="93" t="str">
        <f>'Inputs and Outputs'!CW107</f>
        <v/>
      </c>
      <c r="CX5" s="93" t="str">
        <f>'Inputs and Outputs'!CX107</f>
        <v/>
      </c>
    </row>
    <row r="6" spans="1:102" x14ac:dyDescent="0.25">
      <c r="A6" s="112" t="s">
        <v>108</v>
      </c>
      <c r="B6" s="93">
        <f>'Inputs and Outputs'!B108</f>
        <v>0</v>
      </c>
      <c r="C6" s="93">
        <f>'Inputs and Outputs'!C108</f>
        <v>0</v>
      </c>
      <c r="D6" s="93">
        <f>'Inputs and Outputs'!D108</f>
        <v>0</v>
      </c>
      <c r="E6" s="93">
        <f>'Inputs and Outputs'!E108</f>
        <v>0</v>
      </c>
      <c r="F6" s="93">
        <f>'Inputs and Outputs'!F108</f>
        <v>0</v>
      </c>
      <c r="G6" s="93">
        <f>'Inputs and Outputs'!G108</f>
        <v>0</v>
      </c>
      <c r="H6" s="93">
        <f>'Inputs and Outputs'!H108</f>
        <v>0</v>
      </c>
      <c r="I6" s="93">
        <f>'Inputs and Outputs'!I108</f>
        <v>0</v>
      </c>
      <c r="J6" s="93">
        <f>'Inputs and Outputs'!J108</f>
        <v>0</v>
      </c>
      <c r="K6" s="93">
        <f>'Inputs and Outputs'!K108</f>
        <v>0</v>
      </c>
      <c r="L6" s="93">
        <f>'Inputs and Outputs'!L108</f>
        <v>0</v>
      </c>
      <c r="M6" s="93">
        <f>'Inputs and Outputs'!M108</f>
        <v>0</v>
      </c>
      <c r="N6" s="93">
        <f>'Inputs and Outputs'!N108</f>
        <v>0</v>
      </c>
      <c r="O6" s="93">
        <f>'Inputs and Outputs'!O108</f>
        <v>0</v>
      </c>
      <c r="P6" s="93">
        <f>'Inputs and Outputs'!P108</f>
        <v>0</v>
      </c>
      <c r="Q6" s="93">
        <f>'Inputs and Outputs'!Q108</f>
        <v>0</v>
      </c>
      <c r="R6" s="93">
        <f>'Inputs and Outputs'!R108</f>
        <v>0</v>
      </c>
      <c r="S6" s="93">
        <f>'Inputs and Outputs'!S108</f>
        <v>0</v>
      </c>
      <c r="T6" s="93">
        <f>'Inputs and Outputs'!T108</f>
        <v>0</v>
      </c>
      <c r="U6" s="93">
        <f>'Inputs and Outputs'!U108</f>
        <v>0</v>
      </c>
      <c r="V6" s="93">
        <f>'Inputs and Outputs'!V108</f>
        <v>0</v>
      </c>
      <c r="W6" s="93" t="str">
        <f>'Inputs and Outputs'!W108</f>
        <v/>
      </c>
      <c r="X6" s="93" t="str">
        <f>'Inputs and Outputs'!X108</f>
        <v/>
      </c>
      <c r="Y6" s="93" t="str">
        <f>'Inputs and Outputs'!Y108</f>
        <v/>
      </c>
      <c r="Z6" s="93" t="str">
        <f>'Inputs and Outputs'!Z108</f>
        <v/>
      </c>
      <c r="AA6" s="93" t="str">
        <f>'Inputs and Outputs'!AA108</f>
        <v/>
      </c>
      <c r="AB6" s="93" t="str">
        <f>'Inputs and Outputs'!AB108</f>
        <v/>
      </c>
      <c r="AC6" s="93" t="str">
        <f>'Inputs and Outputs'!AC108</f>
        <v/>
      </c>
      <c r="AD6" s="93" t="str">
        <f>'Inputs and Outputs'!AD108</f>
        <v/>
      </c>
      <c r="AE6" s="93" t="str">
        <f>'Inputs and Outputs'!AE108</f>
        <v/>
      </c>
      <c r="AF6" s="93" t="str">
        <f>'Inputs and Outputs'!AF108</f>
        <v/>
      </c>
      <c r="AG6" s="93" t="str">
        <f>'Inputs and Outputs'!AG108</f>
        <v/>
      </c>
      <c r="AH6" s="93" t="str">
        <f>'Inputs and Outputs'!AH108</f>
        <v/>
      </c>
      <c r="AI6" s="93" t="str">
        <f>'Inputs and Outputs'!AI108</f>
        <v/>
      </c>
      <c r="AJ6" s="93" t="str">
        <f>'Inputs and Outputs'!AJ108</f>
        <v/>
      </c>
      <c r="AK6" s="93" t="str">
        <f>'Inputs and Outputs'!AK108</f>
        <v/>
      </c>
      <c r="AL6" s="93" t="str">
        <f>'Inputs and Outputs'!AL108</f>
        <v/>
      </c>
      <c r="AM6" s="93" t="str">
        <f>'Inputs and Outputs'!AM108</f>
        <v/>
      </c>
      <c r="AN6" s="93" t="str">
        <f>'Inputs and Outputs'!AN108</f>
        <v/>
      </c>
      <c r="AO6" s="93" t="str">
        <f>'Inputs and Outputs'!AO108</f>
        <v/>
      </c>
      <c r="AP6" s="93" t="str">
        <f>'Inputs and Outputs'!AP108</f>
        <v/>
      </c>
      <c r="AQ6" s="93" t="str">
        <f>'Inputs and Outputs'!AQ108</f>
        <v/>
      </c>
      <c r="AR6" s="93" t="str">
        <f>'Inputs and Outputs'!AR108</f>
        <v/>
      </c>
      <c r="AS6" s="93" t="str">
        <f>'Inputs and Outputs'!AS108</f>
        <v/>
      </c>
      <c r="AT6" s="93" t="str">
        <f>'Inputs and Outputs'!AT108</f>
        <v/>
      </c>
      <c r="AU6" s="93" t="str">
        <f>'Inputs and Outputs'!AU108</f>
        <v/>
      </c>
      <c r="AV6" s="93" t="str">
        <f>'Inputs and Outputs'!AV108</f>
        <v/>
      </c>
      <c r="AW6" s="93" t="str">
        <f>'Inputs and Outputs'!AW108</f>
        <v/>
      </c>
      <c r="AX6" s="93" t="str">
        <f>'Inputs and Outputs'!AX108</f>
        <v/>
      </c>
      <c r="AY6" s="93" t="str">
        <f>'Inputs and Outputs'!AY108</f>
        <v/>
      </c>
      <c r="AZ6" s="93" t="str">
        <f>'Inputs and Outputs'!AZ108</f>
        <v/>
      </c>
      <c r="BA6" s="93" t="str">
        <f>'Inputs and Outputs'!BA108</f>
        <v/>
      </c>
      <c r="BB6" s="93" t="str">
        <f>'Inputs and Outputs'!BB108</f>
        <v/>
      </c>
      <c r="BC6" s="93" t="str">
        <f>'Inputs and Outputs'!BC108</f>
        <v/>
      </c>
      <c r="BD6" s="93" t="str">
        <f>'Inputs and Outputs'!BD108</f>
        <v/>
      </c>
      <c r="BE6" s="93" t="str">
        <f>'Inputs and Outputs'!BE108</f>
        <v/>
      </c>
      <c r="BF6" s="93" t="str">
        <f>'Inputs and Outputs'!BF108</f>
        <v/>
      </c>
      <c r="BG6" s="93" t="str">
        <f>'Inputs and Outputs'!BG108</f>
        <v/>
      </c>
      <c r="BH6" s="93" t="str">
        <f>'Inputs and Outputs'!BH108</f>
        <v/>
      </c>
      <c r="BI6" s="93" t="str">
        <f>'Inputs and Outputs'!BI108</f>
        <v/>
      </c>
      <c r="BJ6" s="93" t="str">
        <f>'Inputs and Outputs'!BJ108</f>
        <v/>
      </c>
      <c r="BK6" s="93" t="str">
        <f>'Inputs and Outputs'!BK108</f>
        <v/>
      </c>
      <c r="BL6" s="93" t="str">
        <f>'Inputs and Outputs'!BL108</f>
        <v/>
      </c>
      <c r="BM6" s="93" t="str">
        <f>'Inputs and Outputs'!BM108</f>
        <v/>
      </c>
      <c r="BN6" s="93" t="str">
        <f>'Inputs and Outputs'!BN108</f>
        <v/>
      </c>
      <c r="BO6" s="93" t="str">
        <f>'Inputs and Outputs'!BO108</f>
        <v/>
      </c>
      <c r="BP6" s="93" t="str">
        <f>'Inputs and Outputs'!BP108</f>
        <v/>
      </c>
      <c r="BQ6" s="93" t="str">
        <f>'Inputs and Outputs'!BQ108</f>
        <v/>
      </c>
      <c r="BR6" s="93" t="str">
        <f>'Inputs and Outputs'!BR108</f>
        <v/>
      </c>
      <c r="BS6" s="93" t="str">
        <f>'Inputs and Outputs'!BS108</f>
        <v/>
      </c>
      <c r="BT6" s="93" t="str">
        <f>'Inputs and Outputs'!BT108</f>
        <v/>
      </c>
      <c r="BU6" s="93" t="str">
        <f>'Inputs and Outputs'!BU108</f>
        <v/>
      </c>
      <c r="BV6" s="93" t="str">
        <f>'Inputs and Outputs'!BV108</f>
        <v/>
      </c>
      <c r="BW6" s="93" t="str">
        <f>'Inputs and Outputs'!BW108</f>
        <v/>
      </c>
      <c r="BX6" s="93" t="str">
        <f>'Inputs and Outputs'!BX108</f>
        <v/>
      </c>
      <c r="BY6" s="93" t="str">
        <f>'Inputs and Outputs'!BY108</f>
        <v/>
      </c>
      <c r="BZ6" s="93" t="str">
        <f>'Inputs and Outputs'!BZ108</f>
        <v/>
      </c>
      <c r="CA6" s="93" t="str">
        <f>'Inputs and Outputs'!CA108</f>
        <v/>
      </c>
      <c r="CB6" s="93" t="str">
        <f>'Inputs and Outputs'!CB108</f>
        <v/>
      </c>
      <c r="CC6" s="93" t="str">
        <f>'Inputs and Outputs'!CC108</f>
        <v/>
      </c>
      <c r="CD6" s="93" t="str">
        <f>'Inputs and Outputs'!CD108</f>
        <v/>
      </c>
      <c r="CE6" s="93" t="str">
        <f>'Inputs and Outputs'!CE108</f>
        <v/>
      </c>
      <c r="CF6" s="93" t="str">
        <f>'Inputs and Outputs'!CF108</f>
        <v/>
      </c>
      <c r="CG6" s="93" t="str">
        <f>'Inputs and Outputs'!CG108</f>
        <v/>
      </c>
      <c r="CH6" s="93" t="str">
        <f>'Inputs and Outputs'!CH108</f>
        <v/>
      </c>
      <c r="CI6" s="93" t="str">
        <f>'Inputs and Outputs'!CI108</f>
        <v/>
      </c>
      <c r="CJ6" s="93" t="str">
        <f>'Inputs and Outputs'!CJ108</f>
        <v/>
      </c>
      <c r="CK6" s="93" t="str">
        <f>'Inputs and Outputs'!CK108</f>
        <v/>
      </c>
      <c r="CL6" s="93" t="str">
        <f>'Inputs and Outputs'!CL108</f>
        <v/>
      </c>
      <c r="CM6" s="93" t="str">
        <f>'Inputs and Outputs'!CM108</f>
        <v/>
      </c>
      <c r="CN6" s="93" t="str">
        <f>'Inputs and Outputs'!CN108</f>
        <v/>
      </c>
      <c r="CO6" s="93" t="str">
        <f>'Inputs and Outputs'!CO108</f>
        <v/>
      </c>
      <c r="CP6" s="93" t="str">
        <f>'Inputs and Outputs'!CP108</f>
        <v/>
      </c>
      <c r="CQ6" s="93" t="str">
        <f>'Inputs and Outputs'!CQ108</f>
        <v/>
      </c>
      <c r="CR6" s="93" t="str">
        <f>'Inputs and Outputs'!CR108</f>
        <v/>
      </c>
      <c r="CS6" s="93" t="str">
        <f>'Inputs and Outputs'!CS108</f>
        <v/>
      </c>
      <c r="CT6" s="93" t="str">
        <f>'Inputs and Outputs'!CT108</f>
        <v/>
      </c>
      <c r="CU6" s="93" t="str">
        <f>'Inputs and Outputs'!CU108</f>
        <v/>
      </c>
      <c r="CV6" s="93" t="str">
        <f>'Inputs and Outputs'!CV108</f>
        <v/>
      </c>
      <c r="CW6" s="93" t="str">
        <f>'Inputs and Outputs'!CW108</f>
        <v/>
      </c>
      <c r="CX6" s="93" t="str">
        <f>'Inputs and Outputs'!CX108</f>
        <v/>
      </c>
    </row>
    <row r="7" spans="1:102" x14ac:dyDescent="0.25">
      <c r="A7" s="126" t="s">
        <v>109</v>
      </c>
      <c r="B7" s="93">
        <f>'Inputs and Outputs'!B109</f>
        <v>0</v>
      </c>
      <c r="C7" s="93">
        <f>'Inputs and Outputs'!C109</f>
        <v>0</v>
      </c>
      <c r="D7" s="93">
        <f>'Inputs and Outputs'!D109</f>
        <v>0</v>
      </c>
      <c r="E7" s="93">
        <f>'Inputs and Outputs'!E109</f>
        <v>0</v>
      </c>
      <c r="F7" s="93">
        <f>'Inputs and Outputs'!F109</f>
        <v>0</v>
      </c>
      <c r="G7" s="93">
        <f>'Inputs and Outputs'!G109</f>
        <v>0</v>
      </c>
      <c r="H7" s="93">
        <f>'Inputs and Outputs'!H109</f>
        <v>0</v>
      </c>
      <c r="I7" s="93">
        <f>'Inputs and Outputs'!I109</f>
        <v>0</v>
      </c>
      <c r="J7" s="93">
        <f>'Inputs and Outputs'!J109</f>
        <v>0</v>
      </c>
      <c r="K7" s="93">
        <f>'Inputs and Outputs'!K109</f>
        <v>0</v>
      </c>
      <c r="L7" s="93">
        <f>'Inputs and Outputs'!L109</f>
        <v>0</v>
      </c>
      <c r="M7" s="93">
        <f>'Inputs and Outputs'!M109</f>
        <v>0</v>
      </c>
      <c r="N7" s="93">
        <f>'Inputs and Outputs'!N109</f>
        <v>0</v>
      </c>
      <c r="O7" s="93">
        <f>'Inputs and Outputs'!O109</f>
        <v>0</v>
      </c>
      <c r="P7" s="93">
        <f>'Inputs and Outputs'!P109</f>
        <v>0</v>
      </c>
      <c r="Q7" s="93">
        <f>'Inputs and Outputs'!Q109</f>
        <v>0</v>
      </c>
      <c r="R7" s="93">
        <f>'Inputs and Outputs'!R109</f>
        <v>0</v>
      </c>
      <c r="S7" s="93">
        <f>'Inputs and Outputs'!S109</f>
        <v>0</v>
      </c>
      <c r="T7" s="93">
        <f>'Inputs and Outputs'!T109</f>
        <v>0</v>
      </c>
      <c r="U7" s="93">
        <f>'Inputs and Outputs'!U109</f>
        <v>0</v>
      </c>
      <c r="V7" s="93">
        <f>'Inputs and Outputs'!V109</f>
        <v>0</v>
      </c>
      <c r="W7" s="93" t="str">
        <f>'Inputs and Outputs'!W109</f>
        <v/>
      </c>
      <c r="X7" s="93" t="str">
        <f>'Inputs and Outputs'!X109</f>
        <v/>
      </c>
      <c r="Y7" s="93" t="str">
        <f>'Inputs and Outputs'!Y109</f>
        <v/>
      </c>
      <c r="Z7" s="93" t="str">
        <f>'Inputs and Outputs'!Z109</f>
        <v/>
      </c>
      <c r="AA7" s="93" t="str">
        <f>'Inputs and Outputs'!AA109</f>
        <v/>
      </c>
    </row>
    <row r="8" spans="1:102" x14ac:dyDescent="0.25">
      <c r="A8" s="112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93"/>
      <c r="CA8" s="93"/>
      <c r="CB8" s="93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</row>
    <row r="9" spans="1:102" ht="13.8" customHeight="1" x14ac:dyDescent="0.3">
      <c r="A9" s="87" t="s">
        <v>110</v>
      </c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5"/>
    </row>
    <row r="10" spans="1:102" x14ac:dyDescent="0.25">
      <c r="A10" s="96" t="s">
        <v>100</v>
      </c>
      <c r="B10" s="121">
        <f t="array" ref="B10:CX10">'Inputs and Outputs'!B113:CX113</f>
        <v>0</v>
      </c>
      <c r="C10" s="121">
        <v>3226.4399999999987</v>
      </c>
      <c r="D10" s="121">
        <v>3396.3959534399983</v>
      </c>
      <c r="E10" s="121">
        <v>3484.7022482294396</v>
      </c>
      <c r="F10" s="121">
        <v>3575.3045066834038</v>
      </c>
      <c r="G10" s="121">
        <v>3668.2624238571716</v>
      </c>
      <c r="H10" s="121">
        <v>3763.6372468774571</v>
      </c>
      <c r="I10" s="121">
        <v>3861.4918152962728</v>
      </c>
      <c r="J10" s="121">
        <v>3961.8906024939752</v>
      </c>
      <c r="K10" s="121">
        <v>4064.8997581588173</v>
      </c>
      <c r="L10" s="121">
        <v>4170.5871518709464</v>
      </c>
      <c r="M10" s="121">
        <v>4279.0224178195931</v>
      </c>
      <c r="N10" s="121">
        <v>4390.2770006829014</v>
      </c>
      <c r="O10" s="121">
        <v>4504.4242027006585</v>
      </c>
      <c r="P10" s="121">
        <v>4621.5392319708735</v>
      </c>
      <c r="Q10" s="121">
        <v>4741.6992520021158</v>
      </c>
      <c r="R10" s="121">
        <v>4864.9834325541706</v>
      </c>
      <c r="S10" s="121">
        <v>4991.4730018005794</v>
      </c>
      <c r="T10" s="121">
        <v>5121.251299847394</v>
      </c>
      <c r="U10" s="121">
        <v>5254.403833643426</v>
      </c>
      <c r="V10" s="121">
        <v>5391.0183333181576</v>
      </c>
      <c r="W10" s="121" t="str">
        <v/>
      </c>
      <c r="X10" s="121" t="str">
        <v/>
      </c>
      <c r="Y10" s="121" t="str">
        <v/>
      </c>
      <c r="Z10" s="121" t="str">
        <v/>
      </c>
      <c r="AA10" s="121" t="str">
        <v/>
      </c>
      <c r="AB10" s="121" t="str">
        <v/>
      </c>
      <c r="AC10" s="121" t="str">
        <v/>
      </c>
      <c r="AD10" s="121" t="str">
        <v/>
      </c>
      <c r="AE10" s="121" t="str">
        <v/>
      </c>
      <c r="AF10" s="121" t="str">
        <v/>
      </c>
      <c r="AG10" s="121" t="str">
        <v/>
      </c>
      <c r="AH10" s="121" t="str">
        <v/>
      </c>
      <c r="AI10" s="121" t="str">
        <v/>
      </c>
      <c r="AJ10" s="121" t="str">
        <v/>
      </c>
      <c r="AK10" s="121" t="str">
        <v/>
      </c>
      <c r="AL10" s="121" t="str">
        <v/>
      </c>
      <c r="AM10" s="121" t="str">
        <v/>
      </c>
      <c r="AN10" s="121" t="str">
        <v/>
      </c>
      <c r="AO10" s="121" t="str">
        <v/>
      </c>
      <c r="AP10" s="121" t="str">
        <v/>
      </c>
      <c r="AQ10" s="121" t="str">
        <v/>
      </c>
      <c r="AR10" s="121" t="str">
        <v/>
      </c>
      <c r="AS10" s="121" t="str">
        <v/>
      </c>
      <c r="AT10" s="121" t="str">
        <v/>
      </c>
      <c r="AU10" s="121" t="str">
        <v/>
      </c>
      <c r="AV10" s="121" t="str">
        <v/>
      </c>
      <c r="AW10" s="121" t="str">
        <v/>
      </c>
      <c r="AX10" s="121" t="str">
        <v/>
      </c>
      <c r="AY10" s="121" t="str">
        <v/>
      </c>
      <c r="AZ10" s="121" t="str">
        <v/>
      </c>
      <c r="BA10" s="121" t="str">
        <v/>
      </c>
      <c r="BB10" s="121" t="str">
        <v/>
      </c>
      <c r="BC10" s="121" t="str">
        <v/>
      </c>
      <c r="BD10" s="121" t="str">
        <v/>
      </c>
      <c r="BE10" s="121" t="str">
        <v/>
      </c>
      <c r="BF10" s="121" t="str">
        <v/>
      </c>
      <c r="BG10" s="121" t="str">
        <v/>
      </c>
      <c r="BH10" s="121" t="str">
        <v/>
      </c>
      <c r="BI10" s="121" t="str">
        <v/>
      </c>
      <c r="BJ10" s="121" t="str">
        <v/>
      </c>
      <c r="BK10" s="121" t="str">
        <v/>
      </c>
      <c r="BL10" s="121" t="str">
        <v/>
      </c>
      <c r="BM10" s="121" t="str">
        <v/>
      </c>
      <c r="BN10" s="121" t="str">
        <v/>
      </c>
      <c r="BO10" s="121" t="str">
        <v/>
      </c>
      <c r="BP10" s="121" t="str">
        <v/>
      </c>
      <c r="BQ10" s="121" t="str">
        <v/>
      </c>
      <c r="BR10" s="121" t="str">
        <v/>
      </c>
      <c r="BS10" s="121" t="str">
        <v/>
      </c>
      <c r="BT10" s="121" t="str">
        <v/>
      </c>
      <c r="BU10" s="121" t="str">
        <v/>
      </c>
      <c r="BV10" s="121" t="str">
        <v/>
      </c>
      <c r="BW10" s="121" t="str">
        <v/>
      </c>
      <c r="BX10" s="121" t="str">
        <v/>
      </c>
      <c r="BY10" s="121" t="str">
        <v/>
      </c>
      <c r="BZ10" s="121" t="str">
        <v/>
      </c>
      <c r="CA10" s="121" t="str">
        <v/>
      </c>
      <c r="CB10" s="121" t="str">
        <v/>
      </c>
      <c r="CC10" s="121" t="str">
        <v/>
      </c>
      <c r="CD10" s="121" t="str">
        <v/>
      </c>
      <c r="CE10" s="121" t="str">
        <v/>
      </c>
      <c r="CF10" s="121" t="str">
        <v/>
      </c>
      <c r="CG10" s="121" t="str">
        <v/>
      </c>
      <c r="CH10" s="121" t="str">
        <v/>
      </c>
      <c r="CI10" s="121" t="str">
        <v/>
      </c>
      <c r="CJ10" s="121" t="str">
        <v/>
      </c>
      <c r="CK10" s="121" t="str">
        <v/>
      </c>
      <c r="CL10" s="121" t="str">
        <v/>
      </c>
      <c r="CM10" s="121" t="str">
        <v/>
      </c>
      <c r="CN10" s="121" t="str">
        <v/>
      </c>
      <c r="CO10" s="121" t="str">
        <v/>
      </c>
      <c r="CP10" s="121" t="str">
        <v/>
      </c>
      <c r="CQ10" s="121" t="str">
        <v/>
      </c>
      <c r="CR10" s="121" t="str">
        <v/>
      </c>
      <c r="CS10" s="121" t="str">
        <v/>
      </c>
      <c r="CT10" s="121" t="str">
        <v/>
      </c>
      <c r="CU10" s="121" t="str">
        <v/>
      </c>
      <c r="CV10" s="121" t="str">
        <v/>
      </c>
      <c r="CW10" s="121" t="str">
        <v/>
      </c>
      <c r="CX10" s="121" t="str">
        <v/>
      </c>
    </row>
    <row r="11" spans="1:102" x14ac:dyDescent="0.25">
      <c r="A11" s="97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98"/>
      <c r="CU11" s="98"/>
      <c r="CV11" s="98"/>
      <c r="CW11" s="98"/>
      <c r="CX11" s="98"/>
    </row>
    <row r="12" spans="1:102" x14ac:dyDescent="0.25">
      <c r="A12" s="104" t="s">
        <v>111</v>
      </c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1"/>
    </row>
    <row r="13" spans="1:102" x14ac:dyDescent="0.25">
      <c r="A13" s="112" t="s">
        <v>31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</row>
    <row r="14" spans="1:102" x14ac:dyDescent="0.25">
      <c r="A14" s="107" t="s">
        <v>112</v>
      </c>
      <c r="B14" s="113"/>
      <c r="C14" s="121">
        <f t="shared" ref="C14:AH14" si="3">IF(AND(ISNUMBER(outYear),ISNUMBER(om_capacity)),om_capacity*(1+inflation_rate/100)^C2*system_capacity,"")</f>
        <v>573.47847999999999</v>
      </c>
      <c r="D14" s="121">
        <f t="shared" si="3"/>
        <v>587.81544199999996</v>
      </c>
      <c r="E14" s="121">
        <f t="shared" si="3"/>
        <v>602.51082804999999</v>
      </c>
      <c r="F14" s="121">
        <f t="shared" si="3"/>
        <v>617.57359875124996</v>
      </c>
      <c r="G14" s="121">
        <f t="shared" si="3"/>
        <v>633.01293872003112</v>
      </c>
      <c r="H14" s="121">
        <f t="shared" si="3"/>
        <v>648.83826218803188</v>
      </c>
      <c r="I14" s="121">
        <f t="shared" si="3"/>
        <v>665.0592187427327</v>
      </c>
      <c r="J14" s="121">
        <f t="shared" si="3"/>
        <v>681.68569921130097</v>
      </c>
      <c r="K14" s="121">
        <f t="shared" si="3"/>
        <v>698.72784169158331</v>
      </c>
      <c r="L14" s="121">
        <f t="shared" si="3"/>
        <v>716.19603773387291</v>
      </c>
      <c r="M14" s="121">
        <f t="shared" si="3"/>
        <v>734.10093867721969</v>
      </c>
      <c r="N14" s="121">
        <f t="shared" si="3"/>
        <v>752.45346214415019</v>
      </c>
      <c r="O14" s="121">
        <f t="shared" si="3"/>
        <v>771.26479869775392</v>
      </c>
      <c r="P14" s="121">
        <f t="shared" si="3"/>
        <v>790.54641866519762</v>
      </c>
      <c r="Q14" s="121">
        <f t="shared" si="3"/>
        <v>810.31007913182771</v>
      </c>
      <c r="R14" s="121">
        <f t="shared" si="3"/>
        <v>830.56783111012328</v>
      </c>
      <c r="S14" s="121">
        <f t="shared" si="3"/>
        <v>851.33202688787628</v>
      </c>
      <c r="T14" s="121">
        <f t="shared" si="3"/>
        <v>872.6153275600733</v>
      </c>
      <c r="U14" s="121">
        <f t="shared" si="3"/>
        <v>894.43071074907505</v>
      </c>
      <c r="V14" s="121">
        <f t="shared" si="3"/>
        <v>916.79147851780181</v>
      </c>
      <c r="W14" s="121" t="str">
        <f t="shared" si="3"/>
        <v/>
      </c>
      <c r="X14" s="121" t="str">
        <f t="shared" si="3"/>
        <v/>
      </c>
      <c r="Y14" s="121" t="str">
        <f t="shared" si="3"/>
        <v/>
      </c>
      <c r="Z14" s="121" t="str">
        <f t="shared" si="3"/>
        <v/>
      </c>
      <c r="AA14" s="121" t="str">
        <f t="shared" si="3"/>
        <v/>
      </c>
      <c r="AB14" s="121" t="str">
        <f t="shared" si="3"/>
        <v/>
      </c>
      <c r="AC14" s="121" t="str">
        <f t="shared" si="3"/>
        <v/>
      </c>
      <c r="AD14" s="121" t="str">
        <f t="shared" si="3"/>
        <v/>
      </c>
      <c r="AE14" s="121" t="str">
        <f t="shared" si="3"/>
        <v/>
      </c>
      <c r="AF14" s="121" t="str">
        <f t="shared" si="3"/>
        <v/>
      </c>
      <c r="AG14" s="121" t="str">
        <f t="shared" si="3"/>
        <v/>
      </c>
      <c r="AH14" s="121" t="str">
        <f t="shared" si="3"/>
        <v/>
      </c>
      <c r="AI14" s="121" t="str">
        <f t="shared" ref="AI14:BN14" si="4">IF(AND(ISNUMBER(outYear),ISNUMBER(om_capacity)),om_capacity*(1+inflation_rate/100)^AI2*system_capacity,"")</f>
        <v/>
      </c>
      <c r="AJ14" s="121" t="str">
        <f t="shared" si="4"/>
        <v/>
      </c>
      <c r="AK14" s="121" t="str">
        <f t="shared" si="4"/>
        <v/>
      </c>
      <c r="AL14" s="121" t="str">
        <f t="shared" si="4"/>
        <v/>
      </c>
      <c r="AM14" s="121" t="str">
        <f t="shared" si="4"/>
        <v/>
      </c>
      <c r="AN14" s="121" t="str">
        <f t="shared" si="4"/>
        <v/>
      </c>
      <c r="AO14" s="121" t="str">
        <f t="shared" si="4"/>
        <v/>
      </c>
      <c r="AP14" s="121" t="str">
        <f t="shared" si="4"/>
        <v/>
      </c>
      <c r="AQ14" s="121" t="str">
        <f t="shared" si="4"/>
        <v/>
      </c>
      <c r="AR14" s="121" t="str">
        <f t="shared" si="4"/>
        <v/>
      </c>
      <c r="AS14" s="121" t="str">
        <f t="shared" si="4"/>
        <v/>
      </c>
      <c r="AT14" s="121" t="str">
        <f t="shared" si="4"/>
        <v/>
      </c>
      <c r="AU14" s="121" t="str">
        <f t="shared" si="4"/>
        <v/>
      </c>
      <c r="AV14" s="121" t="str">
        <f t="shared" si="4"/>
        <v/>
      </c>
      <c r="AW14" s="121" t="str">
        <f t="shared" si="4"/>
        <v/>
      </c>
      <c r="AX14" s="121" t="str">
        <f t="shared" si="4"/>
        <v/>
      </c>
      <c r="AY14" s="121" t="str">
        <f t="shared" si="4"/>
        <v/>
      </c>
      <c r="AZ14" s="121" t="str">
        <f t="shared" si="4"/>
        <v/>
      </c>
      <c r="BA14" s="121" t="str">
        <f t="shared" si="4"/>
        <v/>
      </c>
      <c r="BB14" s="121" t="str">
        <f t="shared" si="4"/>
        <v/>
      </c>
      <c r="BC14" s="121" t="str">
        <f t="shared" si="4"/>
        <v/>
      </c>
      <c r="BD14" s="121" t="str">
        <f t="shared" si="4"/>
        <v/>
      </c>
      <c r="BE14" s="121" t="str">
        <f t="shared" si="4"/>
        <v/>
      </c>
      <c r="BF14" s="121" t="str">
        <f t="shared" si="4"/>
        <v/>
      </c>
      <c r="BG14" s="121" t="str">
        <f t="shared" si="4"/>
        <v/>
      </c>
      <c r="BH14" s="121" t="str">
        <f t="shared" si="4"/>
        <v/>
      </c>
      <c r="BI14" s="121" t="str">
        <f t="shared" si="4"/>
        <v/>
      </c>
      <c r="BJ14" s="121" t="str">
        <f t="shared" si="4"/>
        <v/>
      </c>
      <c r="BK14" s="121" t="str">
        <f t="shared" si="4"/>
        <v/>
      </c>
      <c r="BL14" s="121" t="str">
        <f t="shared" si="4"/>
        <v/>
      </c>
      <c r="BM14" s="121" t="str">
        <f t="shared" si="4"/>
        <v/>
      </c>
      <c r="BN14" s="121" t="str">
        <f t="shared" si="4"/>
        <v/>
      </c>
      <c r="BO14" s="121" t="str">
        <f t="shared" ref="BO14:CX14" si="5">IF(AND(ISNUMBER(outYear),ISNUMBER(om_capacity)),om_capacity*(1+inflation_rate/100)^BO2*system_capacity,"")</f>
        <v/>
      </c>
      <c r="BP14" s="121" t="str">
        <f t="shared" si="5"/>
        <v/>
      </c>
      <c r="BQ14" s="121" t="str">
        <f t="shared" si="5"/>
        <v/>
      </c>
      <c r="BR14" s="121" t="str">
        <f t="shared" si="5"/>
        <v/>
      </c>
      <c r="BS14" s="121" t="str">
        <f t="shared" si="5"/>
        <v/>
      </c>
      <c r="BT14" s="121" t="str">
        <f t="shared" si="5"/>
        <v/>
      </c>
      <c r="BU14" s="121" t="str">
        <f t="shared" si="5"/>
        <v/>
      </c>
      <c r="BV14" s="121" t="str">
        <f t="shared" si="5"/>
        <v/>
      </c>
      <c r="BW14" s="121" t="str">
        <f t="shared" si="5"/>
        <v/>
      </c>
      <c r="BX14" s="121" t="str">
        <f t="shared" si="5"/>
        <v/>
      </c>
      <c r="BY14" s="121" t="str">
        <f t="shared" si="5"/>
        <v/>
      </c>
      <c r="BZ14" s="121" t="str">
        <f t="shared" si="5"/>
        <v/>
      </c>
      <c r="CA14" s="121" t="str">
        <f t="shared" si="5"/>
        <v/>
      </c>
      <c r="CB14" s="121" t="str">
        <f t="shared" si="5"/>
        <v/>
      </c>
      <c r="CC14" s="121" t="str">
        <f t="shared" si="5"/>
        <v/>
      </c>
      <c r="CD14" s="121" t="str">
        <f t="shared" si="5"/>
        <v/>
      </c>
      <c r="CE14" s="121" t="str">
        <f t="shared" si="5"/>
        <v/>
      </c>
      <c r="CF14" s="121" t="str">
        <f t="shared" si="5"/>
        <v/>
      </c>
      <c r="CG14" s="121" t="str">
        <f t="shared" si="5"/>
        <v/>
      </c>
      <c r="CH14" s="121" t="str">
        <f t="shared" si="5"/>
        <v/>
      </c>
      <c r="CI14" s="121" t="str">
        <f t="shared" si="5"/>
        <v/>
      </c>
      <c r="CJ14" s="121" t="str">
        <f t="shared" si="5"/>
        <v/>
      </c>
      <c r="CK14" s="121" t="str">
        <f t="shared" si="5"/>
        <v/>
      </c>
      <c r="CL14" s="121" t="str">
        <f t="shared" si="5"/>
        <v/>
      </c>
      <c r="CM14" s="121" t="str">
        <f t="shared" si="5"/>
        <v/>
      </c>
      <c r="CN14" s="121" t="str">
        <f t="shared" si="5"/>
        <v/>
      </c>
      <c r="CO14" s="121" t="str">
        <f t="shared" si="5"/>
        <v/>
      </c>
      <c r="CP14" s="121" t="str">
        <f t="shared" si="5"/>
        <v/>
      </c>
      <c r="CQ14" s="121" t="str">
        <f t="shared" si="5"/>
        <v/>
      </c>
      <c r="CR14" s="121" t="str">
        <f t="shared" si="5"/>
        <v/>
      </c>
      <c r="CS14" s="121" t="str">
        <f t="shared" si="5"/>
        <v/>
      </c>
      <c r="CT14" s="121" t="str">
        <f t="shared" si="5"/>
        <v/>
      </c>
      <c r="CU14" s="121" t="str">
        <f t="shared" si="5"/>
        <v/>
      </c>
      <c r="CV14" s="121" t="str">
        <f t="shared" si="5"/>
        <v/>
      </c>
      <c r="CW14" s="121" t="str">
        <f t="shared" si="5"/>
        <v/>
      </c>
      <c r="CX14" s="121" t="str">
        <f t="shared" si="5"/>
        <v/>
      </c>
    </row>
    <row r="15" spans="1:102" x14ac:dyDescent="0.25">
      <c r="A15" s="107" t="s">
        <v>113</v>
      </c>
      <c r="B15" s="113"/>
      <c r="C15" s="121">
        <f t="shared" ref="C15:AH15" si="6">IF(AND(ISNUMBER(outYear),ISNUMBER(om_capacity_wind)),om_capacity_wind*(1+inflation_rate/100)^C2*system_capacity_wind,"")</f>
        <v>0</v>
      </c>
      <c r="D15" s="121">
        <f t="shared" si="6"/>
        <v>0</v>
      </c>
      <c r="E15" s="121">
        <f t="shared" si="6"/>
        <v>0</v>
      </c>
      <c r="F15" s="121">
        <f t="shared" si="6"/>
        <v>0</v>
      </c>
      <c r="G15" s="121">
        <f t="shared" si="6"/>
        <v>0</v>
      </c>
      <c r="H15" s="121">
        <f t="shared" si="6"/>
        <v>0</v>
      </c>
      <c r="I15" s="121">
        <f t="shared" si="6"/>
        <v>0</v>
      </c>
      <c r="J15" s="121">
        <f t="shared" si="6"/>
        <v>0</v>
      </c>
      <c r="K15" s="121">
        <f t="shared" si="6"/>
        <v>0</v>
      </c>
      <c r="L15" s="121">
        <f t="shared" si="6"/>
        <v>0</v>
      </c>
      <c r="M15" s="121">
        <f t="shared" si="6"/>
        <v>0</v>
      </c>
      <c r="N15" s="121">
        <f t="shared" si="6"/>
        <v>0</v>
      </c>
      <c r="O15" s="121">
        <f t="shared" si="6"/>
        <v>0</v>
      </c>
      <c r="P15" s="121">
        <f t="shared" si="6"/>
        <v>0</v>
      </c>
      <c r="Q15" s="121">
        <f t="shared" si="6"/>
        <v>0</v>
      </c>
      <c r="R15" s="121">
        <f t="shared" si="6"/>
        <v>0</v>
      </c>
      <c r="S15" s="121">
        <f t="shared" si="6"/>
        <v>0</v>
      </c>
      <c r="T15" s="121">
        <f t="shared" si="6"/>
        <v>0</v>
      </c>
      <c r="U15" s="121">
        <f t="shared" si="6"/>
        <v>0</v>
      </c>
      <c r="V15" s="121">
        <f t="shared" si="6"/>
        <v>0</v>
      </c>
      <c r="W15" s="121" t="str">
        <f t="shared" si="6"/>
        <v/>
      </c>
      <c r="X15" s="121" t="str">
        <f t="shared" si="6"/>
        <v/>
      </c>
      <c r="Y15" s="121" t="str">
        <f t="shared" si="6"/>
        <v/>
      </c>
      <c r="Z15" s="121" t="str">
        <f t="shared" si="6"/>
        <v/>
      </c>
      <c r="AA15" s="121" t="str">
        <f t="shared" si="6"/>
        <v/>
      </c>
      <c r="AB15" s="121" t="str">
        <f t="shared" si="6"/>
        <v/>
      </c>
      <c r="AC15" s="121" t="str">
        <f t="shared" si="6"/>
        <v/>
      </c>
      <c r="AD15" s="121" t="str">
        <f t="shared" si="6"/>
        <v/>
      </c>
      <c r="AE15" s="121" t="str">
        <f t="shared" si="6"/>
        <v/>
      </c>
      <c r="AF15" s="121" t="str">
        <f t="shared" si="6"/>
        <v/>
      </c>
      <c r="AG15" s="121" t="str">
        <f t="shared" si="6"/>
        <v/>
      </c>
      <c r="AH15" s="121" t="str">
        <f t="shared" si="6"/>
        <v/>
      </c>
      <c r="AI15" s="121" t="str">
        <f t="shared" ref="AI15:BN15" si="7">IF(AND(ISNUMBER(outYear),ISNUMBER(om_capacity_wind)),om_capacity_wind*(1+inflation_rate/100)^AI2*system_capacity_wind,"")</f>
        <v/>
      </c>
      <c r="AJ15" s="121" t="str">
        <f t="shared" si="7"/>
        <v/>
      </c>
      <c r="AK15" s="121" t="str">
        <f t="shared" si="7"/>
        <v/>
      </c>
      <c r="AL15" s="121" t="str">
        <f t="shared" si="7"/>
        <v/>
      </c>
      <c r="AM15" s="121" t="str">
        <f t="shared" si="7"/>
        <v/>
      </c>
      <c r="AN15" s="121" t="str">
        <f t="shared" si="7"/>
        <v/>
      </c>
      <c r="AO15" s="121" t="str">
        <f t="shared" si="7"/>
        <v/>
      </c>
      <c r="AP15" s="121" t="str">
        <f t="shared" si="7"/>
        <v/>
      </c>
      <c r="AQ15" s="121" t="str">
        <f t="shared" si="7"/>
        <v/>
      </c>
      <c r="AR15" s="121" t="str">
        <f t="shared" si="7"/>
        <v/>
      </c>
      <c r="AS15" s="121" t="str">
        <f t="shared" si="7"/>
        <v/>
      </c>
      <c r="AT15" s="121" t="str">
        <f t="shared" si="7"/>
        <v/>
      </c>
      <c r="AU15" s="121" t="str">
        <f t="shared" si="7"/>
        <v/>
      </c>
      <c r="AV15" s="121" t="str">
        <f t="shared" si="7"/>
        <v/>
      </c>
      <c r="AW15" s="121" t="str">
        <f t="shared" si="7"/>
        <v/>
      </c>
      <c r="AX15" s="121" t="str">
        <f t="shared" si="7"/>
        <v/>
      </c>
      <c r="AY15" s="121" t="str">
        <f t="shared" si="7"/>
        <v/>
      </c>
      <c r="AZ15" s="121" t="str">
        <f t="shared" si="7"/>
        <v/>
      </c>
      <c r="BA15" s="121" t="str">
        <f t="shared" si="7"/>
        <v/>
      </c>
      <c r="BB15" s="121" t="str">
        <f t="shared" si="7"/>
        <v/>
      </c>
      <c r="BC15" s="121" t="str">
        <f t="shared" si="7"/>
        <v/>
      </c>
      <c r="BD15" s="121" t="str">
        <f t="shared" si="7"/>
        <v/>
      </c>
      <c r="BE15" s="121" t="str">
        <f t="shared" si="7"/>
        <v/>
      </c>
      <c r="BF15" s="121" t="str">
        <f t="shared" si="7"/>
        <v/>
      </c>
      <c r="BG15" s="121" t="str">
        <f t="shared" si="7"/>
        <v/>
      </c>
      <c r="BH15" s="121" t="str">
        <f t="shared" si="7"/>
        <v/>
      </c>
      <c r="BI15" s="121" t="str">
        <f t="shared" si="7"/>
        <v/>
      </c>
      <c r="BJ15" s="121" t="str">
        <f t="shared" si="7"/>
        <v/>
      </c>
      <c r="BK15" s="121" t="str">
        <f t="shared" si="7"/>
        <v/>
      </c>
      <c r="BL15" s="121" t="str">
        <f t="shared" si="7"/>
        <v/>
      </c>
      <c r="BM15" s="121" t="str">
        <f t="shared" si="7"/>
        <v/>
      </c>
      <c r="BN15" s="121" t="str">
        <f t="shared" si="7"/>
        <v/>
      </c>
      <c r="BO15" s="121" t="str">
        <f t="shared" ref="BO15:CX15" si="8">IF(AND(ISNUMBER(outYear),ISNUMBER(om_capacity_wind)),om_capacity_wind*(1+inflation_rate/100)^BO2*system_capacity_wind,"")</f>
        <v/>
      </c>
      <c r="BP15" s="121" t="str">
        <f t="shared" si="8"/>
        <v/>
      </c>
      <c r="BQ15" s="121" t="str">
        <f t="shared" si="8"/>
        <v/>
      </c>
      <c r="BR15" s="121" t="str">
        <f t="shared" si="8"/>
        <v/>
      </c>
      <c r="BS15" s="121" t="str">
        <f t="shared" si="8"/>
        <v/>
      </c>
      <c r="BT15" s="121" t="str">
        <f t="shared" si="8"/>
        <v/>
      </c>
      <c r="BU15" s="121" t="str">
        <f t="shared" si="8"/>
        <v/>
      </c>
      <c r="BV15" s="121" t="str">
        <f t="shared" si="8"/>
        <v/>
      </c>
      <c r="BW15" s="121" t="str">
        <f t="shared" si="8"/>
        <v/>
      </c>
      <c r="BX15" s="121" t="str">
        <f t="shared" si="8"/>
        <v/>
      </c>
      <c r="BY15" s="121" t="str">
        <f t="shared" si="8"/>
        <v/>
      </c>
      <c r="BZ15" s="121" t="str">
        <f t="shared" si="8"/>
        <v/>
      </c>
      <c r="CA15" s="121" t="str">
        <f t="shared" si="8"/>
        <v/>
      </c>
      <c r="CB15" s="121" t="str">
        <f t="shared" si="8"/>
        <v/>
      </c>
      <c r="CC15" s="121" t="str">
        <f t="shared" si="8"/>
        <v/>
      </c>
      <c r="CD15" s="121" t="str">
        <f t="shared" si="8"/>
        <v/>
      </c>
      <c r="CE15" s="121" t="str">
        <f t="shared" si="8"/>
        <v/>
      </c>
      <c r="CF15" s="121" t="str">
        <f t="shared" si="8"/>
        <v/>
      </c>
      <c r="CG15" s="121" t="str">
        <f t="shared" si="8"/>
        <v/>
      </c>
      <c r="CH15" s="121" t="str">
        <f t="shared" si="8"/>
        <v/>
      </c>
      <c r="CI15" s="121" t="str">
        <f t="shared" si="8"/>
        <v/>
      </c>
      <c r="CJ15" s="121" t="str">
        <f t="shared" si="8"/>
        <v/>
      </c>
      <c r="CK15" s="121" t="str">
        <f t="shared" si="8"/>
        <v/>
      </c>
      <c r="CL15" s="121" t="str">
        <f t="shared" si="8"/>
        <v/>
      </c>
      <c r="CM15" s="121" t="str">
        <f t="shared" si="8"/>
        <v/>
      </c>
      <c r="CN15" s="121" t="str">
        <f t="shared" si="8"/>
        <v/>
      </c>
      <c r="CO15" s="121" t="str">
        <f t="shared" si="8"/>
        <v/>
      </c>
      <c r="CP15" s="121" t="str">
        <f t="shared" si="8"/>
        <v/>
      </c>
      <c r="CQ15" s="121" t="str">
        <f t="shared" si="8"/>
        <v/>
      </c>
      <c r="CR15" s="121" t="str">
        <f t="shared" si="8"/>
        <v/>
      </c>
      <c r="CS15" s="121" t="str">
        <f t="shared" si="8"/>
        <v/>
      </c>
      <c r="CT15" s="121" t="str">
        <f t="shared" si="8"/>
        <v/>
      </c>
      <c r="CU15" s="121" t="str">
        <f t="shared" si="8"/>
        <v/>
      </c>
      <c r="CV15" s="121" t="str">
        <f t="shared" si="8"/>
        <v/>
      </c>
      <c r="CW15" s="121" t="str">
        <f t="shared" si="8"/>
        <v/>
      </c>
      <c r="CX15" s="121" t="str">
        <f t="shared" si="8"/>
        <v/>
      </c>
    </row>
    <row r="16" spans="1:102" x14ac:dyDescent="0.25">
      <c r="A16" s="132" t="s">
        <v>114</v>
      </c>
      <c r="B16" s="113"/>
      <c r="C16" s="121">
        <f t="shared" ref="C16:AA16" si="9">IF(AND(ISNUMBER(outYear),ISNUMBER(fixed_om_cost_generator)),fixed_om_cost_generator*(1+inflation_rate/100)^C2*system_capacity_generator,"")</f>
        <v>20.5</v>
      </c>
      <c r="D16" s="121">
        <f t="shared" si="9"/>
        <v>21.012499999999999</v>
      </c>
      <c r="E16" s="121">
        <f t="shared" si="9"/>
        <v>21.537812499999998</v>
      </c>
      <c r="F16" s="121">
        <f t="shared" si="9"/>
        <v>22.076257812499996</v>
      </c>
      <c r="G16" s="121">
        <f t="shared" si="9"/>
        <v>22.628164257812493</v>
      </c>
      <c r="H16" s="121">
        <f t="shared" si="9"/>
        <v>23.193868364257803</v>
      </c>
      <c r="I16" s="121">
        <f t="shared" si="9"/>
        <v>23.773715073364251</v>
      </c>
      <c r="J16" s="121">
        <f t="shared" si="9"/>
        <v>24.368057950198356</v>
      </c>
      <c r="K16" s="121">
        <f t="shared" si="9"/>
        <v>24.977259398953308</v>
      </c>
      <c r="L16" s="121">
        <f t="shared" si="9"/>
        <v>25.601690883927141</v>
      </c>
      <c r="M16" s="121">
        <f t="shared" si="9"/>
        <v>26.241733156025319</v>
      </c>
      <c r="N16" s="121">
        <f t="shared" si="9"/>
        <v>26.897776484925949</v>
      </c>
      <c r="O16" s="121">
        <f t="shared" si="9"/>
        <v>27.570220897049097</v>
      </c>
      <c r="P16" s="121">
        <f t="shared" si="9"/>
        <v>28.259476419475323</v>
      </c>
      <c r="Q16" s="121">
        <f t="shared" si="9"/>
        <v>28.965963329962211</v>
      </c>
      <c r="R16" s="121">
        <f t="shared" si="9"/>
        <v>29.690112413211263</v>
      </c>
      <c r="S16" s="121">
        <f t="shared" si="9"/>
        <v>30.432365223541538</v>
      </c>
      <c r="T16" s="121">
        <f t="shared" si="9"/>
        <v>31.193174354130079</v>
      </c>
      <c r="U16" s="121">
        <f t="shared" si="9"/>
        <v>31.973003712983331</v>
      </c>
      <c r="V16" s="121">
        <f t="shared" si="9"/>
        <v>32.772328805807909</v>
      </c>
      <c r="W16" s="121" t="str">
        <f t="shared" si="9"/>
        <v/>
      </c>
      <c r="X16" s="121" t="str">
        <f t="shared" si="9"/>
        <v/>
      </c>
      <c r="Y16" s="121" t="str">
        <f t="shared" si="9"/>
        <v/>
      </c>
      <c r="Z16" s="121" t="str">
        <f t="shared" si="9"/>
        <v/>
      </c>
      <c r="AA16" s="121" t="str">
        <f t="shared" si="9"/>
        <v/>
      </c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</row>
    <row r="17" spans="1:103" x14ac:dyDescent="0.25">
      <c r="A17" s="132" t="s">
        <v>115</v>
      </c>
      <c r="B17" s="113"/>
      <c r="C17" s="121">
        <f t="shared" ref="C17" si="10">IF(AND(ISNUMBER(outYear),ISNUMBER(variable_om_cost_generator)),variable_om_cost_generator*(1+inflation_rate/100)^C2*generator_energy_produced,"")</f>
        <v>0</v>
      </c>
      <c r="D17" s="121">
        <f>IF(AND(ISNUMBER(outYear),ISNUMBER(variable_om_cost_generator)),variable_om_cost_generator*(1+inflation_rate/100)^D2*generator_energy_produced*'Inputs and Outputs'!D117,"")</f>
        <v>0</v>
      </c>
      <c r="E17" s="121">
        <f>IF(AND(ISNUMBER(outYear),ISNUMBER(variable_om_cost_generator)),variable_om_cost_generator*(1+inflation_rate/100)^E2*generator_energy_produced*'Inputs and Outputs'!E117,"")</f>
        <v>0</v>
      </c>
      <c r="F17" s="121">
        <f>IF(AND(ISNUMBER(outYear),ISNUMBER(variable_om_cost_generator)),variable_om_cost_generator*(1+inflation_rate/100)^F2*generator_energy_produced*'Inputs and Outputs'!F117,"")</f>
        <v>0</v>
      </c>
      <c r="G17" s="121">
        <f>IF(AND(ISNUMBER(outYear),ISNUMBER(variable_om_cost_generator)),variable_om_cost_generator*(1+inflation_rate/100)^G2*generator_energy_produced*'Inputs and Outputs'!G117,"")</f>
        <v>0</v>
      </c>
      <c r="H17" s="121">
        <f>IF(AND(ISNUMBER(outYear),ISNUMBER(variable_om_cost_generator)),variable_om_cost_generator*(1+inflation_rate/100)^H2*generator_energy_produced*'Inputs and Outputs'!H117,"")</f>
        <v>0</v>
      </c>
      <c r="I17" s="121">
        <f>IF(AND(ISNUMBER(outYear),ISNUMBER(variable_om_cost_generator)),variable_om_cost_generator*(1+inflation_rate/100)^I2*generator_energy_produced*'Inputs and Outputs'!I117,"")</f>
        <v>0</v>
      </c>
      <c r="J17" s="121">
        <f>IF(AND(ISNUMBER(outYear),ISNUMBER(variable_om_cost_generator)),variable_om_cost_generator*(1+inflation_rate/100)^J2*generator_energy_produced*'Inputs and Outputs'!J117,"")</f>
        <v>0</v>
      </c>
      <c r="K17" s="121">
        <f>IF(AND(ISNUMBER(outYear),ISNUMBER(variable_om_cost_generator)),variable_om_cost_generator*(1+inflation_rate/100)^K2*generator_energy_produced*'Inputs and Outputs'!K117,"")</f>
        <v>0</v>
      </c>
      <c r="L17" s="121">
        <f>IF(AND(ISNUMBER(outYear),ISNUMBER(variable_om_cost_generator)),variable_om_cost_generator*(1+inflation_rate/100)^L2*generator_energy_produced*'Inputs and Outputs'!L117,"")</f>
        <v>0</v>
      </c>
      <c r="M17" s="121">
        <f>IF(AND(ISNUMBER(outYear),ISNUMBER(variable_om_cost_generator)),variable_om_cost_generator*(1+inflation_rate/100)^M2*generator_energy_produced*'Inputs and Outputs'!M117,"")</f>
        <v>0</v>
      </c>
      <c r="N17" s="121">
        <f>IF(AND(ISNUMBER(outYear),ISNUMBER(variable_om_cost_generator)),variable_om_cost_generator*(1+inflation_rate/100)^N2*generator_energy_produced*'Inputs and Outputs'!N117,"")</f>
        <v>0</v>
      </c>
      <c r="O17" s="121">
        <f>IF(AND(ISNUMBER(outYear),ISNUMBER(variable_om_cost_generator)),variable_om_cost_generator*(1+inflation_rate/100)^O2*generator_energy_produced*'Inputs and Outputs'!O117,"")</f>
        <v>0</v>
      </c>
      <c r="P17" s="121">
        <f>IF(AND(ISNUMBER(outYear),ISNUMBER(variable_om_cost_generator)),variable_om_cost_generator*(1+inflation_rate/100)^P2*generator_energy_produced*'Inputs and Outputs'!P117,"")</f>
        <v>0</v>
      </c>
      <c r="Q17" s="121">
        <f>IF(AND(ISNUMBER(outYear),ISNUMBER(variable_om_cost_generator)),variable_om_cost_generator*(1+inflation_rate/100)^Q2*generator_energy_produced*'Inputs and Outputs'!Q117,"")</f>
        <v>0</v>
      </c>
      <c r="R17" s="121">
        <f>IF(AND(ISNUMBER(outYear),ISNUMBER(variable_om_cost_generator)),variable_om_cost_generator*(1+inflation_rate/100)^R2*generator_energy_produced*'Inputs and Outputs'!R117,"")</f>
        <v>0</v>
      </c>
      <c r="S17" s="121">
        <f>IF(AND(ISNUMBER(outYear),ISNUMBER(variable_om_cost_generator)),variable_om_cost_generator*(1+inflation_rate/100)^S2*generator_energy_produced*'Inputs and Outputs'!S117,"")</f>
        <v>0</v>
      </c>
      <c r="T17" s="121">
        <f>IF(AND(ISNUMBER(outYear),ISNUMBER(variable_om_cost_generator)),variable_om_cost_generator*(1+inflation_rate/100)^T2*generator_energy_produced*'Inputs and Outputs'!T117,"")</f>
        <v>0</v>
      </c>
      <c r="U17" s="121">
        <f>IF(AND(ISNUMBER(outYear),ISNUMBER(variable_om_cost_generator)),variable_om_cost_generator*(1+inflation_rate/100)^U2*generator_energy_produced*'Inputs and Outputs'!U117,"")</f>
        <v>0</v>
      </c>
      <c r="V17" s="121">
        <f>IF(AND(ISNUMBER(outYear),ISNUMBER(variable_om_cost_generator)),variable_om_cost_generator*(1+inflation_rate/100)^V2*generator_energy_produced*'Inputs and Outputs'!V117,"")</f>
        <v>0</v>
      </c>
      <c r="W17" s="121" t="str">
        <f>IF(AND(ISNUMBER(outYear),ISNUMBER(variable_om_cost_generator)),variable_om_cost_generator*(1+inflation_rate/100)^W2*generator_energy_produced*'Inputs and Outputs'!W117,"")</f>
        <v/>
      </c>
      <c r="X17" s="121" t="str">
        <f>IF(AND(ISNUMBER(outYear),ISNUMBER(variable_om_cost_generator)),variable_om_cost_generator*(1+inflation_rate/100)^X2*generator_energy_produced*'Inputs and Outputs'!X117,"")</f>
        <v/>
      </c>
      <c r="Y17" s="121" t="str">
        <f>IF(AND(ISNUMBER(outYear),ISNUMBER(variable_om_cost_generator)),variable_om_cost_generator*(1+inflation_rate/100)^Y2*generator_energy_produced*'Inputs and Outputs'!Y117,"")</f>
        <v/>
      </c>
      <c r="Z17" s="121" t="str">
        <f>IF(AND(ISNUMBER(outYear),ISNUMBER(variable_om_cost_generator)),variable_om_cost_generator*(1+inflation_rate/100)^Z2*generator_energy_produced*'Inputs and Outputs'!Z117,"")</f>
        <v/>
      </c>
      <c r="AA17" s="121" t="str">
        <f>IF(AND(ISNUMBER(outYear),ISNUMBER(variable_om_cost_generator)),variable_om_cost_generator*(1+inflation_rate/100)^AA2*generator_energy_produced*'Inputs and Outputs'!AA117,"")</f>
        <v/>
      </c>
      <c r="AB17" s="121" t="str">
        <f>IF(AND(ISNUMBER(outYear),ISNUMBER(variable_om_cost_generator)),variable_om_cost_generator*(1+inflation_rate/100)^AB2*generator_energy_produced*'Inputs and Outputs'!AB117,"")</f>
        <v/>
      </c>
      <c r="AC17" s="121" t="str">
        <f>IF(AND(ISNUMBER(outYear),ISNUMBER(variable_om_cost_generator)),variable_om_cost_generator*(1+inflation_rate/100)^AC2*generator_energy_produced*'Inputs and Outputs'!AC117,"")</f>
        <v/>
      </c>
      <c r="AD17" s="121" t="str">
        <f>IF(AND(ISNUMBER(outYear),ISNUMBER(variable_om_cost_generator)),variable_om_cost_generator*(1+inflation_rate/100)^AD2*generator_energy_produced*'Inputs and Outputs'!AD117,"")</f>
        <v/>
      </c>
      <c r="AE17" s="121" t="str">
        <f>IF(AND(ISNUMBER(outYear),ISNUMBER(variable_om_cost_generator)),variable_om_cost_generator*(1+inflation_rate/100)^AE2*generator_energy_produced*'Inputs and Outputs'!AE117,"")</f>
        <v/>
      </c>
      <c r="AF17" s="121" t="str">
        <f>IF(AND(ISNUMBER(outYear),ISNUMBER(variable_om_cost_generator)),variable_om_cost_generator*(1+inflation_rate/100)^AF2*generator_energy_produced*'Inputs and Outputs'!AF117,"")</f>
        <v/>
      </c>
      <c r="AG17" s="121" t="str">
        <f>IF(AND(ISNUMBER(outYear),ISNUMBER(variable_om_cost_generator)),variable_om_cost_generator*(1+inflation_rate/100)^AG2*generator_energy_produced*'Inputs and Outputs'!AG117,"")</f>
        <v/>
      </c>
      <c r="AH17" s="121" t="str">
        <f>IF(AND(ISNUMBER(outYear),ISNUMBER(variable_om_cost_generator)),variable_om_cost_generator*(1+inflation_rate/100)^AH2*generator_energy_produced*'Inputs and Outputs'!AH117,"")</f>
        <v/>
      </c>
      <c r="AI17" s="121" t="str">
        <f>IF(AND(ISNUMBER(outYear),ISNUMBER(variable_om_cost_generator)),variable_om_cost_generator*(1+inflation_rate/100)^AI2*generator_energy_produced*'Inputs and Outputs'!AI117,"")</f>
        <v/>
      </c>
      <c r="AJ17" s="121" t="str">
        <f>IF(AND(ISNUMBER(outYear),ISNUMBER(variable_om_cost_generator)),variable_om_cost_generator*(1+inflation_rate/100)^AJ2*generator_energy_produced*'Inputs and Outputs'!AJ117,"")</f>
        <v/>
      </c>
      <c r="AK17" s="121" t="str">
        <f>IF(AND(ISNUMBER(outYear),ISNUMBER(variable_om_cost_generator)),variable_om_cost_generator*(1+inflation_rate/100)^AK2*generator_energy_produced*'Inputs and Outputs'!AK117,"")</f>
        <v/>
      </c>
      <c r="AL17" s="121" t="str">
        <f>IF(AND(ISNUMBER(outYear),ISNUMBER(variable_om_cost_generator)),variable_om_cost_generator*(1+inflation_rate/100)^AL2*generator_energy_produced*'Inputs and Outputs'!AL117,"")</f>
        <v/>
      </c>
      <c r="AM17" s="121" t="str">
        <f>IF(AND(ISNUMBER(outYear),ISNUMBER(variable_om_cost_generator)),variable_om_cost_generator*(1+inflation_rate/100)^AM2*generator_energy_produced*'Inputs and Outputs'!AM117,"")</f>
        <v/>
      </c>
      <c r="AN17" s="121" t="str">
        <f>IF(AND(ISNUMBER(outYear),ISNUMBER(variable_om_cost_generator)),variable_om_cost_generator*(1+inflation_rate/100)^AN2*generator_energy_produced*'Inputs and Outputs'!AN117,"")</f>
        <v/>
      </c>
      <c r="AO17" s="121" t="str">
        <f>IF(AND(ISNUMBER(outYear),ISNUMBER(variable_om_cost_generator)),variable_om_cost_generator*(1+inflation_rate/100)^AO2*generator_energy_produced*'Inputs and Outputs'!AO117,"")</f>
        <v/>
      </c>
      <c r="AP17" s="121" t="str">
        <f>IF(AND(ISNUMBER(outYear),ISNUMBER(variable_om_cost_generator)),variable_om_cost_generator*(1+inflation_rate/100)^AP2*generator_energy_produced*'Inputs and Outputs'!AP117,"")</f>
        <v/>
      </c>
      <c r="AQ17" s="121" t="str">
        <f>IF(AND(ISNUMBER(outYear),ISNUMBER(variable_om_cost_generator)),variable_om_cost_generator*(1+inflation_rate/100)^AQ2*generator_energy_produced*'Inputs and Outputs'!AQ117,"")</f>
        <v/>
      </c>
      <c r="AR17" s="121" t="str">
        <f>IF(AND(ISNUMBER(outYear),ISNUMBER(variable_om_cost_generator)),variable_om_cost_generator*(1+inflation_rate/100)^AR2*generator_energy_produced*'Inputs and Outputs'!AR117,"")</f>
        <v/>
      </c>
      <c r="AS17" s="121" t="str">
        <f>IF(AND(ISNUMBER(outYear),ISNUMBER(variable_om_cost_generator)),variable_om_cost_generator*(1+inflation_rate/100)^AS2*generator_energy_produced*'Inputs and Outputs'!AS117,"")</f>
        <v/>
      </c>
      <c r="AT17" s="121" t="str">
        <f>IF(AND(ISNUMBER(outYear),ISNUMBER(variable_om_cost_generator)),variable_om_cost_generator*(1+inflation_rate/100)^AT2*generator_energy_produced*'Inputs and Outputs'!AT117,"")</f>
        <v/>
      </c>
      <c r="AU17" s="121" t="str">
        <f>IF(AND(ISNUMBER(outYear),ISNUMBER(variable_om_cost_generator)),variable_om_cost_generator*(1+inflation_rate/100)^AU2*generator_energy_produced*'Inputs and Outputs'!AU117,"")</f>
        <v/>
      </c>
      <c r="AV17" s="121" t="str">
        <f>IF(AND(ISNUMBER(outYear),ISNUMBER(variable_om_cost_generator)),variable_om_cost_generator*(1+inflation_rate/100)^AV2*generator_energy_produced*'Inputs and Outputs'!AV117,"")</f>
        <v/>
      </c>
      <c r="AW17" s="121" t="str">
        <f>IF(AND(ISNUMBER(outYear),ISNUMBER(variable_om_cost_generator)),variable_om_cost_generator*(1+inflation_rate/100)^AW2*generator_energy_produced*'Inputs and Outputs'!AW117,"")</f>
        <v/>
      </c>
      <c r="AX17" s="121" t="str">
        <f>IF(AND(ISNUMBER(outYear),ISNUMBER(variable_om_cost_generator)),variable_om_cost_generator*(1+inflation_rate/100)^AX2*generator_energy_produced*'Inputs and Outputs'!AX117,"")</f>
        <v/>
      </c>
      <c r="AY17" s="121" t="str">
        <f>IF(AND(ISNUMBER(outYear),ISNUMBER(variable_om_cost_generator)),variable_om_cost_generator*(1+inflation_rate/100)^AY2*generator_energy_produced*'Inputs and Outputs'!AY117,"")</f>
        <v/>
      </c>
      <c r="AZ17" s="121" t="str">
        <f>IF(AND(ISNUMBER(outYear),ISNUMBER(variable_om_cost_generator)),variable_om_cost_generator*(1+inflation_rate/100)^AZ2*generator_energy_produced*'Inputs and Outputs'!AZ117,"")</f>
        <v/>
      </c>
      <c r="BA17" s="121" t="str">
        <f>IF(AND(ISNUMBER(outYear),ISNUMBER(variable_om_cost_generator)),variable_om_cost_generator*(1+inflation_rate/100)^BA2*generator_energy_produced*'Inputs and Outputs'!BA117,"")</f>
        <v/>
      </c>
      <c r="BB17" s="121" t="str">
        <f>IF(AND(ISNUMBER(outYear),ISNUMBER(variable_om_cost_generator)),variable_om_cost_generator*(1+inflation_rate/100)^BB2*generator_energy_produced*'Inputs and Outputs'!BB117,"")</f>
        <v/>
      </c>
      <c r="BC17" s="121" t="str">
        <f>IF(AND(ISNUMBER(outYear),ISNUMBER(variable_om_cost_generator)),variable_om_cost_generator*(1+inflation_rate/100)^BC2*generator_energy_produced*'Inputs and Outputs'!BC117,"")</f>
        <v/>
      </c>
      <c r="BD17" s="121" t="str">
        <f>IF(AND(ISNUMBER(outYear),ISNUMBER(variable_om_cost_generator)),variable_om_cost_generator*(1+inflation_rate/100)^BD2*generator_energy_produced*'Inputs and Outputs'!BD117,"")</f>
        <v/>
      </c>
      <c r="BE17" s="121" t="str">
        <f>IF(AND(ISNUMBER(outYear),ISNUMBER(variable_om_cost_generator)),variable_om_cost_generator*(1+inflation_rate/100)^BE2*generator_energy_produced*'Inputs and Outputs'!BE117,"")</f>
        <v/>
      </c>
      <c r="BF17" s="121" t="str">
        <f>IF(AND(ISNUMBER(outYear),ISNUMBER(variable_om_cost_generator)),variable_om_cost_generator*(1+inflation_rate/100)^BF2*generator_energy_produced*'Inputs and Outputs'!BF117,"")</f>
        <v/>
      </c>
      <c r="BG17" s="121" t="str">
        <f>IF(AND(ISNUMBER(outYear),ISNUMBER(variable_om_cost_generator)),variable_om_cost_generator*(1+inflation_rate/100)^BG2*generator_energy_produced*'Inputs and Outputs'!BG117,"")</f>
        <v/>
      </c>
      <c r="BH17" s="121" t="str">
        <f>IF(AND(ISNUMBER(outYear),ISNUMBER(variable_om_cost_generator)),variable_om_cost_generator*(1+inflation_rate/100)^BH2*generator_energy_produced*'Inputs and Outputs'!BH117,"")</f>
        <v/>
      </c>
      <c r="BI17" s="121" t="str">
        <f>IF(AND(ISNUMBER(outYear),ISNUMBER(variable_om_cost_generator)),variable_om_cost_generator*(1+inflation_rate/100)^BI2*generator_energy_produced*'Inputs and Outputs'!BI117,"")</f>
        <v/>
      </c>
      <c r="BJ17" s="121" t="str">
        <f>IF(AND(ISNUMBER(outYear),ISNUMBER(variable_om_cost_generator)),variable_om_cost_generator*(1+inflation_rate/100)^BJ2*generator_energy_produced*'Inputs and Outputs'!BJ117,"")</f>
        <v/>
      </c>
      <c r="BK17" s="121" t="str">
        <f>IF(AND(ISNUMBER(outYear),ISNUMBER(variable_om_cost_generator)),variable_om_cost_generator*(1+inflation_rate/100)^BK2*generator_energy_produced*'Inputs and Outputs'!BK117,"")</f>
        <v/>
      </c>
      <c r="BL17" s="121" t="str">
        <f>IF(AND(ISNUMBER(outYear),ISNUMBER(variable_om_cost_generator)),variable_om_cost_generator*(1+inflation_rate/100)^BL2*generator_energy_produced*'Inputs and Outputs'!BL117,"")</f>
        <v/>
      </c>
      <c r="BM17" s="121" t="str">
        <f>IF(AND(ISNUMBER(outYear),ISNUMBER(variable_om_cost_generator)),variable_om_cost_generator*(1+inflation_rate/100)^BM2*generator_energy_produced*'Inputs and Outputs'!BM117,"")</f>
        <v/>
      </c>
      <c r="BN17" s="121" t="str">
        <f>IF(AND(ISNUMBER(outYear),ISNUMBER(variable_om_cost_generator)),variable_om_cost_generator*(1+inflation_rate/100)^BN2*generator_energy_produced*'Inputs and Outputs'!BN117,"")</f>
        <v/>
      </c>
      <c r="BO17" s="121" t="str">
        <f>IF(AND(ISNUMBER(outYear),ISNUMBER(variable_om_cost_generator)),variable_om_cost_generator*(1+inflation_rate/100)^BO2*generator_energy_produced*'Inputs and Outputs'!BO117,"")</f>
        <v/>
      </c>
      <c r="BP17" s="121" t="str">
        <f>IF(AND(ISNUMBER(outYear),ISNUMBER(variable_om_cost_generator)),variable_om_cost_generator*(1+inflation_rate/100)^BP2*generator_energy_produced*'Inputs and Outputs'!BP117,"")</f>
        <v/>
      </c>
      <c r="BQ17" s="121" t="str">
        <f>IF(AND(ISNUMBER(outYear),ISNUMBER(variable_om_cost_generator)),variable_om_cost_generator*(1+inflation_rate/100)^BQ2*generator_energy_produced*'Inputs and Outputs'!BQ117,"")</f>
        <v/>
      </c>
      <c r="BR17" s="121" t="str">
        <f>IF(AND(ISNUMBER(outYear),ISNUMBER(variable_om_cost_generator)),variable_om_cost_generator*(1+inflation_rate/100)^BR2*generator_energy_produced*'Inputs and Outputs'!BR117,"")</f>
        <v/>
      </c>
      <c r="BS17" s="121" t="str">
        <f>IF(AND(ISNUMBER(outYear),ISNUMBER(variable_om_cost_generator)),variable_om_cost_generator*(1+inflation_rate/100)^BS2*generator_energy_produced*'Inputs and Outputs'!BS117,"")</f>
        <v/>
      </c>
      <c r="BT17" s="121" t="str">
        <f>IF(AND(ISNUMBER(outYear),ISNUMBER(variable_om_cost_generator)),variable_om_cost_generator*(1+inflation_rate/100)^BT2*generator_energy_produced*'Inputs and Outputs'!BT117,"")</f>
        <v/>
      </c>
      <c r="BU17" s="121" t="str">
        <f>IF(AND(ISNUMBER(outYear),ISNUMBER(variable_om_cost_generator)),variable_om_cost_generator*(1+inflation_rate/100)^BU2*generator_energy_produced*'Inputs and Outputs'!BU117,"")</f>
        <v/>
      </c>
      <c r="BV17" s="121" t="str">
        <f>IF(AND(ISNUMBER(outYear),ISNUMBER(variable_om_cost_generator)),variable_om_cost_generator*(1+inflation_rate/100)^BV2*generator_energy_produced*'Inputs and Outputs'!BV117,"")</f>
        <v/>
      </c>
      <c r="BW17" s="121" t="str">
        <f>IF(AND(ISNUMBER(outYear),ISNUMBER(variable_om_cost_generator)),variable_om_cost_generator*(1+inflation_rate/100)^BW2*generator_energy_produced*'Inputs and Outputs'!BW117,"")</f>
        <v/>
      </c>
      <c r="BX17" s="121" t="str">
        <f>IF(AND(ISNUMBER(outYear),ISNUMBER(variable_om_cost_generator)),variable_om_cost_generator*(1+inflation_rate/100)^BX2*generator_energy_produced*'Inputs and Outputs'!BX117,"")</f>
        <v/>
      </c>
      <c r="BY17" s="121" t="str">
        <f>IF(AND(ISNUMBER(outYear),ISNUMBER(variable_om_cost_generator)),variable_om_cost_generator*(1+inflation_rate/100)^BY2*generator_energy_produced*'Inputs and Outputs'!BY117,"")</f>
        <v/>
      </c>
      <c r="BZ17" s="121" t="str">
        <f>IF(AND(ISNUMBER(outYear),ISNUMBER(variable_om_cost_generator)),variable_om_cost_generator*(1+inflation_rate/100)^BZ2*generator_energy_produced*'Inputs and Outputs'!BZ117,"")</f>
        <v/>
      </c>
      <c r="CA17" s="121" t="str">
        <f>IF(AND(ISNUMBER(outYear),ISNUMBER(variable_om_cost_generator)),variable_om_cost_generator*(1+inflation_rate/100)^CA2*generator_energy_produced*'Inputs and Outputs'!CA117,"")</f>
        <v/>
      </c>
      <c r="CB17" s="121" t="str">
        <f>IF(AND(ISNUMBER(outYear),ISNUMBER(variable_om_cost_generator)),variable_om_cost_generator*(1+inflation_rate/100)^CB2*generator_energy_produced*'Inputs and Outputs'!CB117,"")</f>
        <v/>
      </c>
      <c r="CC17" s="121" t="str">
        <f>IF(AND(ISNUMBER(outYear),ISNUMBER(variable_om_cost_generator)),variable_om_cost_generator*(1+inflation_rate/100)^CC2*generator_energy_produced*'Inputs and Outputs'!CC117,"")</f>
        <v/>
      </c>
      <c r="CD17" s="121" t="str">
        <f>IF(AND(ISNUMBER(outYear),ISNUMBER(variable_om_cost_generator)),variable_om_cost_generator*(1+inflation_rate/100)^CD2*generator_energy_produced*'Inputs and Outputs'!CD117,"")</f>
        <v/>
      </c>
      <c r="CE17" s="121" t="str">
        <f>IF(AND(ISNUMBER(outYear),ISNUMBER(variable_om_cost_generator)),variable_om_cost_generator*(1+inflation_rate/100)^CE2*generator_energy_produced*'Inputs and Outputs'!CE117,"")</f>
        <v/>
      </c>
      <c r="CF17" s="121" t="str">
        <f>IF(AND(ISNUMBER(outYear),ISNUMBER(variable_om_cost_generator)),variable_om_cost_generator*(1+inflation_rate/100)^CF2*generator_energy_produced*'Inputs and Outputs'!CF117,"")</f>
        <v/>
      </c>
      <c r="CG17" s="121" t="str">
        <f>IF(AND(ISNUMBER(outYear),ISNUMBER(variable_om_cost_generator)),variable_om_cost_generator*(1+inflation_rate/100)^CG2*generator_energy_produced*'Inputs and Outputs'!CG117,"")</f>
        <v/>
      </c>
      <c r="CH17" s="121" t="str">
        <f>IF(AND(ISNUMBER(outYear),ISNUMBER(variable_om_cost_generator)),variable_om_cost_generator*(1+inflation_rate/100)^CH2*generator_energy_produced*'Inputs and Outputs'!CH117,"")</f>
        <v/>
      </c>
      <c r="CI17" s="121" t="str">
        <f>IF(AND(ISNUMBER(outYear),ISNUMBER(variable_om_cost_generator)),variable_om_cost_generator*(1+inflation_rate/100)^CI2*generator_energy_produced*'Inputs and Outputs'!CI117,"")</f>
        <v/>
      </c>
      <c r="CJ17" s="121" t="str">
        <f>IF(AND(ISNUMBER(outYear),ISNUMBER(variable_om_cost_generator)),variable_om_cost_generator*(1+inflation_rate/100)^CJ2*generator_energy_produced*'Inputs and Outputs'!CJ117,"")</f>
        <v/>
      </c>
      <c r="CK17" s="121" t="str">
        <f>IF(AND(ISNUMBER(outYear),ISNUMBER(variable_om_cost_generator)),variable_om_cost_generator*(1+inflation_rate/100)^CK2*generator_energy_produced*'Inputs and Outputs'!CK117,"")</f>
        <v/>
      </c>
      <c r="CL17" s="121" t="str">
        <f>IF(AND(ISNUMBER(outYear),ISNUMBER(variable_om_cost_generator)),variable_om_cost_generator*(1+inflation_rate/100)^CL2*generator_energy_produced*'Inputs and Outputs'!CL117,"")</f>
        <v/>
      </c>
      <c r="CM17" s="121" t="str">
        <f>IF(AND(ISNUMBER(outYear),ISNUMBER(variable_om_cost_generator)),variable_om_cost_generator*(1+inflation_rate/100)^CM2*generator_energy_produced*'Inputs and Outputs'!CM117,"")</f>
        <v/>
      </c>
      <c r="CN17" s="121" t="str">
        <f>IF(AND(ISNUMBER(outYear),ISNUMBER(variable_om_cost_generator)),variable_om_cost_generator*(1+inflation_rate/100)^CN2*generator_energy_produced*'Inputs and Outputs'!CN117,"")</f>
        <v/>
      </c>
      <c r="CO17" s="121" t="str">
        <f>IF(AND(ISNUMBER(outYear),ISNUMBER(variable_om_cost_generator)),variable_om_cost_generator*(1+inflation_rate/100)^CO2*generator_energy_produced*'Inputs and Outputs'!CO117,"")</f>
        <v/>
      </c>
      <c r="CP17" s="121" t="str">
        <f>IF(AND(ISNUMBER(outYear),ISNUMBER(variable_om_cost_generator)),variable_om_cost_generator*(1+inflation_rate/100)^CP2*generator_energy_produced*'Inputs and Outputs'!CP117,"")</f>
        <v/>
      </c>
      <c r="CQ17" s="121" t="str">
        <f>IF(AND(ISNUMBER(outYear),ISNUMBER(variable_om_cost_generator)),variable_om_cost_generator*(1+inflation_rate/100)^CQ2*generator_energy_produced*'Inputs and Outputs'!CQ117,"")</f>
        <v/>
      </c>
      <c r="CR17" s="121" t="str">
        <f>IF(AND(ISNUMBER(outYear),ISNUMBER(variable_om_cost_generator)),variable_om_cost_generator*(1+inflation_rate/100)^CR2*generator_energy_produced*'Inputs and Outputs'!CR117,"")</f>
        <v/>
      </c>
      <c r="CS17" s="121" t="str">
        <f>IF(AND(ISNUMBER(outYear),ISNUMBER(variable_om_cost_generator)),variable_om_cost_generator*(1+inflation_rate/100)^CS2*generator_energy_produced*'Inputs and Outputs'!CS117,"")</f>
        <v/>
      </c>
      <c r="CT17" s="121" t="str">
        <f>IF(AND(ISNUMBER(outYear),ISNUMBER(variable_om_cost_generator)),variable_om_cost_generator*(1+inflation_rate/100)^CT2*generator_energy_produced*'Inputs and Outputs'!CT117,"")</f>
        <v/>
      </c>
      <c r="CU17" s="121" t="str">
        <f>IF(AND(ISNUMBER(outYear),ISNUMBER(variable_om_cost_generator)),variable_om_cost_generator*(1+inflation_rate/100)^CU2*generator_energy_produced*'Inputs and Outputs'!CU117,"")</f>
        <v/>
      </c>
      <c r="CV17" s="121" t="str">
        <f>IF(AND(ISNUMBER(outYear),ISNUMBER(variable_om_cost_generator)),variable_om_cost_generator*(1+inflation_rate/100)^CV2*generator_energy_produced*'Inputs and Outputs'!CV117,"")</f>
        <v/>
      </c>
      <c r="CW17" s="121" t="str">
        <f>IF(AND(ISNUMBER(outYear),ISNUMBER(variable_om_cost_generator)),variable_om_cost_generator*(1+inflation_rate/100)^CW2*generator_energy_produced*'Inputs and Outputs'!CW117,"")</f>
        <v/>
      </c>
      <c r="CX17" s="121" t="str">
        <f>IF(AND(ISNUMBER(outYear),ISNUMBER(variable_om_cost_generator)),variable_om_cost_generator*(1+inflation_rate/100)^CX2*generator_energy_produced*'Inputs and Outputs'!CX117,"")</f>
        <v/>
      </c>
      <c r="CY17" s="121" t="str">
        <f>IF(AND(ISNUMBER(outYear),ISNUMBER(variable_om_cost_generator)),variable_om_cost_generator*(1+inflation_rate/100)^CY2*generator_energy_produced*'Inputs and Outputs'!CY117,"")</f>
        <v/>
      </c>
    </row>
    <row r="18" spans="1:103" s="118" customFormat="1" x14ac:dyDescent="0.25">
      <c r="A18" s="132" t="s">
        <v>177</v>
      </c>
      <c r="B18" s="113"/>
      <c r="C18" s="121">
        <f>IF(AND(ISNUMBER(outYear),ISNUMBER(diesel_fuel_used_cost)),diesel_fuel_used_cost*(1+inflation_rate/100)^C3,"")</f>
        <v>0</v>
      </c>
      <c r="D18" s="121">
        <f>IF(AND(ISNUMBER(outYear),ISNUMBER(diesel_fuel_used_cost)),diesel_fuel_used_cost*(1+inflation_rate/100)^D3*'Inputs and Outputs'!D117,"")</f>
        <v>0</v>
      </c>
      <c r="E18" s="121">
        <f>IF(AND(ISNUMBER(outYear),ISNUMBER(diesel_fuel_used_cost)),diesel_fuel_used_cost*(1+inflation_rate/100)^E3*'Inputs and Outputs'!E117,"")</f>
        <v>0</v>
      </c>
      <c r="F18" s="121">
        <f>IF(AND(ISNUMBER(outYear),ISNUMBER(diesel_fuel_used_cost)),diesel_fuel_used_cost*(1+inflation_rate/100)^F3*'Inputs and Outputs'!F117,"")</f>
        <v>0</v>
      </c>
      <c r="G18" s="121">
        <f>IF(AND(ISNUMBER(outYear),ISNUMBER(diesel_fuel_used_cost)),diesel_fuel_used_cost*(1+inflation_rate/100)^G3*'Inputs and Outputs'!G117,"")</f>
        <v>0</v>
      </c>
      <c r="H18" s="121">
        <f>IF(AND(ISNUMBER(outYear),ISNUMBER(diesel_fuel_used_cost)),diesel_fuel_used_cost*(1+inflation_rate/100)^H3*'Inputs and Outputs'!H117,"")</f>
        <v>0</v>
      </c>
      <c r="I18" s="121">
        <f>IF(AND(ISNUMBER(outYear),ISNUMBER(diesel_fuel_used_cost)),diesel_fuel_used_cost*(1+inflation_rate/100)^I3*'Inputs and Outputs'!I117,"")</f>
        <v>0</v>
      </c>
      <c r="J18" s="121">
        <f>IF(AND(ISNUMBER(outYear),ISNUMBER(diesel_fuel_used_cost)),diesel_fuel_used_cost*(1+inflation_rate/100)^J3*'Inputs and Outputs'!J117,"")</f>
        <v>0</v>
      </c>
      <c r="K18" s="121">
        <f>IF(AND(ISNUMBER(outYear),ISNUMBER(diesel_fuel_used_cost)),diesel_fuel_used_cost*(1+inflation_rate/100)^K3*'Inputs and Outputs'!K117,"")</f>
        <v>0</v>
      </c>
      <c r="L18" s="121">
        <f>IF(AND(ISNUMBER(outYear),ISNUMBER(diesel_fuel_used_cost)),diesel_fuel_used_cost*(1+inflation_rate/100)^L3*'Inputs and Outputs'!L117,"")</f>
        <v>0</v>
      </c>
      <c r="M18" s="121">
        <f>IF(AND(ISNUMBER(outYear),ISNUMBER(diesel_fuel_used_cost)),diesel_fuel_used_cost*(1+inflation_rate/100)^M3*'Inputs and Outputs'!M117,"")</f>
        <v>0</v>
      </c>
      <c r="N18" s="121">
        <f>IF(AND(ISNUMBER(outYear),ISNUMBER(diesel_fuel_used_cost)),diesel_fuel_used_cost*(1+inflation_rate/100)^N3*'Inputs and Outputs'!N117,"")</f>
        <v>0</v>
      </c>
      <c r="O18" s="121">
        <f>IF(AND(ISNUMBER(outYear),ISNUMBER(diesel_fuel_used_cost)),diesel_fuel_used_cost*(1+inflation_rate/100)^O3*'Inputs and Outputs'!O117,"")</f>
        <v>0</v>
      </c>
      <c r="P18" s="121">
        <f>IF(AND(ISNUMBER(outYear),ISNUMBER(diesel_fuel_used_cost)),diesel_fuel_used_cost*(1+inflation_rate/100)^P3*'Inputs and Outputs'!P117,"")</f>
        <v>0</v>
      </c>
      <c r="Q18" s="121">
        <f>IF(AND(ISNUMBER(outYear),ISNUMBER(diesel_fuel_used_cost)),diesel_fuel_used_cost*(1+inflation_rate/100)^Q3*'Inputs and Outputs'!Q117,"")</f>
        <v>0</v>
      </c>
      <c r="R18" s="121">
        <f>IF(AND(ISNUMBER(outYear),ISNUMBER(diesel_fuel_used_cost)),diesel_fuel_used_cost*(1+inflation_rate/100)^R3*'Inputs and Outputs'!R117,"")</f>
        <v>0</v>
      </c>
      <c r="S18" s="121">
        <f>IF(AND(ISNUMBER(outYear),ISNUMBER(diesel_fuel_used_cost)),diesel_fuel_used_cost*(1+inflation_rate/100)^S3*'Inputs and Outputs'!S117,"")</f>
        <v>0</v>
      </c>
      <c r="T18" s="121">
        <f>IF(AND(ISNUMBER(outYear),ISNUMBER(diesel_fuel_used_cost)),diesel_fuel_used_cost*(1+inflation_rate/100)^T3*'Inputs and Outputs'!T117,"")</f>
        <v>0</v>
      </c>
      <c r="U18" s="121">
        <f>IF(AND(ISNUMBER(outYear),ISNUMBER(diesel_fuel_used_cost)),diesel_fuel_used_cost*(1+inflation_rate/100)^U3*'Inputs and Outputs'!U117,"")</f>
        <v>0</v>
      </c>
      <c r="V18" s="121">
        <f>IF(AND(ISNUMBER(outYear),ISNUMBER(diesel_fuel_used_cost)),diesel_fuel_used_cost*(1+inflation_rate/100)^V3*'Inputs and Outputs'!V117,"")</f>
        <v>0</v>
      </c>
      <c r="W18" s="121" t="str">
        <f>IF(AND(ISNUMBER(outYear),ISNUMBER(diesel_fuel_used_cost)),diesel_fuel_used_cost*(1+inflation_rate/100)^W3*'Inputs and Outputs'!W117,"")</f>
        <v/>
      </c>
      <c r="X18" s="121" t="str">
        <f>IF(AND(ISNUMBER(outYear),ISNUMBER(diesel_fuel_used_cost)),diesel_fuel_used_cost*(1+inflation_rate/100)^X3*'Inputs and Outputs'!X117,"")</f>
        <v/>
      </c>
      <c r="Y18" s="121" t="str">
        <f>IF(AND(ISNUMBER(outYear),ISNUMBER(diesel_fuel_used_cost)),diesel_fuel_used_cost*(1+inflation_rate/100)^Y3*'Inputs and Outputs'!Y117,"")</f>
        <v/>
      </c>
      <c r="Z18" s="121" t="str">
        <f>IF(AND(ISNUMBER(outYear),ISNUMBER(diesel_fuel_used_cost)),diesel_fuel_used_cost*(1+inflation_rate/100)^Z3*'Inputs and Outputs'!Z117,"")</f>
        <v/>
      </c>
      <c r="AA18" s="121" t="str">
        <f>IF(AND(ISNUMBER(outYear),ISNUMBER(diesel_fuel_used_cost)),diesel_fuel_used_cost*(1+inflation_rate/100)^AA3*'Inputs and Outputs'!AA117,"")</f>
        <v/>
      </c>
      <c r="AB18" s="121" t="str">
        <f>IF(AND(ISNUMBER(outYear),ISNUMBER(diesel_fuel_used_cost)),diesel_fuel_used_cost*(1+inflation_rate/100)^AB3*'Inputs and Outputs'!AB117,"")</f>
        <v/>
      </c>
      <c r="AC18" s="121" t="str">
        <f>IF(AND(ISNUMBER(outYear),ISNUMBER(diesel_fuel_used_cost)),diesel_fuel_used_cost*(1+inflation_rate/100)^AC3*'Inputs and Outputs'!AC117,"")</f>
        <v/>
      </c>
      <c r="AD18" s="121" t="str">
        <f>IF(AND(ISNUMBER(outYear),ISNUMBER(diesel_fuel_used_cost)),diesel_fuel_used_cost*(1+inflation_rate/100)^AD3*'Inputs and Outputs'!AD117,"")</f>
        <v/>
      </c>
      <c r="AE18" s="121" t="str">
        <f>IF(AND(ISNUMBER(outYear),ISNUMBER(diesel_fuel_used_cost)),diesel_fuel_used_cost*(1+inflation_rate/100)^AE3*'Inputs and Outputs'!AE117,"")</f>
        <v/>
      </c>
      <c r="AF18" s="121" t="str">
        <f>IF(AND(ISNUMBER(outYear),ISNUMBER(diesel_fuel_used_cost)),diesel_fuel_used_cost*(1+inflation_rate/100)^AF3*'Inputs and Outputs'!AF117,"")</f>
        <v/>
      </c>
      <c r="AG18" s="121" t="str">
        <f>IF(AND(ISNUMBER(outYear),ISNUMBER(diesel_fuel_used_cost)),diesel_fuel_used_cost*(1+inflation_rate/100)^AG3*'Inputs and Outputs'!AG117,"")</f>
        <v/>
      </c>
      <c r="AH18" s="121" t="str">
        <f>IF(AND(ISNUMBER(outYear),ISNUMBER(diesel_fuel_used_cost)),diesel_fuel_used_cost*(1+inflation_rate/100)^AH3*'Inputs and Outputs'!AH117,"")</f>
        <v/>
      </c>
      <c r="AI18" s="121" t="str">
        <f>IF(AND(ISNUMBER(outYear),ISNUMBER(diesel_fuel_used_cost)),diesel_fuel_used_cost*(1+inflation_rate/100)^AI3*'Inputs and Outputs'!AI117,"")</f>
        <v/>
      </c>
      <c r="AJ18" s="121" t="str">
        <f>IF(AND(ISNUMBER(outYear),ISNUMBER(diesel_fuel_used_cost)),diesel_fuel_used_cost*(1+inflation_rate/100)^AJ3*'Inputs and Outputs'!AJ117,"")</f>
        <v/>
      </c>
      <c r="AK18" s="121" t="str">
        <f>IF(AND(ISNUMBER(outYear),ISNUMBER(diesel_fuel_used_cost)),diesel_fuel_used_cost*(1+inflation_rate/100)^AK3*'Inputs and Outputs'!AK117,"")</f>
        <v/>
      </c>
      <c r="AL18" s="121" t="str">
        <f>IF(AND(ISNUMBER(outYear),ISNUMBER(diesel_fuel_used_cost)),diesel_fuel_used_cost*(1+inflation_rate/100)^AL3*'Inputs and Outputs'!AL117,"")</f>
        <v/>
      </c>
      <c r="AM18" s="121" t="str">
        <f>IF(AND(ISNUMBER(outYear),ISNUMBER(diesel_fuel_used_cost)),diesel_fuel_used_cost*(1+inflation_rate/100)^AM3*'Inputs and Outputs'!AM117,"")</f>
        <v/>
      </c>
      <c r="AN18" s="121" t="str">
        <f>IF(AND(ISNUMBER(outYear),ISNUMBER(diesel_fuel_used_cost)),diesel_fuel_used_cost*(1+inflation_rate/100)^AN3*'Inputs and Outputs'!AN117,"")</f>
        <v/>
      </c>
      <c r="AO18" s="121" t="str">
        <f>IF(AND(ISNUMBER(outYear),ISNUMBER(diesel_fuel_used_cost)),diesel_fuel_used_cost*(1+inflation_rate/100)^AO3*'Inputs and Outputs'!AO117,"")</f>
        <v/>
      </c>
      <c r="AP18" s="121" t="str">
        <f>IF(AND(ISNUMBER(outYear),ISNUMBER(diesel_fuel_used_cost)),diesel_fuel_used_cost*(1+inflation_rate/100)^AP3*'Inputs and Outputs'!AP117,"")</f>
        <v/>
      </c>
      <c r="AQ18" s="121" t="str">
        <f>IF(AND(ISNUMBER(outYear),ISNUMBER(diesel_fuel_used_cost)),diesel_fuel_used_cost*(1+inflation_rate/100)^AQ3*'Inputs and Outputs'!AQ117,"")</f>
        <v/>
      </c>
      <c r="AR18" s="121" t="str">
        <f>IF(AND(ISNUMBER(outYear),ISNUMBER(diesel_fuel_used_cost)),diesel_fuel_used_cost*(1+inflation_rate/100)^AR3*'Inputs and Outputs'!AR117,"")</f>
        <v/>
      </c>
      <c r="AS18" s="121" t="str">
        <f>IF(AND(ISNUMBER(outYear),ISNUMBER(diesel_fuel_used_cost)),diesel_fuel_used_cost*(1+inflation_rate/100)^AS3*'Inputs and Outputs'!AS117,"")</f>
        <v/>
      </c>
      <c r="AT18" s="121" t="str">
        <f>IF(AND(ISNUMBER(outYear),ISNUMBER(diesel_fuel_used_cost)),diesel_fuel_used_cost*(1+inflation_rate/100)^AT3*'Inputs and Outputs'!AT117,"")</f>
        <v/>
      </c>
      <c r="AU18" s="121" t="str">
        <f>IF(AND(ISNUMBER(outYear),ISNUMBER(diesel_fuel_used_cost)),diesel_fuel_used_cost*(1+inflation_rate/100)^AU3*'Inputs and Outputs'!AU117,"")</f>
        <v/>
      </c>
      <c r="AV18" s="121" t="str">
        <f>IF(AND(ISNUMBER(outYear),ISNUMBER(diesel_fuel_used_cost)),diesel_fuel_used_cost*(1+inflation_rate/100)^AV3*'Inputs and Outputs'!AV117,"")</f>
        <v/>
      </c>
      <c r="AW18" s="121" t="str">
        <f>IF(AND(ISNUMBER(outYear),ISNUMBER(diesel_fuel_used_cost)),diesel_fuel_used_cost*(1+inflation_rate/100)^AW3*'Inputs and Outputs'!AW117,"")</f>
        <v/>
      </c>
      <c r="AX18" s="121" t="str">
        <f>IF(AND(ISNUMBER(outYear),ISNUMBER(diesel_fuel_used_cost)),diesel_fuel_used_cost*(1+inflation_rate/100)^AX3*'Inputs and Outputs'!AX117,"")</f>
        <v/>
      </c>
      <c r="AY18" s="121" t="str">
        <f>IF(AND(ISNUMBER(outYear),ISNUMBER(diesel_fuel_used_cost)),diesel_fuel_used_cost*(1+inflation_rate/100)^AY3*'Inputs and Outputs'!AY117,"")</f>
        <v/>
      </c>
      <c r="AZ18" s="121" t="str">
        <f>IF(AND(ISNUMBER(outYear),ISNUMBER(diesel_fuel_used_cost)),diesel_fuel_used_cost*(1+inflation_rate/100)^AZ3*'Inputs and Outputs'!AZ117,"")</f>
        <v/>
      </c>
      <c r="BA18" s="121" t="str">
        <f>IF(AND(ISNUMBER(outYear),ISNUMBER(diesel_fuel_used_cost)),diesel_fuel_used_cost*(1+inflation_rate/100)^BA3*'Inputs and Outputs'!BA117,"")</f>
        <v/>
      </c>
      <c r="BB18" s="121" t="str">
        <f>IF(AND(ISNUMBER(outYear),ISNUMBER(diesel_fuel_used_cost)),diesel_fuel_used_cost*(1+inflation_rate/100)^BB3*'Inputs and Outputs'!BB117,"")</f>
        <v/>
      </c>
      <c r="BC18" s="121" t="str">
        <f>IF(AND(ISNUMBER(outYear),ISNUMBER(diesel_fuel_used_cost)),diesel_fuel_used_cost*(1+inflation_rate/100)^BC3*'Inputs and Outputs'!BC117,"")</f>
        <v/>
      </c>
      <c r="BD18" s="121" t="str">
        <f>IF(AND(ISNUMBER(outYear),ISNUMBER(diesel_fuel_used_cost)),diesel_fuel_used_cost*(1+inflation_rate/100)^BD3*'Inputs and Outputs'!BD117,"")</f>
        <v/>
      </c>
      <c r="BE18" s="121" t="str">
        <f>IF(AND(ISNUMBER(outYear),ISNUMBER(diesel_fuel_used_cost)),diesel_fuel_used_cost*(1+inflation_rate/100)^BE3*'Inputs and Outputs'!BE117,"")</f>
        <v/>
      </c>
      <c r="BF18" s="121" t="str">
        <f>IF(AND(ISNUMBER(outYear),ISNUMBER(diesel_fuel_used_cost)),diesel_fuel_used_cost*(1+inflation_rate/100)^BF3*'Inputs and Outputs'!BF117,"")</f>
        <v/>
      </c>
      <c r="BG18" s="121" t="str">
        <f>IF(AND(ISNUMBER(outYear),ISNUMBER(diesel_fuel_used_cost)),diesel_fuel_used_cost*(1+inflation_rate/100)^BG3*'Inputs and Outputs'!BG117,"")</f>
        <v/>
      </c>
      <c r="BH18" s="121" t="str">
        <f>IF(AND(ISNUMBER(outYear),ISNUMBER(diesel_fuel_used_cost)),diesel_fuel_used_cost*(1+inflation_rate/100)^BH3*'Inputs and Outputs'!BH117,"")</f>
        <v/>
      </c>
      <c r="BI18" s="121" t="str">
        <f>IF(AND(ISNUMBER(outYear),ISNUMBER(diesel_fuel_used_cost)),diesel_fuel_used_cost*(1+inflation_rate/100)^BI3*'Inputs and Outputs'!BI117,"")</f>
        <v/>
      </c>
      <c r="BJ18" s="121" t="str">
        <f>IF(AND(ISNUMBER(outYear),ISNUMBER(diesel_fuel_used_cost)),diesel_fuel_used_cost*(1+inflation_rate/100)^BJ3*'Inputs and Outputs'!BJ117,"")</f>
        <v/>
      </c>
      <c r="BK18" s="121" t="str">
        <f>IF(AND(ISNUMBER(outYear),ISNUMBER(diesel_fuel_used_cost)),diesel_fuel_used_cost*(1+inflation_rate/100)^BK3*'Inputs and Outputs'!BK117,"")</f>
        <v/>
      </c>
      <c r="BL18" s="121" t="str">
        <f>IF(AND(ISNUMBER(outYear),ISNUMBER(diesel_fuel_used_cost)),diesel_fuel_used_cost*(1+inflation_rate/100)^BL3*'Inputs and Outputs'!BL117,"")</f>
        <v/>
      </c>
      <c r="BM18" s="121" t="str">
        <f>IF(AND(ISNUMBER(outYear),ISNUMBER(diesel_fuel_used_cost)),diesel_fuel_used_cost*(1+inflation_rate/100)^BM3*'Inputs and Outputs'!BM117,"")</f>
        <v/>
      </c>
      <c r="BN18" s="121" t="str">
        <f>IF(AND(ISNUMBER(outYear),ISNUMBER(diesel_fuel_used_cost)),diesel_fuel_used_cost*(1+inflation_rate/100)^BN3*'Inputs and Outputs'!BN117,"")</f>
        <v/>
      </c>
      <c r="BO18" s="121" t="str">
        <f>IF(AND(ISNUMBER(outYear),ISNUMBER(diesel_fuel_used_cost)),diesel_fuel_used_cost*(1+inflation_rate/100)^BO3*'Inputs and Outputs'!BO117,"")</f>
        <v/>
      </c>
      <c r="BP18" s="121" t="str">
        <f>IF(AND(ISNUMBER(outYear),ISNUMBER(diesel_fuel_used_cost)),diesel_fuel_used_cost*(1+inflation_rate/100)^BP3*'Inputs and Outputs'!BP117,"")</f>
        <v/>
      </c>
      <c r="BQ18" s="121" t="str">
        <f>IF(AND(ISNUMBER(outYear),ISNUMBER(diesel_fuel_used_cost)),diesel_fuel_used_cost*(1+inflation_rate/100)^BQ3*'Inputs and Outputs'!BQ117,"")</f>
        <v/>
      </c>
      <c r="BR18" s="121" t="str">
        <f>IF(AND(ISNUMBER(outYear),ISNUMBER(diesel_fuel_used_cost)),diesel_fuel_used_cost*(1+inflation_rate/100)^BR3*'Inputs and Outputs'!BR117,"")</f>
        <v/>
      </c>
      <c r="BS18" s="121" t="str">
        <f>IF(AND(ISNUMBER(outYear),ISNUMBER(diesel_fuel_used_cost)),diesel_fuel_used_cost*(1+inflation_rate/100)^BS3*'Inputs and Outputs'!BS117,"")</f>
        <v/>
      </c>
      <c r="BT18" s="121" t="str">
        <f>IF(AND(ISNUMBER(outYear),ISNUMBER(diesel_fuel_used_cost)),diesel_fuel_used_cost*(1+inflation_rate/100)^BT3*'Inputs and Outputs'!BT117,"")</f>
        <v/>
      </c>
      <c r="BU18" s="121" t="str">
        <f>IF(AND(ISNUMBER(outYear),ISNUMBER(diesel_fuel_used_cost)),diesel_fuel_used_cost*(1+inflation_rate/100)^BU3*'Inputs and Outputs'!BU117,"")</f>
        <v/>
      </c>
      <c r="BV18" s="121" t="str">
        <f>IF(AND(ISNUMBER(outYear),ISNUMBER(diesel_fuel_used_cost)),diesel_fuel_used_cost*(1+inflation_rate/100)^BV3*'Inputs and Outputs'!BV117,"")</f>
        <v/>
      </c>
      <c r="BW18" s="121" t="str">
        <f>IF(AND(ISNUMBER(outYear),ISNUMBER(diesel_fuel_used_cost)),diesel_fuel_used_cost*(1+inflation_rate/100)^BW3*'Inputs and Outputs'!BW117,"")</f>
        <v/>
      </c>
      <c r="BX18" s="121" t="str">
        <f>IF(AND(ISNUMBER(outYear),ISNUMBER(diesel_fuel_used_cost)),diesel_fuel_used_cost*(1+inflation_rate/100)^BX3*'Inputs and Outputs'!BX117,"")</f>
        <v/>
      </c>
      <c r="BY18" s="121" t="str">
        <f>IF(AND(ISNUMBER(outYear),ISNUMBER(diesel_fuel_used_cost)),diesel_fuel_used_cost*(1+inflation_rate/100)^BY3*'Inputs and Outputs'!BY117,"")</f>
        <v/>
      </c>
      <c r="BZ18" s="121" t="str">
        <f>IF(AND(ISNUMBER(outYear),ISNUMBER(diesel_fuel_used_cost)),diesel_fuel_used_cost*(1+inflation_rate/100)^BZ3*'Inputs and Outputs'!BZ117,"")</f>
        <v/>
      </c>
      <c r="CA18" s="121" t="str">
        <f>IF(AND(ISNUMBER(outYear),ISNUMBER(diesel_fuel_used_cost)),diesel_fuel_used_cost*(1+inflation_rate/100)^CA3*'Inputs and Outputs'!CA117,"")</f>
        <v/>
      </c>
      <c r="CB18" s="121" t="str">
        <f>IF(AND(ISNUMBER(outYear),ISNUMBER(diesel_fuel_used_cost)),diesel_fuel_used_cost*(1+inflation_rate/100)^CB3*'Inputs and Outputs'!CB117,"")</f>
        <v/>
      </c>
      <c r="CC18" s="121" t="str">
        <f>IF(AND(ISNUMBER(outYear),ISNUMBER(diesel_fuel_used_cost)),diesel_fuel_used_cost*(1+inflation_rate/100)^CC3*'Inputs and Outputs'!CC117,"")</f>
        <v/>
      </c>
      <c r="CD18" s="121" t="str">
        <f>IF(AND(ISNUMBER(outYear),ISNUMBER(diesel_fuel_used_cost)),diesel_fuel_used_cost*(1+inflation_rate/100)^CD3*'Inputs and Outputs'!CD117,"")</f>
        <v/>
      </c>
      <c r="CE18" s="121" t="str">
        <f>IF(AND(ISNUMBER(outYear),ISNUMBER(diesel_fuel_used_cost)),diesel_fuel_used_cost*(1+inflation_rate/100)^CE3*'Inputs and Outputs'!CE117,"")</f>
        <v/>
      </c>
      <c r="CF18" s="121" t="str">
        <f>IF(AND(ISNUMBER(outYear),ISNUMBER(diesel_fuel_used_cost)),diesel_fuel_used_cost*(1+inflation_rate/100)^CF3*'Inputs and Outputs'!CF117,"")</f>
        <v/>
      </c>
      <c r="CG18" s="121" t="str">
        <f>IF(AND(ISNUMBER(outYear),ISNUMBER(diesel_fuel_used_cost)),diesel_fuel_used_cost*(1+inflation_rate/100)^CG3*'Inputs and Outputs'!CG117,"")</f>
        <v/>
      </c>
      <c r="CH18" s="121" t="str">
        <f>IF(AND(ISNUMBER(outYear),ISNUMBER(diesel_fuel_used_cost)),diesel_fuel_used_cost*(1+inflation_rate/100)^CH3*'Inputs and Outputs'!CH117,"")</f>
        <v/>
      </c>
      <c r="CI18" s="121" t="str">
        <f>IF(AND(ISNUMBER(outYear),ISNUMBER(diesel_fuel_used_cost)),diesel_fuel_used_cost*(1+inflation_rate/100)^CI3*'Inputs and Outputs'!CI117,"")</f>
        <v/>
      </c>
      <c r="CJ18" s="121" t="str">
        <f>IF(AND(ISNUMBER(outYear),ISNUMBER(diesel_fuel_used_cost)),diesel_fuel_used_cost*(1+inflation_rate/100)^CJ3*'Inputs and Outputs'!CJ117,"")</f>
        <v/>
      </c>
      <c r="CK18" s="121" t="str">
        <f>IF(AND(ISNUMBER(outYear),ISNUMBER(diesel_fuel_used_cost)),diesel_fuel_used_cost*(1+inflation_rate/100)^CK3*'Inputs and Outputs'!CK117,"")</f>
        <v/>
      </c>
      <c r="CL18" s="121" t="str">
        <f>IF(AND(ISNUMBER(outYear),ISNUMBER(diesel_fuel_used_cost)),diesel_fuel_used_cost*(1+inflation_rate/100)^CL3*'Inputs and Outputs'!CL117,"")</f>
        <v/>
      </c>
      <c r="CM18" s="121" t="str">
        <f>IF(AND(ISNUMBER(outYear),ISNUMBER(diesel_fuel_used_cost)),diesel_fuel_used_cost*(1+inflation_rate/100)^CM3*'Inputs and Outputs'!CM117,"")</f>
        <v/>
      </c>
      <c r="CN18" s="121" t="str">
        <f>IF(AND(ISNUMBER(outYear),ISNUMBER(diesel_fuel_used_cost)),diesel_fuel_used_cost*(1+inflation_rate/100)^CN3*'Inputs and Outputs'!CN117,"")</f>
        <v/>
      </c>
      <c r="CO18" s="121" t="str">
        <f>IF(AND(ISNUMBER(outYear),ISNUMBER(diesel_fuel_used_cost)),diesel_fuel_used_cost*(1+inflation_rate/100)^CO3*'Inputs and Outputs'!CO117,"")</f>
        <v/>
      </c>
      <c r="CP18" s="121" t="str">
        <f>IF(AND(ISNUMBER(outYear),ISNUMBER(diesel_fuel_used_cost)),diesel_fuel_used_cost*(1+inflation_rate/100)^CP3*'Inputs and Outputs'!CP117,"")</f>
        <v/>
      </c>
      <c r="CQ18" s="121" t="str">
        <f>IF(AND(ISNUMBER(outYear),ISNUMBER(diesel_fuel_used_cost)),diesel_fuel_used_cost*(1+inflation_rate/100)^CQ3*'Inputs and Outputs'!CQ117,"")</f>
        <v/>
      </c>
      <c r="CR18" s="121" t="str">
        <f>IF(AND(ISNUMBER(outYear),ISNUMBER(diesel_fuel_used_cost)),diesel_fuel_used_cost*(1+inflation_rate/100)^CR3*'Inputs and Outputs'!CR117,"")</f>
        <v/>
      </c>
      <c r="CS18" s="121" t="str">
        <f>IF(AND(ISNUMBER(outYear),ISNUMBER(diesel_fuel_used_cost)),diesel_fuel_used_cost*(1+inflation_rate/100)^CS3*'Inputs and Outputs'!CS117,"")</f>
        <v/>
      </c>
      <c r="CT18" s="121" t="str">
        <f>IF(AND(ISNUMBER(outYear),ISNUMBER(diesel_fuel_used_cost)),diesel_fuel_used_cost*(1+inflation_rate/100)^CT3*'Inputs and Outputs'!CT117,"")</f>
        <v/>
      </c>
      <c r="CU18" s="121" t="str">
        <f>IF(AND(ISNUMBER(outYear),ISNUMBER(diesel_fuel_used_cost)),diesel_fuel_used_cost*(1+inflation_rate/100)^CU3*'Inputs and Outputs'!CU117,"")</f>
        <v/>
      </c>
      <c r="CV18" s="121" t="str">
        <f>IF(AND(ISNUMBER(outYear),ISNUMBER(diesel_fuel_used_cost)),diesel_fuel_used_cost*(1+inflation_rate/100)^CV3*'Inputs and Outputs'!CV117,"")</f>
        <v/>
      </c>
      <c r="CW18" s="121" t="str">
        <f>IF(AND(ISNUMBER(outYear),ISNUMBER(diesel_fuel_used_cost)),diesel_fuel_used_cost*(1+inflation_rate/100)^CW3*'Inputs and Outputs'!CW117,"")</f>
        <v/>
      </c>
      <c r="CX18" s="121" t="str">
        <f>IF(AND(ISNUMBER(outYear),ISNUMBER(diesel_fuel_used_cost)),diesel_fuel_used_cost*(1+inflation_rate/100)^CX3*'Inputs and Outputs'!CX117,"")</f>
        <v/>
      </c>
    </row>
    <row r="19" spans="1:103" x14ac:dyDescent="0.25">
      <c r="A19" s="107" t="s">
        <v>116</v>
      </c>
      <c r="B19" s="113"/>
      <c r="C19" s="121">
        <f t="shared" ref="C19:AH19" si="11">IF(ISNUMBER(outYear), IF(EXACT(batt_repl_kw_year,C2), IF(ISNUMBER(batt_repl_cost_kw),(batt_kw * batt_repl_cost_kw),""), 0),"")</f>
        <v>0</v>
      </c>
      <c r="D19" s="121">
        <f t="shared" si="11"/>
        <v>0</v>
      </c>
      <c r="E19" s="121">
        <f t="shared" si="11"/>
        <v>0</v>
      </c>
      <c r="F19" s="121">
        <f t="shared" si="11"/>
        <v>0</v>
      </c>
      <c r="G19" s="121">
        <f t="shared" si="11"/>
        <v>0</v>
      </c>
      <c r="H19" s="121">
        <f t="shared" si="11"/>
        <v>0</v>
      </c>
      <c r="I19" s="121">
        <f t="shared" si="11"/>
        <v>0</v>
      </c>
      <c r="J19" s="121">
        <f t="shared" si="11"/>
        <v>0</v>
      </c>
      <c r="K19" s="121">
        <f t="shared" si="11"/>
        <v>0</v>
      </c>
      <c r="L19" s="121">
        <f t="shared" si="11"/>
        <v>0</v>
      </c>
      <c r="M19" s="121">
        <f t="shared" si="11"/>
        <v>0</v>
      </c>
      <c r="N19" s="121">
        <f t="shared" si="11"/>
        <v>0</v>
      </c>
      <c r="O19" s="121">
        <f t="shared" si="11"/>
        <v>0</v>
      </c>
      <c r="P19" s="121">
        <f t="shared" si="11"/>
        <v>0</v>
      </c>
      <c r="Q19" s="121">
        <f t="shared" si="11"/>
        <v>0</v>
      </c>
      <c r="R19" s="121">
        <f t="shared" si="11"/>
        <v>0</v>
      </c>
      <c r="S19" s="121">
        <f t="shared" si="11"/>
        <v>0</v>
      </c>
      <c r="T19" s="121">
        <f t="shared" si="11"/>
        <v>0</v>
      </c>
      <c r="U19" s="121">
        <f t="shared" si="11"/>
        <v>0</v>
      </c>
      <c r="V19" s="121">
        <f t="shared" si="11"/>
        <v>0</v>
      </c>
      <c r="W19" s="121" t="str">
        <f t="shared" si="11"/>
        <v/>
      </c>
      <c r="X19" s="121" t="str">
        <f t="shared" si="11"/>
        <v/>
      </c>
      <c r="Y19" s="121" t="str">
        <f t="shared" si="11"/>
        <v/>
      </c>
      <c r="Z19" s="121" t="str">
        <f t="shared" si="11"/>
        <v/>
      </c>
      <c r="AA19" s="121" t="str">
        <f t="shared" si="11"/>
        <v/>
      </c>
      <c r="AB19" s="121" t="str">
        <f t="shared" si="11"/>
        <v/>
      </c>
      <c r="AC19" s="121" t="str">
        <f t="shared" si="11"/>
        <v/>
      </c>
      <c r="AD19" s="121" t="str">
        <f t="shared" si="11"/>
        <v/>
      </c>
      <c r="AE19" s="121" t="str">
        <f t="shared" si="11"/>
        <v/>
      </c>
      <c r="AF19" s="121" t="str">
        <f t="shared" si="11"/>
        <v/>
      </c>
      <c r="AG19" s="121" t="str">
        <f t="shared" si="11"/>
        <v/>
      </c>
      <c r="AH19" s="121" t="str">
        <f t="shared" si="11"/>
        <v/>
      </c>
      <c r="AI19" s="121" t="str">
        <f t="shared" ref="AI19:BN19" si="12">IF(ISNUMBER(outYear), IF(EXACT(batt_repl_kw_year,AI2), IF(ISNUMBER(batt_repl_cost_kw),(batt_kw * batt_repl_cost_kw),""), 0),"")</f>
        <v/>
      </c>
      <c r="AJ19" s="121" t="str">
        <f t="shared" si="12"/>
        <v/>
      </c>
      <c r="AK19" s="121" t="str">
        <f t="shared" si="12"/>
        <v/>
      </c>
      <c r="AL19" s="121" t="str">
        <f t="shared" si="12"/>
        <v/>
      </c>
      <c r="AM19" s="121" t="str">
        <f t="shared" si="12"/>
        <v/>
      </c>
      <c r="AN19" s="121" t="str">
        <f t="shared" si="12"/>
        <v/>
      </c>
      <c r="AO19" s="121" t="str">
        <f t="shared" si="12"/>
        <v/>
      </c>
      <c r="AP19" s="121" t="str">
        <f t="shared" si="12"/>
        <v/>
      </c>
      <c r="AQ19" s="121" t="str">
        <f t="shared" si="12"/>
        <v/>
      </c>
      <c r="AR19" s="121" t="str">
        <f t="shared" si="12"/>
        <v/>
      </c>
      <c r="AS19" s="121" t="str">
        <f t="shared" si="12"/>
        <v/>
      </c>
      <c r="AT19" s="121" t="str">
        <f t="shared" si="12"/>
        <v/>
      </c>
      <c r="AU19" s="121" t="str">
        <f t="shared" si="12"/>
        <v/>
      </c>
      <c r="AV19" s="121" t="str">
        <f t="shared" si="12"/>
        <v/>
      </c>
      <c r="AW19" s="121" t="str">
        <f t="shared" si="12"/>
        <v/>
      </c>
      <c r="AX19" s="121" t="str">
        <f t="shared" si="12"/>
        <v/>
      </c>
      <c r="AY19" s="121" t="str">
        <f t="shared" si="12"/>
        <v/>
      </c>
      <c r="AZ19" s="121" t="str">
        <f t="shared" si="12"/>
        <v/>
      </c>
      <c r="BA19" s="121" t="str">
        <f t="shared" si="12"/>
        <v/>
      </c>
      <c r="BB19" s="121" t="str">
        <f t="shared" si="12"/>
        <v/>
      </c>
      <c r="BC19" s="121" t="str">
        <f t="shared" si="12"/>
        <v/>
      </c>
      <c r="BD19" s="121" t="str">
        <f t="shared" si="12"/>
        <v/>
      </c>
      <c r="BE19" s="121" t="str">
        <f t="shared" si="12"/>
        <v/>
      </c>
      <c r="BF19" s="121" t="str">
        <f t="shared" si="12"/>
        <v/>
      </c>
      <c r="BG19" s="121" t="str">
        <f t="shared" si="12"/>
        <v/>
      </c>
      <c r="BH19" s="121" t="str">
        <f t="shared" si="12"/>
        <v/>
      </c>
      <c r="BI19" s="121" t="str">
        <f t="shared" si="12"/>
        <v/>
      </c>
      <c r="BJ19" s="121" t="str">
        <f t="shared" si="12"/>
        <v/>
      </c>
      <c r="BK19" s="121" t="str">
        <f t="shared" si="12"/>
        <v/>
      </c>
      <c r="BL19" s="121" t="str">
        <f t="shared" si="12"/>
        <v/>
      </c>
      <c r="BM19" s="121" t="str">
        <f t="shared" si="12"/>
        <v/>
      </c>
      <c r="BN19" s="121" t="str">
        <f t="shared" si="12"/>
        <v/>
      </c>
      <c r="BO19" s="121" t="str">
        <f t="shared" ref="BO19:CX19" si="13">IF(ISNUMBER(outYear), IF(EXACT(batt_repl_kw_year,BO2), IF(ISNUMBER(batt_repl_cost_kw),(batt_kw * batt_repl_cost_kw),""), 0),"")</f>
        <v/>
      </c>
      <c r="BP19" s="121" t="str">
        <f t="shared" si="13"/>
        <v/>
      </c>
      <c r="BQ19" s="121" t="str">
        <f t="shared" si="13"/>
        <v/>
      </c>
      <c r="BR19" s="121" t="str">
        <f t="shared" si="13"/>
        <v/>
      </c>
      <c r="BS19" s="121" t="str">
        <f t="shared" si="13"/>
        <v/>
      </c>
      <c r="BT19" s="121" t="str">
        <f t="shared" si="13"/>
        <v/>
      </c>
      <c r="BU19" s="121" t="str">
        <f t="shared" si="13"/>
        <v/>
      </c>
      <c r="BV19" s="121" t="str">
        <f t="shared" si="13"/>
        <v/>
      </c>
      <c r="BW19" s="121" t="str">
        <f t="shared" si="13"/>
        <v/>
      </c>
      <c r="BX19" s="121" t="str">
        <f t="shared" si="13"/>
        <v/>
      </c>
      <c r="BY19" s="121" t="str">
        <f t="shared" si="13"/>
        <v/>
      </c>
      <c r="BZ19" s="121" t="str">
        <f t="shared" si="13"/>
        <v/>
      </c>
      <c r="CA19" s="121" t="str">
        <f t="shared" si="13"/>
        <v/>
      </c>
      <c r="CB19" s="121" t="str">
        <f t="shared" si="13"/>
        <v/>
      </c>
      <c r="CC19" s="121" t="str">
        <f t="shared" si="13"/>
        <v/>
      </c>
      <c r="CD19" s="121" t="str">
        <f t="shared" si="13"/>
        <v/>
      </c>
      <c r="CE19" s="121" t="str">
        <f t="shared" si="13"/>
        <v/>
      </c>
      <c r="CF19" s="121" t="str">
        <f t="shared" si="13"/>
        <v/>
      </c>
      <c r="CG19" s="121" t="str">
        <f t="shared" si="13"/>
        <v/>
      </c>
      <c r="CH19" s="121" t="str">
        <f t="shared" si="13"/>
        <v/>
      </c>
      <c r="CI19" s="121" t="str">
        <f t="shared" si="13"/>
        <v/>
      </c>
      <c r="CJ19" s="121" t="str">
        <f t="shared" si="13"/>
        <v/>
      </c>
      <c r="CK19" s="121" t="str">
        <f t="shared" si="13"/>
        <v/>
      </c>
      <c r="CL19" s="121" t="str">
        <f t="shared" si="13"/>
        <v/>
      </c>
      <c r="CM19" s="121" t="str">
        <f t="shared" si="13"/>
        <v/>
      </c>
      <c r="CN19" s="121" t="str">
        <f t="shared" si="13"/>
        <v/>
      </c>
      <c r="CO19" s="121" t="str">
        <f t="shared" si="13"/>
        <v/>
      </c>
      <c r="CP19" s="121" t="str">
        <f t="shared" si="13"/>
        <v/>
      </c>
      <c r="CQ19" s="121" t="str">
        <f t="shared" si="13"/>
        <v/>
      </c>
      <c r="CR19" s="121" t="str">
        <f t="shared" si="13"/>
        <v/>
      </c>
      <c r="CS19" s="121" t="str">
        <f t="shared" si="13"/>
        <v/>
      </c>
      <c r="CT19" s="121" t="str">
        <f t="shared" si="13"/>
        <v/>
      </c>
      <c r="CU19" s="121" t="str">
        <f t="shared" si="13"/>
        <v/>
      </c>
      <c r="CV19" s="121" t="str">
        <f t="shared" si="13"/>
        <v/>
      </c>
      <c r="CW19" s="121" t="str">
        <f t="shared" si="13"/>
        <v/>
      </c>
      <c r="CX19" s="121" t="str">
        <f t="shared" si="13"/>
        <v/>
      </c>
    </row>
    <row r="20" spans="1:103" x14ac:dyDescent="0.25">
      <c r="A20" s="107" t="s">
        <v>117</v>
      </c>
      <c r="B20" s="113"/>
      <c r="C20" s="121">
        <f t="shared" ref="C20:AH20" si="14">IF(ISNUMBER(outYear), IF(EXACT(batt_repl_year_kwh,C2), IF(ISNUMBER(batt_repl_cost_kwh),(batt_kwh * batt_repl_cost_kwh),""), 0),"")</f>
        <v>0</v>
      </c>
      <c r="D20" s="121">
        <f t="shared" si="14"/>
        <v>0</v>
      </c>
      <c r="E20" s="121">
        <f t="shared" si="14"/>
        <v>0</v>
      </c>
      <c r="F20" s="121">
        <f t="shared" si="14"/>
        <v>0</v>
      </c>
      <c r="G20" s="121">
        <f t="shared" si="14"/>
        <v>0</v>
      </c>
      <c r="H20" s="121">
        <f t="shared" si="14"/>
        <v>0</v>
      </c>
      <c r="I20" s="121">
        <f t="shared" si="14"/>
        <v>0</v>
      </c>
      <c r="J20" s="121">
        <f t="shared" si="14"/>
        <v>0</v>
      </c>
      <c r="K20" s="121">
        <f t="shared" si="14"/>
        <v>0</v>
      </c>
      <c r="L20" s="121">
        <f t="shared" si="14"/>
        <v>0</v>
      </c>
      <c r="M20" s="121">
        <f t="shared" si="14"/>
        <v>0</v>
      </c>
      <c r="N20" s="121">
        <f t="shared" si="14"/>
        <v>0</v>
      </c>
      <c r="O20" s="121">
        <f t="shared" si="14"/>
        <v>0</v>
      </c>
      <c r="P20" s="121">
        <f t="shared" si="14"/>
        <v>0</v>
      </c>
      <c r="Q20" s="121">
        <f t="shared" si="14"/>
        <v>0</v>
      </c>
      <c r="R20" s="121">
        <f t="shared" si="14"/>
        <v>0</v>
      </c>
      <c r="S20" s="121">
        <f t="shared" si="14"/>
        <v>0</v>
      </c>
      <c r="T20" s="121">
        <f t="shared" si="14"/>
        <v>0</v>
      </c>
      <c r="U20" s="121">
        <f t="shared" si="14"/>
        <v>0</v>
      </c>
      <c r="V20" s="121">
        <f t="shared" si="14"/>
        <v>0</v>
      </c>
      <c r="W20" s="121" t="str">
        <f t="shared" si="14"/>
        <v/>
      </c>
      <c r="X20" s="121" t="str">
        <f t="shared" si="14"/>
        <v/>
      </c>
      <c r="Y20" s="121" t="str">
        <f t="shared" si="14"/>
        <v/>
      </c>
      <c r="Z20" s="121" t="str">
        <f t="shared" si="14"/>
        <v/>
      </c>
      <c r="AA20" s="121" t="str">
        <f t="shared" si="14"/>
        <v/>
      </c>
      <c r="AB20" s="121" t="str">
        <f t="shared" si="14"/>
        <v/>
      </c>
      <c r="AC20" s="121" t="str">
        <f t="shared" si="14"/>
        <v/>
      </c>
      <c r="AD20" s="121" t="str">
        <f t="shared" si="14"/>
        <v/>
      </c>
      <c r="AE20" s="121" t="str">
        <f t="shared" si="14"/>
        <v/>
      </c>
      <c r="AF20" s="121" t="str">
        <f t="shared" si="14"/>
        <v/>
      </c>
      <c r="AG20" s="121" t="str">
        <f t="shared" si="14"/>
        <v/>
      </c>
      <c r="AH20" s="121" t="str">
        <f t="shared" si="14"/>
        <v/>
      </c>
      <c r="AI20" s="121" t="str">
        <f t="shared" ref="AI20:BN20" si="15">IF(ISNUMBER(outYear), IF(EXACT(batt_repl_year_kwh,AI2), IF(ISNUMBER(batt_repl_cost_kwh),(batt_kwh * batt_repl_cost_kwh),""), 0),"")</f>
        <v/>
      </c>
      <c r="AJ20" s="121" t="str">
        <f t="shared" si="15"/>
        <v/>
      </c>
      <c r="AK20" s="121" t="str">
        <f t="shared" si="15"/>
        <v/>
      </c>
      <c r="AL20" s="121" t="str">
        <f t="shared" si="15"/>
        <v/>
      </c>
      <c r="AM20" s="121" t="str">
        <f t="shared" si="15"/>
        <v/>
      </c>
      <c r="AN20" s="121" t="str">
        <f t="shared" si="15"/>
        <v/>
      </c>
      <c r="AO20" s="121" t="str">
        <f t="shared" si="15"/>
        <v/>
      </c>
      <c r="AP20" s="121" t="str">
        <f t="shared" si="15"/>
        <v/>
      </c>
      <c r="AQ20" s="121" t="str">
        <f t="shared" si="15"/>
        <v/>
      </c>
      <c r="AR20" s="121" t="str">
        <f t="shared" si="15"/>
        <v/>
      </c>
      <c r="AS20" s="121" t="str">
        <f t="shared" si="15"/>
        <v/>
      </c>
      <c r="AT20" s="121" t="str">
        <f t="shared" si="15"/>
        <v/>
      </c>
      <c r="AU20" s="121" t="str">
        <f t="shared" si="15"/>
        <v/>
      </c>
      <c r="AV20" s="121" t="str">
        <f t="shared" si="15"/>
        <v/>
      </c>
      <c r="AW20" s="121" t="str">
        <f t="shared" si="15"/>
        <v/>
      </c>
      <c r="AX20" s="121" t="str">
        <f t="shared" si="15"/>
        <v/>
      </c>
      <c r="AY20" s="121" t="str">
        <f t="shared" si="15"/>
        <v/>
      </c>
      <c r="AZ20" s="121" t="str">
        <f t="shared" si="15"/>
        <v/>
      </c>
      <c r="BA20" s="121" t="str">
        <f t="shared" si="15"/>
        <v/>
      </c>
      <c r="BB20" s="121" t="str">
        <f t="shared" si="15"/>
        <v/>
      </c>
      <c r="BC20" s="121" t="str">
        <f t="shared" si="15"/>
        <v/>
      </c>
      <c r="BD20" s="121" t="str">
        <f t="shared" si="15"/>
        <v/>
      </c>
      <c r="BE20" s="121" t="str">
        <f t="shared" si="15"/>
        <v/>
      </c>
      <c r="BF20" s="121" t="str">
        <f t="shared" si="15"/>
        <v/>
      </c>
      <c r="BG20" s="121" t="str">
        <f t="shared" si="15"/>
        <v/>
      </c>
      <c r="BH20" s="121" t="str">
        <f t="shared" si="15"/>
        <v/>
      </c>
      <c r="BI20" s="121" t="str">
        <f t="shared" si="15"/>
        <v/>
      </c>
      <c r="BJ20" s="121" t="str">
        <f t="shared" si="15"/>
        <v/>
      </c>
      <c r="BK20" s="121" t="str">
        <f t="shared" si="15"/>
        <v/>
      </c>
      <c r="BL20" s="121" t="str">
        <f t="shared" si="15"/>
        <v/>
      </c>
      <c r="BM20" s="121" t="str">
        <f t="shared" si="15"/>
        <v/>
      </c>
      <c r="BN20" s="121" t="str">
        <f t="shared" si="15"/>
        <v/>
      </c>
      <c r="BO20" s="121" t="str">
        <f t="shared" ref="BO20:CX20" si="16">IF(ISNUMBER(outYear), IF(EXACT(batt_repl_year_kwh,BO2), IF(ISNUMBER(batt_repl_cost_kwh),(batt_kwh * batt_repl_cost_kwh),""), 0),"")</f>
        <v/>
      </c>
      <c r="BP20" s="121" t="str">
        <f t="shared" si="16"/>
        <v/>
      </c>
      <c r="BQ20" s="121" t="str">
        <f t="shared" si="16"/>
        <v/>
      </c>
      <c r="BR20" s="121" t="str">
        <f t="shared" si="16"/>
        <v/>
      </c>
      <c r="BS20" s="121" t="str">
        <f t="shared" si="16"/>
        <v/>
      </c>
      <c r="BT20" s="121" t="str">
        <f t="shared" si="16"/>
        <v/>
      </c>
      <c r="BU20" s="121" t="str">
        <f t="shared" si="16"/>
        <v/>
      </c>
      <c r="BV20" s="121" t="str">
        <f t="shared" si="16"/>
        <v/>
      </c>
      <c r="BW20" s="121" t="str">
        <f t="shared" si="16"/>
        <v/>
      </c>
      <c r="BX20" s="121" t="str">
        <f t="shared" si="16"/>
        <v/>
      </c>
      <c r="BY20" s="121" t="str">
        <f t="shared" si="16"/>
        <v/>
      </c>
      <c r="BZ20" s="121" t="str">
        <f t="shared" si="16"/>
        <v/>
      </c>
      <c r="CA20" s="121" t="str">
        <f t="shared" si="16"/>
        <v/>
      </c>
      <c r="CB20" s="121" t="str">
        <f t="shared" si="16"/>
        <v/>
      </c>
      <c r="CC20" s="121" t="str">
        <f t="shared" si="16"/>
        <v/>
      </c>
      <c r="CD20" s="121" t="str">
        <f t="shared" si="16"/>
        <v/>
      </c>
      <c r="CE20" s="121" t="str">
        <f t="shared" si="16"/>
        <v/>
      </c>
      <c r="CF20" s="121" t="str">
        <f t="shared" si="16"/>
        <v/>
      </c>
      <c r="CG20" s="121" t="str">
        <f t="shared" si="16"/>
        <v/>
      </c>
      <c r="CH20" s="121" t="str">
        <f t="shared" si="16"/>
        <v/>
      </c>
      <c r="CI20" s="121" t="str">
        <f t="shared" si="16"/>
        <v/>
      </c>
      <c r="CJ20" s="121" t="str">
        <f t="shared" si="16"/>
        <v/>
      </c>
      <c r="CK20" s="121" t="str">
        <f t="shared" si="16"/>
        <v/>
      </c>
      <c r="CL20" s="121" t="str">
        <f t="shared" si="16"/>
        <v/>
      </c>
      <c r="CM20" s="121" t="str">
        <f t="shared" si="16"/>
        <v/>
      </c>
      <c r="CN20" s="121" t="str">
        <f t="shared" si="16"/>
        <v/>
      </c>
      <c r="CO20" s="121" t="str">
        <f t="shared" si="16"/>
        <v/>
      </c>
      <c r="CP20" s="121" t="str">
        <f t="shared" si="16"/>
        <v/>
      </c>
      <c r="CQ20" s="121" t="str">
        <f t="shared" si="16"/>
        <v/>
      </c>
      <c r="CR20" s="121" t="str">
        <f t="shared" si="16"/>
        <v/>
      </c>
      <c r="CS20" s="121" t="str">
        <f t="shared" si="16"/>
        <v/>
      </c>
      <c r="CT20" s="121" t="str">
        <f t="shared" si="16"/>
        <v/>
      </c>
      <c r="CU20" s="121" t="str">
        <f t="shared" si="16"/>
        <v/>
      </c>
      <c r="CV20" s="121" t="str">
        <f t="shared" si="16"/>
        <v/>
      </c>
      <c r="CW20" s="121" t="str">
        <f t="shared" si="16"/>
        <v/>
      </c>
      <c r="CX20" s="121" t="str">
        <f t="shared" si="16"/>
        <v/>
      </c>
    </row>
    <row r="21" spans="1:103" x14ac:dyDescent="0.25">
      <c r="A21" s="102" t="s">
        <v>118</v>
      </c>
      <c r="B21" s="109"/>
      <c r="C21" s="110">
        <f t="shared" ref="C21:AA21" si="17">IF(ISNUMBER(outYear),SUM(C14:C20),"")</f>
        <v>593.97847999999999</v>
      </c>
      <c r="D21" s="110">
        <f t="shared" si="17"/>
        <v>608.82794200000001</v>
      </c>
      <c r="E21" s="110">
        <f t="shared" si="17"/>
        <v>624.04864054999996</v>
      </c>
      <c r="F21" s="110">
        <f t="shared" si="17"/>
        <v>639.64985656374995</v>
      </c>
      <c r="G21" s="110">
        <f t="shared" si="17"/>
        <v>655.64110297784362</v>
      </c>
      <c r="H21" s="110">
        <f t="shared" si="17"/>
        <v>672.03213055228969</v>
      </c>
      <c r="I21" s="110">
        <f t="shared" si="17"/>
        <v>688.8329338160969</v>
      </c>
      <c r="J21" s="110">
        <f t="shared" si="17"/>
        <v>706.05375716149933</v>
      </c>
      <c r="K21" s="110">
        <f t="shared" si="17"/>
        <v>723.70510109053657</v>
      </c>
      <c r="L21" s="110">
        <f t="shared" si="17"/>
        <v>741.79772861780009</v>
      </c>
      <c r="M21" s="110">
        <f t="shared" si="17"/>
        <v>760.34267183324505</v>
      </c>
      <c r="N21" s="110">
        <f t="shared" si="17"/>
        <v>779.35123862907619</v>
      </c>
      <c r="O21" s="110">
        <f t="shared" si="17"/>
        <v>798.83501959480304</v>
      </c>
      <c r="P21" s="110">
        <f t="shared" si="17"/>
        <v>818.8058950846729</v>
      </c>
      <c r="Q21" s="110">
        <f t="shared" si="17"/>
        <v>839.27604246178987</v>
      </c>
      <c r="R21" s="110">
        <f t="shared" si="17"/>
        <v>860.25794352333457</v>
      </c>
      <c r="S21" s="110">
        <f t="shared" si="17"/>
        <v>881.76439211141781</v>
      </c>
      <c r="T21" s="110">
        <f t="shared" si="17"/>
        <v>903.80850191420336</v>
      </c>
      <c r="U21" s="110">
        <f t="shared" si="17"/>
        <v>926.40371446205836</v>
      </c>
      <c r="V21" s="110">
        <f t="shared" si="17"/>
        <v>949.56380732360969</v>
      </c>
      <c r="W21" s="110" t="str">
        <f t="shared" si="17"/>
        <v/>
      </c>
      <c r="X21" s="110" t="str">
        <f t="shared" si="17"/>
        <v/>
      </c>
      <c r="Y21" s="110" t="str">
        <f t="shared" si="17"/>
        <v/>
      </c>
      <c r="Z21" s="110" t="str">
        <f t="shared" si="17"/>
        <v/>
      </c>
      <c r="AA21" s="110" t="str">
        <f t="shared" si="17"/>
        <v/>
      </c>
      <c r="AB21" s="110" t="str">
        <f>IF(ISNUMBER(outYear),SUM(AB14:AB14)-#REF!,"")</f>
        <v/>
      </c>
      <c r="AC21" s="110" t="str">
        <f>IF(ISNUMBER(outYear),SUM(AC14:AC14)-#REF!,"")</f>
        <v/>
      </c>
      <c r="AD21" s="110" t="str">
        <f>IF(ISNUMBER(outYear),SUM(AD14:AD14)-#REF!,"")</f>
        <v/>
      </c>
      <c r="AE21" s="110" t="str">
        <f>IF(ISNUMBER(outYear),SUM(AE14:AE14)-#REF!,"")</f>
        <v/>
      </c>
      <c r="AF21" s="110" t="str">
        <f>IF(ISNUMBER(outYear),SUM(AF14:AF14)-#REF!,"")</f>
        <v/>
      </c>
      <c r="AG21" s="110" t="str">
        <f>IF(ISNUMBER(outYear),SUM(AG14:AG14)-#REF!,"")</f>
        <v/>
      </c>
      <c r="AH21" s="110" t="str">
        <f>IF(ISNUMBER(outYear),SUM(AH14:AH14)-#REF!,"")</f>
        <v/>
      </c>
      <c r="AI21" s="110" t="str">
        <f>IF(ISNUMBER(outYear),SUM(AI14:AI14)-#REF!,"")</f>
        <v/>
      </c>
      <c r="AJ21" s="110" t="str">
        <f>IF(ISNUMBER(outYear),SUM(AJ14:AJ14)-#REF!,"")</f>
        <v/>
      </c>
      <c r="AK21" s="110" t="str">
        <f>IF(ISNUMBER(outYear),SUM(AK14:AK14)-#REF!,"")</f>
        <v/>
      </c>
      <c r="AL21" s="110" t="str">
        <f>IF(ISNUMBER(outYear),SUM(AL14:AL14)-#REF!,"")</f>
        <v/>
      </c>
      <c r="AM21" s="110" t="str">
        <f>IF(ISNUMBER(outYear),SUM(AM14:AM14)-#REF!,"")</f>
        <v/>
      </c>
      <c r="AN21" s="110" t="str">
        <f>IF(ISNUMBER(outYear),SUM(AN14:AN14)-#REF!,"")</f>
        <v/>
      </c>
      <c r="AO21" s="110" t="str">
        <f>IF(ISNUMBER(outYear),SUM(AO14:AO14)-#REF!,"")</f>
        <v/>
      </c>
      <c r="AP21" s="110" t="str">
        <f>IF(ISNUMBER(outYear),SUM(AP14:AP14)-#REF!,"")</f>
        <v/>
      </c>
      <c r="AQ21" s="110" t="str">
        <f>IF(ISNUMBER(outYear),SUM(AQ14:AQ14)-#REF!,"")</f>
        <v/>
      </c>
      <c r="AR21" s="110" t="str">
        <f>IF(ISNUMBER(outYear),SUM(AR14:AR14)-#REF!,"")</f>
        <v/>
      </c>
      <c r="AS21" s="110" t="str">
        <f>IF(ISNUMBER(outYear),SUM(AS14:AS14)-#REF!,"")</f>
        <v/>
      </c>
      <c r="AT21" s="110" t="str">
        <f>IF(ISNUMBER(outYear),SUM(AT14:AT14)-#REF!,"")</f>
        <v/>
      </c>
      <c r="AU21" s="110" t="str">
        <f>IF(ISNUMBER(outYear),SUM(AU14:AU14)-#REF!,"")</f>
        <v/>
      </c>
      <c r="AV21" s="110" t="str">
        <f>IF(ISNUMBER(outYear),SUM(AV14:AV14)-#REF!,"")</f>
        <v/>
      </c>
      <c r="AW21" s="110" t="str">
        <f>IF(ISNUMBER(outYear),SUM(AW14:AW14)-#REF!,"")</f>
        <v/>
      </c>
      <c r="AX21" s="110" t="str">
        <f>IF(ISNUMBER(outYear),SUM(AX14:AX14)-#REF!,"")</f>
        <v/>
      </c>
      <c r="AY21" s="110" t="str">
        <f>IF(ISNUMBER(outYear),SUM(AY14:AY14)-#REF!,"")</f>
        <v/>
      </c>
      <c r="AZ21" s="110" t="str">
        <f>IF(ISNUMBER(outYear),SUM(AZ14:AZ14)-#REF!,"")</f>
        <v/>
      </c>
      <c r="BA21" s="110" t="str">
        <f>IF(ISNUMBER(outYear),SUM(BA14:BA14)-#REF!,"")</f>
        <v/>
      </c>
      <c r="BB21" s="110" t="str">
        <f>IF(ISNUMBER(outYear),SUM(BB14:BB14)-#REF!,"")</f>
        <v/>
      </c>
      <c r="BC21" s="110" t="str">
        <f>IF(ISNUMBER(outYear),SUM(BC14:BC14)-#REF!,"")</f>
        <v/>
      </c>
      <c r="BD21" s="110" t="str">
        <f>IF(ISNUMBER(outYear),SUM(BD14:BD14)-#REF!,"")</f>
        <v/>
      </c>
      <c r="BE21" s="110" t="str">
        <f>IF(ISNUMBER(outYear),SUM(BE14:BE14)-#REF!,"")</f>
        <v/>
      </c>
      <c r="BF21" s="110" t="str">
        <f>IF(ISNUMBER(outYear),SUM(BF14:BF14)-#REF!,"")</f>
        <v/>
      </c>
      <c r="BG21" s="110" t="str">
        <f>IF(ISNUMBER(outYear),SUM(BG14:BG14)-#REF!,"")</f>
        <v/>
      </c>
      <c r="BH21" s="110" t="str">
        <f>IF(ISNUMBER(outYear),SUM(BH14:BH14)-#REF!,"")</f>
        <v/>
      </c>
      <c r="BI21" s="110" t="str">
        <f>IF(ISNUMBER(outYear),SUM(BI14:BI14)-#REF!,"")</f>
        <v/>
      </c>
      <c r="BJ21" s="110" t="str">
        <f>IF(ISNUMBER(outYear),SUM(BJ14:BJ14)-#REF!,"")</f>
        <v/>
      </c>
      <c r="BK21" s="110" t="str">
        <f>IF(ISNUMBER(outYear),SUM(BK14:BK14)-#REF!,"")</f>
        <v/>
      </c>
      <c r="BL21" s="110" t="str">
        <f>IF(ISNUMBER(outYear),SUM(BL14:BL14)-#REF!,"")</f>
        <v/>
      </c>
      <c r="BM21" s="110" t="str">
        <f>IF(ISNUMBER(outYear),SUM(BM14:BM14)-#REF!,"")</f>
        <v/>
      </c>
      <c r="BN21" s="110" t="str">
        <f>IF(ISNUMBER(outYear),SUM(BN14:BN14)-#REF!,"")</f>
        <v/>
      </c>
      <c r="BO21" s="110" t="str">
        <f>IF(ISNUMBER(outYear),SUM(BO14:BO14)-#REF!,"")</f>
        <v/>
      </c>
      <c r="BP21" s="110" t="str">
        <f>IF(ISNUMBER(outYear),SUM(BP14:BP14)-#REF!,"")</f>
        <v/>
      </c>
      <c r="BQ21" s="110" t="str">
        <f>IF(ISNUMBER(outYear),SUM(BQ14:BQ14)-#REF!,"")</f>
        <v/>
      </c>
      <c r="BR21" s="110" t="str">
        <f>IF(ISNUMBER(outYear),SUM(BR14:BR14)-#REF!,"")</f>
        <v/>
      </c>
      <c r="BS21" s="110" t="str">
        <f>IF(ISNUMBER(outYear),SUM(BS14:BS14)-#REF!,"")</f>
        <v/>
      </c>
      <c r="BT21" s="110" t="str">
        <f>IF(ISNUMBER(outYear),SUM(BT14:BT14)-#REF!,"")</f>
        <v/>
      </c>
      <c r="BU21" s="110" t="str">
        <f>IF(ISNUMBER(outYear),SUM(BU14:BU14)-#REF!,"")</f>
        <v/>
      </c>
      <c r="BV21" s="110" t="str">
        <f>IF(ISNUMBER(outYear),SUM(BV14:BV14)-#REF!,"")</f>
        <v/>
      </c>
      <c r="BW21" s="110" t="str">
        <f>IF(ISNUMBER(outYear),SUM(BW14:BW14)-#REF!,"")</f>
        <v/>
      </c>
      <c r="BX21" s="110" t="str">
        <f>IF(ISNUMBER(outYear),SUM(BX14:BX14)-#REF!,"")</f>
        <v/>
      </c>
      <c r="BY21" s="110" t="str">
        <f>IF(ISNUMBER(outYear),SUM(BY14:BY14)-#REF!,"")</f>
        <v/>
      </c>
      <c r="BZ21" s="110" t="str">
        <f>IF(ISNUMBER(outYear),SUM(BZ14:BZ14)-#REF!,"")</f>
        <v/>
      </c>
      <c r="CA21" s="110" t="str">
        <f>IF(ISNUMBER(outYear),SUM(CA14:CA14)-#REF!,"")</f>
        <v/>
      </c>
      <c r="CB21" s="110" t="str">
        <f>IF(ISNUMBER(outYear),SUM(CB14:CB14)-#REF!,"")</f>
        <v/>
      </c>
      <c r="CC21" s="110" t="str">
        <f>IF(ISNUMBER(outYear),SUM(CC14:CC14)-#REF!,"")</f>
        <v/>
      </c>
      <c r="CD21" s="110" t="str">
        <f>IF(ISNUMBER(outYear),SUM(CD14:CD14)-#REF!,"")</f>
        <v/>
      </c>
      <c r="CE21" s="110" t="str">
        <f>IF(ISNUMBER(outYear),SUM(CE14:CE14)-#REF!,"")</f>
        <v/>
      </c>
      <c r="CF21" s="110" t="str">
        <f>IF(ISNUMBER(outYear),SUM(CF14:CF14)-#REF!,"")</f>
        <v/>
      </c>
      <c r="CG21" s="110" t="str">
        <f>IF(ISNUMBER(outYear),SUM(CG14:CG14)-#REF!,"")</f>
        <v/>
      </c>
      <c r="CH21" s="110" t="str">
        <f>IF(ISNUMBER(outYear),SUM(CH14:CH14)-#REF!,"")</f>
        <v/>
      </c>
      <c r="CI21" s="110" t="str">
        <f>IF(ISNUMBER(outYear),SUM(CI14:CI14)-#REF!,"")</f>
        <v/>
      </c>
      <c r="CJ21" s="110" t="str">
        <f>IF(ISNUMBER(outYear),SUM(CJ14:CJ14)-#REF!,"")</f>
        <v/>
      </c>
      <c r="CK21" s="110" t="str">
        <f>IF(ISNUMBER(outYear),SUM(CK14:CK14)-#REF!,"")</f>
        <v/>
      </c>
      <c r="CL21" s="110" t="str">
        <f>IF(ISNUMBER(outYear),SUM(CL14:CL14)-#REF!,"")</f>
        <v/>
      </c>
      <c r="CM21" s="110" t="str">
        <f>IF(ISNUMBER(outYear),SUM(CM14:CM14)-#REF!,"")</f>
        <v/>
      </c>
      <c r="CN21" s="110" t="str">
        <f>IF(ISNUMBER(outYear),SUM(CN14:CN14)-#REF!,"")</f>
        <v/>
      </c>
      <c r="CO21" s="110" t="str">
        <f>IF(ISNUMBER(outYear),SUM(CO14:CO14)-#REF!,"")</f>
        <v/>
      </c>
      <c r="CP21" s="110" t="str">
        <f>IF(ISNUMBER(outYear),SUM(CP14:CP14)-#REF!,"")</f>
        <v/>
      </c>
      <c r="CQ21" s="110" t="str">
        <f>IF(ISNUMBER(outYear),SUM(CQ14:CQ14)-#REF!,"")</f>
        <v/>
      </c>
      <c r="CR21" s="110" t="str">
        <f>IF(ISNUMBER(outYear),SUM(CR14:CR14)-#REF!,"")</f>
        <v/>
      </c>
      <c r="CS21" s="110" t="str">
        <f>IF(ISNUMBER(outYear),SUM(CS14:CS14)-#REF!,"")</f>
        <v/>
      </c>
      <c r="CT21" s="110" t="str">
        <f>IF(ISNUMBER(outYear),SUM(CT14:CT14)-#REF!,"")</f>
        <v/>
      </c>
      <c r="CU21" s="110" t="str">
        <f>IF(ISNUMBER(outYear),SUM(CU14:CU14)-#REF!,"")</f>
        <v/>
      </c>
      <c r="CV21" s="110" t="str">
        <f>IF(ISNUMBER(outYear),SUM(CV14:CV14)-#REF!,"")</f>
        <v/>
      </c>
      <c r="CW21" s="110" t="str">
        <f>IF(ISNUMBER(outYear),SUM(CW14:CW14)-#REF!,"")</f>
        <v/>
      </c>
      <c r="CX21" s="110" t="str">
        <f>IF(ISNUMBER(outYear),SUM(CX14:CX14)-#REF!,"")</f>
        <v/>
      </c>
    </row>
    <row r="22" spans="1:103" x14ac:dyDescent="0.25">
      <c r="A22" s="96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4"/>
      <c r="BU22" s="114"/>
      <c r="BV22" s="114"/>
      <c r="BW22" s="114"/>
      <c r="BX22" s="114"/>
      <c r="BY22" s="114"/>
      <c r="BZ22" s="114"/>
      <c r="CA22" s="114"/>
      <c r="CB22" s="114"/>
      <c r="CC22" s="114"/>
      <c r="CD22" s="114"/>
      <c r="CE22" s="114"/>
      <c r="CF22" s="114"/>
      <c r="CG22" s="114"/>
      <c r="CH22" s="114"/>
      <c r="CI22" s="114"/>
      <c r="CJ22" s="114"/>
      <c r="CK22" s="114"/>
      <c r="CL22" s="114"/>
      <c r="CM22" s="114"/>
      <c r="CN22" s="114"/>
      <c r="CO22" s="114"/>
      <c r="CP22" s="114"/>
      <c r="CQ22" s="114"/>
      <c r="CR22" s="114"/>
      <c r="CS22" s="114"/>
      <c r="CT22" s="114"/>
      <c r="CU22" s="114"/>
      <c r="CV22" s="114"/>
      <c r="CW22" s="114"/>
      <c r="CX22" s="114"/>
    </row>
    <row r="23" spans="1:103" x14ac:dyDescent="0.25">
      <c r="A23" s="104" t="s">
        <v>119</v>
      </c>
      <c r="B23" s="105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  <c r="BM23" s="103"/>
      <c r="BN23" s="103"/>
      <c r="BO23" s="103"/>
      <c r="BP23" s="103"/>
      <c r="BQ23" s="103"/>
      <c r="BR23" s="103"/>
      <c r="BS23" s="103"/>
      <c r="BT23" s="103"/>
      <c r="BU23" s="103"/>
      <c r="BV23" s="103"/>
      <c r="BW23" s="103"/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  <c r="CW23" s="103"/>
      <c r="CX23" s="106"/>
    </row>
    <row r="24" spans="1:103" x14ac:dyDescent="0.25">
      <c r="A24" s="107" t="s">
        <v>120</v>
      </c>
      <c r="B24" s="113"/>
      <c r="C24" s="121">
        <f t="shared" ref="C24:AH24" si="18">IF(ISNUMBER(outYear),IF(FederalDepreciation&lt;&gt;"N/A",C21,0),"")</f>
        <v>593.97847999999999</v>
      </c>
      <c r="D24" s="121">
        <f t="shared" si="18"/>
        <v>608.82794200000001</v>
      </c>
      <c r="E24" s="121">
        <f t="shared" si="18"/>
        <v>624.04864054999996</v>
      </c>
      <c r="F24" s="121">
        <f t="shared" si="18"/>
        <v>639.64985656374995</v>
      </c>
      <c r="G24" s="121">
        <f t="shared" si="18"/>
        <v>655.64110297784362</v>
      </c>
      <c r="H24" s="121">
        <f t="shared" si="18"/>
        <v>672.03213055228969</v>
      </c>
      <c r="I24" s="121">
        <f t="shared" si="18"/>
        <v>688.8329338160969</v>
      </c>
      <c r="J24" s="121">
        <f t="shared" si="18"/>
        <v>706.05375716149933</v>
      </c>
      <c r="K24" s="121">
        <f t="shared" si="18"/>
        <v>723.70510109053657</v>
      </c>
      <c r="L24" s="121">
        <f t="shared" si="18"/>
        <v>741.79772861780009</v>
      </c>
      <c r="M24" s="121">
        <f t="shared" si="18"/>
        <v>760.34267183324505</v>
      </c>
      <c r="N24" s="121">
        <f t="shared" si="18"/>
        <v>779.35123862907619</v>
      </c>
      <c r="O24" s="121">
        <f t="shared" si="18"/>
        <v>798.83501959480304</v>
      </c>
      <c r="P24" s="121">
        <f t="shared" si="18"/>
        <v>818.8058950846729</v>
      </c>
      <c r="Q24" s="121">
        <f t="shared" si="18"/>
        <v>839.27604246178987</v>
      </c>
      <c r="R24" s="121">
        <f t="shared" si="18"/>
        <v>860.25794352333457</v>
      </c>
      <c r="S24" s="121">
        <f t="shared" si="18"/>
        <v>881.76439211141781</v>
      </c>
      <c r="T24" s="121">
        <f t="shared" si="18"/>
        <v>903.80850191420336</v>
      </c>
      <c r="U24" s="121">
        <f t="shared" si="18"/>
        <v>926.40371446205836</v>
      </c>
      <c r="V24" s="121">
        <f t="shared" si="18"/>
        <v>949.56380732360969</v>
      </c>
      <c r="W24" s="121" t="str">
        <f t="shared" si="18"/>
        <v/>
      </c>
      <c r="X24" s="121" t="str">
        <f t="shared" si="18"/>
        <v/>
      </c>
      <c r="Y24" s="121" t="str">
        <f t="shared" si="18"/>
        <v/>
      </c>
      <c r="Z24" s="121" t="str">
        <f t="shared" si="18"/>
        <v/>
      </c>
      <c r="AA24" s="121" t="str">
        <f t="shared" si="18"/>
        <v/>
      </c>
      <c r="AB24" s="121" t="str">
        <f t="shared" si="18"/>
        <v/>
      </c>
      <c r="AC24" s="121" t="str">
        <f t="shared" si="18"/>
        <v/>
      </c>
      <c r="AD24" s="121" t="str">
        <f t="shared" si="18"/>
        <v/>
      </c>
      <c r="AE24" s="121" t="str">
        <f t="shared" si="18"/>
        <v/>
      </c>
      <c r="AF24" s="121" t="str">
        <f t="shared" si="18"/>
        <v/>
      </c>
      <c r="AG24" s="121" t="str">
        <f t="shared" si="18"/>
        <v/>
      </c>
      <c r="AH24" s="121" t="str">
        <f t="shared" si="18"/>
        <v/>
      </c>
      <c r="AI24" s="121" t="str">
        <f t="shared" ref="AI24:BN24" si="19">IF(ISNUMBER(outYear),IF(FederalDepreciation&lt;&gt;"N/A",AI21,0),"")</f>
        <v/>
      </c>
      <c r="AJ24" s="121" t="str">
        <f t="shared" si="19"/>
        <v/>
      </c>
      <c r="AK24" s="121" t="str">
        <f t="shared" si="19"/>
        <v/>
      </c>
      <c r="AL24" s="121" t="str">
        <f t="shared" si="19"/>
        <v/>
      </c>
      <c r="AM24" s="121" t="str">
        <f t="shared" si="19"/>
        <v/>
      </c>
      <c r="AN24" s="121" t="str">
        <f t="shared" si="19"/>
        <v/>
      </c>
      <c r="AO24" s="121" t="str">
        <f t="shared" si="19"/>
        <v/>
      </c>
      <c r="AP24" s="121" t="str">
        <f t="shared" si="19"/>
        <v/>
      </c>
      <c r="AQ24" s="121" t="str">
        <f t="shared" si="19"/>
        <v/>
      </c>
      <c r="AR24" s="121" t="str">
        <f t="shared" si="19"/>
        <v/>
      </c>
      <c r="AS24" s="121" t="str">
        <f t="shared" si="19"/>
        <v/>
      </c>
      <c r="AT24" s="121" t="str">
        <f t="shared" si="19"/>
        <v/>
      </c>
      <c r="AU24" s="121" t="str">
        <f t="shared" si="19"/>
        <v/>
      </c>
      <c r="AV24" s="121" t="str">
        <f t="shared" si="19"/>
        <v/>
      </c>
      <c r="AW24" s="121" t="str">
        <f t="shared" si="19"/>
        <v/>
      </c>
      <c r="AX24" s="121" t="str">
        <f t="shared" si="19"/>
        <v/>
      </c>
      <c r="AY24" s="121" t="str">
        <f t="shared" si="19"/>
        <v/>
      </c>
      <c r="AZ24" s="121" t="str">
        <f t="shared" si="19"/>
        <v/>
      </c>
      <c r="BA24" s="121" t="str">
        <f t="shared" si="19"/>
        <v/>
      </c>
      <c r="BB24" s="121" t="str">
        <f t="shared" si="19"/>
        <v/>
      </c>
      <c r="BC24" s="121" t="str">
        <f t="shared" si="19"/>
        <v/>
      </c>
      <c r="BD24" s="121" t="str">
        <f t="shared" si="19"/>
        <v/>
      </c>
      <c r="BE24" s="121" t="str">
        <f t="shared" si="19"/>
        <v/>
      </c>
      <c r="BF24" s="121" t="str">
        <f t="shared" si="19"/>
        <v/>
      </c>
      <c r="BG24" s="121" t="str">
        <f t="shared" si="19"/>
        <v/>
      </c>
      <c r="BH24" s="121" t="str">
        <f t="shared" si="19"/>
        <v/>
      </c>
      <c r="BI24" s="121" t="str">
        <f t="shared" si="19"/>
        <v/>
      </c>
      <c r="BJ24" s="121" t="str">
        <f t="shared" si="19"/>
        <v/>
      </c>
      <c r="BK24" s="121" t="str">
        <f t="shared" si="19"/>
        <v/>
      </c>
      <c r="BL24" s="121" t="str">
        <f t="shared" si="19"/>
        <v/>
      </c>
      <c r="BM24" s="121" t="str">
        <f t="shared" si="19"/>
        <v/>
      </c>
      <c r="BN24" s="121" t="str">
        <f t="shared" si="19"/>
        <v/>
      </c>
      <c r="BO24" s="121" t="str">
        <f t="shared" ref="BO24:CX24" si="20">IF(ISNUMBER(outYear),IF(FederalDepreciation&lt;&gt;"N/A",BO21,0),"")</f>
        <v/>
      </c>
      <c r="BP24" s="121" t="str">
        <f t="shared" si="20"/>
        <v/>
      </c>
      <c r="BQ24" s="121" t="str">
        <f t="shared" si="20"/>
        <v/>
      </c>
      <c r="BR24" s="121" t="str">
        <f t="shared" si="20"/>
        <v/>
      </c>
      <c r="BS24" s="121" t="str">
        <f t="shared" si="20"/>
        <v/>
      </c>
      <c r="BT24" s="121" t="str">
        <f t="shared" si="20"/>
        <v/>
      </c>
      <c r="BU24" s="121" t="str">
        <f t="shared" si="20"/>
        <v/>
      </c>
      <c r="BV24" s="121" t="str">
        <f t="shared" si="20"/>
        <v/>
      </c>
      <c r="BW24" s="121" t="str">
        <f t="shared" si="20"/>
        <v/>
      </c>
      <c r="BX24" s="121" t="str">
        <f t="shared" si="20"/>
        <v/>
      </c>
      <c r="BY24" s="121" t="str">
        <f t="shared" si="20"/>
        <v/>
      </c>
      <c r="BZ24" s="121" t="str">
        <f t="shared" si="20"/>
        <v/>
      </c>
      <c r="CA24" s="121" t="str">
        <f t="shared" si="20"/>
        <v/>
      </c>
      <c r="CB24" s="121" t="str">
        <f t="shared" si="20"/>
        <v/>
      </c>
      <c r="CC24" s="121" t="str">
        <f t="shared" si="20"/>
        <v/>
      </c>
      <c r="CD24" s="121" t="str">
        <f t="shared" si="20"/>
        <v/>
      </c>
      <c r="CE24" s="121" t="str">
        <f t="shared" si="20"/>
        <v/>
      </c>
      <c r="CF24" s="121" t="str">
        <f t="shared" si="20"/>
        <v/>
      </c>
      <c r="CG24" s="121" t="str">
        <f t="shared" si="20"/>
        <v/>
      </c>
      <c r="CH24" s="121" t="str">
        <f t="shared" si="20"/>
        <v/>
      </c>
      <c r="CI24" s="121" t="str">
        <f t="shared" si="20"/>
        <v/>
      </c>
      <c r="CJ24" s="121" t="str">
        <f t="shared" si="20"/>
        <v/>
      </c>
      <c r="CK24" s="121" t="str">
        <f t="shared" si="20"/>
        <v/>
      </c>
      <c r="CL24" s="121" t="str">
        <f t="shared" si="20"/>
        <v/>
      </c>
      <c r="CM24" s="121" t="str">
        <f t="shared" si="20"/>
        <v/>
      </c>
      <c r="CN24" s="121" t="str">
        <f t="shared" si="20"/>
        <v/>
      </c>
      <c r="CO24" s="121" t="str">
        <f t="shared" si="20"/>
        <v/>
      </c>
      <c r="CP24" s="121" t="str">
        <f t="shared" si="20"/>
        <v/>
      </c>
      <c r="CQ24" s="121" t="str">
        <f t="shared" si="20"/>
        <v/>
      </c>
      <c r="CR24" s="121" t="str">
        <f t="shared" si="20"/>
        <v/>
      </c>
      <c r="CS24" s="121" t="str">
        <f t="shared" si="20"/>
        <v/>
      </c>
      <c r="CT24" s="121" t="str">
        <f t="shared" si="20"/>
        <v/>
      </c>
      <c r="CU24" s="121" t="str">
        <f t="shared" si="20"/>
        <v/>
      </c>
      <c r="CV24" s="121" t="str">
        <f t="shared" si="20"/>
        <v/>
      </c>
      <c r="CW24" s="121" t="str">
        <f t="shared" si="20"/>
        <v/>
      </c>
      <c r="CX24" s="121" t="str">
        <f t="shared" si="20"/>
        <v/>
      </c>
    </row>
    <row r="25" spans="1:103" x14ac:dyDescent="0.25">
      <c r="A25" s="112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14"/>
      <c r="BR25" s="114"/>
      <c r="BS25" s="114"/>
      <c r="BT25" s="114"/>
      <c r="BU25" s="114"/>
      <c r="BV25" s="114"/>
      <c r="BW25" s="114"/>
      <c r="BX25" s="114"/>
      <c r="BY25" s="114"/>
      <c r="BZ25" s="114"/>
      <c r="CA25" s="114"/>
      <c r="CB25" s="114"/>
      <c r="CC25" s="114"/>
      <c r="CD25" s="114"/>
      <c r="CE25" s="114"/>
      <c r="CF25" s="114"/>
      <c r="CG25" s="114"/>
      <c r="CH25" s="114"/>
      <c r="CI25" s="114"/>
      <c r="CJ25" s="114"/>
      <c r="CK25" s="114"/>
      <c r="CL25" s="114"/>
      <c r="CM25" s="114"/>
      <c r="CN25" s="114"/>
      <c r="CO25" s="114"/>
      <c r="CP25" s="114"/>
      <c r="CQ25" s="114"/>
      <c r="CR25" s="114"/>
      <c r="CS25" s="114"/>
      <c r="CT25" s="114"/>
      <c r="CU25" s="114"/>
      <c r="CV25" s="114"/>
      <c r="CW25" s="114"/>
      <c r="CX25" s="114"/>
    </row>
    <row r="26" spans="1:103" x14ac:dyDescent="0.25">
      <c r="A26" s="104" t="s">
        <v>121</v>
      </c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5"/>
      <c r="CT26" s="105"/>
      <c r="CU26" s="105"/>
      <c r="CV26" s="105"/>
      <c r="CW26" s="105"/>
      <c r="CX26" s="106"/>
    </row>
    <row r="27" spans="1:103" x14ac:dyDescent="0.25">
      <c r="A27" s="112" t="s">
        <v>122</v>
      </c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4"/>
    </row>
    <row r="28" spans="1:103" x14ac:dyDescent="0.25">
      <c r="A28" s="107" t="s">
        <v>123</v>
      </c>
      <c r="B28" s="121">
        <f>total_installed_cost-B43-B48-B52-B57-B61-B66</f>
        <v>9742.0500000000011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4"/>
    </row>
    <row r="29" spans="1:103" x14ac:dyDescent="0.25">
      <c r="A29" s="107" t="s">
        <v>124</v>
      </c>
      <c r="B29" s="119">
        <f>B28*debt_fraction/100</f>
        <v>0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4"/>
    </row>
    <row r="30" spans="1:103" x14ac:dyDescent="0.25">
      <c r="A30" s="107" t="s">
        <v>125</v>
      </c>
      <c r="B30" s="121">
        <f>B28-B29</f>
        <v>9742.0500000000011</v>
      </c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4"/>
    </row>
    <row r="31" spans="1:103" x14ac:dyDescent="0.25">
      <c r="A31" s="112" t="s">
        <v>126</v>
      </c>
      <c r="B31" s="121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4"/>
    </row>
    <row r="32" spans="1:103" x14ac:dyDescent="0.25">
      <c r="A32" s="107" t="s">
        <v>127</v>
      </c>
      <c r="B32" s="121"/>
      <c r="C32" s="121">
        <f>IF(loan_term=0, 0, B29)</f>
        <v>0</v>
      </c>
      <c r="D32" s="121">
        <f t="shared" ref="D32:AA32" si="21">IF(ISNUMBER(outYear),C32-C34,"")</f>
        <v>0</v>
      </c>
      <c r="E32" s="121">
        <f t="shared" si="21"/>
        <v>0</v>
      </c>
      <c r="F32" s="121">
        <f t="shared" si="21"/>
        <v>0</v>
      </c>
      <c r="G32" s="121">
        <f t="shared" si="21"/>
        <v>0</v>
      </c>
      <c r="H32" s="121">
        <f t="shared" si="21"/>
        <v>0</v>
      </c>
      <c r="I32" s="121">
        <f t="shared" si="21"/>
        <v>0</v>
      </c>
      <c r="J32" s="121">
        <f t="shared" si="21"/>
        <v>0</v>
      </c>
      <c r="K32" s="121">
        <f t="shared" si="21"/>
        <v>0</v>
      </c>
      <c r="L32" s="121">
        <f t="shared" si="21"/>
        <v>0</v>
      </c>
      <c r="M32" s="121">
        <f t="shared" si="21"/>
        <v>0</v>
      </c>
      <c r="N32" s="121">
        <f t="shared" si="21"/>
        <v>0</v>
      </c>
      <c r="O32" s="121">
        <f t="shared" si="21"/>
        <v>0</v>
      </c>
      <c r="P32" s="121">
        <f t="shared" si="21"/>
        <v>0</v>
      </c>
      <c r="Q32" s="121">
        <f t="shared" si="21"/>
        <v>0</v>
      </c>
      <c r="R32" s="121">
        <f t="shared" si="21"/>
        <v>0</v>
      </c>
      <c r="S32" s="121">
        <f t="shared" si="21"/>
        <v>0</v>
      </c>
      <c r="T32" s="121">
        <f t="shared" si="21"/>
        <v>0</v>
      </c>
      <c r="U32" s="121">
        <f t="shared" si="21"/>
        <v>0</v>
      </c>
      <c r="V32" s="121">
        <f t="shared" si="21"/>
        <v>0</v>
      </c>
      <c r="W32" s="121" t="str">
        <f t="shared" si="21"/>
        <v/>
      </c>
      <c r="X32" s="121" t="str">
        <f t="shared" si="21"/>
        <v/>
      </c>
      <c r="Y32" s="121" t="str">
        <f t="shared" si="21"/>
        <v/>
      </c>
      <c r="Z32" s="121" t="str">
        <f t="shared" si="21"/>
        <v/>
      </c>
      <c r="AA32" s="121" t="str">
        <f t="shared" si="21"/>
        <v/>
      </c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  <c r="CV32" s="121"/>
      <c r="CW32" s="121"/>
      <c r="CX32" s="121"/>
    </row>
    <row r="33" spans="1:102" x14ac:dyDescent="0.25">
      <c r="A33" s="107" t="s">
        <v>128</v>
      </c>
      <c r="B33" s="113"/>
      <c r="C33" s="121">
        <f t="shared" ref="C33:AA33" si="22">IF(ISNUMBER(outYear),IF(outYear&gt;loan_term,0,C32*loan_rate/100),"")</f>
        <v>0</v>
      </c>
      <c r="D33" s="121">
        <f t="shared" si="22"/>
        <v>0</v>
      </c>
      <c r="E33" s="121">
        <f t="shared" si="22"/>
        <v>0</v>
      </c>
      <c r="F33" s="121">
        <f t="shared" si="22"/>
        <v>0</v>
      </c>
      <c r="G33" s="121">
        <f t="shared" si="22"/>
        <v>0</v>
      </c>
      <c r="H33" s="121">
        <f t="shared" si="22"/>
        <v>0</v>
      </c>
      <c r="I33" s="121">
        <f t="shared" si="22"/>
        <v>0</v>
      </c>
      <c r="J33" s="121">
        <f t="shared" si="22"/>
        <v>0</v>
      </c>
      <c r="K33" s="121">
        <f t="shared" si="22"/>
        <v>0</v>
      </c>
      <c r="L33" s="121">
        <f t="shared" si="22"/>
        <v>0</v>
      </c>
      <c r="M33" s="121">
        <f t="shared" si="22"/>
        <v>0</v>
      </c>
      <c r="N33" s="121">
        <f t="shared" si="22"/>
        <v>0</v>
      </c>
      <c r="O33" s="121">
        <f t="shared" si="22"/>
        <v>0</v>
      </c>
      <c r="P33" s="121">
        <f t="shared" si="22"/>
        <v>0</v>
      </c>
      <c r="Q33" s="121">
        <f t="shared" si="22"/>
        <v>0</v>
      </c>
      <c r="R33" s="121">
        <f t="shared" si="22"/>
        <v>0</v>
      </c>
      <c r="S33" s="121">
        <f t="shared" si="22"/>
        <v>0</v>
      </c>
      <c r="T33" s="121">
        <f t="shared" si="22"/>
        <v>0</v>
      </c>
      <c r="U33" s="121">
        <f t="shared" si="22"/>
        <v>0</v>
      </c>
      <c r="V33" s="121">
        <f t="shared" si="22"/>
        <v>0</v>
      </c>
      <c r="W33" s="121" t="str">
        <f t="shared" si="22"/>
        <v/>
      </c>
      <c r="X33" s="121" t="str">
        <f t="shared" si="22"/>
        <v/>
      </c>
      <c r="Y33" s="121" t="str">
        <f t="shared" si="22"/>
        <v/>
      </c>
      <c r="Z33" s="121" t="str">
        <f t="shared" si="22"/>
        <v/>
      </c>
      <c r="AA33" s="121" t="str">
        <f t="shared" si="22"/>
        <v/>
      </c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</row>
    <row r="34" spans="1:102" x14ac:dyDescent="0.25">
      <c r="A34" s="107" t="s">
        <v>129</v>
      </c>
      <c r="B34" s="113"/>
      <c r="C34" s="121">
        <f t="shared" ref="C34:AA34" si="23">IF(ISNUMBER(outYear),IF(outYear&gt;loan_term,0,-PPMT(loan_rate/100,outYear,loan_term,$B$29,0,0)),"")</f>
        <v>0</v>
      </c>
      <c r="D34" s="121">
        <f t="shared" si="23"/>
        <v>0</v>
      </c>
      <c r="E34" s="121">
        <f t="shared" si="23"/>
        <v>0</v>
      </c>
      <c r="F34" s="121">
        <f t="shared" si="23"/>
        <v>0</v>
      </c>
      <c r="G34" s="121">
        <f t="shared" si="23"/>
        <v>0</v>
      </c>
      <c r="H34" s="121">
        <f t="shared" si="23"/>
        <v>0</v>
      </c>
      <c r="I34" s="121">
        <f t="shared" si="23"/>
        <v>0</v>
      </c>
      <c r="J34" s="121">
        <f t="shared" si="23"/>
        <v>0</v>
      </c>
      <c r="K34" s="121">
        <f t="shared" si="23"/>
        <v>0</v>
      </c>
      <c r="L34" s="121">
        <f t="shared" si="23"/>
        <v>0</v>
      </c>
      <c r="M34" s="121">
        <f t="shared" si="23"/>
        <v>0</v>
      </c>
      <c r="N34" s="121">
        <f t="shared" si="23"/>
        <v>0</v>
      </c>
      <c r="O34" s="121">
        <f t="shared" si="23"/>
        <v>0</v>
      </c>
      <c r="P34" s="121">
        <f t="shared" si="23"/>
        <v>0</v>
      </c>
      <c r="Q34" s="121">
        <f t="shared" si="23"/>
        <v>0</v>
      </c>
      <c r="R34" s="121">
        <f t="shared" si="23"/>
        <v>0</v>
      </c>
      <c r="S34" s="121">
        <f t="shared" si="23"/>
        <v>0</v>
      </c>
      <c r="T34" s="121">
        <f t="shared" si="23"/>
        <v>0</v>
      </c>
      <c r="U34" s="121">
        <f t="shared" si="23"/>
        <v>0</v>
      </c>
      <c r="V34" s="121">
        <f t="shared" si="23"/>
        <v>0</v>
      </c>
      <c r="W34" s="121" t="str">
        <f t="shared" si="23"/>
        <v/>
      </c>
      <c r="X34" s="121" t="str">
        <f t="shared" si="23"/>
        <v/>
      </c>
      <c r="Y34" s="121" t="str">
        <f t="shared" si="23"/>
        <v/>
      </c>
      <c r="Z34" s="121" t="str">
        <f t="shared" si="23"/>
        <v/>
      </c>
      <c r="AA34" s="121" t="str">
        <f t="shared" si="23"/>
        <v/>
      </c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W34" s="121"/>
      <c r="CX34" s="121"/>
    </row>
    <row r="35" spans="1:102" x14ac:dyDescent="0.25">
      <c r="A35" s="108" t="s">
        <v>130</v>
      </c>
      <c r="B35" s="109"/>
      <c r="C35" s="110">
        <f t="shared" ref="C35:AA35" si="24">IF(ISNUMBER(outYear),+C33+C34,"")</f>
        <v>0</v>
      </c>
      <c r="D35" s="110">
        <f t="shared" si="24"/>
        <v>0</v>
      </c>
      <c r="E35" s="110">
        <f t="shared" si="24"/>
        <v>0</v>
      </c>
      <c r="F35" s="110">
        <f t="shared" si="24"/>
        <v>0</v>
      </c>
      <c r="G35" s="110">
        <f t="shared" si="24"/>
        <v>0</v>
      </c>
      <c r="H35" s="110">
        <f t="shared" si="24"/>
        <v>0</v>
      </c>
      <c r="I35" s="110">
        <f t="shared" si="24"/>
        <v>0</v>
      </c>
      <c r="J35" s="110">
        <f t="shared" si="24"/>
        <v>0</v>
      </c>
      <c r="K35" s="110">
        <f t="shared" si="24"/>
        <v>0</v>
      </c>
      <c r="L35" s="110">
        <f t="shared" si="24"/>
        <v>0</v>
      </c>
      <c r="M35" s="110">
        <f t="shared" si="24"/>
        <v>0</v>
      </c>
      <c r="N35" s="110">
        <f t="shared" si="24"/>
        <v>0</v>
      </c>
      <c r="O35" s="110">
        <f t="shared" si="24"/>
        <v>0</v>
      </c>
      <c r="P35" s="110">
        <f t="shared" si="24"/>
        <v>0</v>
      </c>
      <c r="Q35" s="110">
        <f t="shared" si="24"/>
        <v>0</v>
      </c>
      <c r="R35" s="110">
        <f t="shared" si="24"/>
        <v>0</v>
      </c>
      <c r="S35" s="110">
        <f t="shared" si="24"/>
        <v>0</v>
      </c>
      <c r="T35" s="110">
        <f t="shared" si="24"/>
        <v>0</v>
      </c>
      <c r="U35" s="110">
        <f t="shared" si="24"/>
        <v>0</v>
      </c>
      <c r="V35" s="110">
        <f t="shared" si="24"/>
        <v>0</v>
      </c>
      <c r="W35" s="110" t="str">
        <f t="shared" si="24"/>
        <v/>
      </c>
      <c r="X35" s="110" t="str">
        <f t="shared" si="24"/>
        <v/>
      </c>
      <c r="Y35" s="110" t="str">
        <f t="shared" si="24"/>
        <v/>
      </c>
      <c r="Z35" s="110" t="str">
        <f t="shared" si="24"/>
        <v/>
      </c>
      <c r="AA35" s="110" t="str">
        <f t="shared" si="24"/>
        <v/>
      </c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</row>
    <row r="36" spans="1:102" x14ac:dyDescent="0.25">
      <c r="A36" s="112"/>
      <c r="B36" s="113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  <c r="CV36" s="121"/>
      <c r="CW36" s="121"/>
      <c r="CX36" s="121"/>
    </row>
    <row r="37" spans="1:102" x14ac:dyDescent="0.25">
      <c r="A37" s="120" t="s">
        <v>131</v>
      </c>
      <c r="B37" s="121">
        <f>-B30</f>
        <v>-9742.0500000000011</v>
      </c>
      <c r="C37" s="121">
        <f t="shared" ref="C37:AA37" si="25">IF(ISNUMBER(C2),-(C21+C35),"")</f>
        <v>-593.97847999999999</v>
      </c>
      <c r="D37" s="121">
        <f t="shared" si="25"/>
        <v>-608.82794200000001</v>
      </c>
      <c r="E37" s="121">
        <f t="shared" si="25"/>
        <v>-624.04864054999996</v>
      </c>
      <c r="F37" s="121">
        <f t="shared" si="25"/>
        <v>-639.64985656374995</v>
      </c>
      <c r="G37" s="121">
        <f t="shared" si="25"/>
        <v>-655.64110297784362</v>
      </c>
      <c r="H37" s="121">
        <f t="shared" si="25"/>
        <v>-672.03213055228969</v>
      </c>
      <c r="I37" s="121">
        <f t="shared" si="25"/>
        <v>-688.8329338160969</v>
      </c>
      <c r="J37" s="121">
        <f t="shared" si="25"/>
        <v>-706.05375716149933</v>
      </c>
      <c r="K37" s="121">
        <f t="shared" si="25"/>
        <v>-723.70510109053657</v>
      </c>
      <c r="L37" s="121">
        <f t="shared" si="25"/>
        <v>-741.79772861780009</v>
      </c>
      <c r="M37" s="121">
        <f t="shared" si="25"/>
        <v>-760.34267183324505</v>
      </c>
      <c r="N37" s="121">
        <f t="shared" si="25"/>
        <v>-779.35123862907619</v>
      </c>
      <c r="O37" s="121">
        <f t="shared" si="25"/>
        <v>-798.83501959480304</v>
      </c>
      <c r="P37" s="121">
        <f t="shared" si="25"/>
        <v>-818.8058950846729</v>
      </c>
      <c r="Q37" s="121">
        <f t="shared" si="25"/>
        <v>-839.27604246178987</v>
      </c>
      <c r="R37" s="121">
        <f t="shared" si="25"/>
        <v>-860.25794352333457</v>
      </c>
      <c r="S37" s="121">
        <f t="shared" si="25"/>
        <v>-881.76439211141781</v>
      </c>
      <c r="T37" s="121">
        <f t="shared" si="25"/>
        <v>-903.80850191420336</v>
      </c>
      <c r="U37" s="121">
        <f t="shared" si="25"/>
        <v>-926.40371446205836</v>
      </c>
      <c r="V37" s="121">
        <f t="shared" si="25"/>
        <v>-949.56380732360969</v>
      </c>
      <c r="W37" s="121" t="str">
        <f t="shared" si="25"/>
        <v/>
      </c>
      <c r="X37" s="121" t="str">
        <f t="shared" si="25"/>
        <v/>
      </c>
      <c r="Y37" s="121" t="str">
        <f t="shared" si="25"/>
        <v/>
      </c>
      <c r="Z37" s="121" t="str">
        <f t="shared" si="25"/>
        <v/>
      </c>
      <c r="AA37" s="121" t="str">
        <f t="shared" si="25"/>
        <v/>
      </c>
      <c r="AB37" s="121" t="str">
        <f>IF(ISNUMBER(AB2),-(AB21+#REF!),"")</f>
        <v/>
      </c>
      <c r="AC37" s="121" t="str">
        <f>IF(ISNUMBER(AC2),-(AC21+#REF!),"")</f>
        <v/>
      </c>
      <c r="AD37" s="121" t="str">
        <f>IF(ISNUMBER(AD2),-(AD21+#REF!),"")</f>
        <v/>
      </c>
      <c r="AE37" s="121" t="str">
        <f>IF(ISNUMBER(AE2),-(AE21+#REF!),"")</f>
        <v/>
      </c>
      <c r="AF37" s="121" t="str">
        <f>IF(ISNUMBER(AF2),-(AF21+#REF!),"")</f>
        <v/>
      </c>
      <c r="AG37" s="121" t="str">
        <f>IF(ISNUMBER(AG2),-(AG21+#REF!),"")</f>
        <v/>
      </c>
      <c r="AH37" s="121" t="str">
        <f>IF(ISNUMBER(AH2),-(AH21+#REF!),"")</f>
        <v/>
      </c>
      <c r="AI37" s="121" t="str">
        <f>IF(ISNUMBER(AI2),-(AI21+#REF!),"")</f>
        <v/>
      </c>
      <c r="AJ37" s="121" t="str">
        <f>IF(ISNUMBER(AJ2),-(AJ21+#REF!),"")</f>
        <v/>
      </c>
      <c r="AK37" s="121" t="str">
        <f>IF(ISNUMBER(AK2),-(AK21+#REF!),"")</f>
        <v/>
      </c>
      <c r="AL37" s="121" t="str">
        <f>IF(ISNUMBER(AL2),-(AL21+#REF!),"")</f>
        <v/>
      </c>
      <c r="AM37" s="121" t="str">
        <f>IF(ISNUMBER(AM2),-(AM21+#REF!),"")</f>
        <v/>
      </c>
      <c r="AN37" s="121" t="str">
        <f>IF(ISNUMBER(AN2),-(AN21+#REF!),"")</f>
        <v/>
      </c>
      <c r="AO37" s="121" t="str">
        <f>IF(ISNUMBER(AO2),-(AO21+#REF!),"")</f>
        <v/>
      </c>
      <c r="AP37" s="121" t="str">
        <f>IF(ISNUMBER(AP2),-(AP21+#REF!),"")</f>
        <v/>
      </c>
      <c r="AQ37" s="121" t="str">
        <f>IF(ISNUMBER(AQ2),-(AQ21+#REF!),"")</f>
        <v/>
      </c>
      <c r="AR37" s="121" t="str">
        <f>IF(ISNUMBER(AR2),-(AR21+#REF!),"")</f>
        <v/>
      </c>
      <c r="AS37" s="121" t="str">
        <f>IF(ISNUMBER(AS2),-(AS21+#REF!),"")</f>
        <v/>
      </c>
      <c r="AT37" s="121" t="str">
        <f>IF(ISNUMBER(AT2),-(AT21+#REF!),"")</f>
        <v/>
      </c>
      <c r="AU37" s="121" t="str">
        <f>IF(ISNUMBER(AU2),-(AU21+#REF!),"")</f>
        <v/>
      </c>
      <c r="AV37" s="121" t="str">
        <f>IF(ISNUMBER(AV2),-(AV21+#REF!),"")</f>
        <v/>
      </c>
      <c r="AW37" s="121" t="str">
        <f>IF(ISNUMBER(AW2),-(AW21+#REF!),"")</f>
        <v/>
      </c>
      <c r="AX37" s="121" t="str">
        <f>IF(ISNUMBER(AX2),-(AX21+#REF!),"")</f>
        <v/>
      </c>
      <c r="AY37" s="121" t="str">
        <f>IF(ISNUMBER(AY2),-(AY21+#REF!),"")</f>
        <v/>
      </c>
      <c r="AZ37" s="121" t="str">
        <f>IF(ISNUMBER(AZ2),-(AZ21+#REF!),"")</f>
        <v/>
      </c>
      <c r="BA37" s="121" t="str">
        <f>IF(ISNUMBER(BA2),-(BA21+#REF!),"")</f>
        <v/>
      </c>
      <c r="BB37" s="121" t="str">
        <f>IF(ISNUMBER(BB2),-(BB21+#REF!),"")</f>
        <v/>
      </c>
      <c r="BC37" s="121" t="str">
        <f>IF(ISNUMBER(BC2),-(BC21+#REF!),"")</f>
        <v/>
      </c>
      <c r="BD37" s="121" t="str">
        <f>IF(ISNUMBER(BD2),-(BD21+#REF!),"")</f>
        <v/>
      </c>
      <c r="BE37" s="121" t="str">
        <f>IF(ISNUMBER(BE2),-(BE21+#REF!),"")</f>
        <v/>
      </c>
      <c r="BF37" s="121" t="str">
        <f>IF(ISNUMBER(BF2),-(BF21+#REF!),"")</f>
        <v/>
      </c>
      <c r="BG37" s="121" t="str">
        <f>IF(ISNUMBER(BG2),-(BG21+#REF!),"")</f>
        <v/>
      </c>
      <c r="BH37" s="121" t="str">
        <f>IF(ISNUMBER(BH2),-(BH21+#REF!),"")</f>
        <v/>
      </c>
      <c r="BI37" s="121" t="str">
        <f>IF(ISNUMBER(BI2),-(BI21+#REF!),"")</f>
        <v/>
      </c>
      <c r="BJ37" s="121" t="str">
        <f>IF(ISNUMBER(BJ2),-(BJ21+#REF!),"")</f>
        <v/>
      </c>
      <c r="BK37" s="121" t="str">
        <f>IF(ISNUMBER(BK2),-(BK21+#REF!),"")</f>
        <v/>
      </c>
      <c r="BL37" s="121" t="str">
        <f>IF(ISNUMBER(BL2),-(BL21+#REF!),"")</f>
        <v/>
      </c>
      <c r="BM37" s="121" t="str">
        <f>IF(ISNUMBER(BM2),-(BM21+#REF!),"")</f>
        <v/>
      </c>
      <c r="BN37" s="121" t="str">
        <f>IF(ISNUMBER(BN2),-(BN21+#REF!),"")</f>
        <v/>
      </c>
      <c r="BO37" s="121" t="str">
        <f>IF(ISNUMBER(BO2),-(BO21+#REF!),"")</f>
        <v/>
      </c>
      <c r="BP37" s="121" t="str">
        <f>IF(ISNUMBER(BP2),-(BP21+#REF!),"")</f>
        <v/>
      </c>
      <c r="BQ37" s="121" t="str">
        <f>IF(ISNUMBER(BQ2),-(BQ21+#REF!),"")</f>
        <v/>
      </c>
      <c r="BR37" s="121" t="str">
        <f>IF(ISNUMBER(BR2),-(BR21+#REF!),"")</f>
        <v/>
      </c>
      <c r="BS37" s="121" t="str">
        <f>IF(ISNUMBER(BS2),-(BS21+#REF!),"")</f>
        <v/>
      </c>
      <c r="BT37" s="121" t="str">
        <f>IF(ISNUMBER(BT2),-(BT21+#REF!),"")</f>
        <v/>
      </c>
      <c r="BU37" s="121" t="str">
        <f>IF(ISNUMBER(BU2),-(BU21+#REF!),"")</f>
        <v/>
      </c>
      <c r="BV37" s="121" t="str">
        <f>IF(ISNUMBER(BV2),-(BV21+#REF!),"")</f>
        <v/>
      </c>
      <c r="BW37" s="121" t="str">
        <f>IF(ISNUMBER(BW2),-(BW21+#REF!),"")</f>
        <v/>
      </c>
      <c r="BX37" s="121" t="str">
        <f>IF(ISNUMBER(BX2),-(BX21+#REF!),"")</f>
        <v/>
      </c>
      <c r="BY37" s="121" t="str">
        <f>IF(ISNUMBER(BY2),-(BY21+#REF!),"")</f>
        <v/>
      </c>
      <c r="BZ37" s="121" t="str">
        <f>IF(ISNUMBER(BZ2),-(BZ21+#REF!),"")</f>
        <v/>
      </c>
      <c r="CA37" s="121" t="str">
        <f>IF(ISNUMBER(CA2),-(CA21+#REF!),"")</f>
        <v/>
      </c>
      <c r="CB37" s="121" t="str">
        <f>IF(ISNUMBER(CB2),-(CB21+#REF!),"")</f>
        <v/>
      </c>
      <c r="CC37" s="121" t="str">
        <f>IF(ISNUMBER(CC2),-(CC21+#REF!),"")</f>
        <v/>
      </c>
      <c r="CD37" s="121" t="str">
        <f>IF(ISNUMBER(CD2),-(CD21+#REF!),"")</f>
        <v/>
      </c>
      <c r="CE37" s="121" t="str">
        <f>IF(ISNUMBER(CE2),-(CE21+#REF!),"")</f>
        <v/>
      </c>
      <c r="CF37" s="121" t="str">
        <f>IF(ISNUMBER(CF2),-(CF21+#REF!),"")</f>
        <v/>
      </c>
      <c r="CG37" s="121" t="str">
        <f>IF(ISNUMBER(CG2),-(CG21+#REF!),"")</f>
        <v/>
      </c>
      <c r="CH37" s="121" t="str">
        <f>IF(ISNUMBER(CH2),-(CH21+#REF!),"")</f>
        <v/>
      </c>
      <c r="CI37" s="121" t="str">
        <f>IF(ISNUMBER(CI2),-(CI21+#REF!),"")</f>
        <v/>
      </c>
      <c r="CJ37" s="121" t="str">
        <f>IF(ISNUMBER(CJ2),-(CJ21+#REF!),"")</f>
        <v/>
      </c>
      <c r="CK37" s="121" t="str">
        <f>IF(ISNUMBER(CK2),-(CK21+#REF!),"")</f>
        <v/>
      </c>
      <c r="CL37" s="121" t="str">
        <f>IF(ISNUMBER(CL2),-(CL21+#REF!),"")</f>
        <v/>
      </c>
      <c r="CM37" s="121" t="str">
        <f>IF(ISNUMBER(CM2),-(CM21+#REF!),"")</f>
        <v/>
      </c>
      <c r="CN37" s="121" t="str">
        <f>IF(ISNUMBER(CN2),-(CN21+#REF!),"")</f>
        <v/>
      </c>
      <c r="CO37" s="121" t="str">
        <f>IF(ISNUMBER(CO2),-(CO21+#REF!),"")</f>
        <v/>
      </c>
      <c r="CP37" s="121" t="str">
        <f>IF(ISNUMBER(CP2),-(CP21+#REF!),"")</f>
        <v/>
      </c>
      <c r="CQ37" s="121" t="str">
        <f>IF(ISNUMBER(CQ2),-(CQ21+#REF!),"")</f>
        <v/>
      </c>
      <c r="CR37" s="121" t="str">
        <f>IF(ISNUMBER(CR2),-(CR21+#REF!),"")</f>
        <v/>
      </c>
      <c r="CS37" s="121" t="str">
        <f>IF(ISNUMBER(CS2),-(CS21+#REF!),"")</f>
        <v/>
      </c>
      <c r="CT37" s="121" t="str">
        <f>IF(ISNUMBER(CT2),-(CT21+#REF!),"")</f>
        <v/>
      </c>
      <c r="CU37" s="121" t="str">
        <f>IF(ISNUMBER(CU2),-(CU21+#REF!),"")</f>
        <v/>
      </c>
      <c r="CV37" s="121" t="str">
        <f>IF(ISNUMBER(CV2),-(CV21+#REF!),"")</f>
        <v/>
      </c>
      <c r="CW37" s="121" t="str">
        <f>IF(ISNUMBER(CW2),-(CW21+#REF!),"")</f>
        <v/>
      </c>
      <c r="CX37" s="121" t="str">
        <f>IF(ISNUMBER(CX2),-(CX21+#REF!),"")</f>
        <v/>
      </c>
    </row>
    <row r="38" spans="1:102" x14ac:dyDescent="0.25">
      <c r="A38" s="120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  <c r="CV38" s="121"/>
      <c r="CW38" s="121"/>
      <c r="CX38" s="121"/>
    </row>
    <row r="39" spans="1:102" x14ac:dyDescent="0.25">
      <c r="A39" s="104" t="s">
        <v>132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/>
      <c r="CQ39" s="105"/>
      <c r="CR39" s="105"/>
      <c r="CS39" s="105"/>
      <c r="CT39" s="105"/>
      <c r="CU39" s="105"/>
      <c r="CV39" s="105"/>
      <c r="CW39" s="105"/>
      <c r="CX39" s="106"/>
    </row>
    <row r="40" spans="1:102" x14ac:dyDescent="0.25">
      <c r="A40" s="96" t="s">
        <v>133</v>
      </c>
      <c r="B40" s="113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H40" s="111"/>
      <c r="BI40" s="111"/>
      <c r="BJ40" s="111"/>
      <c r="BK40" s="111"/>
      <c r="BL40" s="111"/>
      <c r="BM40" s="111"/>
      <c r="BN40" s="111"/>
      <c r="BO40" s="111"/>
      <c r="BP40" s="111"/>
      <c r="BQ40" s="111"/>
      <c r="BR40" s="111"/>
      <c r="BS40" s="111"/>
      <c r="BT40" s="111"/>
      <c r="BU40" s="111"/>
      <c r="BV40" s="111"/>
      <c r="BW40" s="111"/>
      <c r="BX40" s="111"/>
      <c r="BY40" s="111"/>
      <c r="BZ40" s="111"/>
      <c r="CA40" s="111"/>
      <c r="CB40" s="111"/>
      <c r="CC40" s="111"/>
      <c r="CD40" s="111"/>
      <c r="CE40" s="111"/>
      <c r="CF40" s="111"/>
      <c r="CG40" s="111"/>
      <c r="CH40" s="111"/>
      <c r="CI40" s="111"/>
      <c r="CJ40" s="111"/>
      <c r="CK40" s="111"/>
      <c r="CL40" s="111"/>
      <c r="CM40" s="111"/>
      <c r="CN40" s="111"/>
      <c r="CO40" s="111"/>
      <c r="CP40" s="111"/>
      <c r="CQ40" s="111"/>
      <c r="CR40" s="111"/>
      <c r="CS40" s="111"/>
      <c r="CT40" s="111"/>
      <c r="CU40" s="111"/>
      <c r="CV40" s="111"/>
      <c r="CW40" s="111"/>
      <c r="CX40" s="111"/>
    </row>
    <row r="41" spans="1:102" x14ac:dyDescent="0.25">
      <c r="A41" s="107" t="s">
        <v>134</v>
      </c>
      <c r="B41" s="121">
        <f>MIN(ibi_sta_percent/100*(pv_installed_cost-B42-B47),ibi_sta_percent_maxvalue)</f>
        <v>0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</row>
    <row r="42" spans="1:102" x14ac:dyDescent="0.25">
      <c r="A42" s="107" t="s">
        <v>135</v>
      </c>
      <c r="B42" s="121">
        <f>MIN(ibi_uti_percent/100*pv_installed_cost,ibi_uti_percent_maxvalue)</f>
        <v>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</row>
    <row r="43" spans="1:102" x14ac:dyDescent="0.25">
      <c r="A43" s="107" t="s">
        <v>136</v>
      </c>
      <c r="B43" s="121">
        <f>SUM(B41:B42)</f>
        <v>0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H43" s="111"/>
      <c r="BI43" s="111"/>
      <c r="BJ43" s="111"/>
      <c r="BK43" s="111"/>
      <c r="BL43" s="111"/>
      <c r="BM43" s="111"/>
      <c r="BN43" s="111"/>
      <c r="BO43" s="111"/>
      <c r="BP43" s="111"/>
      <c r="BQ43" s="111"/>
      <c r="BR43" s="111"/>
      <c r="BS43" s="111"/>
      <c r="BT43" s="111"/>
      <c r="BU43" s="111"/>
      <c r="BV43" s="111"/>
      <c r="BW43" s="111"/>
      <c r="BX43" s="111"/>
      <c r="BY43" s="111"/>
      <c r="BZ43" s="111"/>
      <c r="CA43" s="111"/>
      <c r="CB43" s="111"/>
      <c r="CC43" s="111"/>
      <c r="CD43" s="111"/>
      <c r="CE43" s="111"/>
      <c r="CF43" s="111"/>
      <c r="CG43" s="111"/>
      <c r="CH43" s="111"/>
      <c r="CI43" s="111"/>
      <c r="CJ43" s="111"/>
      <c r="CK43" s="111"/>
      <c r="CL43" s="111"/>
      <c r="CM43" s="111"/>
      <c r="CN43" s="111"/>
      <c r="CO43" s="111"/>
      <c r="CP43" s="111"/>
      <c r="CQ43" s="111"/>
      <c r="CR43" s="111"/>
      <c r="CS43" s="111"/>
      <c r="CT43" s="111"/>
      <c r="CU43" s="111"/>
      <c r="CV43" s="111"/>
      <c r="CW43" s="111"/>
      <c r="CX43" s="111"/>
    </row>
    <row r="44" spans="1:102" x14ac:dyDescent="0.25">
      <c r="A44" s="96" t="s">
        <v>137</v>
      </c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  <c r="BH44" s="111"/>
      <c r="BI44" s="111"/>
      <c r="BJ44" s="111"/>
      <c r="BK44" s="111"/>
      <c r="BL44" s="111"/>
      <c r="BM44" s="111"/>
      <c r="BN44" s="111"/>
      <c r="BO44" s="111"/>
      <c r="BP44" s="111"/>
      <c r="BQ44" s="111"/>
      <c r="BR44" s="111"/>
      <c r="BS44" s="111"/>
      <c r="BT44" s="111"/>
      <c r="BU44" s="111"/>
      <c r="BV44" s="111"/>
      <c r="BW44" s="111"/>
      <c r="BX44" s="111"/>
      <c r="BY44" s="111"/>
      <c r="BZ44" s="111"/>
      <c r="CA44" s="111"/>
      <c r="CB44" s="111"/>
      <c r="CC44" s="111"/>
      <c r="CD44" s="111"/>
      <c r="CE44" s="111"/>
      <c r="CF44" s="111"/>
      <c r="CG44" s="111"/>
      <c r="CH44" s="111"/>
      <c r="CI44" s="111"/>
      <c r="CJ44" s="111"/>
      <c r="CK44" s="111"/>
      <c r="CL44" s="111"/>
      <c r="CM44" s="111"/>
      <c r="CN44" s="111"/>
      <c r="CO44" s="111"/>
      <c r="CP44" s="111"/>
      <c r="CQ44" s="111"/>
      <c r="CR44" s="111"/>
      <c r="CS44" s="111"/>
      <c r="CT44" s="111"/>
      <c r="CU44" s="111"/>
      <c r="CV44" s="111"/>
      <c r="CW44" s="111"/>
      <c r="CX44" s="111"/>
    </row>
    <row r="45" spans="1:102" x14ac:dyDescent="0.25">
      <c r="A45" s="107" t="s">
        <v>138</v>
      </c>
      <c r="B45" s="121">
        <f>MIN(cbi_fed_amount*system_capacity*1000,cbi_fed_maxvalue)</f>
        <v>0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111"/>
      <c r="BP45" s="111"/>
      <c r="BQ45" s="111"/>
      <c r="BR45" s="111"/>
      <c r="BS45" s="111"/>
      <c r="BT45" s="111"/>
      <c r="BU45" s="111"/>
      <c r="BV45" s="111"/>
      <c r="BW45" s="111"/>
      <c r="BX45" s="111"/>
      <c r="BY45" s="111"/>
      <c r="BZ45" s="111"/>
      <c r="CA45" s="111"/>
      <c r="CB45" s="111"/>
      <c r="CC45" s="111"/>
      <c r="CD45" s="111"/>
      <c r="CE45" s="111"/>
      <c r="CF45" s="111"/>
      <c r="CG45" s="111"/>
      <c r="CH45" s="111"/>
      <c r="CI45" s="111"/>
      <c r="CJ45" s="111"/>
      <c r="CK45" s="111"/>
      <c r="CL45" s="111"/>
      <c r="CM45" s="111"/>
      <c r="CN45" s="111"/>
      <c r="CO45" s="111"/>
      <c r="CP45" s="111"/>
      <c r="CQ45" s="111"/>
      <c r="CR45" s="111"/>
      <c r="CS45" s="111"/>
      <c r="CT45" s="111"/>
      <c r="CU45" s="111"/>
      <c r="CV45" s="111"/>
      <c r="CW45" s="111"/>
      <c r="CX45" s="111"/>
    </row>
    <row r="46" spans="1:102" x14ac:dyDescent="0.25">
      <c r="A46" s="107" t="s">
        <v>139</v>
      </c>
      <c r="B46" s="121">
        <f>MIN(cbi_sta_amount*system_capacity*1000,cbi_sta_maxvalue)</f>
        <v>0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  <c r="AL46" s="111"/>
      <c r="AM46" s="111"/>
      <c r="AN46" s="111"/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  <c r="BH46" s="111"/>
      <c r="BI46" s="111"/>
      <c r="BJ46" s="111"/>
      <c r="BK46" s="111"/>
      <c r="BL46" s="111"/>
      <c r="BM46" s="111"/>
      <c r="BN46" s="111"/>
      <c r="BO46" s="111"/>
      <c r="BP46" s="111"/>
      <c r="BQ46" s="111"/>
      <c r="BR46" s="111"/>
      <c r="BS46" s="111"/>
      <c r="BT46" s="111"/>
      <c r="BU46" s="111"/>
      <c r="BV46" s="111"/>
      <c r="BW46" s="111"/>
      <c r="BX46" s="111"/>
      <c r="BY46" s="111"/>
      <c r="BZ46" s="111"/>
      <c r="CA46" s="111"/>
      <c r="CB46" s="111"/>
      <c r="CC46" s="111"/>
      <c r="CD46" s="111"/>
      <c r="CE46" s="111"/>
      <c r="CF46" s="111"/>
      <c r="CG46" s="111"/>
      <c r="CH46" s="111"/>
      <c r="CI46" s="111"/>
      <c r="CJ46" s="111"/>
      <c r="CK46" s="111"/>
      <c r="CL46" s="111"/>
      <c r="CM46" s="111"/>
      <c r="CN46" s="111"/>
      <c r="CO46" s="111"/>
      <c r="CP46" s="111"/>
      <c r="CQ46" s="111"/>
      <c r="CR46" s="111"/>
      <c r="CS46" s="111"/>
      <c r="CT46" s="111"/>
      <c r="CU46" s="111"/>
      <c r="CV46" s="111"/>
      <c r="CW46" s="111"/>
      <c r="CX46" s="111"/>
    </row>
    <row r="47" spans="1:102" x14ac:dyDescent="0.25">
      <c r="A47" s="107" t="s">
        <v>140</v>
      </c>
      <c r="B47" s="121">
        <f>MIN(cbi_uti_amount*system_capacity*1000,cbi_uti_maxvalue)</f>
        <v>0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  <c r="BH47" s="111"/>
      <c r="BI47" s="111"/>
      <c r="BJ47" s="111"/>
      <c r="BK47" s="111"/>
      <c r="BL47" s="111"/>
      <c r="BM47" s="111"/>
      <c r="BN47" s="111"/>
      <c r="BO47" s="111"/>
      <c r="BP47" s="111"/>
      <c r="BQ47" s="111"/>
      <c r="BR47" s="111"/>
      <c r="BS47" s="111"/>
      <c r="BT47" s="111"/>
      <c r="BU47" s="111"/>
      <c r="BV47" s="111"/>
      <c r="BW47" s="111"/>
      <c r="BX47" s="111"/>
      <c r="BY47" s="111"/>
      <c r="BZ47" s="111"/>
      <c r="CA47" s="111"/>
      <c r="CB47" s="111"/>
      <c r="CC47" s="111"/>
      <c r="CD47" s="111"/>
      <c r="CE47" s="111"/>
      <c r="CF47" s="111"/>
      <c r="CG47" s="111"/>
      <c r="CH47" s="111"/>
      <c r="CI47" s="111"/>
      <c r="CJ47" s="111"/>
      <c r="CK47" s="111"/>
      <c r="CL47" s="111"/>
      <c r="CM47" s="111"/>
      <c r="CN47" s="111"/>
      <c r="CO47" s="111"/>
      <c r="CP47" s="111"/>
      <c r="CQ47" s="111"/>
      <c r="CR47" s="111"/>
      <c r="CS47" s="111"/>
      <c r="CT47" s="111"/>
      <c r="CU47" s="111"/>
      <c r="CV47" s="111"/>
      <c r="CW47" s="111"/>
      <c r="CX47" s="111"/>
    </row>
    <row r="48" spans="1:102" x14ac:dyDescent="0.25">
      <c r="A48" s="107" t="s">
        <v>136</v>
      </c>
      <c r="B48" s="121">
        <f>SUM(B45:B47)</f>
        <v>0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111"/>
      <c r="AO48" s="111"/>
      <c r="AP48" s="111"/>
      <c r="AQ48" s="111"/>
      <c r="AR48" s="111"/>
      <c r="AS48" s="111"/>
      <c r="AT48" s="111"/>
      <c r="AU48" s="111"/>
      <c r="AV48" s="111"/>
      <c r="AW48" s="111"/>
      <c r="AX48" s="111"/>
      <c r="AY48" s="111"/>
      <c r="AZ48" s="111"/>
      <c r="BA48" s="111"/>
      <c r="BB48" s="111"/>
      <c r="BC48" s="111"/>
      <c r="BD48" s="111"/>
      <c r="BE48" s="111"/>
      <c r="BF48" s="111"/>
      <c r="BG48" s="111"/>
      <c r="BH48" s="111"/>
      <c r="BI48" s="111"/>
      <c r="BJ48" s="111"/>
      <c r="BK48" s="111"/>
      <c r="BL48" s="111"/>
      <c r="BM48" s="111"/>
      <c r="BN48" s="111"/>
      <c r="BO48" s="111"/>
      <c r="BP48" s="111"/>
      <c r="BQ48" s="111"/>
      <c r="BR48" s="111"/>
      <c r="BS48" s="111"/>
      <c r="BT48" s="111"/>
      <c r="BU48" s="111"/>
      <c r="BV48" s="111"/>
      <c r="BW48" s="111"/>
      <c r="BX48" s="111"/>
      <c r="BY48" s="111"/>
      <c r="BZ48" s="111"/>
      <c r="CA48" s="111"/>
      <c r="CB48" s="111"/>
      <c r="CC48" s="111"/>
      <c r="CD48" s="111"/>
      <c r="CE48" s="111"/>
      <c r="CF48" s="111"/>
      <c r="CG48" s="111"/>
      <c r="CH48" s="111"/>
      <c r="CI48" s="111"/>
      <c r="CJ48" s="111"/>
      <c r="CK48" s="111"/>
      <c r="CL48" s="111"/>
      <c r="CM48" s="111"/>
      <c r="CN48" s="111"/>
      <c r="CO48" s="111"/>
      <c r="CP48" s="111"/>
      <c r="CQ48" s="111"/>
      <c r="CR48" s="111"/>
      <c r="CS48" s="111"/>
      <c r="CT48" s="111"/>
      <c r="CU48" s="111"/>
      <c r="CV48" s="111"/>
      <c r="CW48" s="111"/>
      <c r="CX48" s="111"/>
    </row>
    <row r="49" spans="1:102" x14ac:dyDescent="0.25">
      <c r="A49" s="96" t="s">
        <v>141</v>
      </c>
      <c r="B49" s="113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H49" s="111"/>
      <c r="BI49" s="111"/>
      <c r="BJ49" s="111"/>
      <c r="BK49" s="111"/>
      <c r="BL49" s="111"/>
      <c r="BM49" s="111"/>
      <c r="BN49" s="111"/>
      <c r="BO49" s="111"/>
      <c r="BP49" s="111"/>
      <c r="BQ49" s="111"/>
      <c r="BR49" s="111"/>
      <c r="BS49" s="111"/>
      <c r="BT49" s="111"/>
      <c r="BU49" s="111"/>
      <c r="BV49" s="111"/>
      <c r="BW49" s="111"/>
      <c r="BX49" s="111"/>
      <c r="BY49" s="111"/>
      <c r="BZ49" s="111"/>
      <c r="CA49" s="111"/>
      <c r="CB49" s="111"/>
      <c r="CC49" s="111"/>
      <c r="CD49" s="111"/>
      <c r="CE49" s="111"/>
      <c r="CF49" s="111"/>
      <c r="CG49" s="111"/>
      <c r="CH49" s="111"/>
      <c r="CI49" s="111"/>
      <c r="CJ49" s="111"/>
      <c r="CK49" s="111"/>
      <c r="CL49" s="111"/>
      <c r="CM49" s="111"/>
      <c r="CN49" s="111"/>
      <c r="CO49" s="111"/>
      <c r="CP49" s="111"/>
      <c r="CQ49" s="111"/>
      <c r="CR49" s="111"/>
      <c r="CS49" s="111"/>
      <c r="CT49" s="111"/>
      <c r="CU49" s="111"/>
      <c r="CV49" s="111"/>
      <c r="CW49" s="111"/>
      <c r="CX49" s="111"/>
    </row>
    <row r="50" spans="1:102" x14ac:dyDescent="0.25">
      <c r="A50" s="107" t="s">
        <v>134</v>
      </c>
      <c r="B50" s="121">
        <f>MIN(wind_ibi_sta_percent/100*(wind_installed_cost-B51-B56),wind_ibi_sta_percent_maxvalue)</f>
        <v>0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U50" s="111"/>
      <c r="AV50" s="111"/>
      <c r="AW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  <c r="BH50" s="111"/>
      <c r="BI50" s="111"/>
      <c r="BJ50" s="111"/>
      <c r="BK50" s="111"/>
      <c r="BL50" s="111"/>
      <c r="BM50" s="111"/>
      <c r="BN50" s="111"/>
      <c r="BO50" s="111"/>
      <c r="BP50" s="111"/>
      <c r="BQ50" s="111"/>
      <c r="BR50" s="111"/>
      <c r="BS50" s="111"/>
      <c r="BT50" s="111"/>
      <c r="BU50" s="111"/>
      <c r="BV50" s="111"/>
      <c r="BW50" s="111"/>
      <c r="BX50" s="111"/>
      <c r="BY50" s="111"/>
      <c r="BZ50" s="111"/>
      <c r="CA50" s="111"/>
      <c r="CB50" s="111"/>
      <c r="CC50" s="111"/>
      <c r="CD50" s="111"/>
      <c r="CE50" s="111"/>
      <c r="CF50" s="111"/>
      <c r="CG50" s="111"/>
      <c r="CH50" s="111"/>
      <c r="CI50" s="111"/>
      <c r="CJ50" s="111"/>
      <c r="CK50" s="111"/>
      <c r="CL50" s="111"/>
      <c r="CM50" s="111"/>
      <c r="CN50" s="111"/>
      <c r="CO50" s="111"/>
      <c r="CP50" s="111"/>
      <c r="CQ50" s="111"/>
      <c r="CR50" s="111"/>
      <c r="CS50" s="111"/>
      <c r="CT50" s="111"/>
      <c r="CU50" s="111"/>
      <c r="CV50" s="111"/>
      <c r="CW50" s="111"/>
      <c r="CX50" s="111"/>
    </row>
    <row r="51" spans="1:102" x14ac:dyDescent="0.25">
      <c r="A51" s="107" t="s">
        <v>135</v>
      </c>
      <c r="B51" s="121">
        <f>MIN(wind_ibi_uti_percent/100*wind_installed_cost,wind_ibi_uti_percent_maxvalue)</f>
        <v>0</v>
      </c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  <c r="BH51" s="111"/>
      <c r="BI51" s="111"/>
      <c r="BJ51" s="111"/>
      <c r="BK51" s="111"/>
      <c r="BL51" s="111"/>
      <c r="BM51" s="111"/>
      <c r="BN51" s="111"/>
      <c r="BO51" s="111"/>
      <c r="BP51" s="111"/>
      <c r="BQ51" s="111"/>
      <c r="BR51" s="111"/>
      <c r="BS51" s="111"/>
      <c r="BT51" s="111"/>
      <c r="BU51" s="111"/>
      <c r="BV51" s="111"/>
      <c r="BW51" s="111"/>
      <c r="BX51" s="111"/>
      <c r="BY51" s="111"/>
      <c r="BZ51" s="111"/>
      <c r="CA51" s="111"/>
      <c r="CB51" s="111"/>
      <c r="CC51" s="111"/>
      <c r="CD51" s="111"/>
      <c r="CE51" s="111"/>
      <c r="CF51" s="111"/>
      <c r="CG51" s="111"/>
      <c r="CH51" s="111"/>
      <c r="CI51" s="111"/>
      <c r="CJ51" s="111"/>
      <c r="CK51" s="111"/>
      <c r="CL51" s="111"/>
      <c r="CM51" s="111"/>
      <c r="CN51" s="111"/>
      <c r="CO51" s="111"/>
      <c r="CP51" s="111"/>
      <c r="CQ51" s="111"/>
      <c r="CR51" s="111"/>
      <c r="CS51" s="111"/>
      <c r="CT51" s="111"/>
      <c r="CU51" s="111"/>
      <c r="CV51" s="111"/>
      <c r="CW51" s="111"/>
      <c r="CX51" s="111"/>
    </row>
    <row r="52" spans="1:102" x14ac:dyDescent="0.25">
      <c r="A52" s="107" t="s">
        <v>136</v>
      </c>
      <c r="B52" s="121">
        <f>SUM(B50:B51)</f>
        <v>0</v>
      </c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U52" s="111"/>
      <c r="AV52" s="111"/>
      <c r="AW52" s="111"/>
      <c r="AX52" s="111"/>
      <c r="AY52" s="111"/>
      <c r="AZ52" s="111"/>
      <c r="BA52" s="111"/>
      <c r="BB52" s="111"/>
      <c r="BC52" s="111"/>
      <c r="BD52" s="111"/>
      <c r="BE52" s="111"/>
      <c r="BF52" s="111"/>
      <c r="BG52" s="111"/>
      <c r="BH52" s="111"/>
      <c r="BI52" s="111"/>
      <c r="BJ52" s="111"/>
      <c r="BK52" s="111"/>
      <c r="BL52" s="111"/>
      <c r="BM52" s="111"/>
      <c r="BN52" s="111"/>
      <c r="BO52" s="111"/>
      <c r="BP52" s="111"/>
      <c r="BQ52" s="111"/>
      <c r="BR52" s="111"/>
      <c r="BS52" s="111"/>
      <c r="BT52" s="111"/>
      <c r="BU52" s="111"/>
      <c r="BV52" s="111"/>
      <c r="BW52" s="111"/>
      <c r="BX52" s="111"/>
      <c r="BY52" s="111"/>
      <c r="BZ52" s="111"/>
      <c r="CA52" s="111"/>
      <c r="CB52" s="111"/>
      <c r="CC52" s="111"/>
      <c r="CD52" s="111"/>
      <c r="CE52" s="111"/>
      <c r="CF52" s="111"/>
      <c r="CG52" s="111"/>
      <c r="CH52" s="111"/>
      <c r="CI52" s="111"/>
      <c r="CJ52" s="111"/>
      <c r="CK52" s="111"/>
      <c r="CL52" s="111"/>
      <c r="CM52" s="111"/>
      <c r="CN52" s="111"/>
      <c r="CO52" s="111"/>
      <c r="CP52" s="111"/>
      <c r="CQ52" s="111"/>
      <c r="CR52" s="111"/>
      <c r="CS52" s="111"/>
      <c r="CT52" s="111"/>
      <c r="CU52" s="111"/>
      <c r="CV52" s="111"/>
      <c r="CW52" s="111"/>
      <c r="CX52" s="111"/>
    </row>
    <row r="53" spans="1:102" x14ac:dyDescent="0.25">
      <c r="A53" s="96" t="s">
        <v>142</v>
      </c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  <c r="BH53" s="111"/>
      <c r="BI53" s="111"/>
      <c r="BJ53" s="111"/>
      <c r="BK53" s="111"/>
      <c r="BL53" s="111"/>
      <c r="BM53" s="111"/>
      <c r="BN53" s="111"/>
      <c r="BO53" s="111"/>
      <c r="BP53" s="111"/>
      <c r="BQ53" s="111"/>
      <c r="BR53" s="111"/>
      <c r="BS53" s="111"/>
      <c r="BT53" s="111"/>
      <c r="BU53" s="111"/>
      <c r="BV53" s="111"/>
      <c r="BW53" s="111"/>
      <c r="BX53" s="111"/>
      <c r="BY53" s="111"/>
      <c r="BZ53" s="111"/>
      <c r="CA53" s="111"/>
      <c r="CB53" s="111"/>
      <c r="CC53" s="111"/>
      <c r="CD53" s="111"/>
      <c r="CE53" s="111"/>
      <c r="CF53" s="111"/>
      <c r="CG53" s="111"/>
      <c r="CH53" s="111"/>
      <c r="CI53" s="111"/>
      <c r="CJ53" s="111"/>
      <c r="CK53" s="111"/>
      <c r="CL53" s="111"/>
      <c r="CM53" s="111"/>
      <c r="CN53" s="111"/>
      <c r="CO53" s="111"/>
      <c r="CP53" s="111"/>
      <c r="CQ53" s="111"/>
      <c r="CR53" s="111"/>
      <c r="CS53" s="111"/>
      <c r="CT53" s="111"/>
      <c r="CU53" s="111"/>
      <c r="CV53" s="111"/>
      <c r="CW53" s="111"/>
      <c r="CX53" s="111"/>
    </row>
    <row r="54" spans="1:102" x14ac:dyDescent="0.25">
      <c r="A54" s="107" t="s">
        <v>138</v>
      </c>
      <c r="B54" s="121">
        <f>MIN(wind_cbi_fed_amount*system_capacity*1000,cbi_fed_maxvalue)</f>
        <v>0</v>
      </c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  <c r="AS54" s="111"/>
      <c r="AT54" s="111"/>
      <c r="AU54" s="111"/>
      <c r="AV54" s="111"/>
      <c r="AW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  <c r="BH54" s="111"/>
      <c r="BI54" s="111"/>
      <c r="BJ54" s="111"/>
      <c r="BK54" s="111"/>
      <c r="BL54" s="111"/>
      <c r="BM54" s="111"/>
      <c r="BN54" s="111"/>
      <c r="BO54" s="111"/>
      <c r="BP54" s="111"/>
      <c r="BQ54" s="111"/>
      <c r="BR54" s="111"/>
      <c r="BS54" s="111"/>
      <c r="BT54" s="111"/>
      <c r="BU54" s="111"/>
      <c r="BV54" s="111"/>
      <c r="BW54" s="111"/>
      <c r="BX54" s="111"/>
      <c r="BY54" s="111"/>
      <c r="BZ54" s="111"/>
      <c r="CA54" s="111"/>
      <c r="CB54" s="111"/>
      <c r="CC54" s="111"/>
      <c r="CD54" s="111"/>
      <c r="CE54" s="111"/>
      <c r="CF54" s="111"/>
      <c r="CG54" s="111"/>
      <c r="CH54" s="111"/>
      <c r="CI54" s="111"/>
      <c r="CJ54" s="111"/>
      <c r="CK54" s="111"/>
      <c r="CL54" s="111"/>
      <c r="CM54" s="111"/>
      <c r="CN54" s="111"/>
      <c r="CO54" s="111"/>
      <c r="CP54" s="111"/>
      <c r="CQ54" s="111"/>
      <c r="CR54" s="111"/>
      <c r="CS54" s="111"/>
      <c r="CT54" s="111"/>
      <c r="CU54" s="111"/>
      <c r="CV54" s="111"/>
      <c r="CW54" s="111"/>
      <c r="CX54" s="111"/>
    </row>
    <row r="55" spans="1:102" x14ac:dyDescent="0.25">
      <c r="A55" s="107" t="s">
        <v>139</v>
      </c>
      <c r="B55" s="121">
        <f>MIN(cbi_sta_amount*system_capacity_wind*1000,wind_cbi_sta_maxvalue)</f>
        <v>0</v>
      </c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U55" s="111"/>
      <c r="AV55" s="111"/>
      <c r="AW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  <c r="BH55" s="111"/>
      <c r="BI55" s="111"/>
      <c r="BJ55" s="111"/>
      <c r="BK55" s="111"/>
      <c r="BL55" s="111"/>
      <c r="BM55" s="111"/>
      <c r="BN55" s="111"/>
      <c r="BO55" s="111"/>
      <c r="BP55" s="111"/>
      <c r="BQ55" s="111"/>
      <c r="BR55" s="111"/>
      <c r="BS55" s="111"/>
      <c r="BT55" s="111"/>
      <c r="BU55" s="111"/>
      <c r="BV55" s="111"/>
      <c r="BW55" s="111"/>
      <c r="BX55" s="111"/>
      <c r="BY55" s="111"/>
      <c r="BZ55" s="111"/>
      <c r="CA55" s="111"/>
      <c r="CB55" s="111"/>
      <c r="CC55" s="111"/>
      <c r="CD55" s="111"/>
      <c r="CE55" s="111"/>
      <c r="CF55" s="111"/>
      <c r="CG55" s="111"/>
      <c r="CH55" s="111"/>
      <c r="CI55" s="111"/>
      <c r="CJ55" s="111"/>
      <c r="CK55" s="111"/>
      <c r="CL55" s="111"/>
      <c r="CM55" s="111"/>
      <c r="CN55" s="111"/>
      <c r="CO55" s="111"/>
      <c r="CP55" s="111"/>
      <c r="CQ55" s="111"/>
      <c r="CR55" s="111"/>
      <c r="CS55" s="111"/>
      <c r="CT55" s="111"/>
      <c r="CU55" s="111"/>
      <c r="CV55" s="111"/>
      <c r="CW55" s="111"/>
      <c r="CX55" s="111"/>
    </row>
    <row r="56" spans="1:102" x14ac:dyDescent="0.25">
      <c r="A56" s="107" t="s">
        <v>140</v>
      </c>
      <c r="B56" s="121">
        <f>MIN(wind_cbi_uti_amount*system_capacity_wind*1000,wind_cbi_uti_maxvalue)</f>
        <v>0</v>
      </c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U56" s="111"/>
      <c r="AV56" s="111"/>
      <c r="AW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  <c r="BH56" s="111"/>
      <c r="BI56" s="111"/>
      <c r="BJ56" s="111"/>
      <c r="BK56" s="111"/>
      <c r="BL56" s="111"/>
      <c r="BM56" s="111"/>
      <c r="BN56" s="111"/>
      <c r="BO56" s="111"/>
      <c r="BP56" s="111"/>
      <c r="BQ56" s="111"/>
      <c r="BR56" s="111"/>
      <c r="BS56" s="111"/>
      <c r="BT56" s="111"/>
      <c r="BU56" s="111"/>
      <c r="BV56" s="111"/>
      <c r="BW56" s="111"/>
      <c r="BX56" s="111"/>
      <c r="BY56" s="111"/>
      <c r="BZ56" s="111"/>
      <c r="CA56" s="111"/>
      <c r="CB56" s="111"/>
      <c r="CC56" s="111"/>
      <c r="CD56" s="111"/>
      <c r="CE56" s="111"/>
      <c r="CF56" s="111"/>
      <c r="CG56" s="111"/>
      <c r="CH56" s="111"/>
      <c r="CI56" s="111"/>
      <c r="CJ56" s="111"/>
      <c r="CK56" s="111"/>
      <c r="CL56" s="111"/>
      <c r="CM56" s="111"/>
      <c r="CN56" s="111"/>
      <c r="CO56" s="111"/>
      <c r="CP56" s="111"/>
      <c r="CQ56" s="111"/>
      <c r="CR56" s="111"/>
      <c r="CS56" s="111"/>
      <c r="CT56" s="111"/>
      <c r="CU56" s="111"/>
      <c r="CV56" s="111"/>
      <c r="CW56" s="111"/>
      <c r="CX56" s="111"/>
    </row>
    <row r="57" spans="1:102" x14ac:dyDescent="0.25">
      <c r="A57" s="107" t="s">
        <v>136</v>
      </c>
      <c r="B57" s="121">
        <f>SUM(B54:B56)</f>
        <v>0</v>
      </c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U57" s="111"/>
      <c r="AV57" s="111"/>
      <c r="AW57" s="111"/>
      <c r="AX57" s="111"/>
      <c r="AY57" s="111"/>
      <c r="AZ57" s="111"/>
      <c r="BA57" s="111"/>
      <c r="BB57" s="111"/>
      <c r="BC57" s="111"/>
      <c r="BD57" s="111"/>
      <c r="BE57" s="111"/>
      <c r="BF57" s="111"/>
      <c r="BG57" s="111"/>
      <c r="BH57" s="111"/>
      <c r="BI57" s="111"/>
      <c r="BJ57" s="111"/>
      <c r="BK57" s="111"/>
      <c r="BL57" s="111"/>
      <c r="BM57" s="111"/>
      <c r="BN57" s="111"/>
      <c r="BO57" s="111"/>
      <c r="BP57" s="111"/>
      <c r="BQ57" s="111"/>
      <c r="BR57" s="111"/>
      <c r="BS57" s="111"/>
      <c r="BT57" s="111"/>
      <c r="BU57" s="111"/>
      <c r="BV57" s="111"/>
      <c r="BW57" s="111"/>
      <c r="BX57" s="111"/>
      <c r="BY57" s="111"/>
      <c r="BZ57" s="111"/>
      <c r="CA57" s="111"/>
      <c r="CB57" s="111"/>
      <c r="CC57" s="111"/>
      <c r="CD57" s="111"/>
      <c r="CE57" s="111"/>
      <c r="CF57" s="111"/>
      <c r="CG57" s="111"/>
      <c r="CH57" s="111"/>
      <c r="CI57" s="111"/>
      <c r="CJ57" s="111"/>
      <c r="CK57" s="111"/>
      <c r="CL57" s="111"/>
      <c r="CM57" s="111"/>
      <c r="CN57" s="111"/>
      <c r="CO57" s="111"/>
      <c r="CP57" s="111"/>
      <c r="CQ57" s="111"/>
      <c r="CR57" s="111"/>
      <c r="CS57" s="111"/>
      <c r="CT57" s="111"/>
      <c r="CU57" s="111"/>
      <c r="CV57" s="111"/>
      <c r="CW57" s="111"/>
      <c r="CX57" s="111"/>
    </row>
    <row r="58" spans="1:102" x14ac:dyDescent="0.25">
      <c r="A58" s="96" t="s">
        <v>143</v>
      </c>
      <c r="B58" s="113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U58" s="111"/>
      <c r="AV58" s="111"/>
      <c r="AW58" s="111"/>
      <c r="AX58" s="111"/>
      <c r="AY58" s="111"/>
      <c r="AZ58" s="111"/>
      <c r="BA58" s="111"/>
      <c r="BB58" s="111"/>
      <c r="BC58" s="111"/>
      <c r="BD58" s="111"/>
      <c r="BE58" s="111"/>
      <c r="BF58" s="111"/>
      <c r="BG58" s="111"/>
      <c r="BH58" s="111"/>
      <c r="BI58" s="111"/>
      <c r="BJ58" s="111"/>
      <c r="BK58" s="111"/>
      <c r="BL58" s="111"/>
      <c r="BM58" s="111"/>
      <c r="BN58" s="111"/>
      <c r="BO58" s="111"/>
      <c r="BP58" s="111"/>
      <c r="BQ58" s="111"/>
      <c r="BR58" s="111"/>
      <c r="BS58" s="111"/>
      <c r="BT58" s="111"/>
      <c r="BU58" s="111"/>
      <c r="BV58" s="111"/>
      <c r="BW58" s="111"/>
      <c r="BX58" s="111"/>
      <c r="BY58" s="111"/>
      <c r="BZ58" s="111"/>
      <c r="CA58" s="111"/>
      <c r="CB58" s="111"/>
      <c r="CC58" s="111"/>
      <c r="CD58" s="111"/>
      <c r="CE58" s="111"/>
      <c r="CF58" s="111"/>
      <c r="CG58" s="111"/>
      <c r="CH58" s="111"/>
      <c r="CI58" s="111"/>
      <c r="CJ58" s="111"/>
      <c r="CK58" s="111"/>
      <c r="CL58" s="111"/>
      <c r="CM58" s="111"/>
      <c r="CN58" s="111"/>
      <c r="CO58" s="111"/>
      <c r="CP58" s="111"/>
      <c r="CQ58" s="111"/>
      <c r="CR58" s="111"/>
      <c r="CS58" s="111"/>
      <c r="CT58" s="111"/>
      <c r="CU58" s="111"/>
      <c r="CV58" s="111"/>
      <c r="CW58" s="111"/>
      <c r="CX58" s="111"/>
    </row>
    <row r="59" spans="1:102" x14ac:dyDescent="0.25">
      <c r="A59" s="107" t="s">
        <v>134</v>
      </c>
      <c r="B59" s="121">
        <f>MIN(batt_ibi_sta_percent/100*battery_installed_cost,batt_ibi_sta_percent_maxvalue)</f>
        <v>0</v>
      </c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U59" s="111"/>
      <c r="AV59" s="111"/>
      <c r="AW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H59" s="111"/>
      <c r="BI59" s="111"/>
      <c r="BJ59" s="111"/>
      <c r="BK59" s="111"/>
      <c r="BL59" s="111"/>
      <c r="BM59" s="111"/>
      <c r="BN59" s="111"/>
      <c r="BO59" s="111"/>
      <c r="BP59" s="111"/>
      <c r="BQ59" s="111"/>
      <c r="BR59" s="111"/>
      <c r="BS59" s="111"/>
      <c r="BT59" s="111"/>
      <c r="BU59" s="111"/>
      <c r="BV59" s="111"/>
      <c r="BW59" s="111"/>
      <c r="BX59" s="111"/>
      <c r="BY59" s="111"/>
      <c r="BZ59" s="111"/>
      <c r="CA59" s="111"/>
      <c r="CB59" s="111"/>
      <c r="CC59" s="111"/>
      <c r="CD59" s="111"/>
      <c r="CE59" s="111"/>
      <c r="CF59" s="111"/>
      <c r="CG59" s="111"/>
      <c r="CH59" s="111"/>
      <c r="CI59" s="111"/>
      <c r="CJ59" s="111"/>
      <c r="CK59" s="111"/>
      <c r="CL59" s="111"/>
      <c r="CM59" s="111"/>
      <c r="CN59" s="111"/>
      <c r="CO59" s="111"/>
      <c r="CP59" s="111"/>
      <c r="CQ59" s="111"/>
      <c r="CR59" s="111"/>
      <c r="CS59" s="111"/>
      <c r="CT59" s="111"/>
      <c r="CU59" s="111"/>
      <c r="CV59" s="111"/>
      <c r="CW59" s="111"/>
      <c r="CX59" s="111"/>
    </row>
    <row r="60" spans="1:102" x14ac:dyDescent="0.25">
      <c r="A60" s="107" t="s">
        <v>135</v>
      </c>
      <c r="B60" s="121">
        <f>MIN(batt_ibi_uti_percent/100*battery_installed_cost,batt_ibi_uti_percent_maxvalue)</f>
        <v>0</v>
      </c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L60" s="111"/>
      <c r="AM60" s="111"/>
      <c r="AN60" s="111"/>
      <c r="AO60" s="111"/>
      <c r="AP60" s="111"/>
      <c r="AQ60" s="111"/>
      <c r="AR60" s="111"/>
      <c r="AS60" s="111"/>
      <c r="AT60" s="111"/>
      <c r="AU60" s="111"/>
      <c r="AV60" s="111"/>
      <c r="AW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  <c r="BH60" s="111"/>
      <c r="BI60" s="111"/>
      <c r="BJ60" s="111"/>
      <c r="BK60" s="111"/>
      <c r="BL60" s="111"/>
      <c r="BM60" s="111"/>
      <c r="BN60" s="111"/>
      <c r="BO60" s="111"/>
      <c r="BP60" s="111"/>
      <c r="BQ60" s="111"/>
      <c r="BR60" s="111"/>
      <c r="BS60" s="111"/>
      <c r="BT60" s="111"/>
      <c r="BU60" s="111"/>
      <c r="BV60" s="111"/>
      <c r="BW60" s="111"/>
      <c r="BX60" s="111"/>
      <c r="BY60" s="111"/>
      <c r="BZ60" s="111"/>
      <c r="CA60" s="111"/>
      <c r="CB60" s="111"/>
      <c r="CC60" s="111"/>
      <c r="CD60" s="111"/>
      <c r="CE60" s="111"/>
      <c r="CF60" s="111"/>
      <c r="CG60" s="111"/>
      <c r="CH60" s="111"/>
      <c r="CI60" s="111"/>
      <c r="CJ60" s="111"/>
      <c r="CK60" s="111"/>
      <c r="CL60" s="111"/>
      <c r="CM60" s="111"/>
      <c r="CN60" s="111"/>
      <c r="CO60" s="111"/>
      <c r="CP60" s="111"/>
      <c r="CQ60" s="111"/>
      <c r="CR60" s="111"/>
      <c r="CS60" s="111"/>
      <c r="CT60" s="111"/>
      <c r="CU60" s="111"/>
      <c r="CV60" s="111"/>
      <c r="CW60" s="111"/>
      <c r="CX60" s="111"/>
    </row>
    <row r="61" spans="1:102" x14ac:dyDescent="0.25">
      <c r="A61" s="107" t="s">
        <v>136</v>
      </c>
      <c r="B61" s="121">
        <f>SUM(B59:B60)</f>
        <v>0</v>
      </c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  <c r="BH61" s="111"/>
      <c r="BI61" s="111"/>
      <c r="BJ61" s="111"/>
      <c r="BK61" s="111"/>
      <c r="BL61" s="111"/>
      <c r="BM61" s="111"/>
      <c r="BN61" s="111"/>
      <c r="BO61" s="111"/>
      <c r="BP61" s="111"/>
      <c r="BQ61" s="111"/>
      <c r="BR61" s="111"/>
      <c r="BS61" s="111"/>
      <c r="BT61" s="111"/>
      <c r="BU61" s="111"/>
      <c r="BV61" s="111"/>
      <c r="BW61" s="111"/>
      <c r="BX61" s="111"/>
      <c r="BY61" s="111"/>
      <c r="BZ61" s="111"/>
      <c r="CA61" s="111"/>
      <c r="CB61" s="111"/>
      <c r="CC61" s="111"/>
      <c r="CD61" s="111"/>
      <c r="CE61" s="111"/>
      <c r="CF61" s="111"/>
      <c r="CG61" s="111"/>
      <c r="CH61" s="111"/>
      <c r="CI61" s="111"/>
      <c r="CJ61" s="111"/>
      <c r="CK61" s="111"/>
      <c r="CL61" s="111"/>
      <c r="CM61" s="111"/>
      <c r="CN61" s="111"/>
      <c r="CO61" s="111"/>
      <c r="CP61" s="111"/>
      <c r="CQ61" s="111"/>
      <c r="CR61" s="111"/>
      <c r="CS61" s="111"/>
      <c r="CT61" s="111"/>
      <c r="CU61" s="111"/>
      <c r="CV61" s="111"/>
      <c r="CW61" s="111"/>
      <c r="CX61" s="111"/>
    </row>
    <row r="62" spans="1:102" x14ac:dyDescent="0.25">
      <c r="A62" s="96" t="s">
        <v>144</v>
      </c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U62" s="111"/>
      <c r="AV62" s="111"/>
      <c r="AW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  <c r="BH62" s="111"/>
      <c r="BI62" s="111"/>
      <c r="BJ62" s="111"/>
      <c r="BK62" s="111"/>
      <c r="BL62" s="111"/>
      <c r="BM62" s="111"/>
      <c r="BN62" s="111"/>
      <c r="BO62" s="111"/>
      <c r="BP62" s="111"/>
      <c r="BQ62" s="111"/>
      <c r="BR62" s="111"/>
      <c r="BS62" s="111"/>
      <c r="BT62" s="111"/>
      <c r="BU62" s="111"/>
      <c r="BV62" s="111"/>
      <c r="BW62" s="111"/>
      <c r="BX62" s="111"/>
      <c r="BY62" s="111"/>
      <c r="BZ62" s="111"/>
      <c r="CA62" s="111"/>
      <c r="CB62" s="111"/>
      <c r="CC62" s="111"/>
      <c r="CD62" s="111"/>
      <c r="CE62" s="111"/>
      <c r="CF62" s="111"/>
      <c r="CG62" s="111"/>
      <c r="CH62" s="111"/>
      <c r="CI62" s="111"/>
      <c r="CJ62" s="111"/>
      <c r="CK62" s="111"/>
      <c r="CL62" s="111"/>
      <c r="CM62" s="111"/>
      <c r="CN62" s="111"/>
      <c r="CO62" s="111"/>
      <c r="CP62" s="111"/>
      <c r="CQ62" s="111"/>
      <c r="CR62" s="111"/>
      <c r="CS62" s="111"/>
      <c r="CT62" s="111"/>
      <c r="CU62" s="111"/>
      <c r="CV62" s="111"/>
      <c r="CW62" s="111"/>
      <c r="CX62" s="111"/>
    </row>
    <row r="63" spans="1:102" x14ac:dyDescent="0.25">
      <c r="A63" s="107" t="s">
        <v>138</v>
      </c>
      <c r="B63" s="121">
        <f>MIN(batt_cbi_fed_amount*batt_kw*1000,batt_cbi_fed_maxvalue)</f>
        <v>0</v>
      </c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  <c r="BH63" s="111"/>
      <c r="BI63" s="111"/>
      <c r="BJ63" s="111"/>
      <c r="BK63" s="111"/>
      <c r="BL63" s="111"/>
      <c r="BM63" s="111"/>
      <c r="BN63" s="111"/>
      <c r="BO63" s="111"/>
      <c r="BP63" s="111"/>
      <c r="BQ63" s="111"/>
      <c r="BR63" s="111"/>
      <c r="BS63" s="111"/>
      <c r="BT63" s="111"/>
      <c r="BU63" s="111"/>
      <c r="BV63" s="111"/>
      <c r="BW63" s="111"/>
      <c r="BX63" s="111"/>
      <c r="BY63" s="111"/>
      <c r="BZ63" s="111"/>
      <c r="CA63" s="111"/>
      <c r="CB63" s="111"/>
      <c r="CC63" s="111"/>
      <c r="CD63" s="111"/>
      <c r="CE63" s="111"/>
      <c r="CF63" s="111"/>
      <c r="CG63" s="111"/>
      <c r="CH63" s="111"/>
      <c r="CI63" s="111"/>
      <c r="CJ63" s="111"/>
      <c r="CK63" s="111"/>
      <c r="CL63" s="111"/>
      <c r="CM63" s="111"/>
      <c r="CN63" s="111"/>
      <c r="CO63" s="111"/>
      <c r="CP63" s="111"/>
      <c r="CQ63" s="111"/>
      <c r="CR63" s="111"/>
      <c r="CS63" s="111"/>
      <c r="CT63" s="111"/>
      <c r="CU63" s="111"/>
      <c r="CV63" s="111"/>
      <c r="CW63" s="111"/>
      <c r="CX63" s="111"/>
    </row>
    <row r="64" spans="1:102" x14ac:dyDescent="0.25">
      <c r="A64" s="107" t="s">
        <v>139</v>
      </c>
      <c r="B64" s="121">
        <f>MIN(batt_cbi_sta_amount*batt_kw*1000,batt_cbi_sta_maxvalue)</f>
        <v>0</v>
      </c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H64" s="111"/>
      <c r="BI64" s="111"/>
      <c r="BJ64" s="111"/>
      <c r="BK64" s="111"/>
      <c r="BL64" s="111"/>
      <c r="BM64" s="111"/>
      <c r="BN64" s="111"/>
      <c r="BO64" s="111"/>
      <c r="BP64" s="111"/>
      <c r="BQ64" s="111"/>
      <c r="BR64" s="111"/>
      <c r="BS64" s="111"/>
      <c r="BT64" s="111"/>
      <c r="BU64" s="111"/>
      <c r="BV64" s="111"/>
      <c r="BW64" s="111"/>
      <c r="BX64" s="111"/>
      <c r="BY64" s="111"/>
      <c r="BZ64" s="111"/>
      <c r="CA64" s="111"/>
      <c r="CB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  <c r="CP64" s="111"/>
      <c r="CQ64" s="111"/>
      <c r="CR64" s="111"/>
      <c r="CS64" s="111"/>
      <c r="CT64" s="111"/>
      <c r="CU64" s="111"/>
      <c r="CV64" s="111"/>
      <c r="CW64" s="111"/>
      <c r="CX64" s="111"/>
    </row>
    <row r="65" spans="1:1024" x14ac:dyDescent="0.25">
      <c r="A65" s="107" t="s">
        <v>140</v>
      </c>
      <c r="B65" s="121">
        <f>MIN(batt_cbi_uti_amount*batt_kw*1000,batt_cbi_uti_maxvalue)</f>
        <v>0</v>
      </c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  <c r="BA65" s="111"/>
      <c r="BB65" s="111"/>
      <c r="BC65" s="111"/>
      <c r="BD65" s="111"/>
      <c r="BE65" s="111"/>
      <c r="BF65" s="111"/>
      <c r="BG65" s="111"/>
      <c r="BH65" s="111"/>
      <c r="BI65" s="111"/>
      <c r="BJ65" s="111"/>
      <c r="BK65" s="111"/>
      <c r="BL65" s="111"/>
      <c r="BM65" s="111"/>
      <c r="BN65" s="111"/>
      <c r="BO65" s="111"/>
      <c r="BP65" s="111"/>
      <c r="BQ65" s="111"/>
      <c r="BR65" s="111"/>
      <c r="BS65" s="111"/>
      <c r="BT65" s="111"/>
      <c r="BU65" s="111"/>
      <c r="BV65" s="111"/>
      <c r="BW65" s="111"/>
      <c r="BX65" s="111"/>
      <c r="BY65" s="111"/>
      <c r="BZ65" s="111"/>
      <c r="CA65" s="111"/>
      <c r="CB65" s="111"/>
      <c r="CC65" s="111"/>
      <c r="CD65" s="111"/>
      <c r="CE65" s="111"/>
      <c r="CF65" s="111"/>
      <c r="CG65" s="111"/>
      <c r="CH65" s="111"/>
      <c r="CI65" s="111"/>
      <c r="CJ65" s="111"/>
      <c r="CK65" s="111"/>
      <c r="CL65" s="111"/>
      <c r="CM65" s="111"/>
      <c r="CN65" s="111"/>
      <c r="CO65" s="111"/>
      <c r="CP65" s="111"/>
      <c r="CQ65" s="111"/>
      <c r="CR65" s="111"/>
      <c r="CS65" s="111"/>
      <c r="CT65" s="111"/>
      <c r="CU65" s="111"/>
      <c r="CV65" s="111"/>
      <c r="CW65" s="111"/>
      <c r="CX65" s="111"/>
    </row>
    <row r="66" spans="1:1024" x14ac:dyDescent="0.25">
      <c r="A66" s="107" t="s">
        <v>136</v>
      </c>
      <c r="B66" s="121">
        <f>SUM(B63:B65)</f>
        <v>0</v>
      </c>
      <c r="C66" s="12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11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  <c r="BA66" s="111"/>
      <c r="BB66" s="111"/>
      <c r="BC66" s="111"/>
      <c r="BD66" s="111"/>
      <c r="BE66" s="111"/>
      <c r="BF66" s="111"/>
      <c r="BG66" s="111"/>
      <c r="BH66" s="111"/>
      <c r="BI66" s="111"/>
      <c r="BJ66" s="111"/>
      <c r="BK66" s="111"/>
      <c r="BL66" s="111"/>
      <c r="BM66" s="111"/>
      <c r="BN66" s="111"/>
      <c r="BO66" s="111"/>
      <c r="BP66" s="111"/>
      <c r="BQ66" s="111"/>
      <c r="BR66" s="111"/>
      <c r="BS66" s="111"/>
      <c r="BT66" s="111"/>
      <c r="BU66" s="111"/>
      <c r="BV66" s="111"/>
      <c r="BW66" s="111"/>
      <c r="BX66" s="111"/>
      <c r="BY66" s="111"/>
      <c r="BZ66" s="111"/>
      <c r="CA66" s="111"/>
      <c r="CB66" s="111"/>
      <c r="CC66" s="111"/>
      <c r="CD66" s="111"/>
      <c r="CE66" s="111"/>
      <c r="CF66" s="111"/>
      <c r="CG66" s="111"/>
      <c r="CH66" s="111"/>
      <c r="CI66" s="111"/>
      <c r="CJ66" s="111"/>
      <c r="CK66" s="111"/>
      <c r="CL66" s="111"/>
      <c r="CM66" s="111"/>
      <c r="CN66" s="111"/>
      <c r="CO66" s="111"/>
      <c r="CP66" s="111"/>
      <c r="CQ66" s="111"/>
      <c r="CR66" s="111"/>
      <c r="CS66" s="111"/>
      <c r="CT66" s="111"/>
      <c r="CU66" s="111"/>
      <c r="CV66" s="111"/>
      <c r="CW66" s="111"/>
      <c r="CX66" s="111"/>
    </row>
    <row r="67" spans="1:1024" x14ac:dyDescent="0.25">
      <c r="A67" s="96" t="s">
        <v>145</v>
      </c>
      <c r="B67" s="121"/>
      <c r="C67" s="12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11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  <c r="BA67" s="111"/>
      <c r="BB67" s="111"/>
      <c r="BC67" s="111"/>
      <c r="BD67" s="111"/>
      <c r="BE67" s="111"/>
      <c r="BF67" s="111"/>
      <c r="BG67" s="111"/>
      <c r="BH67" s="111"/>
      <c r="BI67" s="111"/>
      <c r="BJ67" s="111"/>
      <c r="BK67" s="111"/>
      <c r="BL67" s="111"/>
      <c r="BM67" s="111"/>
      <c r="BN67" s="111"/>
      <c r="BO67" s="111"/>
      <c r="BP67" s="111"/>
      <c r="BQ67" s="111"/>
      <c r="BR67" s="111"/>
      <c r="BS67" s="111"/>
      <c r="BT67" s="111"/>
      <c r="BU67" s="111"/>
      <c r="BV67" s="111"/>
      <c r="BW67" s="111"/>
      <c r="BX67" s="111"/>
      <c r="BY67" s="111"/>
      <c r="BZ67" s="111"/>
      <c r="CA67" s="111"/>
      <c r="CB67" s="111"/>
      <c r="CC67" s="111"/>
      <c r="CD67" s="111"/>
      <c r="CE67" s="111"/>
      <c r="CF67" s="111"/>
      <c r="CG67" s="111"/>
      <c r="CH67" s="111"/>
      <c r="CI67" s="111"/>
      <c r="CJ67" s="111"/>
      <c r="CK67" s="111"/>
      <c r="CL67" s="111"/>
      <c r="CM67" s="111"/>
      <c r="CN67" s="111"/>
      <c r="CO67" s="111"/>
      <c r="CP67" s="111"/>
      <c r="CQ67" s="111"/>
      <c r="CR67" s="111"/>
      <c r="CS67" s="111"/>
      <c r="CT67" s="111"/>
      <c r="CU67" s="111"/>
      <c r="CV67" s="111"/>
      <c r="CW67" s="111"/>
      <c r="CX67" s="111"/>
    </row>
    <row r="68" spans="1:1024" x14ac:dyDescent="0.25">
      <c r="A68" s="107" t="s">
        <v>146</v>
      </c>
      <c r="B68" s="113"/>
      <c r="C68" s="121">
        <f t="shared" ref="C68:AH68" si="26">IF(ISNUMBER(outYear),IF(outYear&lt;=pbi_combined_term,MIN(pbi_combined_amount*C5,pbi_combined_maxvalue),0),"")</f>
        <v>0</v>
      </c>
      <c r="D68" s="121">
        <f t="shared" si="26"/>
        <v>0</v>
      </c>
      <c r="E68" s="121">
        <f t="shared" si="26"/>
        <v>0</v>
      </c>
      <c r="F68" s="121">
        <f t="shared" si="26"/>
        <v>0</v>
      </c>
      <c r="G68" s="121">
        <f t="shared" si="26"/>
        <v>0</v>
      </c>
      <c r="H68" s="121">
        <f t="shared" si="26"/>
        <v>0</v>
      </c>
      <c r="I68" s="121">
        <f t="shared" si="26"/>
        <v>0</v>
      </c>
      <c r="J68" s="121">
        <f t="shared" si="26"/>
        <v>0</v>
      </c>
      <c r="K68" s="121">
        <f t="shared" si="26"/>
        <v>0</v>
      </c>
      <c r="L68" s="121">
        <f t="shared" si="26"/>
        <v>0</v>
      </c>
      <c r="M68" s="121">
        <f t="shared" si="26"/>
        <v>0</v>
      </c>
      <c r="N68" s="121">
        <f t="shared" si="26"/>
        <v>0</v>
      </c>
      <c r="O68" s="121">
        <f t="shared" si="26"/>
        <v>0</v>
      </c>
      <c r="P68" s="121">
        <f t="shared" si="26"/>
        <v>0</v>
      </c>
      <c r="Q68" s="121">
        <f t="shared" si="26"/>
        <v>0</v>
      </c>
      <c r="R68" s="121">
        <f t="shared" si="26"/>
        <v>0</v>
      </c>
      <c r="S68" s="121">
        <f t="shared" si="26"/>
        <v>0</v>
      </c>
      <c r="T68" s="121">
        <f t="shared" si="26"/>
        <v>0</v>
      </c>
      <c r="U68" s="121">
        <f t="shared" si="26"/>
        <v>0</v>
      </c>
      <c r="V68" s="121">
        <f t="shared" si="26"/>
        <v>0</v>
      </c>
      <c r="W68" s="121" t="str">
        <f t="shared" si="26"/>
        <v/>
      </c>
      <c r="X68" s="121" t="str">
        <f t="shared" si="26"/>
        <v/>
      </c>
      <c r="Y68" s="121" t="str">
        <f t="shared" si="26"/>
        <v/>
      </c>
      <c r="Z68" s="121" t="str">
        <f t="shared" si="26"/>
        <v/>
      </c>
      <c r="AA68" s="121" t="str">
        <f t="shared" si="26"/>
        <v/>
      </c>
      <c r="AB68" s="121" t="str">
        <f t="shared" si="26"/>
        <v/>
      </c>
      <c r="AC68" s="121" t="str">
        <f t="shared" si="26"/>
        <v/>
      </c>
      <c r="AD68" s="121" t="str">
        <f t="shared" si="26"/>
        <v/>
      </c>
      <c r="AE68" s="121" t="str">
        <f t="shared" si="26"/>
        <v/>
      </c>
      <c r="AF68" s="121" t="str">
        <f t="shared" si="26"/>
        <v/>
      </c>
      <c r="AG68" s="121" t="str">
        <f t="shared" si="26"/>
        <v/>
      </c>
      <c r="AH68" s="121" t="str">
        <f t="shared" si="26"/>
        <v/>
      </c>
      <c r="AI68" s="121" t="str">
        <f t="shared" ref="AI68:BN68" si="27">IF(ISNUMBER(outYear),IF(outYear&lt;=pbi_combined_term,MIN(pbi_combined_amount*AI5,pbi_combined_maxvalue),0),"")</f>
        <v/>
      </c>
      <c r="AJ68" s="121" t="str">
        <f t="shared" si="27"/>
        <v/>
      </c>
      <c r="AK68" s="121" t="str">
        <f t="shared" si="27"/>
        <v/>
      </c>
      <c r="AL68" s="121" t="str">
        <f t="shared" si="27"/>
        <v/>
      </c>
      <c r="AM68" s="121" t="str">
        <f t="shared" si="27"/>
        <v/>
      </c>
      <c r="AN68" s="121" t="str">
        <f t="shared" si="27"/>
        <v/>
      </c>
      <c r="AO68" s="121" t="str">
        <f t="shared" si="27"/>
        <v/>
      </c>
      <c r="AP68" s="121" t="str">
        <f t="shared" si="27"/>
        <v/>
      </c>
      <c r="AQ68" s="121" t="str">
        <f t="shared" si="27"/>
        <v/>
      </c>
      <c r="AR68" s="121" t="str">
        <f t="shared" si="27"/>
        <v/>
      </c>
      <c r="AS68" s="121" t="str">
        <f t="shared" si="27"/>
        <v/>
      </c>
      <c r="AT68" s="121" t="str">
        <f t="shared" si="27"/>
        <v/>
      </c>
      <c r="AU68" s="121" t="str">
        <f t="shared" si="27"/>
        <v/>
      </c>
      <c r="AV68" s="121" t="str">
        <f t="shared" si="27"/>
        <v/>
      </c>
      <c r="AW68" s="121" t="str">
        <f t="shared" si="27"/>
        <v/>
      </c>
      <c r="AX68" s="121" t="str">
        <f t="shared" si="27"/>
        <v/>
      </c>
      <c r="AY68" s="121" t="str">
        <f t="shared" si="27"/>
        <v/>
      </c>
      <c r="AZ68" s="121" t="str">
        <f t="shared" si="27"/>
        <v/>
      </c>
      <c r="BA68" s="121" t="str">
        <f t="shared" si="27"/>
        <v/>
      </c>
      <c r="BB68" s="121" t="str">
        <f t="shared" si="27"/>
        <v/>
      </c>
      <c r="BC68" s="121" t="str">
        <f t="shared" si="27"/>
        <v/>
      </c>
      <c r="BD68" s="121" t="str">
        <f t="shared" si="27"/>
        <v/>
      </c>
      <c r="BE68" s="121" t="str">
        <f t="shared" si="27"/>
        <v/>
      </c>
      <c r="BF68" s="121" t="str">
        <f t="shared" si="27"/>
        <v/>
      </c>
      <c r="BG68" s="121" t="str">
        <f t="shared" si="27"/>
        <v/>
      </c>
      <c r="BH68" s="121" t="str">
        <f t="shared" si="27"/>
        <v/>
      </c>
      <c r="BI68" s="121" t="str">
        <f t="shared" si="27"/>
        <v/>
      </c>
      <c r="BJ68" s="121" t="str">
        <f t="shared" si="27"/>
        <v/>
      </c>
      <c r="BK68" s="121" t="str">
        <f t="shared" si="27"/>
        <v/>
      </c>
      <c r="BL68" s="121" t="str">
        <f t="shared" si="27"/>
        <v/>
      </c>
      <c r="BM68" s="121" t="str">
        <f t="shared" si="27"/>
        <v/>
      </c>
      <c r="BN68" s="121" t="str">
        <f t="shared" si="27"/>
        <v/>
      </c>
      <c r="BO68" s="121" t="str">
        <f t="shared" ref="BO68:CX68" si="28">IF(ISNUMBER(outYear),IF(outYear&lt;=pbi_combined_term,MIN(pbi_combined_amount*BO5,pbi_combined_maxvalue),0),"")</f>
        <v/>
      </c>
      <c r="BP68" s="121" t="str">
        <f t="shared" si="28"/>
        <v/>
      </c>
      <c r="BQ68" s="121" t="str">
        <f t="shared" si="28"/>
        <v/>
      </c>
      <c r="BR68" s="121" t="str">
        <f t="shared" si="28"/>
        <v/>
      </c>
      <c r="BS68" s="121" t="str">
        <f t="shared" si="28"/>
        <v/>
      </c>
      <c r="BT68" s="121" t="str">
        <f t="shared" si="28"/>
        <v/>
      </c>
      <c r="BU68" s="121" t="str">
        <f t="shared" si="28"/>
        <v/>
      </c>
      <c r="BV68" s="121" t="str">
        <f t="shared" si="28"/>
        <v/>
      </c>
      <c r="BW68" s="121" t="str">
        <f t="shared" si="28"/>
        <v/>
      </c>
      <c r="BX68" s="121" t="str">
        <f t="shared" si="28"/>
        <v/>
      </c>
      <c r="BY68" s="121" t="str">
        <f t="shared" si="28"/>
        <v/>
      </c>
      <c r="BZ68" s="121" t="str">
        <f t="shared" si="28"/>
        <v/>
      </c>
      <c r="CA68" s="121" t="str">
        <f t="shared" si="28"/>
        <v/>
      </c>
      <c r="CB68" s="121" t="str">
        <f t="shared" si="28"/>
        <v/>
      </c>
      <c r="CC68" s="121" t="str">
        <f t="shared" si="28"/>
        <v/>
      </c>
      <c r="CD68" s="121" t="str">
        <f t="shared" si="28"/>
        <v/>
      </c>
      <c r="CE68" s="121" t="str">
        <f t="shared" si="28"/>
        <v/>
      </c>
      <c r="CF68" s="121" t="str">
        <f t="shared" si="28"/>
        <v/>
      </c>
      <c r="CG68" s="121" t="str">
        <f t="shared" si="28"/>
        <v/>
      </c>
      <c r="CH68" s="121" t="str">
        <f t="shared" si="28"/>
        <v/>
      </c>
      <c r="CI68" s="121" t="str">
        <f t="shared" si="28"/>
        <v/>
      </c>
      <c r="CJ68" s="121" t="str">
        <f t="shared" si="28"/>
        <v/>
      </c>
      <c r="CK68" s="121" t="str">
        <f t="shared" si="28"/>
        <v/>
      </c>
      <c r="CL68" s="121" t="str">
        <f t="shared" si="28"/>
        <v/>
      </c>
      <c r="CM68" s="121" t="str">
        <f t="shared" si="28"/>
        <v/>
      </c>
      <c r="CN68" s="121" t="str">
        <f t="shared" si="28"/>
        <v/>
      </c>
      <c r="CO68" s="121" t="str">
        <f t="shared" si="28"/>
        <v/>
      </c>
      <c r="CP68" s="121" t="str">
        <f t="shared" si="28"/>
        <v/>
      </c>
      <c r="CQ68" s="121" t="str">
        <f t="shared" si="28"/>
        <v/>
      </c>
      <c r="CR68" s="121" t="str">
        <f t="shared" si="28"/>
        <v/>
      </c>
      <c r="CS68" s="121" t="str">
        <f t="shared" si="28"/>
        <v/>
      </c>
      <c r="CT68" s="121" t="str">
        <f t="shared" si="28"/>
        <v/>
      </c>
      <c r="CU68" s="121" t="str">
        <f t="shared" si="28"/>
        <v/>
      </c>
      <c r="CV68" s="121" t="str">
        <f t="shared" si="28"/>
        <v/>
      </c>
      <c r="CW68" s="121" t="str">
        <f t="shared" si="28"/>
        <v/>
      </c>
      <c r="CX68" s="121" t="str">
        <f t="shared" si="28"/>
        <v/>
      </c>
    </row>
    <row r="69" spans="1:1024" x14ac:dyDescent="0.25">
      <c r="A69" s="107" t="s">
        <v>147</v>
      </c>
      <c r="B69" s="113"/>
      <c r="C69" s="121">
        <f>IF(ISNUMBER(outYear),IF(outYear&lt;=wind_pbi_combined_term,MIN(wind_pbi_combined_amount*C8,wind_pbi_combined_maxvalue),0),"")</f>
        <v>0</v>
      </c>
      <c r="D69" s="121">
        <f t="shared" ref="D69:AI69" si="29">IF(ISNUMBER(outYear),IF(outYear&lt;=pbi_combined_term,MIN(pbi_combined_amount*D8,pbi_combined_maxvalue),0),"")</f>
        <v>0</v>
      </c>
      <c r="E69" s="121">
        <f t="shared" si="29"/>
        <v>0</v>
      </c>
      <c r="F69" s="121">
        <f t="shared" si="29"/>
        <v>0</v>
      </c>
      <c r="G69" s="121">
        <f t="shared" si="29"/>
        <v>0</v>
      </c>
      <c r="H69" s="121">
        <f t="shared" si="29"/>
        <v>0</v>
      </c>
      <c r="I69" s="121">
        <f t="shared" si="29"/>
        <v>0</v>
      </c>
      <c r="J69" s="121">
        <f t="shared" si="29"/>
        <v>0</v>
      </c>
      <c r="K69" s="121">
        <f t="shared" si="29"/>
        <v>0</v>
      </c>
      <c r="L69" s="121">
        <f t="shared" si="29"/>
        <v>0</v>
      </c>
      <c r="M69" s="121">
        <f t="shared" si="29"/>
        <v>0</v>
      </c>
      <c r="N69" s="121">
        <f t="shared" si="29"/>
        <v>0</v>
      </c>
      <c r="O69" s="121">
        <f t="shared" si="29"/>
        <v>0</v>
      </c>
      <c r="P69" s="121">
        <f t="shared" si="29"/>
        <v>0</v>
      </c>
      <c r="Q69" s="121">
        <f t="shared" si="29"/>
        <v>0</v>
      </c>
      <c r="R69" s="121">
        <f t="shared" si="29"/>
        <v>0</v>
      </c>
      <c r="S69" s="121">
        <f t="shared" si="29"/>
        <v>0</v>
      </c>
      <c r="T69" s="121">
        <f t="shared" si="29"/>
        <v>0</v>
      </c>
      <c r="U69" s="121">
        <f t="shared" si="29"/>
        <v>0</v>
      </c>
      <c r="V69" s="121">
        <f t="shared" si="29"/>
        <v>0</v>
      </c>
      <c r="W69" s="121" t="str">
        <f t="shared" si="29"/>
        <v/>
      </c>
      <c r="X69" s="121" t="str">
        <f t="shared" si="29"/>
        <v/>
      </c>
      <c r="Y69" s="121" t="str">
        <f t="shared" si="29"/>
        <v/>
      </c>
      <c r="Z69" s="121" t="str">
        <f t="shared" si="29"/>
        <v/>
      </c>
      <c r="AA69" s="121" t="str">
        <f t="shared" si="29"/>
        <v/>
      </c>
      <c r="AB69" s="121" t="str">
        <f t="shared" si="29"/>
        <v/>
      </c>
      <c r="AC69" s="121" t="str">
        <f t="shared" si="29"/>
        <v/>
      </c>
      <c r="AD69" s="121" t="str">
        <f t="shared" si="29"/>
        <v/>
      </c>
      <c r="AE69" s="121" t="str">
        <f t="shared" si="29"/>
        <v/>
      </c>
      <c r="AF69" s="121" t="str">
        <f t="shared" si="29"/>
        <v/>
      </c>
      <c r="AG69" s="121" t="str">
        <f t="shared" si="29"/>
        <v/>
      </c>
      <c r="AH69" s="121" t="str">
        <f t="shared" si="29"/>
        <v/>
      </c>
      <c r="AI69" s="121" t="str">
        <f t="shared" si="29"/>
        <v/>
      </c>
      <c r="AJ69" s="121" t="str">
        <f t="shared" ref="AJ69:BO69" si="30">IF(ISNUMBER(outYear),IF(outYear&lt;=pbi_combined_term,MIN(pbi_combined_amount*AJ8,pbi_combined_maxvalue),0),"")</f>
        <v/>
      </c>
      <c r="AK69" s="121" t="str">
        <f t="shared" si="30"/>
        <v/>
      </c>
      <c r="AL69" s="121" t="str">
        <f t="shared" si="30"/>
        <v/>
      </c>
      <c r="AM69" s="121" t="str">
        <f t="shared" si="30"/>
        <v/>
      </c>
      <c r="AN69" s="121" t="str">
        <f t="shared" si="30"/>
        <v/>
      </c>
      <c r="AO69" s="121" t="str">
        <f t="shared" si="30"/>
        <v/>
      </c>
      <c r="AP69" s="121" t="str">
        <f t="shared" si="30"/>
        <v/>
      </c>
      <c r="AQ69" s="121" t="str">
        <f t="shared" si="30"/>
        <v/>
      </c>
      <c r="AR69" s="121" t="str">
        <f t="shared" si="30"/>
        <v/>
      </c>
      <c r="AS69" s="121" t="str">
        <f t="shared" si="30"/>
        <v/>
      </c>
      <c r="AT69" s="121" t="str">
        <f t="shared" si="30"/>
        <v/>
      </c>
      <c r="AU69" s="121" t="str">
        <f t="shared" si="30"/>
        <v/>
      </c>
      <c r="AV69" s="121" t="str">
        <f t="shared" si="30"/>
        <v/>
      </c>
      <c r="AW69" s="121" t="str">
        <f t="shared" si="30"/>
        <v/>
      </c>
      <c r="AX69" s="121" t="str">
        <f t="shared" si="30"/>
        <v/>
      </c>
      <c r="AY69" s="121" t="str">
        <f t="shared" si="30"/>
        <v/>
      </c>
      <c r="AZ69" s="121" t="str">
        <f t="shared" si="30"/>
        <v/>
      </c>
      <c r="BA69" s="121" t="str">
        <f t="shared" si="30"/>
        <v/>
      </c>
      <c r="BB69" s="121" t="str">
        <f t="shared" si="30"/>
        <v/>
      </c>
      <c r="BC69" s="121" t="str">
        <f t="shared" si="30"/>
        <v/>
      </c>
      <c r="BD69" s="121" t="str">
        <f t="shared" si="30"/>
        <v/>
      </c>
      <c r="BE69" s="121" t="str">
        <f t="shared" si="30"/>
        <v/>
      </c>
      <c r="BF69" s="121" t="str">
        <f t="shared" si="30"/>
        <v/>
      </c>
      <c r="BG69" s="121" t="str">
        <f t="shared" si="30"/>
        <v/>
      </c>
      <c r="BH69" s="121" t="str">
        <f t="shared" si="30"/>
        <v/>
      </c>
      <c r="BI69" s="121" t="str">
        <f t="shared" si="30"/>
        <v/>
      </c>
      <c r="BJ69" s="121" t="str">
        <f t="shared" si="30"/>
        <v/>
      </c>
      <c r="BK69" s="121" t="str">
        <f t="shared" si="30"/>
        <v/>
      </c>
      <c r="BL69" s="121" t="str">
        <f t="shared" si="30"/>
        <v/>
      </c>
      <c r="BM69" s="121" t="str">
        <f t="shared" si="30"/>
        <v/>
      </c>
      <c r="BN69" s="121" t="str">
        <f t="shared" si="30"/>
        <v/>
      </c>
      <c r="BO69" s="121" t="str">
        <f t="shared" si="30"/>
        <v/>
      </c>
      <c r="BP69" s="121" t="str">
        <f t="shared" ref="BP69:CX69" si="31">IF(ISNUMBER(outYear),IF(outYear&lt;=pbi_combined_term,MIN(pbi_combined_amount*BP8,pbi_combined_maxvalue),0),"")</f>
        <v/>
      </c>
      <c r="BQ69" s="121" t="str">
        <f t="shared" si="31"/>
        <v/>
      </c>
      <c r="BR69" s="121" t="str">
        <f t="shared" si="31"/>
        <v/>
      </c>
      <c r="BS69" s="121" t="str">
        <f t="shared" si="31"/>
        <v/>
      </c>
      <c r="BT69" s="121" t="str">
        <f t="shared" si="31"/>
        <v/>
      </c>
      <c r="BU69" s="121" t="str">
        <f t="shared" si="31"/>
        <v/>
      </c>
      <c r="BV69" s="121" t="str">
        <f t="shared" si="31"/>
        <v/>
      </c>
      <c r="BW69" s="121" t="str">
        <f t="shared" si="31"/>
        <v/>
      </c>
      <c r="BX69" s="121" t="str">
        <f t="shared" si="31"/>
        <v/>
      </c>
      <c r="BY69" s="121" t="str">
        <f t="shared" si="31"/>
        <v/>
      </c>
      <c r="BZ69" s="121" t="str">
        <f t="shared" si="31"/>
        <v/>
      </c>
      <c r="CA69" s="121" t="str">
        <f t="shared" si="31"/>
        <v/>
      </c>
      <c r="CB69" s="121" t="str">
        <f t="shared" si="31"/>
        <v/>
      </c>
      <c r="CC69" s="121" t="str">
        <f t="shared" si="31"/>
        <v/>
      </c>
      <c r="CD69" s="121" t="str">
        <f t="shared" si="31"/>
        <v/>
      </c>
      <c r="CE69" s="121" t="str">
        <f t="shared" si="31"/>
        <v/>
      </c>
      <c r="CF69" s="121" t="str">
        <f t="shared" si="31"/>
        <v/>
      </c>
      <c r="CG69" s="121" t="str">
        <f t="shared" si="31"/>
        <v/>
      </c>
      <c r="CH69" s="121" t="str">
        <f t="shared" si="31"/>
        <v/>
      </c>
      <c r="CI69" s="121" t="str">
        <f t="shared" si="31"/>
        <v/>
      </c>
      <c r="CJ69" s="121" t="str">
        <f t="shared" si="31"/>
        <v/>
      </c>
      <c r="CK69" s="121" t="str">
        <f t="shared" si="31"/>
        <v/>
      </c>
      <c r="CL69" s="121" t="str">
        <f t="shared" si="31"/>
        <v/>
      </c>
      <c r="CM69" s="121" t="str">
        <f t="shared" si="31"/>
        <v/>
      </c>
      <c r="CN69" s="121" t="str">
        <f t="shared" si="31"/>
        <v/>
      </c>
      <c r="CO69" s="121" t="str">
        <f t="shared" si="31"/>
        <v/>
      </c>
      <c r="CP69" s="121" t="str">
        <f t="shared" si="31"/>
        <v/>
      </c>
      <c r="CQ69" s="121" t="str">
        <f t="shared" si="31"/>
        <v/>
      </c>
      <c r="CR69" s="121" t="str">
        <f t="shared" si="31"/>
        <v/>
      </c>
      <c r="CS69" s="121" t="str">
        <f t="shared" si="31"/>
        <v/>
      </c>
      <c r="CT69" s="121" t="str">
        <f t="shared" si="31"/>
        <v/>
      </c>
      <c r="CU69" s="121" t="str">
        <f t="shared" si="31"/>
        <v/>
      </c>
      <c r="CV69" s="121" t="str">
        <f t="shared" si="31"/>
        <v/>
      </c>
      <c r="CW69" s="121" t="str">
        <f t="shared" si="31"/>
        <v/>
      </c>
      <c r="CX69" s="121" t="str">
        <f t="shared" si="31"/>
        <v/>
      </c>
    </row>
    <row r="70" spans="1:1024" x14ac:dyDescent="0.25">
      <c r="A70" s="96" t="s">
        <v>148</v>
      </c>
      <c r="B70" s="121">
        <f>B43+B48+B52+B57+B61+B66</f>
        <v>0</v>
      </c>
      <c r="C70" s="121">
        <f t="shared" ref="C70:AA70" si="32">C68+C69</f>
        <v>0</v>
      </c>
      <c r="D70" s="121">
        <f t="shared" si="32"/>
        <v>0</v>
      </c>
      <c r="E70" s="121">
        <f t="shared" si="32"/>
        <v>0</v>
      </c>
      <c r="F70" s="121">
        <f t="shared" si="32"/>
        <v>0</v>
      </c>
      <c r="G70" s="121">
        <f t="shared" si="32"/>
        <v>0</v>
      </c>
      <c r="H70" s="121">
        <f t="shared" si="32"/>
        <v>0</v>
      </c>
      <c r="I70" s="121">
        <f t="shared" si="32"/>
        <v>0</v>
      </c>
      <c r="J70" s="121">
        <f t="shared" si="32"/>
        <v>0</v>
      </c>
      <c r="K70" s="121">
        <f t="shared" si="32"/>
        <v>0</v>
      </c>
      <c r="L70" s="121">
        <f t="shared" si="32"/>
        <v>0</v>
      </c>
      <c r="M70" s="121">
        <f t="shared" si="32"/>
        <v>0</v>
      </c>
      <c r="N70" s="121">
        <f t="shared" si="32"/>
        <v>0</v>
      </c>
      <c r="O70" s="121">
        <f t="shared" si="32"/>
        <v>0</v>
      </c>
      <c r="P70" s="121">
        <f t="shared" si="32"/>
        <v>0</v>
      </c>
      <c r="Q70" s="121">
        <f t="shared" si="32"/>
        <v>0</v>
      </c>
      <c r="R70" s="121">
        <f t="shared" si="32"/>
        <v>0</v>
      </c>
      <c r="S70" s="121">
        <f t="shared" si="32"/>
        <v>0</v>
      </c>
      <c r="T70" s="121">
        <f t="shared" si="32"/>
        <v>0</v>
      </c>
      <c r="U70" s="121">
        <f t="shared" si="32"/>
        <v>0</v>
      </c>
      <c r="V70" s="121">
        <f t="shared" si="32"/>
        <v>0</v>
      </c>
      <c r="W70" s="121" t="e">
        <f t="shared" si="32"/>
        <v>#VALUE!</v>
      </c>
      <c r="X70" s="121" t="e">
        <f t="shared" si="32"/>
        <v>#VALUE!</v>
      </c>
      <c r="Y70" s="121" t="e">
        <f t="shared" si="32"/>
        <v>#VALUE!</v>
      </c>
      <c r="Z70" s="121" t="e">
        <f t="shared" si="32"/>
        <v>#VALUE!</v>
      </c>
      <c r="AA70" s="121" t="e">
        <f t="shared" si="32"/>
        <v>#VALUE!</v>
      </c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1"/>
      <c r="BK70" s="121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  <c r="CD70" s="121"/>
      <c r="CE70" s="121"/>
      <c r="CF70" s="121"/>
      <c r="CG70" s="121"/>
      <c r="CH70" s="121"/>
      <c r="CI70" s="121"/>
      <c r="CJ70" s="121"/>
      <c r="CK70" s="121"/>
      <c r="CL70" s="121"/>
      <c r="CM70" s="121"/>
      <c r="CN70" s="121"/>
      <c r="CO70" s="121"/>
      <c r="CP70" s="121"/>
      <c r="CQ70" s="121"/>
      <c r="CR70" s="121"/>
      <c r="CS70" s="121"/>
      <c r="CT70" s="121"/>
      <c r="CU70" s="121"/>
      <c r="CV70" s="121"/>
      <c r="CW70" s="121"/>
      <c r="CX70" s="121"/>
    </row>
    <row r="71" spans="1:1024" x14ac:dyDescent="0.25">
      <c r="A71" s="112"/>
      <c r="B71" s="113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  <c r="AZ71" s="114"/>
      <c r="BA71" s="114"/>
      <c r="BB71" s="114"/>
      <c r="BC71" s="114"/>
      <c r="BD71" s="114"/>
      <c r="BE71" s="114"/>
      <c r="BF71" s="114"/>
      <c r="BG71" s="114"/>
      <c r="BH71" s="114"/>
      <c r="BI71" s="114"/>
      <c r="BJ71" s="114"/>
      <c r="BK71" s="114"/>
      <c r="BL71" s="114"/>
      <c r="BM71" s="114"/>
      <c r="BN71" s="114"/>
      <c r="BO71" s="114"/>
      <c r="BP71" s="114"/>
      <c r="BQ71" s="114"/>
      <c r="BR71" s="114"/>
      <c r="BS71" s="114"/>
      <c r="BT71" s="114"/>
      <c r="BU71" s="114"/>
      <c r="BV71" s="114"/>
      <c r="BW71" s="114"/>
      <c r="BX71" s="114"/>
      <c r="BY71" s="114"/>
      <c r="BZ71" s="114"/>
      <c r="CA71" s="114"/>
      <c r="CB71" s="114"/>
      <c r="CC71" s="114"/>
      <c r="CD71" s="114"/>
      <c r="CE71" s="114"/>
      <c r="CF71" s="114"/>
      <c r="CG71" s="114"/>
      <c r="CH71" s="114"/>
      <c r="CI71" s="114"/>
      <c r="CJ71" s="114"/>
      <c r="CK71" s="114"/>
      <c r="CL71" s="114"/>
      <c r="CM71" s="114"/>
      <c r="CN71" s="114"/>
      <c r="CO71" s="114"/>
      <c r="CP71" s="114"/>
      <c r="CQ71" s="114"/>
      <c r="CR71" s="114"/>
      <c r="CS71" s="114"/>
      <c r="CT71" s="114"/>
      <c r="CU71" s="114"/>
      <c r="CV71" s="114"/>
      <c r="CW71" s="114"/>
      <c r="CX71" s="114"/>
    </row>
    <row r="72" spans="1:1024" s="113" customFormat="1" x14ac:dyDescent="0.25">
      <c r="A72" s="104" t="s">
        <v>149</v>
      </c>
      <c r="B72" s="115"/>
      <c r="C72" s="116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  <c r="BS72" s="116"/>
      <c r="BT72" s="116"/>
      <c r="BU72" s="116"/>
      <c r="BV72" s="116"/>
      <c r="BW72" s="116"/>
      <c r="BX72" s="116"/>
      <c r="BY72" s="116"/>
      <c r="BZ72" s="116"/>
      <c r="CA72" s="116"/>
      <c r="CB72" s="116"/>
      <c r="CC72" s="116"/>
      <c r="CD72" s="116"/>
      <c r="CE72" s="116"/>
      <c r="CF72" s="116"/>
      <c r="CG72" s="116"/>
      <c r="CH72" s="116"/>
      <c r="CI72" s="116"/>
      <c r="CJ72" s="116"/>
      <c r="CK72" s="116"/>
      <c r="CL72" s="116"/>
      <c r="CM72" s="116"/>
      <c r="CN72" s="116"/>
      <c r="CO72" s="116"/>
      <c r="CP72" s="116"/>
      <c r="CQ72" s="116"/>
      <c r="CR72" s="116"/>
      <c r="CS72" s="116"/>
      <c r="CT72" s="116"/>
      <c r="CU72" s="116"/>
      <c r="CV72" s="116"/>
      <c r="CW72" s="116"/>
      <c r="CX72" s="106"/>
      <c r="CY72" s="121" t="str">
        <f>IF(ISNUMBER(outYear),CY42+CY47+#REF!+#REF!,"")</f>
        <v/>
      </c>
      <c r="CZ72" s="121" t="str">
        <f>IF(ISNUMBER(outYear),CZ42+CZ47+#REF!+#REF!,"")</f>
        <v/>
      </c>
      <c r="DA72" s="121" t="str">
        <f>IF(ISNUMBER(outYear),DA42+DA47+#REF!+#REF!,"")</f>
        <v/>
      </c>
      <c r="DB72" s="121" t="str">
        <f>IF(ISNUMBER(outYear),DB42+DB47+#REF!+#REF!,"")</f>
        <v/>
      </c>
      <c r="DC72" s="121" t="str">
        <f>IF(ISNUMBER(outYear),DC42+DC47+#REF!+#REF!,"")</f>
        <v/>
      </c>
      <c r="DD72" s="121" t="str">
        <f>IF(ISNUMBER(outYear),DD42+DD47+#REF!+#REF!,"")</f>
        <v/>
      </c>
      <c r="DE72" s="121" t="str">
        <f>IF(ISNUMBER(outYear),DE42+DE47+#REF!+#REF!,"")</f>
        <v/>
      </c>
      <c r="DF72" s="121" t="str">
        <f>IF(ISNUMBER(outYear),DF42+DF47+#REF!+#REF!,"")</f>
        <v/>
      </c>
      <c r="DG72" s="121" t="str">
        <f>IF(ISNUMBER(outYear),DG42+DG47+#REF!+#REF!,"")</f>
        <v/>
      </c>
      <c r="DH72" s="121" t="str">
        <f>IF(ISNUMBER(outYear),DH42+DH47+#REF!+#REF!,"")</f>
        <v/>
      </c>
      <c r="DI72" s="121" t="str">
        <f>IF(ISNUMBER(outYear),DI42+DI47+#REF!+#REF!,"")</f>
        <v/>
      </c>
      <c r="DJ72" s="121" t="str">
        <f>IF(ISNUMBER(outYear),DJ42+DJ47+#REF!+#REF!,"")</f>
        <v/>
      </c>
      <c r="DK72" s="121" t="str">
        <f>IF(ISNUMBER(outYear),DK42+DK47+#REF!+#REF!,"")</f>
        <v/>
      </c>
      <c r="DL72" s="121" t="str">
        <f>IF(ISNUMBER(outYear),DL42+DL47+#REF!+#REF!,"")</f>
        <v/>
      </c>
      <c r="DM72" s="121" t="str">
        <f>IF(ISNUMBER(outYear),DM42+DM47+#REF!+#REF!,"")</f>
        <v/>
      </c>
      <c r="DN72" s="121" t="str">
        <f>IF(ISNUMBER(outYear),DN42+DN47+#REF!+#REF!,"")</f>
        <v/>
      </c>
      <c r="DO72" s="121" t="str">
        <f>IF(ISNUMBER(outYear),DO42+DO47+#REF!+#REF!,"")</f>
        <v/>
      </c>
      <c r="DP72" s="121" t="str">
        <f>IF(ISNUMBER(outYear),DP42+DP47+#REF!+#REF!,"")</f>
        <v/>
      </c>
      <c r="DQ72" s="121" t="str">
        <f>IF(ISNUMBER(outYear),DQ42+DQ47+#REF!+#REF!,"")</f>
        <v/>
      </c>
      <c r="DR72" s="121" t="str">
        <f>IF(ISNUMBER(outYear),DR42+DR47+#REF!+#REF!,"")</f>
        <v/>
      </c>
      <c r="DS72" s="121" t="str">
        <f>IF(ISNUMBER(outYear),DS42+DS47+#REF!+#REF!,"")</f>
        <v/>
      </c>
      <c r="DT72" s="121" t="str">
        <f>IF(ISNUMBER(outYear),DT42+DT47+#REF!+#REF!,"")</f>
        <v/>
      </c>
      <c r="DU72" s="121" t="str">
        <f>IF(ISNUMBER(outYear),DU42+DU47+#REF!+#REF!,"")</f>
        <v/>
      </c>
      <c r="DV72" s="121" t="str">
        <f>IF(ISNUMBER(outYear),DV42+DV47+#REF!+#REF!,"")</f>
        <v/>
      </c>
      <c r="DW72" s="121" t="str">
        <f>IF(ISNUMBER(outYear),DW42+DW47+#REF!+#REF!,"")</f>
        <v/>
      </c>
      <c r="DX72" s="121" t="str">
        <f>IF(ISNUMBER(outYear),DX42+DX47+#REF!+#REF!,"")</f>
        <v/>
      </c>
      <c r="DY72" s="121" t="str">
        <f>IF(ISNUMBER(outYear),DY42+DY47+#REF!+#REF!,"")</f>
        <v/>
      </c>
      <c r="DZ72" s="121" t="str">
        <f>IF(ISNUMBER(outYear),DZ42+DZ47+#REF!+#REF!,"")</f>
        <v/>
      </c>
      <c r="EA72" s="121" t="str">
        <f>IF(ISNUMBER(outYear),EA42+EA47+#REF!+#REF!,"")</f>
        <v/>
      </c>
      <c r="EB72" s="121" t="str">
        <f>IF(ISNUMBER(outYear),EB42+EB47+#REF!+#REF!,"")</f>
        <v/>
      </c>
      <c r="EC72" s="121" t="str">
        <f>IF(ISNUMBER(outYear),EC42+EC47+#REF!+#REF!,"")</f>
        <v/>
      </c>
      <c r="ED72" s="121" t="str">
        <f>IF(ISNUMBER(outYear),ED42+ED47+#REF!+#REF!,"")</f>
        <v/>
      </c>
      <c r="EE72" s="121" t="str">
        <f>IF(ISNUMBER(outYear),EE42+EE47+#REF!+#REF!,"")</f>
        <v/>
      </c>
      <c r="EF72" s="121" t="str">
        <f>IF(ISNUMBER(outYear),EF42+EF47+#REF!+#REF!,"")</f>
        <v/>
      </c>
      <c r="EG72" s="121" t="str">
        <f>IF(ISNUMBER(outYear),EG42+EG47+#REF!+#REF!,"")</f>
        <v/>
      </c>
      <c r="EH72" s="121" t="str">
        <f>IF(ISNUMBER(outYear),EH42+EH47+#REF!+#REF!,"")</f>
        <v/>
      </c>
      <c r="EI72" s="121" t="str">
        <f>IF(ISNUMBER(outYear),EI42+EI47+#REF!+#REF!,"")</f>
        <v/>
      </c>
      <c r="EJ72" s="121" t="str">
        <f>IF(ISNUMBER(outYear),EJ42+EJ47+#REF!+#REF!,"")</f>
        <v/>
      </c>
      <c r="EK72" s="121" t="str">
        <f>IF(ISNUMBER(outYear),EK42+EK47+#REF!+#REF!,"")</f>
        <v/>
      </c>
      <c r="EL72" s="121" t="str">
        <f>IF(ISNUMBER(outYear),EL42+EL47+#REF!+#REF!,"")</f>
        <v/>
      </c>
      <c r="EM72" s="121" t="str">
        <f>IF(ISNUMBER(outYear),EM42+EM47+#REF!+#REF!,"")</f>
        <v/>
      </c>
      <c r="EN72" s="121" t="str">
        <f>IF(ISNUMBER(outYear),EN42+EN47+#REF!+#REF!,"")</f>
        <v/>
      </c>
      <c r="EO72" s="121" t="str">
        <f>IF(ISNUMBER(outYear),EO42+EO47+#REF!+#REF!,"")</f>
        <v/>
      </c>
      <c r="EP72" s="121" t="str">
        <f>IF(ISNUMBER(outYear),EP42+EP47+#REF!+#REF!,"")</f>
        <v/>
      </c>
      <c r="EQ72" s="121" t="str">
        <f>IF(ISNUMBER(outYear),EQ42+EQ47+#REF!+#REF!,"")</f>
        <v/>
      </c>
      <c r="ER72" s="121" t="str">
        <f>IF(ISNUMBER(outYear),ER42+ER47+#REF!+#REF!,"")</f>
        <v/>
      </c>
      <c r="ES72" s="121" t="str">
        <f>IF(ISNUMBER(outYear),ES42+ES47+#REF!+#REF!,"")</f>
        <v/>
      </c>
      <c r="ET72" s="121" t="str">
        <f>IF(ISNUMBER(outYear),ET42+ET47+#REF!+#REF!,"")</f>
        <v/>
      </c>
      <c r="EU72" s="121" t="str">
        <f>IF(ISNUMBER(outYear),EU42+EU47+#REF!+#REF!,"")</f>
        <v/>
      </c>
      <c r="EV72" s="121" t="str">
        <f>IF(ISNUMBER(outYear),EV42+EV47+#REF!+#REF!,"")</f>
        <v/>
      </c>
      <c r="EW72" s="121" t="str">
        <f>IF(ISNUMBER(outYear),EW42+EW47+#REF!+#REF!,"")</f>
        <v/>
      </c>
      <c r="EX72" s="121" t="str">
        <f>IF(ISNUMBER(outYear),EX42+EX47+#REF!+#REF!,"")</f>
        <v/>
      </c>
      <c r="EY72" s="121" t="str">
        <f>IF(ISNUMBER(outYear),EY42+EY47+#REF!+#REF!,"")</f>
        <v/>
      </c>
      <c r="EZ72" s="121" t="str">
        <f>IF(ISNUMBER(outYear),EZ42+EZ47+#REF!+#REF!,"")</f>
        <v/>
      </c>
      <c r="FA72" s="121" t="str">
        <f>IF(ISNUMBER(outYear),FA42+FA47+#REF!+#REF!,"")</f>
        <v/>
      </c>
      <c r="FB72" s="121" t="str">
        <f>IF(ISNUMBER(outYear),FB42+FB47+#REF!+#REF!,"")</f>
        <v/>
      </c>
      <c r="FC72" s="121" t="str">
        <f>IF(ISNUMBER(outYear),FC42+FC47+#REF!+#REF!,"")</f>
        <v/>
      </c>
      <c r="FD72" s="121" t="str">
        <f>IF(ISNUMBER(outYear),FD42+FD47+#REF!+#REF!,"")</f>
        <v/>
      </c>
      <c r="FE72" s="121" t="str">
        <f>IF(ISNUMBER(outYear),FE42+FE47+#REF!+#REF!,"")</f>
        <v/>
      </c>
      <c r="FF72" s="121" t="str">
        <f>IF(ISNUMBER(outYear),FF42+FF47+#REF!+#REF!,"")</f>
        <v/>
      </c>
      <c r="FG72" s="121" t="str">
        <f>IF(ISNUMBER(outYear),FG42+FG47+#REF!+#REF!,"")</f>
        <v/>
      </c>
      <c r="FH72" s="121" t="str">
        <f>IF(ISNUMBER(outYear),FH42+FH47+#REF!+#REF!,"")</f>
        <v/>
      </c>
      <c r="FI72" s="121" t="str">
        <f>IF(ISNUMBER(outYear),FI42+FI47+#REF!+#REF!,"")</f>
        <v/>
      </c>
      <c r="FJ72" s="121" t="str">
        <f>IF(ISNUMBER(outYear),FJ42+FJ47+#REF!+#REF!,"")</f>
        <v/>
      </c>
      <c r="FK72" s="121" t="str">
        <f>IF(ISNUMBER(outYear),FK42+FK47+#REF!+#REF!,"")</f>
        <v/>
      </c>
      <c r="FL72" s="121" t="str">
        <f>IF(ISNUMBER(outYear),FL42+FL47+#REF!+#REF!,"")</f>
        <v/>
      </c>
      <c r="FM72" s="121" t="str">
        <f>IF(ISNUMBER(outYear),FM42+FM47+#REF!+#REF!,"")</f>
        <v/>
      </c>
      <c r="FN72" s="121" t="str">
        <f>IF(ISNUMBER(outYear),FN42+FN47+#REF!+#REF!,"")</f>
        <v/>
      </c>
      <c r="FO72" s="121" t="str">
        <f>IF(ISNUMBER(outYear),FO42+FO47+#REF!+#REF!,"")</f>
        <v/>
      </c>
      <c r="FP72" s="121" t="str">
        <f>IF(ISNUMBER(outYear),FP42+FP47+#REF!+#REF!,"")</f>
        <v/>
      </c>
      <c r="FQ72" s="121" t="str">
        <f>IF(ISNUMBER(outYear),FQ42+FQ47+#REF!+#REF!,"")</f>
        <v/>
      </c>
      <c r="FR72" s="121" t="str">
        <f>IF(ISNUMBER(outYear),FR42+FR47+#REF!+#REF!,"")</f>
        <v/>
      </c>
      <c r="FS72" s="121" t="str">
        <f>IF(ISNUMBER(outYear),FS42+FS47+#REF!+#REF!,"")</f>
        <v/>
      </c>
      <c r="FT72" s="121" t="str">
        <f>IF(ISNUMBER(outYear),FT42+FT47+#REF!+#REF!,"")</f>
        <v/>
      </c>
      <c r="FU72" s="121" t="str">
        <f>IF(ISNUMBER(outYear),FU42+FU47+#REF!+#REF!,"")</f>
        <v/>
      </c>
      <c r="FV72" s="121" t="str">
        <f>IF(ISNUMBER(outYear),FV42+FV47+#REF!+#REF!,"")</f>
        <v/>
      </c>
      <c r="FW72" s="121" t="str">
        <f>IF(ISNUMBER(outYear),FW42+FW47+#REF!+#REF!,"")</f>
        <v/>
      </c>
      <c r="FX72" s="121" t="str">
        <f>IF(ISNUMBER(outYear),FX42+FX47+#REF!+#REF!,"")</f>
        <v/>
      </c>
      <c r="FY72" s="121" t="str">
        <f>IF(ISNUMBER(outYear),FY42+FY47+#REF!+#REF!,"")</f>
        <v/>
      </c>
      <c r="FZ72" s="121" t="str">
        <f>IF(ISNUMBER(outYear),FZ42+FZ47+#REF!+#REF!,"")</f>
        <v/>
      </c>
      <c r="GA72" s="121" t="str">
        <f>IF(ISNUMBER(outYear),GA42+GA47+#REF!+#REF!,"")</f>
        <v/>
      </c>
      <c r="GB72" s="121" t="str">
        <f>IF(ISNUMBER(outYear),GB42+GB47+#REF!+#REF!,"")</f>
        <v/>
      </c>
      <c r="GC72" s="121" t="str">
        <f>IF(ISNUMBER(outYear),GC42+GC47+#REF!+#REF!,"")</f>
        <v/>
      </c>
      <c r="GD72" s="121" t="str">
        <f>IF(ISNUMBER(outYear),GD42+GD47+#REF!+#REF!,"")</f>
        <v/>
      </c>
      <c r="GE72" s="121" t="str">
        <f>IF(ISNUMBER(outYear),GE42+GE47+#REF!+#REF!,"")</f>
        <v/>
      </c>
      <c r="GF72" s="121" t="str">
        <f>IF(ISNUMBER(outYear),GF42+GF47+#REF!+#REF!,"")</f>
        <v/>
      </c>
      <c r="GG72" s="121" t="str">
        <f>IF(ISNUMBER(outYear),GG42+GG47+#REF!+#REF!,"")</f>
        <v/>
      </c>
      <c r="GH72" s="121" t="str">
        <f>IF(ISNUMBER(outYear),GH42+GH47+#REF!+#REF!,"")</f>
        <v/>
      </c>
      <c r="GI72" s="121" t="str">
        <f>IF(ISNUMBER(outYear),GI42+GI47+#REF!+#REF!,"")</f>
        <v/>
      </c>
      <c r="GJ72" s="121" t="str">
        <f>IF(ISNUMBER(outYear),GJ42+GJ47+#REF!+#REF!,"")</f>
        <v/>
      </c>
      <c r="GK72" s="121" t="str">
        <f>IF(ISNUMBER(outYear),GK42+GK47+#REF!+#REF!,"")</f>
        <v/>
      </c>
      <c r="GL72" s="121" t="str">
        <f>IF(ISNUMBER(outYear),GL42+GL47+#REF!+#REF!,"")</f>
        <v/>
      </c>
      <c r="GM72" s="121" t="str">
        <f>IF(ISNUMBER(outYear),GM42+GM47+#REF!+#REF!,"")</f>
        <v/>
      </c>
      <c r="GN72" s="121" t="str">
        <f>IF(ISNUMBER(outYear),GN42+GN47+#REF!+#REF!,"")</f>
        <v/>
      </c>
      <c r="GO72" s="121" t="str">
        <f>IF(ISNUMBER(outYear),GO42+GO47+#REF!+#REF!,"")</f>
        <v/>
      </c>
      <c r="GP72" s="121" t="str">
        <f>IF(ISNUMBER(outYear),GP42+GP47+#REF!+#REF!,"")</f>
        <v/>
      </c>
      <c r="GQ72" s="121" t="str">
        <f>IF(ISNUMBER(outYear),GQ42+GQ47+#REF!+#REF!,"")</f>
        <v/>
      </c>
      <c r="GR72" s="121" t="str">
        <f>IF(ISNUMBER(outYear),GR42+GR47+#REF!+#REF!,"")</f>
        <v/>
      </c>
      <c r="GS72" s="121" t="str">
        <f>IF(ISNUMBER(outYear),GS42+GS47+#REF!+#REF!,"")</f>
        <v/>
      </c>
      <c r="GT72" s="121" t="str">
        <f>IF(ISNUMBER(outYear),GT42+GT47+#REF!+#REF!,"")</f>
        <v/>
      </c>
      <c r="GU72" s="121" t="str">
        <f>IF(ISNUMBER(outYear),GU42+GU47+#REF!+#REF!,"")</f>
        <v/>
      </c>
      <c r="GV72" s="121" t="str">
        <f>IF(ISNUMBER(outYear),GV42+GV47+#REF!+#REF!,"")</f>
        <v/>
      </c>
      <c r="GW72" s="121" t="str">
        <f>IF(ISNUMBER(outYear),GW42+GW47+#REF!+#REF!,"")</f>
        <v/>
      </c>
      <c r="GX72" s="121" t="str">
        <f>IF(ISNUMBER(outYear),GX42+GX47+#REF!+#REF!,"")</f>
        <v/>
      </c>
      <c r="GY72" s="121" t="str">
        <f>IF(ISNUMBER(outYear),GY42+GY47+#REF!+#REF!,"")</f>
        <v/>
      </c>
      <c r="GZ72" s="121" t="str">
        <f>IF(ISNUMBER(outYear),GZ42+GZ47+#REF!+#REF!,"")</f>
        <v/>
      </c>
      <c r="HA72" s="121" t="str">
        <f>IF(ISNUMBER(outYear),HA42+HA47+#REF!+#REF!,"")</f>
        <v/>
      </c>
      <c r="HB72" s="121" t="str">
        <f>IF(ISNUMBER(outYear),HB42+HB47+#REF!+#REF!,"")</f>
        <v/>
      </c>
      <c r="HC72" s="121" t="str">
        <f>IF(ISNUMBER(outYear),HC42+HC47+#REF!+#REF!,"")</f>
        <v/>
      </c>
      <c r="HD72" s="121" t="str">
        <f>IF(ISNUMBER(outYear),HD42+HD47+#REF!+#REF!,"")</f>
        <v/>
      </c>
      <c r="HE72" s="121" t="str">
        <f>IF(ISNUMBER(outYear),HE42+HE47+#REF!+#REF!,"")</f>
        <v/>
      </c>
      <c r="HF72" s="121" t="str">
        <f>IF(ISNUMBER(outYear),HF42+HF47+#REF!+#REF!,"")</f>
        <v/>
      </c>
      <c r="HG72" s="121" t="str">
        <f>IF(ISNUMBER(outYear),HG42+HG47+#REF!+#REF!,"")</f>
        <v/>
      </c>
      <c r="HH72" s="121" t="str">
        <f>IF(ISNUMBER(outYear),HH42+HH47+#REF!+#REF!,"")</f>
        <v/>
      </c>
      <c r="HI72" s="121" t="str">
        <f>IF(ISNUMBER(outYear),HI42+HI47+#REF!+#REF!,"")</f>
        <v/>
      </c>
      <c r="HJ72" s="121" t="str">
        <f>IF(ISNUMBER(outYear),HJ42+HJ47+#REF!+#REF!,"")</f>
        <v/>
      </c>
      <c r="HK72" s="121" t="str">
        <f>IF(ISNUMBER(outYear),HK42+HK47+#REF!+#REF!,"")</f>
        <v/>
      </c>
      <c r="HL72" s="121" t="str">
        <f>IF(ISNUMBER(outYear),HL42+HL47+#REF!+#REF!,"")</f>
        <v/>
      </c>
      <c r="HM72" s="121" t="str">
        <f>IF(ISNUMBER(outYear),HM42+HM47+#REF!+#REF!,"")</f>
        <v/>
      </c>
      <c r="HN72" s="121" t="str">
        <f>IF(ISNUMBER(outYear),HN42+HN47+#REF!+#REF!,"")</f>
        <v/>
      </c>
      <c r="HO72" s="121" t="str">
        <f>IF(ISNUMBER(outYear),HO42+HO47+#REF!+#REF!,"")</f>
        <v/>
      </c>
      <c r="HP72" s="121" t="str">
        <f>IF(ISNUMBER(outYear),HP42+HP47+#REF!+#REF!,"")</f>
        <v/>
      </c>
      <c r="HQ72" s="121" t="str">
        <f>IF(ISNUMBER(outYear),HQ42+HQ47+#REF!+#REF!,"")</f>
        <v/>
      </c>
      <c r="HR72" s="121" t="str">
        <f>IF(ISNUMBER(outYear),HR42+HR47+#REF!+#REF!,"")</f>
        <v/>
      </c>
      <c r="HS72" s="121" t="str">
        <f>IF(ISNUMBER(outYear),HS42+HS47+#REF!+#REF!,"")</f>
        <v/>
      </c>
      <c r="HT72" s="121" t="str">
        <f>IF(ISNUMBER(outYear),HT42+HT47+#REF!+#REF!,"")</f>
        <v/>
      </c>
      <c r="HU72" s="121" t="str">
        <f>IF(ISNUMBER(outYear),HU42+HU47+#REF!+#REF!,"")</f>
        <v/>
      </c>
      <c r="HV72" s="121" t="str">
        <f>IF(ISNUMBER(outYear),HV42+HV47+#REF!+#REF!,"")</f>
        <v/>
      </c>
      <c r="HW72" s="121" t="str">
        <f>IF(ISNUMBER(outYear),HW42+HW47+#REF!+#REF!,"")</f>
        <v/>
      </c>
      <c r="HX72" s="121" t="str">
        <f>IF(ISNUMBER(outYear),HX42+HX47+#REF!+#REF!,"")</f>
        <v/>
      </c>
      <c r="HY72" s="121" t="str">
        <f>IF(ISNUMBER(outYear),HY42+HY47+#REF!+#REF!,"")</f>
        <v/>
      </c>
      <c r="HZ72" s="121" t="str">
        <f>IF(ISNUMBER(outYear),HZ42+HZ47+#REF!+#REF!,"")</f>
        <v/>
      </c>
      <c r="IA72" s="121" t="str">
        <f>IF(ISNUMBER(outYear),IA42+IA47+#REF!+#REF!,"")</f>
        <v/>
      </c>
      <c r="IB72" s="121" t="str">
        <f>IF(ISNUMBER(outYear),IB42+IB47+#REF!+#REF!,"")</f>
        <v/>
      </c>
      <c r="IC72" s="121" t="str">
        <f>IF(ISNUMBER(outYear),IC42+IC47+#REF!+#REF!,"")</f>
        <v/>
      </c>
      <c r="ID72" s="121" t="str">
        <f>IF(ISNUMBER(outYear),ID42+ID47+#REF!+#REF!,"")</f>
        <v/>
      </c>
      <c r="IE72" s="121" t="str">
        <f>IF(ISNUMBER(outYear),IE42+IE47+#REF!+#REF!,"")</f>
        <v/>
      </c>
      <c r="IF72" s="121" t="str">
        <f>IF(ISNUMBER(outYear),IF42+IF47+#REF!+#REF!,"")</f>
        <v/>
      </c>
      <c r="IG72" s="121" t="str">
        <f>IF(ISNUMBER(outYear),IG42+IG47+#REF!+#REF!,"")</f>
        <v/>
      </c>
      <c r="IH72" s="121" t="str">
        <f>IF(ISNUMBER(outYear),IH42+IH47+#REF!+#REF!,"")</f>
        <v/>
      </c>
      <c r="II72" s="121" t="str">
        <f>IF(ISNUMBER(outYear),II42+II47+#REF!+#REF!,"")</f>
        <v/>
      </c>
      <c r="IJ72" s="121" t="str">
        <f>IF(ISNUMBER(outYear),IJ42+IJ47+#REF!+#REF!,"")</f>
        <v/>
      </c>
      <c r="IK72" s="121" t="str">
        <f>IF(ISNUMBER(outYear),IK42+IK47+#REF!+#REF!,"")</f>
        <v/>
      </c>
      <c r="IL72" s="121" t="str">
        <f>IF(ISNUMBER(outYear),IL42+IL47+#REF!+#REF!,"")</f>
        <v/>
      </c>
      <c r="IM72" s="121" t="str">
        <f>IF(ISNUMBER(outYear),IM42+IM47+#REF!+#REF!,"")</f>
        <v/>
      </c>
      <c r="IN72" s="121" t="str">
        <f>IF(ISNUMBER(outYear),IN42+IN47+#REF!+#REF!,"")</f>
        <v/>
      </c>
      <c r="IO72" s="121" t="str">
        <f>IF(ISNUMBER(outYear),IO42+IO47+#REF!+#REF!,"")</f>
        <v/>
      </c>
      <c r="IP72" s="121" t="str">
        <f>IF(ISNUMBER(outYear),IP42+IP47+#REF!+#REF!,"")</f>
        <v/>
      </c>
      <c r="IQ72" s="121" t="str">
        <f>IF(ISNUMBER(outYear),IQ42+IQ47+#REF!+#REF!,"")</f>
        <v/>
      </c>
      <c r="IR72" s="121" t="str">
        <f>IF(ISNUMBER(outYear),IR42+IR47+#REF!+#REF!,"")</f>
        <v/>
      </c>
      <c r="IS72" s="121" t="str">
        <f>IF(ISNUMBER(outYear),IS42+IS47+#REF!+#REF!,"")</f>
        <v/>
      </c>
      <c r="IT72" s="121" t="str">
        <f>IF(ISNUMBER(outYear),IT42+IT47+#REF!+#REF!,"")</f>
        <v/>
      </c>
      <c r="IU72" s="121" t="str">
        <f>IF(ISNUMBER(outYear),IU42+IU47+#REF!+#REF!,"")</f>
        <v/>
      </c>
      <c r="IV72" s="121" t="str">
        <f>IF(ISNUMBER(outYear),IV42+IV47+#REF!+#REF!,"")</f>
        <v/>
      </c>
      <c r="IW72" s="121" t="str">
        <f>IF(ISNUMBER(outYear),IW42+IW47+#REF!+#REF!,"")</f>
        <v/>
      </c>
      <c r="IX72" s="121" t="str">
        <f>IF(ISNUMBER(outYear),IX42+IX47+#REF!+#REF!,"")</f>
        <v/>
      </c>
      <c r="IY72" s="121" t="str">
        <f>IF(ISNUMBER(outYear),IY42+IY47+#REF!+#REF!,"")</f>
        <v/>
      </c>
      <c r="IZ72" s="121" t="str">
        <f>IF(ISNUMBER(outYear),IZ42+IZ47+#REF!+#REF!,"")</f>
        <v/>
      </c>
      <c r="JA72" s="121" t="str">
        <f>IF(ISNUMBER(outYear),JA42+JA47+#REF!+#REF!,"")</f>
        <v/>
      </c>
      <c r="JB72" s="121" t="str">
        <f>IF(ISNUMBER(outYear),JB42+JB47+#REF!+#REF!,"")</f>
        <v/>
      </c>
      <c r="JC72" s="121" t="str">
        <f>IF(ISNUMBER(outYear),JC42+JC47+#REF!+#REF!,"")</f>
        <v/>
      </c>
      <c r="JD72" s="121" t="str">
        <f>IF(ISNUMBER(outYear),JD42+JD47+#REF!+#REF!,"")</f>
        <v/>
      </c>
      <c r="JE72" s="121" t="str">
        <f>IF(ISNUMBER(outYear),JE42+JE47+#REF!+#REF!,"")</f>
        <v/>
      </c>
      <c r="JF72" s="121" t="str">
        <f>IF(ISNUMBER(outYear),JF42+JF47+#REF!+#REF!,"")</f>
        <v/>
      </c>
      <c r="JG72" s="121" t="str">
        <f>IF(ISNUMBER(outYear),JG42+JG47+#REF!+#REF!,"")</f>
        <v/>
      </c>
      <c r="JH72" s="121" t="str">
        <f>IF(ISNUMBER(outYear),JH42+JH47+#REF!+#REF!,"")</f>
        <v/>
      </c>
      <c r="JI72" s="121" t="str">
        <f>IF(ISNUMBER(outYear),JI42+JI47+#REF!+#REF!,"")</f>
        <v/>
      </c>
      <c r="JJ72" s="121" t="str">
        <f>IF(ISNUMBER(outYear),JJ42+JJ47+#REF!+#REF!,"")</f>
        <v/>
      </c>
      <c r="JK72" s="121" t="str">
        <f>IF(ISNUMBER(outYear),JK42+JK47+#REF!+#REF!,"")</f>
        <v/>
      </c>
      <c r="JL72" s="121" t="str">
        <f>IF(ISNUMBER(outYear),JL42+JL47+#REF!+#REF!,"")</f>
        <v/>
      </c>
      <c r="JM72" s="121" t="str">
        <f>IF(ISNUMBER(outYear),JM42+JM47+#REF!+#REF!,"")</f>
        <v/>
      </c>
      <c r="JN72" s="121" t="str">
        <f>IF(ISNUMBER(outYear),JN42+JN47+#REF!+#REF!,"")</f>
        <v/>
      </c>
      <c r="JO72" s="121" t="str">
        <f>IF(ISNUMBER(outYear),JO42+JO47+#REF!+#REF!,"")</f>
        <v/>
      </c>
      <c r="JP72" s="121" t="str">
        <f>IF(ISNUMBER(outYear),JP42+JP47+#REF!+#REF!,"")</f>
        <v/>
      </c>
      <c r="JQ72" s="121" t="str">
        <f>IF(ISNUMBER(outYear),JQ42+JQ47+#REF!+#REF!,"")</f>
        <v/>
      </c>
      <c r="JR72" s="121" t="str">
        <f>IF(ISNUMBER(outYear),JR42+JR47+#REF!+#REF!,"")</f>
        <v/>
      </c>
      <c r="JS72" s="121" t="str">
        <f>IF(ISNUMBER(outYear),JS42+JS47+#REF!+#REF!,"")</f>
        <v/>
      </c>
      <c r="JT72" s="121" t="str">
        <f>IF(ISNUMBER(outYear),JT42+JT47+#REF!+#REF!,"")</f>
        <v/>
      </c>
      <c r="JU72" s="121" t="str">
        <f>IF(ISNUMBER(outYear),JU42+JU47+#REF!+#REF!,"")</f>
        <v/>
      </c>
      <c r="JV72" s="121" t="str">
        <f>IF(ISNUMBER(outYear),JV42+JV47+#REF!+#REF!,"")</f>
        <v/>
      </c>
      <c r="JW72" s="121" t="str">
        <f>IF(ISNUMBER(outYear),JW42+JW47+#REF!+#REF!,"")</f>
        <v/>
      </c>
      <c r="JX72" s="121" t="str">
        <f>IF(ISNUMBER(outYear),JX42+JX47+#REF!+#REF!,"")</f>
        <v/>
      </c>
      <c r="JY72" s="121" t="str">
        <f>IF(ISNUMBER(outYear),JY42+JY47+#REF!+#REF!,"")</f>
        <v/>
      </c>
      <c r="JZ72" s="121" t="str">
        <f>IF(ISNUMBER(outYear),JZ42+JZ47+#REF!+#REF!,"")</f>
        <v/>
      </c>
      <c r="KA72" s="121" t="str">
        <f>IF(ISNUMBER(outYear),KA42+KA47+#REF!+#REF!,"")</f>
        <v/>
      </c>
      <c r="KB72" s="121" t="str">
        <f>IF(ISNUMBER(outYear),KB42+KB47+#REF!+#REF!,"")</f>
        <v/>
      </c>
      <c r="KC72" s="121" t="str">
        <f>IF(ISNUMBER(outYear),KC42+KC47+#REF!+#REF!,"")</f>
        <v/>
      </c>
      <c r="KD72" s="121" t="str">
        <f>IF(ISNUMBER(outYear),KD42+KD47+#REF!+#REF!,"")</f>
        <v/>
      </c>
      <c r="KE72" s="121" t="str">
        <f>IF(ISNUMBER(outYear),KE42+KE47+#REF!+#REF!,"")</f>
        <v/>
      </c>
      <c r="KF72" s="121" t="str">
        <f>IF(ISNUMBER(outYear),KF42+KF47+#REF!+#REF!,"")</f>
        <v/>
      </c>
      <c r="KG72" s="121" t="str">
        <f>IF(ISNUMBER(outYear),KG42+KG47+#REF!+#REF!,"")</f>
        <v/>
      </c>
      <c r="KH72" s="121" t="str">
        <f>IF(ISNUMBER(outYear),KH42+KH47+#REF!+#REF!,"")</f>
        <v/>
      </c>
      <c r="KI72" s="121" t="str">
        <f>IF(ISNUMBER(outYear),KI42+KI47+#REF!+#REF!,"")</f>
        <v/>
      </c>
      <c r="KJ72" s="121" t="str">
        <f>IF(ISNUMBER(outYear),KJ42+KJ47+#REF!+#REF!,"")</f>
        <v/>
      </c>
      <c r="KK72" s="121" t="str">
        <f>IF(ISNUMBER(outYear),KK42+KK47+#REF!+#REF!,"")</f>
        <v/>
      </c>
      <c r="KL72" s="121" t="str">
        <f>IF(ISNUMBER(outYear),KL42+KL47+#REF!+#REF!,"")</f>
        <v/>
      </c>
      <c r="KM72" s="121" t="str">
        <f>IF(ISNUMBER(outYear),KM42+KM47+#REF!+#REF!,"")</f>
        <v/>
      </c>
      <c r="KN72" s="121" t="str">
        <f>IF(ISNUMBER(outYear),KN42+KN47+#REF!+#REF!,"")</f>
        <v/>
      </c>
      <c r="KO72" s="121" t="str">
        <f>IF(ISNUMBER(outYear),KO42+KO47+#REF!+#REF!,"")</f>
        <v/>
      </c>
      <c r="KP72" s="121" t="str">
        <f>IF(ISNUMBER(outYear),KP42+KP47+#REF!+#REF!,"")</f>
        <v/>
      </c>
      <c r="KQ72" s="121" t="str">
        <f>IF(ISNUMBER(outYear),KQ42+KQ47+#REF!+#REF!,"")</f>
        <v/>
      </c>
      <c r="KR72" s="121" t="str">
        <f>IF(ISNUMBER(outYear),KR42+KR47+#REF!+#REF!,"")</f>
        <v/>
      </c>
      <c r="KS72" s="121" t="str">
        <f>IF(ISNUMBER(outYear),KS42+KS47+#REF!+#REF!,"")</f>
        <v/>
      </c>
      <c r="KT72" s="121" t="str">
        <f>IF(ISNUMBER(outYear),KT42+KT47+#REF!+#REF!,"")</f>
        <v/>
      </c>
      <c r="KU72" s="121" t="str">
        <f>IF(ISNUMBER(outYear),KU42+KU47+#REF!+#REF!,"")</f>
        <v/>
      </c>
      <c r="KV72" s="121" t="str">
        <f>IF(ISNUMBER(outYear),KV42+KV47+#REF!+#REF!,"")</f>
        <v/>
      </c>
      <c r="KW72" s="121" t="str">
        <f>IF(ISNUMBER(outYear),KW42+KW47+#REF!+#REF!,"")</f>
        <v/>
      </c>
      <c r="KX72" s="121" t="str">
        <f>IF(ISNUMBER(outYear),KX42+KX47+#REF!+#REF!,"")</f>
        <v/>
      </c>
      <c r="KY72" s="121" t="str">
        <f>IF(ISNUMBER(outYear),KY42+KY47+#REF!+#REF!,"")</f>
        <v/>
      </c>
      <c r="KZ72" s="121" t="str">
        <f>IF(ISNUMBER(outYear),KZ42+KZ47+#REF!+#REF!,"")</f>
        <v/>
      </c>
      <c r="LA72" s="121" t="str">
        <f>IF(ISNUMBER(outYear),LA42+LA47+#REF!+#REF!,"")</f>
        <v/>
      </c>
      <c r="LB72" s="121" t="str">
        <f>IF(ISNUMBER(outYear),LB42+LB47+#REF!+#REF!,"")</f>
        <v/>
      </c>
      <c r="LC72" s="121" t="str">
        <f>IF(ISNUMBER(outYear),LC42+LC47+#REF!+#REF!,"")</f>
        <v/>
      </c>
      <c r="LD72" s="121" t="str">
        <f>IF(ISNUMBER(outYear),LD42+LD47+#REF!+#REF!,"")</f>
        <v/>
      </c>
      <c r="LE72" s="121" t="str">
        <f>IF(ISNUMBER(outYear),LE42+LE47+#REF!+#REF!,"")</f>
        <v/>
      </c>
      <c r="LF72" s="121" t="str">
        <f>IF(ISNUMBER(outYear),LF42+LF47+#REF!+#REF!,"")</f>
        <v/>
      </c>
      <c r="LG72" s="121" t="str">
        <f>IF(ISNUMBER(outYear),LG42+LG47+#REF!+#REF!,"")</f>
        <v/>
      </c>
      <c r="LH72" s="121" t="str">
        <f>IF(ISNUMBER(outYear),LH42+LH47+#REF!+#REF!,"")</f>
        <v/>
      </c>
      <c r="LI72" s="121" t="str">
        <f>IF(ISNUMBER(outYear),LI42+LI47+#REF!+#REF!,"")</f>
        <v/>
      </c>
      <c r="LJ72" s="121" t="str">
        <f>IF(ISNUMBER(outYear),LJ42+LJ47+#REF!+#REF!,"")</f>
        <v/>
      </c>
      <c r="LK72" s="121" t="str">
        <f>IF(ISNUMBER(outYear),LK42+LK47+#REF!+#REF!,"")</f>
        <v/>
      </c>
      <c r="LL72" s="121" t="str">
        <f>IF(ISNUMBER(outYear),LL42+LL47+#REF!+#REF!,"")</f>
        <v/>
      </c>
      <c r="LM72" s="121" t="str">
        <f>IF(ISNUMBER(outYear),LM42+LM47+#REF!+#REF!,"")</f>
        <v/>
      </c>
      <c r="LN72" s="121" t="str">
        <f>IF(ISNUMBER(outYear),LN42+LN47+#REF!+#REF!,"")</f>
        <v/>
      </c>
      <c r="LO72" s="121" t="str">
        <f>IF(ISNUMBER(outYear),LO42+LO47+#REF!+#REF!,"")</f>
        <v/>
      </c>
      <c r="LP72" s="121" t="str">
        <f>IF(ISNUMBER(outYear),LP42+LP47+#REF!+#REF!,"")</f>
        <v/>
      </c>
      <c r="LQ72" s="121" t="str">
        <f>IF(ISNUMBER(outYear),LQ42+LQ47+#REF!+#REF!,"")</f>
        <v/>
      </c>
      <c r="LR72" s="121" t="str">
        <f>IF(ISNUMBER(outYear),LR42+LR47+#REF!+#REF!,"")</f>
        <v/>
      </c>
      <c r="LS72" s="121" t="str">
        <f>IF(ISNUMBER(outYear),LS42+LS47+#REF!+#REF!,"")</f>
        <v/>
      </c>
      <c r="LT72" s="121" t="str">
        <f>IF(ISNUMBER(outYear),LT42+LT47+#REF!+#REF!,"")</f>
        <v/>
      </c>
      <c r="LU72" s="121" t="str">
        <f>IF(ISNUMBER(outYear),LU42+LU47+#REF!+#REF!,"")</f>
        <v/>
      </c>
      <c r="LV72" s="121" t="str">
        <f>IF(ISNUMBER(outYear),LV42+LV47+#REF!+#REF!,"")</f>
        <v/>
      </c>
      <c r="LW72" s="121" t="str">
        <f>IF(ISNUMBER(outYear),LW42+LW47+#REF!+#REF!,"")</f>
        <v/>
      </c>
      <c r="LX72" s="121" t="str">
        <f>IF(ISNUMBER(outYear),LX42+LX47+#REF!+#REF!,"")</f>
        <v/>
      </c>
      <c r="LY72" s="121" t="str">
        <f>IF(ISNUMBER(outYear),LY42+LY47+#REF!+#REF!,"")</f>
        <v/>
      </c>
      <c r="LZ72" s="121" t="str">
        <f>IF(ISNUMBER(outYear),LZ42+LZ47+#REF!+#REF!,"")</f>
        <v/>
      </c>
      <c r="MA72" s="121" t="str">
        <f>IF(ISNUMBER(outYear),MA42+MA47+#REF!+#REF!,"")</f>
        <v/>
      </c>
      <c r="MB72" s="121" t="str">
        <f>IF(ISNUMBER(outYear),MB42+MB47+#REF!+#REF!,"")</f>
        <v/>
      </c>
      <c r="MC72" s="121" t="str">
        <f>IF(ISNUMBER(outYear),MC42+MC47+#REF!+#REF!,"")</f>
        <v/>
      </c>
      <c r="MD72" s="121" t="str">
        <f>IF(ISNUMBER(outYear),MD42+MD47+#REF!+#REF!,"")</f>
        <v/>
      </c>
      <c r="ME72" s="121" t="str">
        <f>IF(ISNUMBER(outYear),ME42+ME47+#REF!+#REF!,"")</f>
        <v/>
      </c>
      <c r="MF72" s="121" t="str">
        <f>IF(ISNUMBER(outYear),MF42+MF47+#REF!+#REF!,"")</f>
        <v/>
      </c>
      <c r="MG72" s="121" t="str">
        <f>IF(ISNUMBER(outYear),MG42+MG47+#REF!+#REF!,"")</f>
        <v/>
      </c>
      <c r="MH72" s="121" t="str">
        <f>IF(ISNUMBER(outYear),MH42+MH47+#REF!+#REF!,"")</f>
        <v/>
      </c>
      <c r="MI72" s="121" t="str">
        <f>IF(ISNUMBER(outYear),MI42+MI47+#REF!+#REF!,"")</f>
        <v/>
      </c>
      <c r="MJ72" s="121" t="str">
        <f>IF(ISNUMBER(outYear),MJ42+MJ47+#REF!+#REF!,"")</f>
        <v/>
      </c>
      <c r="MK72" s="121" t="str">
        <f>IF(ISNUMBER(outYear),MK42+MK47+#REF!+#REF!,"")</f>
        <v/>
      </c>
      <c r="ML72" s="121" t="str">
        <f>IF(ISNUMBER(outYear),ML42+ML47+#REF!+#REF!,"")</f>
        <v/>
      </c>
      <c r="MM72" s="121" t="str">
        <f>IF(ISNUMBER(outYear),MM42+MM47+#REF!+#REF!,"")</f>
        <v/>
      </c>
      <c r="MN72" s="121" t="str">
        <f>IF(ISNUMBER(outYear),MN42+MN47+#REF!+#REF!,"")</f>
        <v/>
      </c>
      <c r="MO72" s="121" t="str">
        <f>IF(ISNUMBER(outYear),MO42+MO47+#REF!+#REF!,"")</f>
        <v/>
      </c>
      <c r="MP72" s="121" t="str">
        <f>IF(ISNUMBER(outYear),MP42+MP47+#REF!+#REF!,"")</f>
        <v/>
      </c>
      <c r="MQ72" s="121" t="str">
        <f>IF(ISNUMBER(outYear),MQ42+MQ47+#REF!+#REF!,"")</f>
        <v/>
      </c>
      <c r="MR72" s="121" t="str">
        <f>IF(ISNUMBER(outYear),MR42+MR47+#REF!+#REF!,"")</f>
        <v/>
      </c>
      <c r="MS72" s="121" t="str">
        <f>IF(ISNUMBER(outYear),MS42+MS47+#REF!+#REF!,"")</f>
        <v/>
      </c>
      <c r="MT72" s="121" t="str">
        <f>IF(ISNUMBER(outYear),MT42+MT47+#REF!+#REF!,"")</f>
        <v/>
      </c>
      <c r="MU72" s="121" t="str">
        <f>IF(ISNUMBER(outYear),MU42+MU47+#REF!+#REF!,"")</f>
        <v/>
      </c>
      <c r="MV72" s="121" t="str">
        <f>IF(ISNUMBER(outYear),MV42+MV47+#REF!+#REF!,"")</f>
        <v/>
      </c>
      <c r="MW72" s="121" t="str">
        <f>IF(ISNUMBER(outYear),MW42+MW47+#REF!+#REF!,"")</f>
        <v/>
      </c>
      <c r="MX72" s="121" t="str">
        <f>IF(ISNUMBER(outYear),MX42+MX47+#REF!+#REF!,"")</f>
        <v/>
      </c>
      <c r="MY72" s="121" t="str">
        <f>IF(ISNUMBER(outYear),MY42+MY47+#REF!+#REF!,"")</f>
        <v/>
      </c>
      <c r="MZ72" s="121" t="str">
        <f>IF(ISNUMBER(outYear),MZ42+MZ47+#REF!+#REF!,"")</f>
        <v/>
      </c>
      <c r="NA72" s="121" t="str">
        <f>IF(ISNUMBER(outYear),NA42+NA47+#REF!+#REF!,"")</f>
        <v/>
      </c>
      <c r="NB72" s="121" t="str">
        <f>IF(ISNUMBER(outYear),NB42+NB47+#REF!+#REF!,"")</f>
        <v/>
      </c>
      <c r="NC72" s="121" t="str">
        <f>IF(ISNUMBER(outYear),NC42+NC47+#REF!+#REF!,"")</f>
        <v/>
      </c>
      <c r="ND72" s="121" t="str">
        <f>IF(ISNUMBER(outYear),ND42+ND47+#REF!+#REF!,"")</f>
        <v/>
      </c>
      <c r="NE72" s="121" t="str">
        <f>IF(ISNUMBER(outYear),NE42+NE47+#REF!+#REF!,"")</f>
        <v/>
      </c>
      <c r="NF72" s="121" t="str">
        <f>IF(ISNUMBER(outYear),NF42+NF47+#REF!+#REF!,"")</f>
        <v/>
      </c>
      <c r="NG72" s="121" t="str">
        <f>IF(ISNUMBER(outYear),NG42+NG47+#REF!+#REF!,"")</f>
        <v/>
      </c>
      <c r="NH72" s="121" t="str">
        <f>IF(ISNUMBER(outYear),NH42+NH47+#REF!+#REF!,"")</f>
        <v/>
      </c>
      <c r="NI72" s="121" t="str">
        <f>IF(ISNUMBER(outYear),NI42+NI47+#REF!+#REF!,"")</f>
        <v/>
      </c>
      <c r="NJ72" s="121" t="str">
        <f>IF(ISNUMBER(outYear),NJ42+NJ47+#REF!+#REF!,"")</f>
        <v/>
      </c>
      <c r="NK72" s="121" t="str">
        <f>IF(ISNUMBER(outYear),NK42+NK47+#REF!+#REF!,"")</f>
        <v/>
      </c>
      <c r="NL72" s="121" t="str">
        <f>IF(ISNUMBER(outYear),NL42+NL47+#REF!+#REF!,"")</f>
        <v/>
      </c>
      <c r="NM72" s="121" t="str">
        <f>IF(ISNUMBER(outYear),NM42+NM47+#REF!+#REF!,"")</f>
        <v/>
      </c>
      <c r="NN72" s="121" t="str">
        <f>IF(ISNUMBER(outYear),NN42+NN47+#REF!+#REF!,"")</f>
        <v/>
      </c>
      <c r="NO72" s="121" t="str">
        <f>IF(ISNUMBER(outYear),NO42+NO47+#REF!+#REF!,"")</f>
        <v/>
      </c>
      <c r="NP72" s="121" t="str">
        <f>IF(ISNUMBER(outYear),NP42+NP47+#REF!+#REF!,"")</f>
        <v/>
      </c>
      <c r="NQ72" s="121" t="str">
        <f>IF(ISNUMBER(outYear),NQ42+NQ47+#REF!+#REF!,"")</f>
        <v/>
      </c>
      <c r="NR72" s="121" t="str">
        <f>IF(ISNUMBER(outYear),NR42+NR47+#REF!+#REF!,"")</f>
        <v/>
      </c>
      <c r="NS72" s="121" t="str">
        <f>IF(ISNUMBER(outYear),NS42+NS47+#REF!+#REF!,"")</f>
        <v/>
      </c>
      <c r="NT72" s="121" t="str">
        <f>IF(ISNUMBER(outYear),NT42+NT47+#REF!+#REF!,"")</f>
        <v/>
      </c>
      <c r="NU72" s="121" t="str">
        <f>IF(ISNUMBER(outYear),NU42+NU47+#REF!+#REF!,"")</f>
        <v/>
      </c>
      <c r="NV72" s="121" t="str">
        <f>IF(ISNUMBER(outYear),NV42+NV47+#REF!+#REF!,"")</f>
        <v/>
      </c>
      <c r="NW72" s="121" t="str">
        <f>IF(ISNUMBER(outYear),NW42+NW47+#REF!+#REF!,"")</f>
        <v/>
      </c>
      <c r="NX72" s="121" t="str">
        <f>IF(ISNUMBER(outYear),NX42+NX47+#REF!+#REF!,"")</f>
        <v/>
      </c>
      <c r="NY72" s="121" t="str">
        <f>IF(ISNUMBER(outYear),NY42+NY47+#REF!+#REF!,"")</f>
        <v/>
      </c>
      <c r="NZ72" s="121" t="str">
        <f>IF(ISNUMBER(outYear),NZ42+NZ47+#REF!+#REF!,"")</f>
        <v/>
      </c>
      <c r="OA72" s="121" t="str">
        <f>IF(ISNUMBER(outYear),OA42+OA47+#REF!+#REF!,"")</f>
        <v/>
      </c>
      <c r="OB72" s="121" t="str">
        <f>IF(ISNUMBER(outYear),OB42+OB47+#REF!+#REF!,"")</f>
        <v/>
      </c>
      <c r="OC72" s="121" t="str">
        <f>IF(ISNUMBER(outYear),OC42+OC47+#REF!+#REF!,"")</f>
        <v/>
      </c>
      <c r="OD72" s="121" t="str">
        <f>IF(ISNUMBER(outYear),OD42+OD47+#REF!+#REF!,"")</f>
        <v/>
      </c>
      <c r="OE72" s="121" t="str">
        <f>IF(ISNUMBER(outYear),OE42+OE47+#REF!+#REF!,"")</f>
        <v/>
      </c>
      <c r="OF72" s="121" t="str">
        <f>IF(ISNUMBER(outYear),OF42+OF47+#REF!+#REF!,"")</f>
        <v/>
      </c>
      <c r="OG72" s="121" t="str">
        <f>IF(ISNUMBER(outYear),OG42+OG47+#REF!+#REF!,"")</f>
        <v/>
      </c>
      <c r="OH72" s="121" t="str">
        <f>IF(ISNUMBER(outYear),OH42+OH47+#REF!+#REF!,"")</f>
        <v/>
      </c>
      <c r="OI72" s="121" t="str">
        <f>IF(ISNUMBER(outYear),OI42+OI47+#REF!+#REF!,"")</f>
        <v/>
      </c>
      <c r="OJ72" s="121" t="str">
        <f>IF(ISNUMBER(outYear),OJ42+OJ47+#REF!+#REF!,"")</f>
        <v/>
      </c>
      <c r="OK72" s="121" t="str">
        <f>IF(ISNUMBER(outYear),OK42+OK47+#REF!+#REF!,"")</f>
        <v/>
      </c>
      <c r="OL72" s="121" t="str">
        <f>IF(ISNUMBER(outYear),OL42+OL47+#REF!+#REF!,"")</f>
        <v/>
      </c>
      <c r="OM72" s="121" t="str">
        <f>IF(ISNUMBER(outYear),OM42+OM47+#REF!+#REF!,"")</f>
        <v/>
      </c>
      <c r="ON72" s="121" t="str">
        <f>IF(ISNUMBER(outYear),ON42+ON47+#REF!+#REF!,"")</f>
        <v/>
      </c>
      <c r="OO72" s="121" t="str">
        <f>IF(ISNUMBER(outYear),OO42+OO47+#REF!+#REF!,"")</f>
        <v/>
      </c>
      <c r="OP72" s="121" t="str">
        <f>IF(ISNUMBER(outYear),OP42+OP47+#REF!+#REF!,"")</f>
        <v/>
      </c>
      <c r="OQ72" s="121" t="str">
        <f>IF(ISNUMBER(outYear),OQ42+OQ47+#REF!+#REF!,"")</f>
        <v/>
      </c>
      <c r="OR72" s="121" t="str">
        <f>IF(ISNUMBER(outYear),OR42+OR47+#REF!+#REF!,"")</f>
        <v/>
      </c>
      <c r="OS72" s="121" t="str">
        <f>IF(ISNUMBER(outYear),OS42+OS47+#REF!+#REF!,"")</f>
        <v/>
      </c>
      <c r="OT72" s="121" t="str">
        <f>IF(ISNUMBER(outYear),OT42+OT47+#REF!+#REF!,"")</f>
        <v/>
      </c>
      <c r="OU72" s="121" t="str">
        <f>IF(ISNUMBER(outYear),OU42+OU47+#REF!+#REF!,"")</f>
        <v/>
      </c>
      <c r="OV72" s="121" t="str">
        <f>IF(ISNUMBER(outYear),OV42+OV47+#REF!+#REF!,"")</f>
        <v/>
      </c>
      <c r="OW72" s="121" t="str">
        <f>IF(ISNUMBER(outYear),OW42+OW47+#REF!+#REF!,"")</f>
        <v/>
      </c>
      <c r="OX72" s="121" t="str">
        <f>IF(ISNUMBER(outYear),OX42+OX47+#REF!+#REF!,"")</f>
        <v/>
      </c>
      <c r="OY72" s="121" t="str">
        <f>IF(ISNUMBER(outYear),OY42+OY47+#REF!+#REF!,"")</f>
        <v/>
      </c>
      <c r="OZ72" s="121" t="str">
        <f>IF(ISNUMBER(outYear),OZ42+OZ47+#REF!+#REF!,"")</f>
        <v/>
      </c>
      <c r="PA72" s="121" t="str">
        <f>IF(ISNUMBER(outYear),PA42+PA47+#REF!+#REF!,"")</f>
        <v/>
      </c>
      <c r="PB72" s="121" t="str">
        <f>IF(ISNUMBER(outYear),PB42+PB47+#REF!+#REF!,"")</f>
        <v/>
      </c>
      <c r="PC72" s="121" t="str">
        <f>IF(ISNUMBER(outYear),PC42+PC47+#REF!+#REF!,"")</f>
        <v/>
      </c>
      <c r="PD72" s="121" t="str">
        <f>IF(ISNUMBER(outYear),PD42+PD47+#REF!+#REF!,"")</f>
        <v/>
      </c>
      <c r="PE72" s="121" t="str">
        <f>IF(ISNUMBER(outYear),PE42+PE47+#REF!+#REF!,"")</f>
        <v/>
      </c>
      <c r="PF72" s="121" t="str">
        <f>IF(ISNUMBER(outYear),PF42+PF47+#REF!+#REF!,"")</f>
        <v/>
      </c>
      <c r="PG72" s="121" t="str">
        <f>IF(ISNUMBER(outYear),PG42+PG47+#REF!+#REF!,"")</f>
        <v/>
      </c>
      <c r="PH72" s="121" t="str">
        <f>IF(ISNUMBER(outYear),PH42+PH47+#REF!+#REF!,"")</f>
        <v/>
      </c>
      <c r="PI72" s="121" t="str">
        <f>IF(ISNUMBER(outYear),PI42+PI47+#REF!+#REF!,"")</f>
        <v/>
      </c>
      <c r="PJ72" s="121" t="str">
        <f>IF(ISNUMBER(outYear),PJ42+PJ47+#REF!+#REF!,"")</f>
        <v/>
      </c>
      <c r="PK72" s="121" t="str">
        <f>IF(ISNUMBER(outYear),PK42+PK47+#REF!+#REF!,"")</f>
        <v/>
      </c>
      <c r="PL72" s="121" t="str">
        <f>IF(ISNUMBER(outYear),PL42+PL47+#REF!+#REF!,"")</f>
        <v/>
      </c>
      <c r="PM72" s="121" t="str">
        <f>IF(ISNUMBER(outYear),PM42+PM47+#REF!+#REF!,"")</f>
        <v/>
      </c>
      <c r="PN72" s="121" t="str">
        <f>IF(ISNUMBER(outYear),PN42+PN47+#REF!+#REF!,"")</f>
        <v/>
      </c>
      <c r="PO72" s="121" t="str">
        <f>IF(ISNUMBER(outYear),PO42+PO47+#REF!+#REF!,"")</f>
        <v/>
      </c>
      <c r="PP72" s="121" t="str">
        <f>IF(ISNUMBER(outYear),PP42+PP47+#REF!+#REF!,"")</f>
        <v/>
      </c>
      <c r="PQ72" s="121" t="str">
        <f>IF(ISNUMBER(outYear),PQ42+PQ47+#REF!+#REF!,"")</f>
        <v/>
      </c>
      <c r="PR72" s="121" t="str">
        <f>IF(ISNUMBER(outYear),PR42+PR47+#REF!+#REF!,"")</f>
        <v/>
      </c>
      <c r="PS72" s="121" t="str">
        <f>IF(ISNUMBER(outYear),PS42+PS47+#REF!+#REF!,"")</f>
        <v/>
      </c>
      <c r="PT72" s="121" t="str">
        <f>IF(ISNUMBER(outYear),PT42+PT47+#REF!+#REF!,"")</f>
        <v/>
      </c>
      <c r="PU72" s="121" t="str">
        <f>IF(ISNUMBER(outYear),PU42+PU47+#REF!+#REF!,"")</f>
        <v/>
      </c>
      <c r="PV72" s="121" t="str">
        <f>IF(ISNUMBER(outYear),PV42+PV47+#REF!+#REF!,"")</f>
        <v/>
      </c>
      <c r="PW72" s="121" t="str">
        <f>IF(ISNUMBER(outYear),PW42+PW47+#REF!+#REF!,"")</f>
        <v/>
      </c>
      <c r="PX72" s="121" t="str">
        <f>IF(ISNUMBER(outYear),PX42+PX47+#REF!+#REF!,"")</f>
        <v/>
      </c>
      <c r="PY72" s="121" t="str">
        <f>IF(ISNUMBER(outYear),PY42+PY47+#REF!+#REF!,"")</f>
        <v/>
      </c>
      <c r="PZ72" s="121" t="str">
        <f>IF(ISNUMBER(outYear),PZ42+PZ47+#REF!+#REF!,"")</f>
        <v/>
      </c>
      <c r="QA72" s="121" t="str">
        <f>IF(ISNUMBER(outYear),QA42+QA47+#REF!+#REF!,"")</f>
        <v/>
      </c>
      <c r="QB72" s="121" t="str">
        <f>IF(ISNUMBER(outYear),QB42+QB47+#REF!+#REF!,"")</f>
        <v/>
      </c>
      <c r="QC72" s="121" t="str">
        <f>IF(ISNUMBER(outYear),QC42+QC47+#REF!+#REF!,"")</f>
        <v/>
      </c>
      <c r="QD72" s="121" t="str">
        <f>IF(ISNUMBER(outYear),QD42+QD47+#REF!+#REF!,"")</f>
        <v/>
      </c>
      <c r="QE72" s="121" t="str">
        <f>IF(ISNUMBER(outYear),QE42+QE47+#REF!+#REF!,"")</f>
        <v/>
      </c>
      <c r="QF72" s="121" t="str">
        <f>IF(ISNUMBER(outYear),QF42+QF47+#REF!+#REF!,"")</f>
        <v/>
      </c>
      <c r="QG72" s="121" t="str">
        <f>IF(ISNUMBER(outYear),QG42+QG47+#REF!+#REF!,"")</f>
        <v/>
      </c>
      <c r="QH72" s="121" t="str">
        <f>IF(ISNUMBER(outYear),QH42+QH47+#REF!+#REF!,"")</f>
        <v/>
      </c>
      <c r="QI72" s="121" t="str">
        <f>IF(ISNUMBER(outYear),QI42+QI47+#REF!+#REF!,"")</f>
        <v/>
      </c>
      <c r="QJ72" s="121" t="str">
        <f>IF(ISNUMBER(outYear),QJ42+QJ47+#REF!+#REF!,"")</f>
        <v/>
      </c>
      <c r="QK72" s="121" t="str">
        <f>IF(ISNUMBER(outYear),QK42+QK47+#REF!+#REF!,"")</f>
        <v/>
      </c>
      <c r="QL72" s="121" t="str">
        <f>IF(ISNUMBER(outYear),QL42+QL47+#REF!+#REF!,"")</f>
        <v/>
      </c>
      <c r="QM72" s="121" t="str">
        <f>IF(ISNUMBER(outYear),QM42+QM47+#REF!+#REF!,"")</f>
        <v/>
      </c>
      <c r="QN72" s="121" t="str">
        <f>IF(ISNUMBER(outYear),QN42+QN47+#REF!+#REF!,"")</f>
        <v/>
      </c>
      <c r="QO72" s="121" t="str">
        <f>IF(ISNUMBER(outYear),QO42+QO47+#REF!+#REF!,"")</f>
        <v/>
      </c>
      <c r="QP72" s="121" t="str">
        <f>IF(ISNUMBER(outYear),QP42+QP47+#REF!+#REF!,"")</f>
        <v/>
      </c>
      <c r="QQ72" s="121" t="str">
        <f>IF(ISNUMBER(outYear),QQ42+QQ47+#REF!+#REF!,"")</f>
        <v/>
      </c>
      <c r="QR72" s="121" t="str">
        <f>IF(ISNUMBER(outYear),QR42+QR47+#REF!+#REF!,"")</f>
        <v/>
      </c>
      <c r="QS72" s="121" t="str">
        <f>IF(ISNUMBER(outYear),QS42+QS47+#REF!+#REF!,"")</f>
        <v/>
      </c>
      <c r="QT72" s="121" t="str">
        <f>IF(ISNUMBER(outYear),QT42+QT47+#REF!+#REF!,"")</f>
        <v/>
      </c>
      <c r="QU72" s="121" t="str">
        <f>IF(ISNUMBER(outYear),QU42+QU47+#REF!+#REF!,"")</f>
        <v/>
      </c>
      <c r="QV72" s="121" t="str">
        <f>IF(ISNUMBER(outYear),QV42+QV47+#REF!+#REF!,"")</f>
        <v/>
      </c>
      <c r="QW72" s="121" t="str">
        <f>IF(ISNUMBER(outYear),QW42+QW47+#REF!+#REF!,"")</f>
        <v/>
      </c>
      <c r="QX72" s="121" t="str">
        <f>IF(ISNUMBER(outYear),QX42+QX47+#REF!+#REF!,"")</f>
        <v/>
      </c>
      <c r="QY72" s="121" t="str">
        <f>IF(ISNUMBER(outYear),QY42+QY47+#REF!+#REF!,"")</f>
        <v/>
      </c>
      <c r="QZ72" s="121" t="str">
        <f>IF(ISNUMBER(outYear),QZ42+QZ47+#REF!+#REF!,"")</f>
        <v/>
      </c>
      <c r="RA72" s="121" t="str">
        <f>IF(ISNUMBER(outYear),RA42+RA47+#REF!+#REF!,"")</f>
        <v/>
      </c>
      <c r="RB72" s="121" t="str">
        <f>IF(ISNUMBER(outYear),RB42+RB47+#REF!+#REF!,"")</f>
        <v/>
      </c>
      <c r="RC72" s="121" t="str">
        <f>IF(ISNUMBER(outYear),RC42+RC47+#REF!+#REF!,"")</f>
        <v/>
      </c>
      <c r="RD72" s="121" t="str">
        <f>IF(ISNUMBER(outYear),RD42+RD47+#REF!+#REF!,"")</f>
        <v/>
      </c>
      <c r="RE72" s="121" t="str">
        <f>IF(ISNUMBER(outYear),RE42+RE47+#REF!+#REF!,"")</f>
        <v/>
      </c>
      <c r="RF72" s="121" t="str">
        <f>IF(ISNUMBER(outYear),RF42+RF47+#REF!+#REF!,"")</f>
        <v/>
      </c>
      <c r="RG72" s="121" t="str">
        <f>IF(ISNUMBER(outYear),RG42+RG47+#REF!+#REF!,"")</f>
        <v/>
      </c>
      <c r="RH72" s="121" t="str">
        <f>IF(ISNUMBER(outYear),RH42+RH47+#REF!+#REF!,"")</f>
        <v/>
      </c>
      <c r="RI72" s="121" t="str">
        <f>IF(ISNUMBER(outYear),RI42+RI47+#REF!+#REF!,"")</f>
        <v/>
      </c>
      <c r="RJ72" s="121" t="str">
        <f>IF(ISNUMBER(outYear),RJ42+RJ47+#REF!+#REF!,"")</f>
        <v/>
      </c>
      <c r="RK72" s="121" t="str">
        <f>IF(ISNUMBER(outYear),RK42+RK47+#REF!+#REF!,"")</f>
        <v/>
      </c>
      <c r="RL72" s="121" t="str">
        <f>IF(ISNUMBER(outYear),RL42+RL47+#REF!+#REF!,"")</f>
        <v/>
      </c>
      <c r="RM72" s="121" t="str">
        <f>IF(ISNUMBER(outYear),RM42+RM47+#REF!+#REF!,"")</f>
        <v/>
      </c>
      <c r="RN72" s="121" t="str">
        <f>IF(ISNUMBER(outYear),RN42+RN47+#REF!+#REF!,"")</f>
        <v/>
      </c>
      <c r="RO72" s="121" t="str">
        <f>IF(ISNUMBER(outYear),RO42+RO47+#REF!+#REF!,"")</f>
        <v/>
      </c>
      <c r="RP72" s="121" t="str">
        <f>IF(ISNUMBER(outYear),RP42+RP47+#REF!+#REF!,"")</f>
        <v/>
      </c>
      <c r="RQ72" s="121" t="str">
        <f>IF(ISNUMBER(outYear),RQ42+RQ47+#REF!+#REF!,"")</f>
        <v/>
      </c>
      <c r="RR72" s="121" t="str">
        <f>IF(ISNUMBER(outYear),RR42+RR47+#REF!+#REF!,"")</f>
        <v/>
      </c>
      <c r="RS72" s="121" t="str">
        <f>IF(ISNUMBER(outYear),RS42+RS47+#REF!+#REF!,"")</f>
        <v/>
      </c>
      <c r="RT72" s="121" t="str">
        <f>IF(ISNUMBER(outYear),RT42+RT47+#REF!+#REF!,"")</f>
        <v/>
      </c>
      <c r="RU72" s="121" t="str">
        <f>IF(ISNUMBER(outYear),RU42+RU47+#REF!+#REF!,"")</f>
        <v/>
      </c>
      <c r="RV72" s="121" t="str">
        <f>IF(ISNUMBER(outYear),RV42+RV47+#REF!+#REF!,"")</f>
        <v/>
      </c>
      <c r="RW72" s="121" t="str">
        <f>IF(ISNUMBER(outYear),RW42+RW47+#REF!+#REF!,"")</f>
        <v/>
      </c>
      <c r="RX72" s="121" t="str">
        <f>IF(ISNUMBER(outYear),RX42+RX47+#REF!+#REF!,"")</f>
        <v/>
      </c>
      <c r="RY72" s="121" t="str">
        <f>IF(ISNUMBER(outYear),RY42+RY47+#REF!+#REF!,"")</f>
        <v/>
      </c>
      <c r="RZ72" s="121" t="str">
        <f>IF(ISNUMBER(outYear),RZ42+RZ47+#REF!+#REF!,"")</f>
        <v/>
      </c>
      <c r="SA72" s="121" t="str">
        <f>IF(ISNUMBER(outYear),SA42+SA47+#REF!+#REF!,"")</f>
        <v/>
      </c>
      <c r="SB72" s="121" t="str">
        <f>IF(ISNUMBER(outYear),SB42+SB47+#REF!+#REF!,"")</f>
        <v/>
      </c>
      <c r="SC72" s="121" t="str">
        <f>IF(ISNUMBER(outYear),SC42+SC47+#REF!+#REF!,"")</f>
        <v/>
      </c>
      <c r="SD72" s="121" t="str">
        <f>IF(ISNUMBER(outYear),SD42+SD47+#REF!+#REF!,"")</f>
        <v/>
      </c>
      <c r="SE72" s="121" t="str">
        <f>IF(ISNUMBER(outYear),SE42+SE47+#REF!+#REF!,"")</f>
        <v/>
      </c>
      <c r="SF72" s="121" t="str">
        <f>IF(ISNUMBER(outYear),SF42+SF47+#REF!+#REF!,"")</f>
        <v/>
      </c>
      <c r="SG72" s="121" t="str">
        <f>IF(ISNUMBER(outYear),SG42+SG47+#REF!+#REF!,"")</f>
        <v/>
      </c>
      <c r="SH72" s="121" t="str">
        <f>IF(ISNUMBER(outYear),SH42+SH47+#REF!+#REF!,"")</f>
        <v/>
      </c>
      <c r="SI72" s="121" t="str">
        <f>IF(ISNUMBER(outYear),SI42+SI47+#REF!+#REF!,"")</f>
        <v/>
      </c>
      <c r="SJ72" s="121" t="str">
        <f>IF(ISNUMBER(outYear),SJ42+SJ47+#REF!+#REF!,"")</f>
        <v/>
      </c>
      <c r="SK72" s="121" t="str">
        <f>IF(ISNUMBER(outYear),SK42+SK47+#REF!+#REF!,"")</f>
        <v/>
      </c>
      <c r="SL72" s="121" t="str">
        <f>IF(ISNUMBER(outYear),SL42+SL47+#REF!+#REF!,"")</f>
        <v/>
      </c>
      <c r="SM72" s="121" t="str">
        <f>IF(ISNUMBER(outYear),SM42+SM47+#REF!+#REF!,"")</f>
        <v/>
      </c>
      <c r="SN72" s="121" t="str">
        <f>IF(ISNUMBER(outYear),SN42+SN47+#REF!+#REF!,"")</f>
        <v/>
      </c>
      <c r="SO72" s="121" t="str">
        <f>IF(ISNUMBER(outYear),SO42+SO47+#REF!+#REF!,"")</f>
        <v/>
      </c>
      <c r="SP72" s="121" t="str">
        <f>IF(ISNUMBER(outYear),SP42+SP47+#REF!+#REF!,"")</f>
        <v/>
      </c>
      <c r="SQ72" s="121" t="str">
        <f>IF(ISNUMBER(outYear),SQ42+SQ47+#REF!+#REF!,"")</f>
        <v/>
      </c>
      <c r="SR72" s="121" t="str">
        <f>IF(ISNUMBER(outYear),SR42+SR47+#REF!+#REF!,"")</f>
        <v/>
      </c>
      <c r="SS72" s="121" t="str">
        <f>IF(ISNUMBER(outYear),SS42+SS47+#REF!+#REF!,"")</f>
        <v/>
      </c>
      <c r="ST72" s="121" t="str">
        <f>IF(ISNUMBER(outYear),ST42+ST47+#REF!+#REF!,"")</f>
        <v/>
      </c>
      <c r="SU72" s="121" t="str">
        <f>IF(ISNUMBER(outYear),SU42+SU47+#REF!+#REF!,"")</f>
        <v/>
      </c>
      <c r="SV72" s="121" t="str">
        <f>IF(ISNUMBER(outYear),SV42+SV47+#REF!+#REF!,"")</f>
        <v/>
      </c>
      <c r="SW72" s="121" t="str">
        <f>IF(ISNUMBER(outYear),SW42+SW47+#REF!+#REF!,"")</f>
        <v/>
      </c>
      <c r="SX72" s="121" t="str">
        <f>IF(ISNUMBER(outYear),SX42+SX47+#REF!+#REF!,"")</f>
        <v/>
      </c>
      <c r="SY72" s="121" t="str">
        <f>IF(ISNUMBER(outYear),SY42+SY47+#REF!+#REF!,"")</f>
        <v/>
      </c>
      <c r="SZ72" s="121" t="str">
        <f>IF(ISNUMBER(outYear),SZ42+SZ47+#REF!+#REF!,"")</f>
        <v/>
      </c>
      <c r="TA72" s="121" t="str">
        <f>IF(ISNUMBER(outYear),TA42+TA47+#REF!+#REF!,"")</f>
        <v/>
      </c>
      <c r="TB72" s="121" t="str">
        <f>IF(ISNUMBER(outYear),TB42+TB47+#REF!+#REF!,"")</f>
        <v/>
      </c>
      <c r="TC72" s="121" t="str">
        <f>IF(ISNUMBER(outYear),TC42+TC47+#REF!+#REF!,"")</f>
        <v/>
      </c>
      <c r="TD72" s="121" t="str">
        <f>IF(ISNUMBER(outYear),TD42+TD47+#REF!+#REF!,"")</f>
        <v/>
      </c>
      <c r="TE72" s="121" t="str">
        <f>IF(ISNUMBER(outYear),TE42+TE47+#REF!+#REF!,"")</f>
        <v/>
      </c>
      <c r="TF72" s="121" t="str">
        <f>IF(ISNUMBER(outYear),TF42+TF47+#REF!+#REF!,"")</f>
        <v/>
      </c>
      <c r="TG72" s="121" t="str">
        <f>IF(ISNUMBER(outYear),TG42+TG47+#REF!+#REF!,"")</f>
        <v/>
      </c>
      <c r="TH72" s="121" t="str">
        <f>IF(ISNUMBER(outYear),TH42+TH47+#REF!+#REF!,"")</f>
        <v/>
      </c>
      <c r="TI72" s="121" t="str">
        <f>IF(ISNUMBER(outYear),TI42+TI47+#REF!+#REF!,"")</f>
        <v/>
      </c>
      <c r="TJ72" s="121" t="str">
        <f>IF(ISNUMBER(outYear),TJ42+TJ47+#REF!+#REF!,"")</f>
        <v/>
      </c>
      <c r="TK72" s="121" t="str">
        <f>IF(ISNUMBER(outYear),TK42+TK47+#REF!+#REF!,"")</f>
        <v/>
      </c>
      <c r="TL72" s="121" t="str">
        <f>IF(ISNUMBER(outYear),TL42+TL47+#REF!+#REF!,"")</f>
        <v/>
      </c>
      <c r="TM72" s="121" t="str">
        <f>IF(ISNUMBER(outYear),TM42+TM47+#REF!+#REF!,"")</f>
        <v/>
      </c>
      <c r="TN72" s="121" t="str">
        <f>IF(ISNUMBER(outYear),TN42+TN47+#REF!+#REF!,"")</f>
        <v/>
      </c>
      <c r="TO72" s="121" t="str">
        <f>IF(ISNUMBER(outYear),TO42+TO47+#REF!+#REF!,"")</f>
        <v/>
      </c>
      <c r="TP72" s="121" t="str">
        <f>IF(ISNUMBER(outYear),TP42+TP47+#REF!+#REF!,"")</f>
        <v/>
      </c>
      <c r="TQ72" s="121" t="str">
        <f>IF(ISNUMBER(outYear),TQ42+TQ47+#REF!+#REF!,"")</f>
        <v/>
      </c>
      <c r="TR72" s="121" t="str">
        <f>IF(ISNUMBER(outYear),TR42+TR47+#REF!+#REF!,"")</f>
        <v/>
      </c>
      <c r="TS72" s="121" t="str">
        <f>IF(ISNUMBER(outYear),TS42+TS47+#REF!+#REF!,"")</f>
        <v/>
      </c>
      <c r="TT72" s="121" t="str">
        <f>IF(ISNUMBER(outYear),TT42+TT47+#REF!+#REF!,"")</f>
        <v/>
      </c>
      <c r="TU72" s="121" t="str">
        <f>IF(ISNUMBER(outYear),TU42+TU47+#REF!+#REF!,"")</f>
        <v/>
      </c>
      <c r="TV72" s="121" t="str">
        <f>IF(ISNUMBER(outYear),TV42+TV47+#REF!+#REF!,"")</f>
        <v/>
      </c>
      <c r="TW72" s="121" t="str">
        <f>IF(ISNUMBER(outYear),TW42+TW47+#REF!+#REF!,"")</f>
        <v/>
      </c>
      <c r="TX72" s="121" t="str">
        <f>IF(ISNUMBER(outYear),TX42+TX47+#REF!+#REF!,"")</f>
        <v/>
      </c>
      <c r="TY72" s="121" t="str">
        <f>IF(ISNUMBER(outYear),TY42+TY47+#REF!+#REF!,"")</f>
        <v/>
      </c>
      <c r="TZ72" s="121" t="str">
        <f>IF(ISNUMBER(outYear),TZ42+TZ47+#REF!+#REF!,"")</f>
        <v/>
      </c>
      <c r="UA72" s="121" t="str">
        <f>IF(ISNUMBER(outYear),UA42+UA47+#REF!+#REF!,"")</f>
        <v/>
      </c>
      <c r="UB72" s="121" t="str">
        <f>IF(ISNUMBER(outYear),UB42+UB47+#REF!+#REF!,"")</f>
        <v/>
      </c>
      <c r="UC72" s="121" t="str">
        <f>IF(ISNUMBER(outYear),UC42+UC47+#REF!+#REF!,"")</f>
        <v/>
      </c>
      <c r="UD72" s="121" t="str">
        <f>IF(ISNUMBER(outYear),UD42+UD47+#REF!+#REF!,"")</f>
        <v/>
      </c>
      <c r="UE72" s="121" t="str">
        <f>IF(ISNUMBER(outYear),UE42+UE47+#REF!+#REF!,"")</f>
        <v/>
      </c>
      <c r="UF72" s="121" t="str">
        <f>IF(ISNUMBER(outYear),UF42+UF47+#REF!+#REF!,"")</f>
        <v/>
      </c>
      <c r="UG72" s="121" t="str">
        <f>IF(ISNUMBER(outYear),UG42+UG47+#REF!+#REF!,"")</f>
        <v/>
      </c>
      <c r="UH72" s="121" t="str">
        <f>IF(ISNUMBER(outYear),UH42+UH47+#REF!+#REF!,"")</f>
        <v/>
      </c>
      <c r="UI72" s="121" t="str">
        <f>IF(ISNUMBER(outYear),UI42+UI47+#REF!+#REF!,"")</f>
        <v/>
      </c>
      <c r="UJ72" s="121" t="str">
        <f>IF(ISNUMBER(outYear),UJ42+UJ47+#REF!+#REF!,"")</f>
        <v/>
      </c>
      <c r="UK72" s="121" t="str">
        <f>IF(ISNUMBER(outYear),UK42+UK47+#REF!+#REF!,"")</f>
        <v/>
      </c>
      <c r="UL72" s="121" t="str">
        <f>IF(ISNUMBER(outYear),UL42+UL47+#REF!+#REF!,"")</f>
        <v/>
      </c>
      <c r="UM72" s="121" t="str">
        <f>IF(ISNUMBER(outYear),UM42+UM47+#REF!+#REF!,"")</f>
        <v/>
      </c>
      <c r="UN72" s="121" t="str">
        <f>IF(ISNUMBER(outYear),UN42+UN47+#REF!+#REF!,"")</f>
        <v/>
      </c>
      <c r="UO72" s="121" t="str">
        <f>IF(ISNUMBER(outYear),UO42+UO47+#REF!+#REF!,"")</f>
        <v/>
      </c>
      <c r="UP72" s="121" t="str">
        <f>IF(ISNUMBER(outYear),UP42+UP47+#REF!+#REF!,"")</f>
        <v/>
      </c>
      <c r="UQ72" s="121" t="str">
        <f>IF(ISNUMBER(outYear),UQ42+UQ47+#REF!+#REF!,"")</f>
        <v/>
      </c>
      <c r="UR72" s="121" t="str">
        <f>IF(ISNUMBER(outYear),UR42+UR47+#REF!+#REF!,"")</f>
        <v/>
      </c>
      <c r="US72" s="121" t="str">
        <f>IF(ISNUMBER(outYear),US42+US47+#REF!+#REF!,"")</f>
        <v/>
      </c>
      <c r="UT72" s="121" t="str">
        <f>IF(ISNUMBER(outYear),UT42+UT47+#REF!+#REF!,"")</f>
        <v/>
      </c>
      <c r="UU72" s="121" t="str">
        <f>IF(ISNUMBER(outYear),UU42+UU47+#REF!+#REF!,"")</f>
        <v/>
      </c>
      <c r="UV72" s="121" t="str">
        <f>IF(ISNUMBER(outYear),UV42+UV47+#REF!+#REF!,"")</f>
        <v/>
      </c>
      <c r="UW72" s="121" t="str">
        <f>IF(ISNUMBER(outYear),UW42+UW47+#REF!+#REF!,"")</f>
        <v/>
      </c>
      <c r="UX72" s="121" t="str">
        <f>IF(ISNUMBER(outYear),UX42+UX47+#REF!+#REF!,"")</f>
        <v/>
      </c>
      <c r="UY72" s="121" t="str">
        <f>IF(ISNUMBER(outYear),UY42+UY47+#REF!+#REF!,"")</f>
        <v/>
      </c>
      <c r="UZ72" s="121" t="str">
        <f>IF(ISNUMBER(outYear),UZ42+UZ47+#REF!+#REF!,"")</f>
        <v/>
      </c>
      <c r="VA72" s="121" t="str">
        <f>IF(ISNUMBER(outYear),VA42+VA47+#REF!+#REF!,"")</f>
        <v/>
      </c>
      <c r="VB72" s="121" t="str">
        <f>IF(ISNUMBER(outYear),VB42+VB47+#REF!+#REF!,"")</f>
        <v/>
      </c>
      <c r="VC72" s="121" t="str">
        <f>IF(ISNUMBER(outYear),VC42+VC47+#REF!+#REF!,"")</f>
        <v/>
      </c>
      <c r="VD72" s="121" t="str">
        <f>IF(ISNUMBER(outYear),VD42+VD47+#REF!+#REF!,"")</f>
        <v/>
      </c>
      <c r="VE72" s="121" t="str">
        <f>IF(ISNUMBER(outYear),VE42+VE47+#REF!+#REF!,"")</f>
        <v/>
      </c>
      <c r="VF72" s="121" t="str">
        <f>IF(ISNUMBER(outYear),VF42+VF47+#REF!+#REF!,"")</f>
        <v/>
      </c>
      <c r="VG72" s="121" t="str">
        <f>IF(ISNUMBER(outYear),VG42+VG47+#REF!+#REF!,"")</f>
        <v/>
      </c>
      <c r="VH72" s="121" t="str">
        <f>IF(ISNUMBER(outYear),VH42+VH47+#REF!+#REF!,"")</f>
        <v/>
      </c>
      <c r="VI72" s="121" t="str">
        <f>IF(ISNUMBER(outYear),VI42+VI47+#REF!+#REF!,"")</f>
        <v/>
      </c>
      <c r="VJ72" s="121" t="str">
        <f>IF(ISNUMBER(outYear),VJ42+VJ47+#REF!+#REF!,"")</f>
        <v/>
      </c>
      <c r="VK72" s="121" t="str">
        <f>IF(ISNUMBER(outYear),VK42+VK47+#REF!+#REF!,"")</f>
        <v/>
      </c>
      <c r="VL72" s="121" t="str">
        <f>IF(ISNUMBER(outYear),VL42+VL47+#REF!+#REF!,"")</f>
        <v/>
      </c>
      <c r="VM72" s="121" t="str">
        <f>IF(ISNUMBER(outYear),VM42+VM47+#REF!+#REF!,"")</f>
        <v/>
      </c>
      <c r="VN72" s="121" t="str">
        <f>IF(ISNUMBER(outYear),VN42+VN47+#REF!+#REF!,"")</f>
        <v/>
      </c>
      <c r="VO72" s="121" t="str">
        <f>IF(ISNUMBER(outYear),VO42+VO47+#REF!+#REF!,"")</f>
        <v/>
      </c>
      <c r="VP72" s="121" t="str">
        <f>IF(ISNUMBER(outYear),VP42+VP47+#REF!+#REF!,"")</f>
        <v/>
      </c>
      <c r="VQ72" s="121" t="str">
        <f>IF(ISNUMBER(outYear),VQ42+VQ47+#REF!+#REF!,"")</f>
        <v/>
      </c>
      <c r="VR72" s="121" t="str">
        <f>IF(ISNUMBER(outYear),VR42+VR47+#REF!+#REF!,"")</f>
        <v/>
      </c>
      <c r="VS72" s="121" t="str">
        <f>IF(ISNUMBER(outYear),VS42+VS47+#REF!+#REF!,"")</f>
        <v/>
      </c>
      <c r="VT72" s="121" t="str">
        <f>IF(ISNUMBER(outYear),VT42+VT47+#REF!+#REF!,"")</f>
        <v/>
      </c>
      <c r="VU72" s="121" t="str">
        <f>IF(ISNUMBER(outYear),VU42+VU47+#REF!+#REF!,"")</f>
        <v/>
      </c>
      <c r="VV72" s="121" t="str">
        <f>IF(ISNUMBER(outYear),VV42+VV47+#REF!+#REF!,"")</f>
        <v/>
      </c>
      <c r="VW72" s="121" t="str">
        <f>IF(ISNUMBER(outYear),VW42+VW47+#REF!+#REF!,"")</f>
        <v/>
      </c>
      <c r="VX72" s="121" t="str">
        <f>IF(ISNUMBER(outYear),VX42+VX47+#REF!+#REF!,"")</f>
        <v/>
      </c>
      <c r="VY72" s="121" t="str">
        <f>IF(ISNUMBER(outYear),VY42+VY47+#REF!+#REF!,"")</f>
        <v/>
      </c>
      <c r="VZ72" s="121" t="str">
        <f>IF(ISNUMBER(outYear),VZ42+VZ47+#REF!+#REF!,"")</f>
        <v/>
      </c>
      <c r="WA72" s="121" t="str">
        <f>IF(ISNUMBER(outYear),WA42+WA47+#REF!+#REF!,"")</f>
        <v/>
      </c>
      <c r="WB72" s="121" t="str">
        <f>IF(ISNUMBER(outYear),WB42+WB47+#REF!+#REF!,"")</f>
        <v/>
      </c>
      <c r="WC72" s="121" t="str">
        <f>IF(ISNUMBER(outYear),WC42+WC47+#REF!+#REF!,"")</f>
        <v/>
      </c>
      <c r="WD72" s="121" t="str">
        <f>IF(ISNUMBER(outYear),WD42+WD47+#REF!+#REF!,"")</f>
        <v/>
      </c>
      <c r="WE72" s="121" t="str">
        <f>IF(ISNUMBER(outYear),WE42+WE47+#REF!+#REF!,"")</f>
        <v/>
      </c>
      <c r="WF72" s="121" t="str">
        <f>IF(ISNUMBER(outYear),WF42+WF47+#REF!+#REF!,"")</f>
        <v/>
      </c>
      <c r="WG72" s="121" t="str">
        <f>IF(ISNUMBER(outYear),WG42+WG47+#REF!+#REF!,"")</f>
        <v/>
      </c>
      <c r="WH72" s="121" t="str">
        <f>IF(ISNUMBER(outYear),WH42+WH47+#REF!+#REF!,"")</f>
        <v/>
      </c>
      <c r="WI72" s="121" t="str">
        <f>IF(ISNUMBER(outYear),WI42+WI47+#REF!+#REF!,"")</f>
        <v/>
      </c>
      <c r="WJ72" s="121" t="str">
        <f>IF(ISNUMBER(outYear),WJ42+WJ47+#REF!+#REF!,"")</f>
        <v/>
      </c>
      <c r="WK72" s="121" t="str">
        <f>IF(ISNUMBER(outYear),WK42+WK47+#REF!+#REF!,"")</f>
        <v/>
      </c>
      <c r="WL72" s="121" t="str">
        <f>IF(ISNUMBER(outYear),WL42+WL47+#REF!+#REF!,"")</f>
        <v/>
      </c>
      <c r="WM72" s="121" t="str">
        <f>IF(ISNUMBER(outYear),WM42+WM47+#REF!+#REF!,"")</f>
        <v/>
      </c>
      <c r="WN72" s="121" t="str">
        <f>IF(ISNUMBER(outYear),WN42+WN47+#REF!+#REF!,"")</f>
        <v/>
      </c>
      <c r="WO72" s="121" t="str">
        <f>IF(ISNUMBER(outYear),WO42+WO47+#REF!+#REF!,"")</f>
        <v/>
      </c>
      <c r="WP72" s="121" t="str">
        <f>IF(ISNUMBER(outYear),WP42+WP47+#REF!+#REF!,"")</f>
        <v/>
      </c>
      <c r="WQ72" s="121" t="str">
        <f>IF(ISNUMBER(outYear),WQ42+WQ47+#REF!+#REF!,"")</f>
        <v/>
      </c>
      <c r="WR72" s="121" t="str">
        <f>IF(ISNUMBER(outYear),WR42+WR47+#REF!+#REF!,"")</f>
        <v/>
      </c>
      <c r="WS72" s="121" t="str">
        <f>IF(ISNUMBER(outYear),WS42+WS47+#REF!+#REF!,"")</f>
        <v/>
      </c>
      <c r="WT72" s="121" t="str">
        <f>IF(ISNUMBER(outYear),WT42+WT47+#REF!+#REF!,"")</f>
        <v/>
      </c>
      <c r="WU72" s="121" t="str">
        <f>IF(ISNUMBER(outYear),WU42+WU47+#REF!+#REF!,"")</f>
        <v/>
      </c>
      <c r="WV72" s="121" t="str">
        <f>IF(ISNUMBER(outYear),WV42+WV47+#REF!+#REF!,"")</f>
        <v/>
      </c>
      <c r="WW72" s="121" t="str">
        <f>IF(ISNUMBER(outYear),WW42+WW47+#REF!+#REF!,"")</f>
        <v/>
      </c>
      <c r="WX72" s="121" t="str">
        <f>IF(ISNUMBER(outYear),WX42+WX47+#REF!+#REF!,"")</f>
        <v/>
      </c>
      <c r="WY72" s="121" t="str">
        <f>IF(ISNUMBER(outYear),WY42+WY47+#REF!+#REF!,"")</f>
        <v/>
      </c>
      <c r="WZ72" s="121" t="str">
        <f>IF(ISNUMBER(outYear),WZ42+WZ47+#REF!+#REF!,"")</f>
        <v/>
      </c>
      <c r="XA72" s="121" t="str">
        <f>IF(ISNUMBER(outYear),XA42+XA47+#REF!+#REF!,"")</f>
        <v/>
      </c>
      <c r="XB72" s="121" t="str">
        <f>IF(ISNUMBER(outYear),XB42+XB47+#REF!+#REF!,"")</f>
        <v/>
      </c>
      <c r="XC72" s="121" t="str">
        <f>IF(ISNUMBER(outYear),XC42+XC47+#REF!+#REF!,"")</f>
        <v/>
      </c>
      <c r="XD72" s="121" t="str">
        <f>IF(ISNUMBER(outYear),XD42+XD47+#REF!+#REF!,"")</f>
        <v/>
      </c>
      <c r="XE72" s="121" t="str">
        <f>IF(ISNUMBER(outYear),XE42+XE47+#REF!+#REF!,"")</f>
        <v/>
      </c>
      <c r="XF72" s="121" t="str">
        <f>IF(ISNUMBER(outYear),XF42+XF47+#REF!+#REF!,"")</f>
        <v/>
      </c>
      <c r="XG72" s="121" t="str">
        <f>IF(ISNUMBER(outYear),XG42+XG47+#REF!+#REF!,"")</f>
        <v/>
      </c>
      <c r="XH72" s="121" t="str">
        <f>IF(ISNUMBER(outYear),XH42+XH47+#REF!+#REF!,"")</f>
        <v/>
      </c>
      <c r="XI72" s="121" t="str">
        <f>IF(ISNUMBER(outYear),XI42+XI47+#REF!+#REF!,"")</f>
        <v/>
      </c>
      <c r="XJ72" s="121" t="str">
        <f>IF(ISNUMBER(outYear),XJ42+XJ47+#REF!+#REF!,"")</f>
        <v/>
      </c>
      <c r="XK72" s="121" t="str">
        <f>IF(ISNUMBER(outYear),XK42+XK47+#REF!+#REF!,"")</f>
        <v/>
      </c>
      <c r="XL72" s="121" t="str">
        <f>IF(ISNUMBER(outYear),XL42+XL47+#REF!+#REF!,"")</f>
        <v/>
      </c>
      <c r="XM72" s="121" t="str">
        <f>IF(ISNUMBER(outYear),XM42+XM47+#REF!+#REF!,"")</f>
        <v/>
      </c>
      <c r="XN72" s="121" t="str">
        <f>IF(ISNUMBER(outYear),XN42+XN47+#REF!+#REF!,"")</f>
        <v/>
      </c>
      <c r="XO72" s="121" t="str">
        <f>IF(ISNUMBER(outYear),XO42+XO47+#REF!+#REF!,"")</f>
        <v/>
      </c>
      <c r="XP72" s="121" t="str">
        <f>IF(ISNUMBER(outYear),XP42+XP47+#REF!+#REF!,"")</f>
        <v/>
      </c>
      <c r="XQ72" s="121" t="str">
        <f>IF(ISNUMBER(outYear),XQ42+XQ47+#REF!+#REF!,"")</f>
        <v/>
      </c>
      <c r="XR72" s="121" t="str">
        <f>IF(ISNUMBER(outYear),XR42+XR47+#REF!+#REF!,"")</f>
        <v/>
      </c>
      <c r="XS72" s="121" t="str">
        <f>IF(ISNUMBER(outYear),XS42+XS47+#REF!+#REF!,"")</f>
        <v/>
      </c>
      <c r="XT72" s="121" t="str">
        <f>IF(ISNUMBER(outYear),XT42+XT47+#REF!+#REF!,"")</f>
        <v/>
      </c>
      <c r="XU72" s="121" t="str">
        <f>IF(ISNUMBER(outYear),XU42+XU47+#REF!+#REF!,"")</f>
        <v/>
      </c>
      <c r="XV72" s="121" t="str">
        <f>IF(ISNUMBER(outYear),XV42+XV47+#REF!+#REF!,"")</f>
        <v/>
      </c>
      <c r="XW72" s="121" t="str">
        <f>IF(ISNUMBER(outYear),XW42+XW47+#REF!+#REF!,"")</f>
        <v/>
      </c>
      <c r="XX72" s="121" t="str">
        <f>IF(ISNUMBER(outYear),XX42+XX47+#REF!+#REF!,"")</f>
        <v/>
      </c>
      <c r="XY72" s="121" t="str">
        <f>IF(ISNUMBER(outYear),XY42+XY47+#REF!+#REF!,"")</f>
        <v/>
      </c>
      <c r="XZ72" s="121" t="str">
        <f>IF(ISNUMBER(outYear),XZ42+XZ47+#REF!+#REF!,"")</f>
        <v/>
      </c>
      <c r="YA72" s="121" t="str">
        <f>IF(ISNUMBER(outYear),YA42+YA47+#REF!+#REF!,"")</f>
        <v/>
      </c>
      <c r="YB72" s="121" t="str">
        <f>IF(ISNUMBER(outYear),YB42+YB47+#REF!+#REF!,"")</f>
        <v/>
      </c>
      <c r="YC72" s="121" t="str">
        <f>IF(ISNUMBER(outYear),YC42+YC47+#REF!+#REF!,"")</f>
        <v/>
      </c>
      <c r="YD72" s="121" t="str">
        <f>IF(ISNUMBER(outYear),YD42+YD47+#REF!+#REF!,"")</f>
        <v/>
      </c>
      <c r="YE72" s="121" t="str">
        <f>IF(ISNUMBER(outYear),YE42+YE47+#REF!+#REF!,"")</f>
        <v/>
      </c>
      <c r="YF72" s="121" t="str">
        <f>IF(ISNUMBER(outYear),YF42+YF47+#REF!+#REF!,"")</f>
        <v/>
      </c>
      <c r="YG72" s="121" t="str">
        <f>IF(ISNUMBER(outYear),YG42+YG47+#REF!+#REF!,"")</f>
        <v/>
      </c>
      <c r="YH72" s="121" t="str">
        <f>IF(ISNUMBER(outYear),YH42+YH47+#REF!+#REF!,"")</f>
        <v/>
      </c>
      <c r="YI72" s="121" t="str">
        <f>IF(ISNUMBER(outYear),YI42+YI47+#REF!+#REF!,"")</f>
        <v/>
      </c>
      <c r="YJ72" s="121" t="str">
        <f>IF(ISNUMBER(outYear),YJ42+YJ47+#REF!+#REF!,"")</f>
        <v/>
      </c>
      <c r="YK72" s="121" t="str">
        <f>IF(ISNUMBER(outYear),YK42+YK47+#REF!+#REF!,"")</f>
        <v/>
      </c>
      <c r="YL72" s="121" t="str">
        <f>IF(ISNUMBER(outYear),YL42+YL47+#REF!+#REF!,"")</f>
        <v/>
      </c>
      <c r="YM72" s="121" t="str">
        <f>IF(ISNUMBER(outYear),YM42+YM47+#REF!+#REF!,"")</f>
        <v/>
      </c>
      <c r="YN72" s="121" t="str">
        <f>IF(ISNUMBER(outYear),YN42+YN47+#REF!+#REF!,"")</f>
        <v/>
      </c>
      <c r="YO72" s="121" t="str">
        <f>IF(ISNUMBER(outYear),YO42+YO47+#REF!+#REF!,"")</f>
        <v/>
      </c>
      <c r="YP72" s="121" t="str">
        <f>IF(ISNUMBER(outYear),YP42+YP47+#REF!+#REF!,"")</f>
        <v/>
      </c>
      <c r="YQ72" s="121" t="str">
        <f>IF(ISNUMBER(outYear),YQ42+YQ47+#REF!+#REF!,"")</f>
        <v/>
      </c>
      <c r="YR72" s="121" t="str">
        <f>IF(ISNUMBER(outYear),YR42+YR47+#REF!+#REF!,"")</f>
        <v/>
      </c>
      <c r="YS72" s="121" t="str">
        <f>IF(ISNUMBER(outYear),YS42+YS47+#REF!+#REF!,"")</f>
        <v/>
      </c>
      <c r="YT72" s="121" t="str">
        <f>IF(ISNUMBER(outYear),YT42+YT47+#REF!+#REF!,"")</f>
        <v/>
      </c>
      <c r="YU72" s="121" t="str">
        <f>IF(ISNUMBER(outYear),YU42+YU47+#REF!+#REF!,"")</f>
        <v/>
      </c>
      <c r="YV72" s="121" t="str">
        <f>IF(ISNUMBER(outYear),YV42+YV47+#REF!+#REF!,"")</f>
        <v/>
      </c>
      <c r="YW72" s="121" t="str">
        <f>IF(ISNUMBER(outYear),YW42+YW47+#REF!+#REF!,"")</f>
        <v/>
      </c>
      <c r="YX72" s="121" t="str">
        <f>IF(ISNUMBER(outYear),YX42+YX47+#REF!+#REF!,"")</f>
        <v/>
      </c>
      <c r="YY72" s="121" t="str">
        <f>IF(ISNUMBER(outYear),YY42+YY47+#REF!+#REF!,"")</f>
        <v/>
      </c>
      <c r="YZ72" s="121" t="str">
        <f>IF(ISNUMBER(outYear),YZ42+YZ47+#REF!+#REF!,"")</f>
        <v/>
      </c>
      <c r="ZA72" s="121" t="str">
        <f>IF(ISNUMBER(outYear),ZA42+ZA47+#REF!+#REF!,"")</f>
        <v/>
      </c>
      <c r="ZB72" s="121" t="str">
        <f>IF(ISNUMBER(outYear),ZB42+ZB47+#REF!+#REF!,"")</f>
        <v/>
      </c>
      <c r="ZC72" s="121" t="str">
        <f>IF(ISNUMBER(outYear),ZC42+ZC47+#REF!+#REF!,"")</f>
        <v/>
      </c>
      <c r="ZD72" s="121" t="str">
        <f>IF(ISNUMBER(outYear),ZD42+ZD47+#REF!+#REF!,"")</f>
        <v/>
      </c>
      <c r="ZE72" s="121" t="str">
        <f>IF(ISNUMBER(outYear),ZE42+ZE47+#REF!+#REF!,"")</f>
        <v/>
      </c>
      <c r="ZF72" s="121" t="str">
        <f>IF(ISNUMBER(outYear),ZF42+ZF47+#REF!+#REF!,"")</f>
        <v/>
      </c>
      <c r="ZG72" s="121" t="str">
        <f>IF(ISNUMBER(outYear),ZG42+ZG47+#REF!+#REF!,"")</f>
        <v/>
      </c>
      <c r="ZH72" s="121" t="str">
        <f>IF(ISNUMBER(outYear),ZH42+ZH47+#REF!+#REF!,"")</f>
        <v/>
      </c>
      <c r="ZI72" s="121" t="str">
        <f>IF(ISNUMBER(outYear),ZI42+ZI47+#REF!+#REF!,"")</f>
        <v/>
      </c>
      <c r="ZJ72" s="121" t="str">
        <f>IF(ISNUMBER(outYear),ZJ42+ZJ47+#REF!+#REF!,"")</f>
        <v/>
      </c>
      <c r="ZK72" s="121" t="str">
        <f>IF(ISNUMBER(outYear),ZK42+ZK47+#REF!+#REF!,"")</f>
        <v/>
      </c>
      <c r="ZL72" s="121" t="str">
        <f>IF(ISNUMBER(outYear),ZL42+ZL47+#REF!+#REF!,"")</f>
        <v/>
      </c>
      <c r="ZM72" s="121" t="str">
        <f>IF(ISNUMBER(outYear),ZM42+ZM47+#REF!+#REF!,"")</f>
        <v/>
      </c>
      <c r="ZN72" s="121" t="str">
        <f>IF(ISNUMBER(outYear),ZN42+ZN47+#REF!+#REF!,"")</f>
        <v/>
      </c>
      <c r="ZO72" s="121" t="str">
        <f>IF(ISNUMBER(outYear),ZO42+ZO47+#REF!+#REF!,"")</f>
        <v/>
      </c>
      <c r="ZP72" s="121" t="str">
        <f>IF(ISNUMBER(outYear),ZP42+ZP47+#REF!+#REF!,"")</f>
        <v/>
      </c>
      <c r="ZQ72" s="121" t="str">
        <f>IF(ISNUMBER(outYear),ZQ42+ZQ47+#REF!+#REF!,"")</f>
        <v/>
      </c>
      <c r="ZR72" s="121" t="str">
        <f>IF(ISNUMBER(outYear),ZR42+ZR47+#REF!+#REF!,"")</f>
        <v/>
      </c>
      <c r="ZS72" s="121" t="str">
        <f>IF(ISNUMBER(outYear),ZS42+ZS47+#REF!+#REF!,"")</f>
        <v/>
      </c>
      <c r="ZT72" s="121" t="str">
        <f>IF(ISNUMBER(outYear),ZT42+ZT47+#REF!+#REF!,"")</f>
        <v/>
      </c>
      <c r="ZU72" s="121" t="str">
        <f>IF(ISNUMBER(outYear),ZU42+ZU47+#REF!+#REF!,"")</f>
        <v/>
      </c>
      <c r="ZV72" s="121" t="str">
        <f>IF(ISNUMBER(outYear),ZV42+ZV47+#REF!+#REF!,"")</f>
        <v/>
      </c>
      <c r="ZW72" s="121" t="str">
        <f>IF(ISNUMBER(outYear),ZW42+ZW47+#REF!+#REF!,"")</f>
        <v/>
      </c>
      <c r="ZX72" s="121" t="str">
        <f>IF(ISNUMBER(outYear),ZX42+ZX47+#REF!+#REF!,"")</f>
        <v/>
      </c>
      <c r="ZY72" s="121" t="str">
        <f>IF(ISNUMBER(outYear),ZY42+ZY47+#REF!+#REF!,"")</f>
        <v/>
      </c>
      <c r="ZZ72" s="121" t="str">
        <f>IF(ISNUMBER(outYear),ZZ42+ZZ47+#REF!+#REF!,"")</f>
        <v/>
      </c>
      <c r="AAA72" s="121" t="str">
        <f>IF(ISNUMBER(outYear),AAA42+AAA47+#REF!+#REF!,"")</f>
        <v/>
      </c>
      <c r="AAB72" s="121" t="str">
        <f>IF(ISNUMBER(outYear),AAB42+AAB47+#REF!+#REF!,"")</f>
        <v/>
      </c>
      <c r="AAC72" s="121" t="str">
        <f>IF(ISNUMBER(outYear),AAC42+AAC47+#REF!+#REF!,"")</f>
        <v/>
      </c>
      <c r="AAD72" s="121" t="str">
        <f>IF(ISNUMBER(outYear),AAD42+AAD47+#REF!+#REF!,"")</f>
        <v/>
      </c>
      <c r="AAE72" s="121" t="str">
        <f>IF(ISNUMBER(outYear),AAE42+AAE47+#REF!+#REF!,"")</f>
        <v/>
      </c>
      <c r="AAF72" s="121" t="str">
        <f>IF(ISNUMBER(outYear),AAF42+AAF47+#REF!+#REF!,"")</f>
        <v/>
      </c>
      <c r="AAG72" s="121" t="str">
        <f>IF(ISNUMBER(outYear),AAG42+AAG47+#REF!+#REF!,"")</f>
        <v/>
      </c>
      <c r="AAH72" s="121" t="str">
        <f>IF(ISNUMBER(outYear),AAH42+AAH47+#REF!+#REF!,"")</f>
        <v/>
      </c>
      <c r="AAI72" s="121" t="str">
        <f>IF(ISNUMBER(outYear),AAI42+AAI47+#REF!+#REF!,"")</f>
        <v/>
      </c>
      <c r="AAJ72" s="121" t="str">
        <f>IF(ISNUMBER(outYear),AAJ42+AAJ47+#REF!+#REF!,"")</f>
        <v/>
      </c>
      <c r="AAK72" s="121" t="str">
        <f>IF(ISNUMBER(outYear),AAK42+AAK47+#REF!+#REF!,"")</f>
        <v/>
      </c>
      <c r="AAL72" s="121" t="str">
        <f>IF(ISNUMBER(outYear),AAL42+AAL47+#REF!+#REF!,"")</f>
        <v/>
      </c>
      <c r="AAM72" s="121" t="str">
        <f>IF(ISNUMBER(outYear),AAM42+AAM47+#REF!+#REF!,"")</f>
        <v/>
      </c>
      <c r="AAN72" s="121" t="str">
        <f>IF(ISNUMBER(outYear),AAN42+AAN47+#REF!+#REF!,"")</f>
        <v/>
      </c>
      <c r="AAO72" s="121" t="str">
        <f>IF(ISNUMBER(outYear),AAO42+AAO47+#REF!+#REF!,"")</f>
        <v/>
      </c>
      <c r="AAP72" s="121" t="str">
        <f>IF(ISNUMBER(outYear),AAP42+AAP47+#REF!+#REF!,"")</f>
        <v/>
      </c>
      <c r="AAQ72" s="121" t="str">
        <f>IF(ISNUMBER(outYear),AAQ42+AAQ47+#REF!+#REF!,"")</f>
        <v/>
      </c>
      <c r="AAR72" s="121" t="str">
        <f>IF(ISNUMBER(outYear),AAR42+AAR47+#REF!+#REF!,"")</f>
        <v/>
      </c>
      <c r="AAS72" s="121" t="str">
        <f>IF(ISNUMBER(outYear),AAS42+AAS47+#REF!+#REF!,"")</f>
        <v/>
      </c>
      <c r="AAT72" s="121" t="str">
        <f>IF(ISNUMBER(outYear),AAT42+AAT47+#REF!+#REF!,"")</f>
        <v/>
      </c>
      <c r="AAU72" s="121" t="str">
        <f>IF(ISNUMBER(outYear),AAU42+AAU47+#REF!+#REF!,"")</f>
        <v/>
      </c>
      <c r="AAV72" s="121" t="str">
        <f>IF(ISNUMBER(outYear),AAV42+AAV47+#REF!+#REF!,"")</f>
        <v/>
      </c>
      <c r="AAW72" s="121" t="str">
        <f>IF(ISNUMBER(outYear),AAW42+AAW47+#REF!+#REF!,"")</f>
        <v/>
      </c>
      <c r="AAX72" s="121" t="str">
        <f>IF(ISNUMBER(outYear),AAX42+AAX47+#REF!+#REF!,"")</f>
        <v/>
      </c>
      <c r="AAY72" s="121" t="str">
        <f>IF(ISNUMBER(outYear),AAY42+AAY47+#REF!+#REF!,"")</f>
        <v/>
      </c>
      <c r="AAZ72" s="121" t="str">
        <f>IF(ISNUMBER(outYear),AAZ42+AAZ47+#REF!+#REF!,"")</f>
        <v/>
      </c>
      <c r="ABA72" s="121" t="str">
        <f>IF(ISNUMBER(outYear),ABA42+ABA47+#REF!+#REF!,"")</f>
        <v/>
      </c>
      <c r="ABB72" s="121" t="str">
        <f>IF(ISNUMBER(outYear),ABB42+ABB47+#REF!+#REF!,"")</f>
        <v/>
      </c>
      <c r="ABC72" s="121" t="str">
        <f>IF(ISNUMBER(outYear),ABC42+ABC47+#REF!+#REF!,"")</f>
        <v/>
      </c>
      <c r="ABD72" s="121" t="str">
        <f>IF(ISNUMBER(outYear),ABD42+ABD47+#REF!+#REF!,"")</f>
        <v/>
      </c>
      <c r="ABE72" s="121" t="str">
        <f>IF(ISNUMBER(outYear),ABE42+ABE47+#REF!+#REF!,"")</f>
        <v/>
      </c>
      <c r="ABF72" s="121" t="str">
        <f>IF(ISNUMBER(outYear),ABF42+ABF47+#REF!+#REF!,"")</f>
        <v/>
      </c>
      <c r="ABG72" s="121" t="str">
        <f>IF(ISNUMBER(outYear),ABG42+ABG47+#REF!+#REF!,"")</f>
        <v/>
      </c>
      <c r="ABH72" s="121" t="str">
        <f>IF(ISNUMBER(outYear),ABH42+ABH47+#REF!+#REF!,"")</f>
        <v/>
      </c>
      <c r="ABI72" s="121" t="str">
        <f>IF(ISNUMBER(outYear),ABI42+ABI47+#REF!+#REF!,"")</f>
        <v/>
      </c>
      <c r="ABJ72" s="121" t="str">
        <f>IF(ISNUMBER(outYear),ABJ42+ABJ47+#REF!+#REF!,"")</f>
        <v/>
      </c>
      <c r="ABK72" s="121" t="str">
        <f>IF(ISNUMBER(outYear),ABK42+ABK47+#REF!+#REF!,"")</f>
        <v/>
      </c>
      <c r="ABL72" s="121" t="str">
        <f>IF(ISNUMBER(outYear),ABL42+ABL47+#REF!+#REF!,"")</f>
        <v/>
      </c>
      <c r="ABM72" s="121" t="str">
        <f>IF(ISNUMBER(outYear),ABM42+ABM47+#REF!+#REF!,"")</f>
        <v/>
      </c>
      <c r="ABN72" s="121" t="str">
        <f>IF(ISNUMBER(outYear),ABN42+ABN47+#REF!+#REF!,"")</f>
        <v/>
      </c>
      <c r="ABO72" s="121" t="str">
        <f>IF(ISNUMBER(outYear),ABO42+ABO47+#REF!+#REF!,"")</f>
        <v/>
      </c>
      <c r="ABP72" s="121" t="str">
        <f>IF(ISNUMBER(outYear),ABP42+ABP47+#REF!+#REF!,"")</f>
        <v/>
      </c>
      <c r="ABQ72" s="121" t="str">
        <f>IF(ISNUMBER(outYear),ABQ42+ABQ47+#REF!+#REF!,"")</f>
        <v/>
      </c>
      <c r="ABR72" s="121" t="str">
        <f>IF(ISNUMBER(outYear),ABR42+ABR47+#REF!+#REF!,"")</f>
        <v/>
      </c>
      <c r="ABS72" s="121" t="str">
        <f>IF(ISNUMBER(outYear),ABS42+ABS47+#REF!+#REF!,"")</f>
        <v/>
      </c>
      <c r="ABT72" s="121" t="str">
        <f>IF(ISNUMBER(outYear),ABT42+ABT47+#REF!+#REF!,"")</f>
        <v/>
      </c>
      <c r="ABU72" s="121" t="str">
        <f>IF(ISNUMBER(outYear),ABU42+ABU47+#REF!+#REF!,"")</f>
        <v/>
      </c>
      <c r="ABV72" s="121" t="str">
        <f>IF(ISNUMBER(outYear),ABV42+ABV47+#REF!+#REF!,"")</f>
        <v/>
      </c>
      <c r="ABW72" s="121" t="str">
        <f>IF(ISNUMBER(outYear),ABW42+ABW47+#REF!+#REF!,"")</f>
        <v/>
      </c>
      <c r="ABX72" s="121" t="str">
        <f>IF(ISNUMBER(outYear),ABX42+ABX47+#REF!+#REF!,"")</f>
        <v/>
      </c>
      <c r="ABY72" s="121" t="str">
        <f>IF(ISNUMBER(outYear),ABY42+ABY47+#REF!+#REF!,"")</f>
        <v/>
      </c>
      <c r="ABZ72" s="121" t="str">
        <f>IF(ISNUMBER(outYear),ABZ42+ABZ47+#REF!+#REF!,"")</f>
        <v/>
      </c>
      <c r="ACA72" s="121" t="str">
        <f>IF(ISNUMBER(outYear),ACA42+ACA47+#REF!+#REF!,"")</f>
        <v/>
      </c>
      <c r="ACB72" s="121" t="str">
        <f>IF(ISNUMBER(outYear),ACB42+ACB47+#REF!+#REF!,"")</f>
        <v/>
      </c>
      <c r="ACC72" s="121" t="str">
        <f>IF(ISNUMBER(outYear),ACC42+ACC47+#REF!+#REF!,"")</f>
        <v/>
      </c>
      <c r="ACD72" s="121" t="str">
        <f>IF(ISNUMBER(outYear),ACD42+ACD47+#REF!+#REF!,"")</f>
        <v/>
      </c>
      <c r="ACE72" s="121" t="str">
        <f>IF(ISNUMBER(outYear),ACE42+ACE47+#REF!+#REF!,"")</f>
        <v/>
      </c>
      <c r="ACF72" s="121" t="str">
        <f>IF(ISNUMBER(outYear),ACF42+ACF47+#REF!+#REF!,"")</f>
        <v/>
      </c>
      <c r="ACG72" s="121" t="str">
        <f>IF(ISNUMBER(outYear),ACG42+ACG47+#REF!+#REF!,"")</f>
        <v/>
      </c>
      <c r="ACH72" s="121" t="str">
        <f>IF(ISNUMBER(outYear),ACH42+ACH47+#REF!+#REF!,"")</f>
        <v/>
      </c>
      <c r="ACI72" s="121" t="str">
        <f>IF(ISNUMBER(outYear),ACI42+ACI47+#REF!+#REF!,"")</f>
        <v/>
      </c>
      <c r="ACJ72" s="121" t="str">
        <f>IF(ISNUMBER(outYear),ACJ42+ACJ47+#REF!+#REF!,"")</f>
        <v/>
      </c>
      <c r="ACK72" s="121" t="str">
        <f>IF(ISNUMBER(outYear),ACK42+ACK47+#REF!+#REF!,"")</f>
        <v/>
      </c>
      <c r="ACL72" s="121" t="str">
        <f>IF(ISNUMBER(outYear),ACL42+ACL47+#REF!+#REF!,"")</f>
        <v/>
      </c>
      <c r="ACM72" s="121" t="str">
        <f>IF(ISNUMBER(outYear),ACM42+ACM47+#REF!+#REF!,"")</f>
        <v/>
      </c>
      <c r="ACN72" s="121" t="str">
        <f>IF(ISNUMBER(outYear),ACN42+ACN47+#REF!+#REF!,"")</f>
        <v/>
      </c>
      <c r="ACO72" s="121" t="str">
        <f>IF(ISNUMBER(outYear),ACO42+ACO47+#REF!+#REF!,"")</f>
        <v/>
      </c>
      <c r="ACP72" s="121" t="str">
        <f>IF(ISNUMBER(outYear),ACP42+ACP47+#REF!+#REF!,"")</f>
        <v/>
      </c>
      <c r="ACQ72" s="121" t="str">
        <f>IF(ISNUMBER(outYear),ACQ42+ACQ47+#REF!+#REF!,"")</f>
        <v/>
      </c>
      <c r="ACR72" s="121" t="str">
        <f>IF(ISNUMBER(outYear),ACR42+ACR47+#REF!+#REF!,"")</f>
        <v/>
      </c>
      <c r="ACS72" s="121" t="str">
        <f>IF(ISNUMBER(outYear),ACS42+ACS47+#REF!+#REF!,"")</f>
        <v/>
      </c>
      <c r="ACT72" s="121" t="str">
        <f>IF(ISNUMBER(outYear),ACT42+ACT47+#REF!+#REF!,"")</f>
        <v/>
      </c>
      <c r="ACU72" s="121" t="str">
        <f>IF(ISNUMBER(outYear),ACU42+ACU47+#REF!+#REF!,"")</f>
        <v/>
      </c>
      <c r="ACV72" s="121" t="str">
        <f>IF(ISNUMBER(outYear),ACV42+ACV47+#REF!+#REF!,"")</f>
        <v/>
      </c>
      <c r="ACW72" s="121" t="str">
        <f>IF(ISNUMBER(outYear),ACW42+ACW47+#REF!+#REF!,"")</f>
        <v/>
      </c>
      <c r="ACX72" s="121" t="str">
        <f>IF(ISNUMBER(outYear),ACX42+ACX47+#REF!+#REF!,"")</f>
        <v/>
      </c>
      <c r="ACY72" s="121" t="str">
        <f>IF(ISNUMBER(outYear),ACY42+ACY47+#REF!+#REF!,"")</f>
        <v/>
      </c>
      <c r="ACZ72" s="121" t="str">
        <f>IF(ISNUMBER(outYear),ACZ42+ACZ47+#REF!+#REF!,"")</f>
        <v/>
      </c>
      <c r="ADA72" s="121" t="str">
        <f>IF(ISNUMBER(outYear),ADA42+ADA47+#REF!+#REF!,"")</f>
        <v/>
      </c>
      <c r="ADB72" s="121" t="str">
        <f>IF(ISNUMBER(outYear),ADB42+ADB47+#REF!+#REF!,"")</f>
        <v/>
      </c>
      <c r="ADC72" s="121" t="str">
        <f>IF(ISNUMBER(outYear),ADC42+ADC47+#REF!+#REF!,"")</f>
        <v/>
      </c>
      <c r="ADD72" s="121" t="str">
        <f>IF(ISNUMBER(outYear),ADD42+ADD47+#REF!+#REF!,"")</f>
        <v/>
      </c>
      <c r="ADE72" s="121" t="str">
        <f>IF(ISNUMBER(outYear),ADE42+ADE47+#REF!+#REF!,"")</f>
        <v/>
      </c>
      <c r="ADF72" s="121" t="str">
        <f>IF(ISNUMBER(outYear),ADF42+ADF47+#REF!+#REF!,"")</f>
        <v/>
      </c>
      <c r="ADG72" s="121" t="str">
        <f>IF(ISNUMBER(outYear),ADG42+ADG47+#REF!+#REF!,"")</f>
        <v/>
      </c>
      <c r="ADH72" s="121" t="str">
        <f>IF(ISNUMBER(outYear),ADH42+ADH47+#REF!+#REF!,"")</f>
        <v/>
      </c>
      <c r="ADI72" s="121" t="str">
        <f>IF(ISNUMBER(outYear),ADI42+ADI47+#REF!+#REF!,"")</f>
        <v/>
      </c>
      <c r="ADJ72" s="121" t="str">
        <f>IF(ISNUMBER(outYear),ADJ42+ADJ47+#REF!+#REF!,"")</f>
        <v/>
      </c>
      <c r="ADK72" s="121" t="str">
        <f>IF(ISNUMBER(outYear),ADK42+ADK47+#REF!+#REF!,"")</f>
        <v/>
      </c>
      <c r="ADL72" s="121" t="str">
        <f>IF(ISNUMBER(outYear),ADL42+ADL47+#REF!+#REF!,"")</f>
        <v/>
      </c>
      <c r="ADM72" s="121" t="str">
        <f>IF(ISNUMBER(outYear),ADM42+ADM47+#REF!+#REF!,"")</f>
        <v/>
      </c>
      <c r="ADN72" s="121" t="str">
        <f>IF(ISNUMBER(outYear),ADN42+ADN47+#REF!+#REF!,"")</f>
        <v/>
      </c>
      <c r="ADO72" s="121" t="str">
        <f>IF(ISNUMBER(outYear),ADO42+ADO47+#REF!+#REF!,"")</f>
        <v/>
      </c>
      <c r="ADP72" s="121" t="str">
        <f>IF(ISNUMBER(outYear),ADP42+ADP47+#REF!+#REF!,"")</f>
        <v/>
      </c>
      <c r="ADQ72" s="121" t="str">
        <f>IF(ISNUMBER(outYear),ADQ42+ADQ47+#REF!+#REF!,"")</f>
        <v/>
      </c>
      <c r="ADR72" s="121" t="str">
        <f>IF(ISNUMBER(outYear),ADR42+ADR47+#REF!+#REF!,"")</f>
        <v/>
      </c>
      <c r="ADS72" s="121" t="str">
        <f>IF(ISNUMBER(outYear),ADS42+ADS47+#REF!+#REF!,"")</f>
        <v/>
      </c>
      <c r="ADT72" s="121" t="str">
        <f>IF(ISNUMBER(outYear),ADT42+ADT47+#REF!+#REF!,"")</f>
        <v/>
      </c>
      <c r="ADU72" s="121" t="str">
        <f>IF(ISNUMBER(outYear),ADU42+ADU47+#REF!+#REF!,"")</f>
        <v/>
      </c>
      <c r="ADV72" s="121" t="str">
        <f>IF(ISNUMBER(outYear),ADV42+ADV47+#REF!+#REF!,"")</f>
        <v/>
      </c>
      <c r="ADW72" s="121" t="str">
        <f>IF(ISNUMBER(outYear),ADW42+ADW47+#REF!+#REF!,"")</f>
        <v/>
      </c>
      <c r="ADX72" s="121" t="str">
        <f>IF(ISNUMBER(outYear),ADX42+ADX47+#REF!+#REF!,"")</f>
        <v/>
      </c>
      <c r="ADY72" s="121" t="str">
        <f>IF(ISNUMBER(outYear),ADY42+ADY47+#REF!+#REF!,"")</f>
        <v/>
      </c>
      <c r="ADZ72" s="121" t="str">
        <f>IF(ISNUMBER(outYear),ADZ42+ADZ47+#REF!+#REF!,"")</f>
        <v/>
      </c>
      <c r="AEA72" s="121" t="str">
        <f>IF(ISNUMBER(outYear),AEA42+AEA47+#REF!+#REF!,"")</f>
        <v/>
      </c>
      <c r="AEB72" s="121" t="str">
        <f>IF(ISNUMBER(outYear),AEB42+AEB47+#REF!+#REF!,"")</f>
        <v/>
      </c>
      <c r="AEC72" s="121" t="str">
        <f>IF(ISNUMBER(outYear),AEC42+AEC47+#REF!+#REF!,"")</f>
        <v/>
      </c>
      <c r="AED72" s="121" t="str">
        <f>IF(ISNUMBER(outYear),AED42+AED47+#REF!+#REF!,"")</f>
        <v/>
      </c>
      <c r="AEE72" s="121" t="str">
        <f>IF(ISNUMBER(outYear),AEE42+AEE47+#REF!+#REF!,"")</f>
        <v/>
      </c>
      <c r="AEF72" s="121" t="str">
        <f>IF(ISNUMBER(outYear),AEF42+AEF47+#REF!+#REF!,"")</f>
        <v/>
      </c>
      <c r="AEG72" s="121" t="str">
        <f>IF(ISNUMBER(outYear),AEG42+AEG47+#REF!+#REF!,"")</f>
        <v/>
      </c>
      <c r="AEH72" s="121" t="str">
        <f>IF(ISNUMBER(outYear),AEH42+AEH47+#REF!+#REF!,"")</f>
        <v/>
      </c>
      <c r="AEI72" s="121" t="str">
        <f>IF(ISNUMBER(outYear),AEI42+AEI47+#REF!+#REF!,"")</f>
        <v/>
      </c>
      <c r="AEJ72" s="121" t="str">
        <f>IF(ISNUMBER(outYear),AEJ42+AEJ47+#REF!+#REF!,"")</f>
        <v/>
      </c>
      <c r="AEK72" s="121" t="str">
        <f>IF(ISNUMBER(outYear),AEK42+AEK47+#REF!+#REF!,"")</f>
        <v/>
      </c>
      <c r="AEL72" s="121" t="str">
        <f>IF(ISNUMBER(outYear),AEL42+AEL47+#REF!+#REF!,"")</f>
        <v/>
      </c>
      <c r="AEM72" s="121" t="str">
        <f>IF(ISNUMBER(outYear),AEM42+AEM47+#REF!+#REF!,"")</f>
        <v/>
      </c>
      <c r="AEN72" s="121" t="str">
        <f>IF(ISNUMBER(outYear),AEN42+AEN47+#REF!+#REF!,"")</f>
        <v/>
      </c>
      <c r="AEO72" s="121" t="str">
        <f>IF(ISNUMBER(outYear),AEO42+AEO47+#REF!+#REF!,"")</f>
        <v/>
      </c>
      <c r="AEP72" s="121" t="str">
        <f>IF(ISNUMBER(outYear),AEP42+AEP47+#REF!+#REF!,"")</f>
        <v/>
      </c>
      <c r="AEQ72" s="121" t="str">
        <f>IF(ISNUMBER(outYear),AEQ42+AEQ47+#REF!+#REF!,"")</f>
        <v/>
      </c>
      <c r="AER72" s="121" t="str">
        <f>IF(ISNUMBER(outYear),AER42+AER47+#REF!+#REF!,"")</f>
        <v/>
      </c>
      <c r="AES72" s="121" t="str">
        <f>IF(ISNUMBER(outYear),AES42+AES47+#REF!+#REF!,"")</f>
        <v/>
      </c>
      <c r="AET72" s="121" t="str">
        <f>IF(ISNUMBER(outYear),AET42+AET47+#REF!+#REF!,"")</f>
        <v/>
      </c>
      <c r="AEU72" s="121" t="str">
        <f>IF(ISNUMBER(outYear),AEU42+AEU47+#REF!+#REF!,"")</f>
        <v/>
      </c>
      <c r="AEV72" s="121" t="str">
        <f>IF(ISNUMBER(outYear),AEV42+AEV47+#REF!+#REF!,"")</f>
        <v/>
      </c>
      <c r="AEW72" s="121" t="str">
        <f>IF(ISNUMBER(outYear),AEW42+AEW47+#REF!+#REF!,"")</f>
        <v/>
      </c>
      <c r="AEX72" s="121" t="str">
        <f>IF(ISNUMBER(outYear),AEX42+AEX47+#REF!+#REF!,"")</f>
        <v/>
      </c>
      <c r="AEY72" s="121" t="str">
        <f>IF(ISNUMBER(outYear),AEY42+AEY47+#REF!+#REF!,"")</f>
        <v/>
      </c>
      <c r="AEZ72" s="121" t="str">
        <f>IF(ISNUMBER(outYear),AEZ42+AEZ47+#REF!+#REF!,"")</f>
        <v/>
      </c>
      <c r="AFA72" s="121" t="str">
        <f>IF(ISNUMBER(outYear),AFA42+AFA47+#REF!+#REF!,"")</f>
        <v/>
      </c>
      <c r="AFB72" s="121" t="str">
        <f>IF(ISNUMBER(outYear),AFB42+AFB47+#REF!+#REF!,"")</f>
        <v/>
      </c>
      <c r="AFC72" s="121" t="str">
        <f>IF(ISNUMBER(outYear),AFC42+AFC47+#REF!+#REF!,"")</f>
        <v/>
      </c>
      <c r="AFD72" s="121" t="str">
        <f>IF(ISNUMBER(outYear),AFD42+AFD47+#REF!+#REF!,"")</f>
        <v/>
      </c>
      <c r="AFE72" s="121" t="str">
        <f>IF(ISNUMBER(outYear),AFE42+AFE47+#REF!+#REF!,"")</f>
        <v/>
      </c>
      <c r="AFF72" s="121" t="str">
        <f>IF(ISNUMBER(outYear),AFF42+AFF47+#REF!+#REF!,"")</f>
        <v/>
      </c>
      <c r="AFG72" s="121" t="str">
        <f>IF(ISNUMBER(outYear),AFG42+AFG47+#REF!+#REF!,"")</f>
        <v/>
      </c>
      <c r="AFH72" s="121" t="str">
        <f>IF(ISNUMBER(outYear),AFH42+AFH47+#REF!+#REF!,"")</f>
        <v/>
      </c>
      <c r="AFI72" s="121" t="str">
        <f>IF(ISNUMBER(outYear),AFI42+AFI47+#REF!+#REF!,"")</f>
        <v/>
      </c>
      <c r="AFJ72" s="121" t="str">
        <f>IF(ISNUMBER(outYear),AFJ42+AFJ47+#REF!+#REF!,"")</f>
        <v/>
      </c>
      <c r="AFK72" s="121" t="str">
        <f>IF(ISNUMBER(outYear),AFK42+AFK47+#REF!+#REF!,"")</f>
        <v/>
      </c>
      <c r="AFL72" s="121" t="str">
        <f>IF(ISNUMBER(outYear),AFL42+AFL47+#REF!+#REF!,"")</f>
        <v/>
      </c>
      <c r="AFM72" s="121" t="str">
        <f>IF(ISNUMBER(outYear),AFM42+AFM47+#REF!+#REF!,"")</f>
        <v/>
      </c>
      <c r="AFN72" s="121" t="str">
        <f>IF(ISNUMBER(outYear),AFN42+AFN47+#REF!+#REF!,"")</f>
        <v/>
      </c>
      <c r="AFO72" s="121" t="str">
        <f>IF(ISNUMBER(outYear),AFO42+AFO47+#REF!+#REF!,"")</f>
        <v/>
      </c>
      <c r="AFP72" s="121" t="str">
        <f>IF(ISNUMBER(outYear),AFP42+AFP47+#REF!+#REF!,"")</f>
        <v/>
      </c>
      <c r="AFQ72" s="121" t="str">
        <f>IF(ISNUMBER(outYear),AFQ42+AFQ47+#REF!+#REF!,"")</f>
        <v/>
      </c>
      <c r="AFR72" s="121" t="str">
        <f>IF(ISNUMBER(outYear),AFR42+AFR47+#REF!+#REF!,"")</f>
        <v/>
      </c>
      <c r="AFS72" s="121" t="str">
        <f>IF(ISNUMBER(outYear),AFS42+AFS47+#REF!+#REF!,"")</f>
        <v/>
      </c>
      <c r="AFT72" s="121" t="str">
        <f>IF(ISNUMBER(outYear),AFT42+AFT47+#REF!+#REF!,"")</f>
        <v/>
      </c>
      <c r="AFU72" s="121" t="str">
        <f>IF(ISNUMBER(outYear),AFU42+AFU47+#REF!+#REF!,"")</f>
        <v/>
      </c>
      <c r="AFV72" s="121" t="str">
        <f>IF(ISNUMBER(outYear),AFV42+AFV47+#REF!+#REF!,"")</f>
        <v/>
      </c>
      <c r="AFW72" s="121" t="str">
        <f>IF(ISNUMBER(outYear),AFW42+AFW47+#REF!+#REF!,"")</f>
        <v/>
      </c>
      <c r="AFX72" s="121" t="str">
        <f>IF(ISNUMBER(outYear),AFX42+AFX47+#REF!+#REF!,"")</f>
        <v/>
      </c>
      <c r="AFY72" s="121" t="str">
        <f>IF(ISNUMBER(outYear),AFY42+AFY47+#REF!+#REF!,"")</f>
        <v/>
      </c>
      <c r="AFZ72" s="121" t="str">
        <f>IF(ISNUMBER(outYear),AFZ42+AFZ47+#REF!+#REF!,"")</f>
        <v/>
      </c>
      <c r="AGA72" s="121" t="str">
        <f>IF(ISNUMBER(outYear),AGA42+AGA47+#REF!+#REF!,"")</f>
        <v/>
      </c>
      <c r="AGB72" s="121" t="str">
        <f>IF(ISNUMBER(outYear),AGB42+AGB47+#REF!+#REF!,"")</f>
        <v/>
      </c>
      <c r="AGC72" s="121" t="str">
        <f>IF(ISNUMBER(outYear),AGC42+AGC47+#REF!+#REF!,"")</f>
        <v/>
      </c>
      <c r="AGD72" s="121" t="str">
        <f>IF(ISNUMBER(outYear),AGD42+AGD47+#REF!+#REF!,"")</f>
        <v/>
      </c>
      <c r="AGE72" s="121" t="str">
        <f>IF(ISNUMBER(outYear),AGE42+AGE47+#REF!+#REF!,"")</f>
        <v/>
      </c>
      <c r="AGF72" s="121" t="str">
        <f>IF(ISNUMBER(outYear),AGF42+AGF47+#REF!+#REF!,"")</f>
        <v/>
      </c>
      <c r="AGG72" s="121" t="str">
        <f>IF(ISNUMBER(outYear),AGG42+AGG47+#REF!+#REF!,"")</f>
        <v/>
      </c>
      <c r="AGH72" s="121" t="str">
        <f>IF(ISNUMBER(outYear),AGH42+AGH47+#REF!+#REF!,"")</f>
        <v/>
      </c>
      <c r="AGI72" s="121" t="str">
        <f>IF(ISNUMBER(outYear),AGI42+AGI47+#REF!+#REF!,"")</f>
        <v/>
      </c>
      <c r="AGJ72" s="121" t="str">
        <f>IF(ISNUMBER(outYear),AGJ42+AGJ47+#REF!+#REF!,"")</f>
        <v/>
      </c>
      <c r="AGK72" s="121" t="str">
        <f>IF(ISNUMBER(outYear),AGK42+AGK47+#REF!+#REF!,"")</f>
        <v/>
      </c>
      <c r="AGL72" s="121" t="str">
        <f>IF(ISNUMBER(outYear),AGL42+AGL47+#REF!+#REF!,"")</f>
        <v/>
      </c>
      <c r="AGM72" s="121" t="str">
        <f>IF(ISNUMBER(outYear),AGM42+AGM47+#REF!+#REF!,"")</f>
        <v/>
      </c>
      <c r="AGN72" s="121" t="str">
        <f>IF(ISNUMBER(outYear),AGN42+AGN47+#REF!+#REF!,"")</f>
        <v/>
      </c>
      <c r="AGO72" s="121" t="str">
        <f>IF(ISNUMBER(outYear),AGO42+AGO47+#REF!+#REF!,"")</f>
        <v/>
      </c>
      <c r="AGP72" s="121" t="str">
        <f>IF(ISNUMBER(outYear),AGP42+AGP47+#REF!+#REF!,"")</f>
        <v/>
      </c>
      <c r="AGQ72" s="121" t="str">
        <f>IF(ISNUMBER(outYear),AGQ42+AGQ47+#REF!+#REF!,"")</f>
        <v/>
      </c>
      <c r="AGR72" s="121" t="str">
        <f>IF(ISNUMBER(outYear),AGR42+AGR47+#REF!+#REF!,"")</f>
        <v/>
      </c>
      <c r="AGS72" s="121" t="str">
        <f>IF(ISNUMBER(outYear),AGS42+AGS47+#REF!+#REF!,"")</f>
        <v/>
      </c>
      <c r="AGT72" s="121" t="str">
        <f>IF(ISNUMBER(outYear),AGT42+AGT47+#REF!+#REF!,"")</f>
        <v/>
      </c>
      <c r="AGU72" s="121" t="str">
        <f>IF(ISNUMBER(outYear),AGU42+AGU47+#REF!+#REF!,"")</f>
        <v/>
      </c>
      <c r="AGV72" s="121" t="str">
        <f>IF(ISNUMBER(outYear),AGV42+AGV47+#REF!+#REF!,"")</f>
        <v/>
      </c>
      <c r="AGW72" s="121" t="str">
        <f>IF(ISNUMBER(outYear),AGW42+AGW47+#REF!+#REF!,"")</f>
        <v/>
      </c>
      <c r="AGX72" s="121" t="str">
        <f>IF(ISNUMBER(outYear),AGX42+AGX47+#REF!+#REF!,"")</f>
        <v/>
      </c>
      <c r="AGY72" s="121" t="str">
        <f>IF(ISNUMBER(outYear),AGY42+AGY47+#REF!+#REF!,"")</f>
        <v/>
      </c>
      <c r="AGZ72" s="121" t="str">
        <f>IF(ISNUMBER(outYear),AGZ42+AGZ47+#REF!+#REF!,"")</f>
        <v/>
      </c>
      <c r="AHA72" s="121" t="str">
        <f>IF(ISNUMBER(outYear),AHA42+AHA47+#REF!+#REF!,"")</f>
        <v/>
      </c>
      <c r="AHB72" s="121" t="str">
        <f>IF(ISNUMBER(outYear),AHB42+AHB47+#REF!+#REF!,"")</f>
        <v/>
      </c>
      <c r="AHC72" s="121" t="str">
        <f>IF(ISNUMBER(outYear),AHC42+AHC47+#REF!+#REF!,"")</f>
        <v/>
      </c>
      <c r="AHD72" s="121" t="str">
        <f>IF(ISNUMBER(outYear),AHD42+AHD47+#REF!+#REF!,"")</f>
        <v/>
      </c>
      <c r="AHE72" s="121" t="str">
        <f>IF(ISNUMBER(outYear),AHE42+AHE47+#REF!+#REF!,"")</f>
        <v/>
      </c>
      <c r="AHF72" s="121" t="str">
        <f>IF(ISNUMBER(outYear),AHF42+AHF47+#REF!+#REF!,"")</f>
        <v/>
      </c>
      <c r="AHG72" s="121" t="str">
        <f>IF(ISNUMBER(outYear),AHG42+AHG47+#REF!+#REF!,"")</f>
        <v/>
      </c>
      <c r="AHH72" s="121" t="str">
        <f>IF(ISNUMBER(outYear),AHH42+AHH47+#REF!+#REF!,"")</f>
        <v/>
      </c>
      <c r="AHI72" s="121" t="str">
        <f>IF(ISNUMBER(outYear),AHI42+AHI47+#REF!+#REF!,"")</f>
        <v/>
      </c>
      <c r="AHJ72" s="121" t="str">
        <f>IF(ISNUMBER(outYear),AHJ42+AHJ47+#REF!+#REF!,"")</f>
        <v/>
      </c>
      <c r="AHK72" s="121" t="str">
        <f>IF(ISNUMBER(outYear),AHK42+AHK47+#REF!+#REF!,"")</f>
        <v/>
      </c>
      <c r="AHL72" s="121" t="str">
        <f>IF(ISNUMBER(outYear),AHL42+AHL47+#REF!+#REF!,"")</f>
        <v/>
      </c>
      <c r="AHM72" s="121" t="str">
        <f>IF(ISNUMBER(outYear),AHM42+AHM47+#REF!+#REF!,"")</f>
        <v/>
      </c>
      <c r="AHN72" s="121" t="str">
        <f>IF(ISNUMBER(outYear),AHN42+AHN47+#REF!+#REF!,"")</f>
        <v/>
      </c>
      <c r="AHO72" s="121" t="str">
        <f>IF(ISNUMBER(outYear),AHO42+AHO47+#REF!+#REF!,"")</f>
        <v/>
      </c>
      <c r="AHP72" s="121" t="str">
        <f>IF(ISNUMBER(outYear),AHP42+AHP47+#REF!+#REF!,"")</f>
        <v/>
      </c>
      <c r="AHQ72" s="121" t="str">
        <f>IF(ISNUMBER(outYear),AHQ42+AHQ47+#REF!+#REF!,"")</f>
        <v/>
      </c>
      <c r="AHR72" s="121" t="str">
        <f>IF(ISNUMBER(outYear),AHR42+AHR47+#REF!+#REF!,"")</f>
        <v/>
      </c>
      <c r="AHS72" s="121" t="str">
        <f>IF(ISNUMBER(outYear),AHS42+AHS47+#REF!+#REF!,"")</f>
        <v/>
      </c>
      <c r="AHT72" s="121" t="str">
        <f>IF(ISNUMBER(outYear),AHT42+AHT47+#REF!+#REF!,"")</f>
        <v/>
      </c>
      <c r="AHU72" s="121" t="str">
        <f>IF(ISNUMBER(outYear),AHU42+AHU47+#REF!+#REF!,"")</f>
        <v/>
      </c>
      <c r="AHV72" s="121" t="str">
        <f>IF(ISNUMBER(outYear),AHV42+AHV47+#REF!+#REF!,"")</f>
        <v/>
      </c>
      <c r="AHW72" s="121" t="str">
        <f>IF(ISNUMBER(outYear),AHW42+AHW47+#REF!+#REF!,"")</f>
        <v/>
      </c>
      <c r="AHX72" s="121" t="str">
        <f>IF(ISNUMBER(outYear),AHX42+AHX47+#REF!+#REF!,"")</f>
        <v/>
      </c>
      <c r="AHY72" s="121" t="str">
        <f>IF(ISNUMBER(outYear),AHY42+AHY47+#REF!+#REF!,"")</f>
        <v/>
      </c>
      <c r="AHZ72" s="121" t="str">
        <f>IF(ISNUMBER(outYear),AHZ42+AHZ47+#REF!+#REF!,"")</f>
        <v/>
      </c>
      <c r="AIA72" s="121" t="str">
        <f>IF(ISNUMBER(outYear),AIA42+AIA47+#REF!+#REF!,"")</f>
        <v/>
      </c>
      <c r="AIB72" s="121" t="str">
        <f>IF(ISNUMBER(outYear),AIB42+AIB47+#REF!+#REF!,"")</f>
        <v/>
      </c>
      <c r="AIC72" s="121" t="str">
        <f>IF(ISNUMBER(outYear),AIC42+AIC47+#REF!+#REF!,"")</f>
        <v/>
      </c>
      <c r="AID72" s="121" t="str">
        <f>IF(ISNUMBER(outYear),AID42+AID47+#REF!+#REF!,"")</f>
        <v/>
      </c>
      <c r="AIE72" s="121" t="str">
        <f>IF(ISNUMBER(outYear),AIE42+AIE47+#REF!+#REF!,"")</f>
        <v/>
      </c>
      <c r="AIF72" s="121" t="str">
        <f>IF(ISNUMBER(outYear),AIF42+AIF47+#REF!+#REF!,"")</f>
        <v/>
      </c>
      <c r="AIG72" s="121" t="str">
        <f>IF(ISNUMBER(outYear),AIG42+AIG47+#REF!+#REF!,"")</f>
        <v/>
      </c>
      <c r="AIH72" s="121" t="str">
        <f>IF(ISNUMBER(outYear),AIH42+AIH47+#REF!+#REF!,"")</f>
        <v/>
      </c>
      <c r="AII72" s="121" t="str">
        <f>IF(ISNUMBER(outYear),AII42+AII47+#REF!+#REF!,"")</f>
        <v/>
      </c>
      <c r="AIJ72" s="121" t="str">
        <f>IF(ISNUMBER(outYear),AIJ42+AIJ47+#REF!+#REF!,"")</f>
        <v/>
      </c>
      <c r="AIK72" s="121" t="str">
        <f>IF(ISNUMBER(outYear),AIK42+AIK47+#REF!+#REF!,"")</f>
        <v/>
      </c>
      <c r="AIL72" s="121" t="str">
        <f>IF(ISNUMBER(outYear),AIL42+AIL47+#REF!+#REF!,"")</f>
        <v/>
      </c>
      <c r="AIM72" s="121" t="str">
        <f>IF(ISNUMBER(outYear),AIM42+AIM47+#REF!+#REF!,"")</f>
        <v/>
      </c>
      <c r="AIN72" s="121" t="str">
        <f>IF(ISNUMBER(outYear),AIN42+AIN47+#REF!+#REF!,"")</f>
        <v/>
      </c>
      <c r="AIO72" s="121" t="str">
        <f>IF(ISNUMBER(outYear),AIO42+AIO47+#REF!+#REF!,"")</f>
        <v/>
      </c>
      <c r="AIP72" s="121" t="str">
        <f>IF(ISNUMBER(outYear),AIP42+AIP47+#REF!+#REF!,"")</f>
        <v/>
      </c>
      <c r="AIQ72" s="121" t="str">
        <f>IF(ISNUMBER(outYear),AIQ42+AIQ47+#REF!+#REF!,"")</f>
        <v/>
      </c>
      <c r="AIR72" s="121" t="str">
        <f>IF(ISNUMBER(outYear),AIR42+AIR47+#REF!+#REF!,"")</f>
        <v/>
      </c>
      <c r="AIS72" s="121" t="str">
        <f>IF(ISNUMBER(outYear),AIS42+AIS47+#REF!+#REF!,"")</f>
        <v/>
      </c>
      <c r="AIT72" s="121" t="str">
        <f>IF(ISNUMBER(outYear),AIT42+AIT47+#REF!+#REF!,"")</f>
        <v/>
      </c>
      <c r="AIU72" s="121" t="str">
        <f>IF(ISNUMBER(outYear),AIU42+AIU47+#REF!+#REF!,"")</f>
        <v/>
      </c>
      <c r="AIV72" s="121" t="str">
        <f>IF(ISNUMBER(outYear),AIV42+AIV47+#REF!+#REF!,"")</f>
        <v/>
      </c>
      <c r="AIW72" s="121" t="str">
        <f>IF(ISNUMBER(outYear),AIW42+AIW47+#REF!+#REF!,"")</f>
        <v/>
      </c>
      <c r="AIX72" s="121" t="str">
        <f>IF(ISNUMBER(outYear),AIX42+AIX47+#REF!+#REF!,"")</f>
        <v/>
      </c>
      <c r="AIY72" s="121" t="str">
        <f>IF(ISNUMBER(outYear),AIY42+AIY47+#REF!+#REF!,"")</f>
        <v/>
      </c>
      <c r="AIZ72" s="121" t="str">
        <f>IF(ISNUMBER(outYear),AIZ42+AIZ47+#REF!+#REF!,"")</f>
        <v/>
      </c>
      <c r="AJA72" s="121" t="str">
        <f>IF(ISNUMBER(outYear),AJA42+AJA47+#REF!+#REF!,"")</f>
        <v/>
      </c>
      <c r="AJB72" s="121" t="str">
        <f>IF(ISNUMBER(outYear),AJB42+AJB47+#REF!+#REF!,"")</f>
        <v/>
      </c>
      <c r="AJC72" s="121" t="str">
        <f>IF(ISNUMBER(outYear),AJC42+AJC47+#REF!+#REF!,"")</f>
        <v/>
      </c>
      <c r="AJD72" s="121" t="str">
        <f>IF(ISNUMBER(outYear),AJD42+AJD47+#REF!+#REF!,"")</f>
        <v/>
      </c>
      <c r="AJE72" s="121" t="str">
        <f>IF(ISNUMBER(outYear),AJE42+AJE47+#REF!+#REF!,"")</f>
        <v/>
      </c>
      <c r="AJF72" s="121" t="str">
        <f>IF(ISNUMBER(outYear),AJF42+AJF47+#REF!+#REF!,"")</f>
        <v/>
      </c>
      <c r="AJG72" s="121" t="str">
        <f>IF(ISNUMBER(outYear),AJG42+AJG47+#REF!+#REF!,"")</f>
        <v/>
      </c>
      <c r="AJH72" s="121" t="str">
        <f>IF(ISNUMBER(outYear),AJH42+AJH47+#REF!+#REF!,"")</f>
        <v/>
      </c>
      <c r="AJI72" s="121" t="str">
        <f>IF(ISNUMBER(outYear),AJI42+AJI47+#REF!+#REF!,"")</f>
        <v/>
      </c>
      <c r="AJJ72" s="121" t="str">
        <f>IF(ISNUMBER(outYear),AJJ42+AJJ47+#REF!+#REF!,"")</f>
        <v/>
      </c>
      <c r="AJK72" s="121" t="str">
        <f>IF(ISNUMBER(outYear),AJK42+AJK47+#REF!+#REF!,"")</f>
        <v/>
      </c>
      <c r="AJL72" s="121" t="str">
        <f>IF(ISNUMBER(outYear),AJL42+AJL47+#REF!+#REF!,"")</f>
        <v/>
      </c>
      <c r="AJM72" s="121" t="str">
        <f>IF(ISNUMBER(outYear),AJM42+AJM47+#REF!+#REF!,"")</f>
        <v/>
      </c>
      <c r="AJN72" s="121" t="str">
        <f>IF(ISNUMBER(outYear),AJN42+AJN47+#REF!+#REF!,"")</f>
        <v/>
      </c>
      <c r="AJO72" s="121" t="str">
        <f>IF(ISNUMBER(outYear),AJO42+AJO47+#REF!+#REF!,"")</f>
        <v/>
      </c>
      <c r="AJP72" s="121" t="str">
        <f>IF(ISNUMBER(outYear),AJP42+AJP47+#REF!+#REF!,"")</f>
        <v/>
      </c>
      <c r="AJQ72" s="121" t="str">
        <f>IF(ISNUMBER(outYear),AJQ42+AJQ47+#REF!+#REF!,"")</f>
        <v/>
      </c>
      <c r="AJR72" s="121" t="str">
        <f>IF(ISNUMBER(outYear),AJR42+AJR47+#REF!+#REF!,"")</f>
        <v/>
      </c>
      <c r="AJS72" s="121" t="str">
        <f>IF(ISNUMBER(outYear),AJS42+AJS47+#REF!+#REF!,"")</f>
        <v/>
      </c>
      <c r="AJT72" s="121" t="str">
        <f>IF(ISNUMBER(outYear),AJT42+AJT47+#REF!+#REF!,"")</f>
        <v/>
      </c>
      <c r="AJU72" s="121" t="str">
        <f>IF(ISNUMBER(outYear),AJU42+AJU47+#REF!+#REF!,"")</f>
        <v/>
      </c>
      <c r="AJV72" s="121" t="str">
        <f>IF(ISNUMBER(outYear),AJV42+AJV47+#REF!+#REF!,"")</f>
        <v/>
      </c>
      <c r="AJW72" s="121" t="str">
        <f>IF(ISNUMBER(outYear),AJW42+AJW47+#REF!+#REF!,"")</f>
        <v/>
      </c>
      <c r="AJX72" s="121" t="str">
        <f>IF(ISNUMBER(outYear),AJX42+AJX47+#REF!+#REF!,"")</f>
        <v/>
      </c>
      <c r="AJY72" s="121" t="str">
        <f>IF(ISNUMBER(outYear),AJY42+AJY47+#REF!+#REF!,"")</f>
        <v/>
      </c>
      <c r="AJZ72" s="121" t="str">
        <f>IF(ISNUMBER(outYear),AJZ42+AJZ47+#REF!+#REF!,"")</f>
        <v/>
      </c>
      <c r="AKA72" s="121" t="str">
        <f>IF(ISNUMBER(outYear),AKA42+AKA47+#REF!+#REF!,"")</f>
        <v/>
      </c>
      <c r="AKB72" s="121" t="str">
        <f>IF(ISNUMBER(outYear),AKB42+AKB47+#REF!+#REF!,"")</f>
        <v/>
      </c>
      <c r="AKC72" s="121" t="str">
        <f>IF(ISNUMBER(outYear),AKC42+AKC47+#REF!+#REF!,"")</f>
        <v/>
      </c>
      <c r="AKD72" s="121" t="str">
        <f>IF(ISNUMBER(outYear),AKD42+AKD47+#REF!+#REF!,"")</f>
        <v/>
      </c>
      <c r="AKE72" s="121" t="str">
        <f>IF(ISNUMBER(outYear),AKE42+AKE47+#REF!+#REF!,"")</f>
        <v/>
      </c>
      <c r="AKF72" s="121" t="str">
        <f>IF(ISNUMBER(outYear),AKF42+AKF47+#REF!+#REF!,"")</f>
        <v/>
      </c>
      <c r="AKG72" s="121" t="str">
        <f>IF(ISNUMBER(outYear),AKG42+AKG47+#REF!+#REF!,"")</f>
        <v/>
      </c>
      <c r="AKH72" s="121" t="str">
        <f>IF(ISNUMBER(outYear),AKH42+AKH47+#REF!+#REF!,"")</f>
        <v/>
      </c>
      <c r="AKI72" s="121" t="str">
        <f>IF(ISNUMBER(outYear),AKI42+AKI47+#REF!+#REF!,"")</f>
        <v/>
      </c>
      <c r="AKJ72" s="121" t="str">
        <f>IF(ISNUMBER(outYear),AKJ42+AKJ47+#REF!+#REF!,"")</f>
        <v/>
      </c>
      <c r="AKK72" s="121" t="str">
        <f>IF(ISNUMBER(outYear),AKK42+AKK47+#REF!+#REF!,"")</f>
        <v/>
      </c>
      <c r="AKL72" s="121" t="str">
        <f>IF(ISNUMBER(outYear),AKL42+AKL47+#REF!+#REF!,"")</f>
        <v/>
      </c>
      <c r="AKM72" s="121" t="str">
        <f>IF(ISNUMBER(outYear),AKM42+AKM47+#REF!+#REF!,"")</f>
        <v/>
      </c>
      <c r="AKN72" s="121" t="str">
        <f>IF(ISNUMBER(outYear),AKN42+AKN47+#REF!+#REF!,"")</f>
        <v/>
      </c>
      <c r="AKO72" s="121" t="str">
        <f>IF(ISNUMBER(outYear),AKO42+AKO47+#REF!+#REF!,"")</f>
        <v/>
      </c>
      <c r="AKP72" s="121" t="str">
        <f>IF(ISNUMBER(outYear),AKP42+AKP47+#REF!+#REF!,"")</f>
        <v/>
      </c>
      <c r="AKQ72" s="121" t="str">
        <f>IF(ISNUMBER(outYear),AKQ42+AKQ47+#REF!+#REF!,"")</f>
        <v/>
      </c>
      <c r="AKR72" s="121" t="str">
        <f>IF(ISNUMBER(outYear),AKR42+AKR47+#REF!+#REF!,"")</f>
        <v/>
      </c>
      <c r="AKS72" s="121" t="str">
        <f>IF(ISNUMBER(outYear),AKS42+AKS47+#REF!+#REF!,"")</f>
        <v/>
      </c>
      <c r="AKT72" s="121" t="str">
        <f>IF(ISNUMBER(outYear),AKT42+AKT47+#REF!+#REF!,"")</f>
        <v/>
      </c>
      <c r="AKU72" s="121" t="str">
        <f>IF(ISNUMBER(outYear),AKU42+AKU47+#REF!+#REF!,"")</f>
        <v/>
      </c>
      <c r="AKV72" s="121" t="str">
        <f>IF(ISNUMBER(outYear),AKV42+AKV47+#REF!+#REF!,"")</f>
        <v/>
      </c>
      <c r="AKW72" s="121" t="str">
        <f>IF(ISNUMBER(outYear),AKW42+AKW47+#REF!+#REF!,"")</f>
        <v/>
      </c>
      <c r="AKX72" s="121" t="str">
        <f>IF(ISNUMBER(outYear),AKX42+AKX47+#REF!+#REF!,"")</f>
        <v/>
      </c>
      <c r="AKY72" s="121" t="str">
        <f>IF(ISNUMBER(outYear),AKY42+AKY47+#REF!+#REF!,"")</f>
        <v/>
      </c>
      <c r="AKZ72" s="121" t="str">
        <f>IF(ISNUMBER(outYear),AKZ42+AKZ47+#REF!+#REF!,"")</f>
        <v/>
      </c>
      <c r="ALA72" s="121" t="str">
        <f>IF(ISNUMBER(outYear),ALA42+ALA47+#REF!+#REF!,"")</f>
        <v/>
      </c>
      <c r="ALB72" s="121" t="str">
        <f>IF(ISNUMBER(outYear),ALB42+ALB47+#REF!+#REF!,"")</f>
        <v/>
      </c>
      <c r="ALC72" s="121" t="str">
        <f>IF(ISNUMBER(outYear),ALC42+ALC47+#REF!+#REF!,"")</f>
        <v/>
      </c>
      <c r="ALD72" s="121" t="str">
        <f>IF(ISNUMBER(outYear),ALD42+ALD47+#REF!+#REF!,"")</f>
        <v/>
      </c>
      <c r="ALE72" s="121" t="str">
        <f>IF(ISNUMBER(outYear),ALE42+ALE47+#REF!+#REF!,"")</f>
        <v/>
      </c>
      <c r="ALF72" s="121" t="str">
        <f>IF(ISNUMBER(outYear),ALF42+ALF47+#REF!+#REF!,"")</f>
        <v/>
      </c>
      <c r="ALG72" s="121" t="str">
        <f>IF(ISNUMBER(outYear),ALG42+ALG47+#REF!+#REF!,"")</f>
        <v/>
      </c>
      <c r="ALH72" s="121" t="str">
        <f>IF(ISNUMBER(outYear),ALH42+ALH47+#REF!+#REF!,"")</f>
        <v/>
      </c>
      <c r="ALI72" s="121" t="str">
        <f>IF(ISNUMBER(outYear),ALI42+ALI47+#REF!+#REF!,"")</f>
        <v/>
      </c>
      <c r="ALJ72" s="121" t="str">
        <f>IF(ISNUMBER(outYear),ALJ42+ALJ47+#REF!+#REF!,"")</f>
        <v/>
      </c>
      <c r="ALK72" s="121" t="str">
        <f>IF(ISNUMBER(outYear),ALK42+ALK47+#REF!+#REF!,"")</f>
        <v/>
      </c>
      <c r="ALL72" s="121" t="str">
        <f>IF(ISNUMBER(outYear),ALL42+ALL47+#REF!+#REF!,"")</f>
        <v/>
      </c>
      <c r="ALM72" s="121" t="str">
        <f>IF(ISNUMBER(outYear),ALM42+ALM47+#REF!+#REF!,"")</f>
        <v/>
      </c>
      <c r="ALN72" s="121" t="str">
        <f>IF(ISNUMBER(outYear),ALN42+ALN47+#REF!+#REF!,"")</f>
        <v/>
      </c>
      <c r="ALO72" s="121" t="str">
        <f>IF(ISNUMBER(outYear),ALO42+ALO47+#REF!+#REF!,"")</f>
        <v/>
      </c>
      <c r="ALP72" s="121" t="str">
        <f>IF(ISNUMBER(outYear),ALP42+ALP47+#REF!+#REF!,"")</f>
        <v/>
      </c>
      <c r="ALQ72" s="121" t="str">
        <f>IF(ISNUMBER(outYear),ALQ42+ALQ47+#REF!+#REF!,"")</f>
        <v/>
      </c>
      <c r="ALR72" s="121" t="str">
        <f>IF(ISNUMBER(outYear),ALR42+ALR47+#REF!+#REF!,"")</f>
        <v/>
      </c>
      <c r="ALS72" s="121" t="str">
        <f>IF(ISNUMBER(outYear),ALS42+ALS47+#REF!+#REF!,"")</f>
        <v/>
      </c>
      <c r="ALT72" s="121" t="str">
        <f>IF(ISNUMBER(outYear),ALT42+ALT47+#REF!+#REF!,"")</f>
        <v/>
      </c>
      <c r="ALU72" s="121" t="str">
        <f>IF(ISNUMBER(outYear),ALU42+ALU47+#REF!+#REF!,"")</f>
        <v/>
      </c>
      <c r="ALV72" s="121" t="str">
        <f>IF(ISNUMBER(outYear),ALV42+ALV47+#REF!+#REF!,"")</f>
        <v/>
      </c>
      <c r="ALW72" s="121" t="str">
        <f>IF(ISNUMBER(outYear),ALW42+ALW47+#REF!+#REF!,"")</f>
        <v/>
      </c>
      <c r="ALX72" s="121" t="str">
        <f>IF(ISNUMBER(outYear),ALX42+ALX47+#REF!+#REF!,"")</f>
        <v/>
      </c>
      <c r="ALY72" s="121" t="str">
        <f>IF(ISNUMBER(outYear),ALY42+ALY47+#REF!+#REF!,"")</f>
        <v/>
      </c>
      <c r="ALZ72" s="121" t="str">
        <f>IF(ISNUMBER(outYear),ALZ42+ALZ47+#REF!+#REF!,"")</f>
        <v/>
      </c>
      <c r="AMA72" s="121" t="str">
        <f>IF(ISNUMBER(outYear),AMA42+AMA47+#REF!+#REF!,"")</f>
        <v/>
      </c>
      <c r="AMB72" s="121" t="str">
        <f>IF(ISNUMBER(outYear),AMB42+AMB47+#REF!+#REF!,"")</f>
        <v/>
      </c>
      <c r="AMC72" s="121" t="str">
        <f>IF(ISNUMBER(outYear),AMC42+AMC47+#REF!+#REF!,"")</f>
        <v/>
      </c>
      <c r="AMD72" s="121" t="str">
        <f>IF(ISNUMBER(outYear),AMD42+AMD47+#REF!+#REF!,"")</f>
        <v/>
      </c>
      <c r="AME72" s="121" t="str">
        <f>IF(ISNUMBER(outYear),AME42+AME47+#REF!+#REF!,"")</f>
        <v/>
      </c>
      <c r="AMF72" s="121" t="str">
        <f>IF(ISNUMBER(outYear),AMF42+AMF47+#REF!+#REF!,"")</f>
        <v/>
      </c>
      <c r="AMG72" s="121" t="str">
        <f>IF(ISNUMBER(outYear),AMG42+AMG47+#REF!+#REF!,"")</f>
        <v/>
      </c>
      <c r="AMH72" s="121" t="str">
        <f>IF(ISNUMBER(outYear),AMH42+AMH47+#REF!+#REF!,"")</f>
        <v/>
      </c>
      <c r="AMI72" s="121" t="str">
        <f>IF(ISNUMBER(outYear),AMI42+AMI47+#REF!+#REF!,"")</f>
        <v/>
      </c>
      <c r="AMJ72" s="121" t="str">
        <f>IF(ISNUMBER(outYear),AMJ42+AMJ47+#REF!+#REF!,"")</f>
        <v/>
      </c>
    </row>
    <row r="73" spans="1:1024" x14ac:dyDescent="0.25">
      <c r="A73" s="112" t="s">
        <v>150</v>
      </c>
      <c r="B73" s="113"/>
      <c r="C73" s="121">
        <f t="shared" ref="C73:AH73" si="33">IF(ISNUMBER(outYear),IF(ibi_sta_percent_tax_fed="Yes",B41,0)+IF(ibi_uti_percent_tax_fed="Yes",B42,0)+IF(cbi_fed_tax_fed="Yes",B45,0)+IF(cbi_sta_tax_fed="Yes",B46,0)+IF(cbi_uti_tax_fed="Yes",B47,0)+IF(pbi_combined_tax_fed="Yes",C68,0) + IF(batt_ibi_sta_percent_tax_fed="Yes",B59,0)+IF(batt_ibi_uti_percent_tax_fed="Yes",B60,0)+IF(batt_cbi_fed_tax_fed="Yes",B63,0)+IF(batt_cbi_sta_tax_fed="Yes",B64,0)+IF(batt_cbi_uti_tax_fed="Yes",B65,0)+IF(wind_ibi_sta_percent_tax_fed="Yes",B50,0)+IF(wind_ibi_uti_percent_tax_fed="Yes",B51,0)+IF(wind_cbi_fed_tax_fed="Yes",B54,0)+IF(wind_cbi_sta_tax_fed="Yes",B55,0)+IF(wind_cbi_uti_tax_fed="Yes",B56,0)+IF(wind_pbi_combined_tax_fed="Yes",C69,0),"")</f>
        <v>0</v>
      </c>
      <c r="D73" s="121">
        <f t="shared" si="33"/>
        <v>0</v>
      </c>
      <c r="E73" s="121">
        <f t="shared" si="33"/>
        <v>0</v>
      </c>
      <c r="F73" s="121">
        <f t="shared" si="33"/>
        <v>0</v>
      </c>
      <c r="G73" s="121">
        <f t="shared" si="33"/>
        <v>0</v>
      </c>
      <c r="H73" s="121">
        <f t="shared" si="33"/>
        <v>0</v>
      </c>
      <c r="I73" s="121">
        <f t="shared" si="33"/>
        <v>0</v>
      </c>
      <c r="J73" s="121">
        <f t="shared" si="33"/>
        <v>0</v>
      </c>
      <c r="K73" s="121">
        <f t="shared" si="33"/>
        <v>0</v>
      </c>
      <c r="L73" s="121">
        <f t="shared" si="33"/>
        <v>0</v>
      </c>
      <c r="M73" s="121">
        <f t="shared" si="33"/>
        <v>0</v>
      </c>
      <c r="N73" s="121">
        <f t="shared" si="33"/>
        <v>0</v>
      </c>
      <c r="O73" s="121">
        <f t="shared" si="33"/>
        <v>0</v>
      </c>
      <c r="P73" s="121">
        <f t="shared" si="33"/>
        <v>0</v>
      </c>
      <c r="Q73" s="121">
        <f t="shared" si="33"/>
        <v>0</v>
      </c>
      <c r="R73" s="121">
        <f t="shared" si="33"/>
        <v>0</v>
      </c>
      <c r="S73" s="121">
        <f t="shared" si="33"/>
        <v>0</v>
      </c>
      <c r="T73" s="121">
        <f t="shared" si="33"/>
        <v>0</v>
      </c>
      <c r="U73" s="121">
        <f t="shared" si="33"/>
        <v>0</v>
      </c>
      <c r="V73" s="121">
        <f t="shared" si="33"/>
        <v>0</v>
      </c>
      <c r="W73" s="121" t="str">
        <f t="shared" si="33"/>
        <v/>
      </c>
      <c r="X73" s="121" t="str">
        <f t="shared" si="33"/>
        <v/>
      </c>
      <c r="Y73" s="121" t="str">
        <f t="shared" si="33"/>
        <v/>
      </c>
      <c r="Z73" s="121" t="str">
        <f t="shared" si="33"/>
        <v/>
      </c>
      <c r="AA73" s="121" t="str">
        <f t="shared" si="33"/>
        <v/>
      </c>
      <c r="AB73" s="121" t="str">
        <f t="shared" si="33"/>
        <v/>
      </c>
      <c r="AC73" s="121" t="str">
        <f t="shared" si="33"/>
        <v/>
      </c>
      <c r="AD73" s="121" t="str">
        <f t="shared" si="33"/>
        <v/>
      </c>
      <c r="AE73" s="121" t="str">
        <f t="shared" si="33"/>
        <v/>
      </c>
      <c r="AF73" s="121" t="str">
        <f t="shared" si="33"/>
        <v/>
      </c>
      <c r="AG73" s="121" t="str">
        <f t="shared" si="33"/>
        <v/>
      </c>
      <c r="AH73" s="121" t="str">
        <f t="shared" si="33"/>
        <v/>
      </c>
      <c r="AI73" s="121" t="str">
        <f t="shared" ref="AI73:BN73" si="34">IF(ISNUMBER(outYear),IF(ibi_sta_percent_tax_fed="Yes",AH41,0)+IF(ibi_uti_percent_tax_fed="Yes",AH42,0)+IF(cbi_fed_tax_fed="Yes",AH45,0)+IF(cbi_sta_tax_fed="Yes",AH46,0)+IF(cbi_uti_tax_fed="Yes",AH47,0)+IF(pbi_combined_tax_fed="Yes",AI68,0) + IF(batt_ibi_sta_percent_tax_fed="Yes",AH59,0)+IF(batt_ibi_uti_percent_tax_fed="Yes",AH60,0)+IF(batt_cbi_fed_tax_fed="Yes",AH63,0)+IF(batt_cbi_sta_tax_fed="Yes",AH64,0)+IF(batt_cbi_uti_tax_fed="Yes",AH65,0)+IF(wind_ibi_sta_percent_tax_fed="Yes",AH50,0)+IF(wind_ibi_uti_percent_tax_fed="Yes",AH51,0)+IF(wind_cbi_fed_tax_fed="Yes",AH54,0)+IF(wind_cbi_sta_tax_fed="Yes",AH55,0)+IF(wind_cbi_uti_tax_fed="Yes",AH56,0)+IF(wind_pbi_combined_tax_fed="Yes",AI69,0),"")</f>
        <v/>
      </c>
      <c r="AJ73" s="121" t="str">
        <f t="shared" si="34"/>
        <v/>
      </c>
      <c r="AK73" s="121" t="str">
        <f t="shared" si="34"/>
        <v/>
      </c>
      <c r="AL73" s="121" t="str">
        <f t="shared" si="34"/>
        <v/>
      </c>
      <c r="AM73" s="121" t="str">
        <f t="shared" si="34"/>
        <v/>
      </c>
      <c r="AN73" s="121" t="str">
        <f t="shared" si="34"/>
        <v/>
      </c>
      <c r="AO73" s="121" t="str">
        <f t="shared" si="34"/>
        <v/>
      </c>
      <c r="AP73" s="121" t="str">
        <f t="shared" si="34"/>
        <v/>
      </c>
      <c r="AQ73" s="121" t="str">
        <f t="shared" si="34"/>
        <v/>
      </c>
      <c r="AR73" s="121" t="str">
        <f t="shared" si="34"/>
        <v/>
      </c>
      <c r="AS73" s="121" t="str">
        <f t="shared" si="34"/>
        <v/>
      </c>
      <c r="AT73" s="121" t="str">
        <f t="shared" si="34"/>
        <v/>
      </c>
      <c r="AU73" s="121" t="str">
        <f t="shared" si="34"/>
        <v/>
      </c>
      <c r="AV73" s="121" t="str">
        <f t="shared" si="34"/>
        <v/>
      </c>
      <c r="AW73" s="121" t="str">
        <f t="shared" si="34"/>
        <v/>
      </c>
      <c r="AX73" s="121" t="str">
        <f t="shared" si="34"/>
        <v/>
      </c>
      <c r="AY73" s="121" t="str">
        <f t="shared" si="34"/>
        <v/>
      </c>
      <c r="AZ73" s="121" t="str">
        <f t="shared" si="34"/>
        <v/>
      </c>
      <c r="BA73" s="121" t="str">
        <f t="shared" si="34"/>
        <v/>
      </c>
      <c r="BB73" s="121" t="str">
        <f t="shared" si="34"/>
        <v/>
      </c>
      <c r="BC73" s="121" t="str">
        <f t="shared" si="34"/>
        <v/>
      </c>
      <c r="BD73" s="121" t="str">
        <f t="shared" si="34"/>
        <v/>
      </c>
      <c r="BE73" s="121" t="str">
        <f t="shared" si="34"/>
        <v/>
      </c>
      <c r="BF73" s="121" t="str">
        <f t="shared" si="34"/>
        <v/>
      </c>
      <c r="BG73" s="121" t="str">
        <f t="shared" si="34"/>
        <v/>
      </c>
      <c r="BH73" s="121" t="str">
        <f t="shared" si="34"/>
        <v/>
      </c>
      <c r="BI73" s="121" t="str">
        <f t="shared" si="34"/>
        <v/>
      </c>
      <c r="BJ73" s="121" t="str">
        <f t="shared" si="34"/>
        <v/>
      </c>
      <c r="BK73" s="121" t="str">
        <f t="shared" si="34"/>
        <v/>
      </c>
      <c r="BL73" s="121" t="str">
        <f t="shared" si="34"/>
        <v/>
      </c>
      <c r="BM73" s="121" t="str">
        <f t="shared" si="34"/>
        <v/>
      </c>
      <c r="BN73" s="121" t="str">
        <f t="shared" si="34"/>
        <v/>
      </c>
      <c r="BO73" s="121" t="str">
        <f t="shared" ref="BO73:CX73" si="35">IF(ISNUMBER(outYear),IF(ibi_sta_percent_tax_fed="Yes",BN41,0)+IF(ibi_uti_percent_tax_fed="Yes",BN42,0)+IF(cbi_fed_tax_fed="Yes",BN45,0)+IF(cbi_sta_tax_fed="Yes",BN46,0)+IF(cbi_uti_tax_fed="Yes",BN47,0)+IF(pbi_combined_tax_fed="Yes",BO68,0) + IF(batt_ibi_sta_percent_tax_fed="Yes",BN59,0)+IF(batt_ibi_uti_percent_tax_fed="Yes",BN60,0)+IF(batt_cbi_fed_tax_fed="Yes",BN63,0)+IF(batt_cbi_sta_tax_fed="Yes",BN64,0)+IF(batt_cbi_uti_tax_fed="Yes",BN65,0)+IF(wind_ibi_sta_percent_tax_fed="Yes",BN50,0)+IF(wind_ibi_uti_percent_tax_fed="Yes",BN51,0)+IF(wind_cbi_fed_tax_fed="Yes",BN54,0)+IF(wind_cbi_sta_tax_fed="Yes",BN55,0)+IF(wind_cbi_uti_tax_fed="Yes",BN56,0)+IF(wind_pbi_combined_tax_fed="Yes",BO69,0),"")</f>
        <v/>
      </c>
      <c r="BP73" s="121" t="str">
        <f t="shared" si="35"/>
        <v/>
      </c>
      <c r="BQ73" s="121" t="str">
        <f t="shared" si="35"/>
        <v/>
      </c>
      <c r="BR73" s="121" t="str">
        <f t="shared" si="35"/>
        <v/>
      </c>
      <c r="BS73" s="121" t="str">
        <f t="shared" si="35"/>
        <v/>
      </c>
      <c r="BT73" s="121" t="str">
        <f t="shared" si="35"/>
        <v/>
      </c>
      <c r="BU73" s="121" t="str">
        <f t="shared" si="35"/>
        <v/>
      </c>
      <c r="BV73" s="121" t="str">
        <f t="shared" si="35"/>
        <v/>
      </c>
      <c r="BW73" s="121" t="str">
        <f t="shared" si="35"/>
        <v/>
      </c>
      <c r="BX73" s="121" t="str">
        <f t="shared" si="35"/>
        <v/>
      </c>
      <c r="BY73" s="121" t="str">
        <f t="shared" si="35"/>
        <v/>
      </c>
      <c r="BZ73" s="121" t="str">
        <f t="shared" si="35"/>
        <v/>
      </c>
      <c r="CA73" s="121" t="str">
        <f t="shared" si="35"/>
        <v/>
      </c>
      <c r="CB73" s="121" t="str">
        <f t="shared" si="35"/>
        <v/>
      </c>
      <c r="CC73" s="121" t="str">
        <f t="shared" si="35"/>
        <v/>
      </c>
      <c r="CD73" s="121" t="str">
        <f t="shared" si="35"/>
        <v/>
      </c>
      <c r="CE73" s="121" t="str">
        <f t="shared" si="35"/>
        <v/>
      </c>
      <c r="CF73" s="121" t="str">
        <f t="shared" si="35"/>
        <v/>
      </c>
      <c r="CG73" s="121" t="str">
        <f t="shared" si="35"/>
        <v/>
      </c>
      <c r="CH73" s="121" t="str">
        <f t="shared" si="35"/>
        <v/>
      </c>
      <c r="CI73" s="121" t="str">
        <f t="shared" si="35"/>
        <v/>
      </c>
      <c r="CJ73" s="121" t="str">
        <f t="shared" si="35"/>
        <v/>
      </c>
      <c r="CK73" s="121" t="str">
        <f t="shared" si="35"/>
        <v/>
      </c>
      <c r="CL73" s="121" t="str">
        <f t="shared" si="35"/>
        <v/>
      </c>
      <c r="CM73" s="121" t="str">
        <f t="shared" si="35"/>
        <v/>
      </c>
      <c r="CN73" s="121" t="str">
        <f t="shared" si="35"/>
        <v/>
      </c>
      <c r="CO73" s="121" t="str">
        <f t="shared" si="35"/>
        <v/>
      </c>
      <c r="CP73" s="121" t="str">
        <f t="shared" si="35"/>
        <v/>
      </c>
      <c r="CQ73" s="121" t="str">
        <f t="shared" si="35"/>
        <v/>
      </c>
      <c r="CR73" s="121" t="str">
        <f t="shared" si="35"/>
        <v/>
      </c>
      <c r="CS73" s="121" t="str">
        <f t="shared" si="35"/>
        <v/>
      </c>
      <c r="CT73" s="121" t="str">
        <f t="shared" si="35"/>
        <v/>
      </c>
      <c r="CU73" s="121" t="str">
        <f t="shared" si="35"/>
        <v/>
      </c>
      <c r="CV73" s="121" t="str">
        <f t="shared" si="35"/>
        <v/>
      </c>
      <c r="CW73" s="121" t="str">
        <f t="shared" si="35"/>
        <v/>
      </c>
      <c r="CX73" s="121" t="str">
        <f t="shared" si="35"/>
        <v/>
      </c>
    </row>
    <row r="74" spans="1:1024" x14ac:dyDescent="0.25">
      <c r="A74" s="112" t="s">
        <v>151</v>
      </c>
      <c r="B74" s="113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</row>
    <row r="75" spans="1:1024" x14ac:dyDescent="0.25">
      <c r="A75" s="107" t="s">
        <v>152</v>
      </c>
      <c r="B75" s="113"/>
      <c r="C75" s="121">
        <f t="shared" ref="C75:AH75" si="36">C24</f>
        <v>593.97847999999999</v>
      </c>
      <c r="D75" s="121">
        <f t="shared" si="36"/>
        <v>608.82794200000001</v>
      </c>
      <c r="E75" s="121">
        <f t="shared" si="36"/>
        <v>624.04864054999996</v>
      </c>
      <c r="F75" s="121">
        <f t="shared" si="36"/>
        <v>639.64985656374995</v>
      </c>
      <c r="G75" s="121">
        <f t="shared" si="36"/>
        <v>655.64110297784362</v>
      </c>
      <c r="H75" s="121">
        <f t="shared" si="36"/>
        <v>672.03213055228969</v>
      </c>
      <c r="I75" s="121">
        <f t="shared" si="36"/>
        <v>688.8329338160969</v>
      </c>
      <c r="J75" s="121">
        <f t="shared" si="36"/>
        <v>706.05375716149933</v>
      </c>
      <c r="K75" s="121">
        <f t="shared" si="36"/>
        <v>723.70510109053657</v>
      </c>
      <c r="L75" s="121">
        <f t="shared" si="36"/>
        <v>741.79772861780009</v>
      </c>
      <c r="M75" s="121">
        <f t="shared" si="36"/>
        <v>760.34267183324505</v>
      </c>
      <c r="N75" s="121">
        <f t="shared" si="36"/>
        <v>779.35123862907619</v>
      </c>
      <c r="O75" s="121">
        <f t="shared" si="36"/>
        <v>798.83501959480304</v>
      </c>
      <c r="P75" s="121">
        <f t="shared" si="36"/>
        <v>818.8058950846729</v>
      </c>
      <c r="Q75" s="121">
        <f t="shared" si="36"/>
        <v>839.27604246178987</v>
      </c>
      <c r="R75" s="121">
        <f t="shared" si="36"/>
        <v>860.25794352333457</v>
      </c>
      <c r="S75" s="121">
        <f t="shared" si="36"/>
        <v>881.76439211141781</v>
      </c>
      <c r="T75" s="121">
        <f t="shared" si="36"/>
        <v>903.80850191420336</v>
      </c>
      <c r="U75" s="121">
        <f t="shared" si="36"/>
        <v>926.40371446205836</v>
      </c>
      <c r="V75" s="121">
        <f t="shared" si="36"/>
        <v>949.56380732360969</v>
      </c>
      <c r="W75" s="121" t="str">
        <f t="shared" si="36"/>
        <v/>
      </c>
      <c r="X75" s="121" t="str">
        <f t="shared" si="36"/>
        <v/>
      </c>
      <c r="Y75" s="121" t="str">
        <f t="shared" si="36"/>
        <v/>
      </c>
      <c r="Z75" s="121" t="str">
        <f t="shared" si="36"/>
        <v/>
      </c>
      <c r="AA75" s="121" t="str">
        <f t="shared" si="36"/>
        <v/>
      </c>
      <c r="AB75" s="121" t="str">
        <f t="shared" si="36"/>
        <v/>
      </c>
      <c r="AC75" s="121" t="str">
        <f t="shared" si="36"/>
        <v/>
      </c>
      <c r="AD75" s="121" t="str">
        <f t="shared" si="36"/>
        <v/>
      </c>
      <c r="AE75" s="121" t="str">
        <f t="shared" si="36"/>
        <v/>
      </c>
      <c r="AF75" s="121" t="str">
        <f t="shared" si="36"/>
        <v/>
      </c>
      <c r="AG75" s="121" t="str">
        <f t="shared" si="36"/>
        <v/>
      </c>
      <c r="AH75" s="121" t="str">
        <f t="shared" si="36"/>
        <v/>
      </c>
      <c r="AI75" s="121" t="str">
        <f t="shared" ref="AI75:BN75" si="37">AI24</f>
        <v/>
      </c>
      <c r="AJ75" s="121" t="str">
        <f t="shared" si="37"/>
        <v/>
      </c>
      <c r="AK75" s="121" t="str">
        <f t="shared" si="37"/>
        <v/>
      </c>
      <c r="AL75" s="121" t="str">
        <f t="shared" si="37"/>
        <v/>
      </c>
      <c r="AM75" s="121" t="str">
        <f t="shared" si="37"/>
        <v/>
      </c>
      <c r="AN75" s="121" t="str">
        <f t="shared" si="37"/>
        <v/>
      </c>
      <c r="AO75" s="121" t="str">
        <f t="shared" si="37"/>
        <v/>
      </c>
      <c r="AP75" s="121" t="str">
        <f t="shared" si="37"/>
        <v/>
      </c>
      <c r="AQ75" s="121" t="str">
        <f t="shared" si="37"/>
        <v/>
      </c>
      <c r="AR75" s="121" t="str">
        <f t="shared" si="37"/>
        <v/>
      </c>
      <c r="AS75" s="121" t="str">
        <f t="shared" si="37"/>
        <v/>
      </c>
      <c r="AT75" s="121" t="str">
        <f t="shared" si="37"/>
        <v/>
      </c>
      <c r="AU75" s="121" t="str">
        <f t="shared" si="37"/>
        <v/>
      </c>
      <c r="AV75" s="121" t="str">
        <f t="shared" si="37"/>
        <v/>
      </c>
      <c r="AW75" s="121" t="str">
        <f t="shared" si="37"/>
        <v/>
      </c>
      <c r="AX75" s="121" t="str">
        <f t="shared" si="37"/>
        <v/>
      </c>
      <c r="AY75" s="121" t="str">
        <f t="shared" si="37"/>
        <v/>
      </c>
      <c r="AZ75" s="121" t="str">
        <f t="shared" si="37"/>
        <v/>
      </c>
      <c r="BA75" s="121" t="str">
        <f t="shared" si="37"/>
        <v/>
      </c>
      <c r="BB75" s="121" t="str">
        <f t="shared" si="37"/>
        <v/>
      </c>
      <c r="BC75" s="121" t="str">
        <f t="shared" si="37"/>
        <v/>
      </c>
      <c r="BD75" s="121" t="str">
        <f t="shared" si="37"/>
        <v/>
      </c>
      <c r="BE75" s="121" t="str">
        <f t="shared" si="37"/>
        <v/>
      </c>
      <c r="BF75" s="121" t="str">
        <f t="shared" si="37"/>
        <v/>
      </c>
      <c r="BG75" s="121" t="str">
        <f t="shared" si="37"/>
        <v/>
      </c>
      <c r="BH75" s="121" t="str">
        <f t="shared" si="37"/>
        <v/>
      </c>
      <c r="BI75" s="121" t="str">
        <f t="shared" si="37"/>
        <v/>
      </c>
      <c r="BJ75" s="121" t="str">
        <f t="shared" si="37"/>
        <v/>
      </c>
      <c r="BK75" s="121" t="str">
        <f t="shared" si="37"/>
        <v/>
      </c>
      <c r="BL75" s="121" t="str">
        <f t="shared" si="37"/>
        <v/>
      </c>
      <c r="BM75" s="121" t="str">
        <f t="shared" si="37"/>
        <v/>
      </c>
      <c r="BN75" s="121" t="str">
        <f t="shared" si="37"/>
        <v/>
      </c>
      <c r="BO75" s="121" t="str">
        <f t="shared" ref="BO75:CX75" si="38">BO24</f>
        <v/>
      </c>
      <c r="BP75" s="121" t="str">
        <f t="shared" si="38"/>
        <v/>
      </c>
      <c r="BQ75" s="121" t="str">
        <f t="shared" si="38"/>
        <v/>
      </c>
      <c r="BR75" s="121" t="str">
        <f t="shared" si="38"/>
        <v/>
      </c>
      <c r="BS75" s="121" t="str">
        <f t="shared" si="38"/>
        <v/>
      </c>
      <c r="BT75" s="121" t="str">
        <f t="shared" si="38"/>
        <v/>
      </c>
      <c r="BU75" s="121" t="str">
        <f t="shared" si="38"/>
        <v/>
      </c>
      <c r="BV75" s="121" t="str">
        <f t="shared" si="38"/>
        <v/>
      </c>
      <c r="BW75" s="121" t="str">
        <f t="shared" si="38"/>
        <v/>
      </c>
      <c r="BX75" s="121" t="str">
        <f t="shared" si="38"/>
        <v/>
      </c>
      <c r="BY75" s="121" t="str">
        <f t="shared" si="38"/>
        <v/>
      </c>
      <c r="BZ75" s="121" t="str">
        <f t="shared" si="38"/>
        <v/>
      </c>
      <c r="CA75" s="121" t="str">
        <f t="shared" si="38"/>
        <v/>
      </c>
      <c r="CB75" s="121" t="str">
        <f t="shared" si="38"/>
        <v/>
      </c>
      <c r="CC75" s="121" t="str">
        <f t="shared" si="38"/>
        <v/>
      </c>
      <c r="CD75" s="121" t="str">
        <f t="shared" si="38"/>
        <v/>
      </c>
      <c r="CE75" s="121" t="str">
        <f t="shared" si="38"/>
        <v/>
      </c>
      <c r="CF75" s="121" t="str">
        <f t="shared" si="38"/>
        <v/>
      </c>
      <c r="CG75" s="121" t="str">
        <f t="shared" si="38"/>
        <v/>
      </c>
      <c r="CH75" s="121" t="str">
        <f t="shared" si="38"/>
        <v/>
      </c>
      <c r="CI75" s="121" t="str">
        <f t="shared" si="38"/>
        <v/>
      </c>
      <c r="CJ75" s="121" t="str">
        <f t="shared" si="38"/>
        <v/>
      </c>
      <c r="CK75" s="121" t="str">
        <f t="shared" si="38"/>
        <v/>
      </c>
      <c r="CL75" s="121" t="str">
        <f t="shared" si="38"/>
        <v/>
      </c>
      <c r="CM75" s="121" t="str">
        <f t="shared" si="38"/>
        <v/>
      </c>
      <c r="CN75" s="121" t="str">
        <f t="shared" si="38"/>
        <v/>
      </c>
      <c r="CO75" s="121" t="str">
        <f t="shared" si="38"/>
        <v/>
      </c>
      <c r="CP75" s="121" t="str">
        <f t="shared" si="38"/>
        <v/>
      </c>
      <c r="CQ75" s="121" t="str">
        <f t="shared" si="38"/>
        <v/>
      </c>
      <c r="CR75" s="121" t="str">
        <f t="shared" si="38"/>
        <v/>
      </c>
      <c r="CS75" s="121" t="str">
        <f t="shared" si="38"/>
        <v/>
      </c>
      <c r="CT75" s="121" t="str">
        <f t="shared" si="38"/>
        <v/>
      </c>
      <c r="CU75" s="121" t="str">
        <f t="shared" si="38"/>
        <v/>
      </c>
      <c r="CV75" s="121" t="str">
        <f t="shared" si="38"/>
        <v/>
      </c>
      <c r="CW75" s="121" t="str">
        <f t="shared" si="38"/>
        <v/>
      </c>
      <c r="CX75" s="121" t="str">
        <f t="shared" si="38"/>
        <v/>
      </c>
    </row>
    <row r="76" spans="1:1024" x14ac:dyDescent="0.25">
      <c r="A76" s="107" t="s">
        <v>153</v>
      </c>
      <c r="B76" s="113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1"/>
      <c r="BK76" s="121"/>
      <c r="BL76" s="121"/>
      <c r="BM76" s="121"/>
      <c r="BN76" s="121"/>
      <c r="BO76" s="121"/>
      <c r="BP76" s="121"/>
      <c r="BQ76" s="121"/>
      <c r="BR76" s="121"/>
      <c r="BS76" s="121"/>
      <c r="BT76" s="121"/>
      <c r="BU76" s="121"/>
      <c r="BV76" s="121"/>
      <c r="BW76" s="121"/>
      <c r="BX76" s="121"/>
      <c r="BY76" s="121"/>
      <c r="BZ76" s="121"/>
      <c r="CA76" s="121"/>
      <c r="CB76" s="121"/>
      <c r="CC76" s="121"/>
      <c r="CD76" s="121"/>
      <c r="CE76" s="121"/>
      <c r="CF76" s="121"/>
      <c r="CG76" s="121"/>
      <c r="CH76" s="121"/>
      <c r="CI76" s="121"/>
      <c r="CJ76" s="121"/>
      <c r="CK76" s="121"/>
      <c r="CL76" s="121"/>
      <c r="CM76" s="121"/>
      <c r="CN76" s="121"/>
      <c r="CO76" s="121"/>
      <c r="CP76" s="121"/>
      <c r="CQ76" s="121"/>
      <c r="CR76" s="121"/>
      <c r="CS76" s="121"/>
      <c r="CT76" s="121"/>
      <c r="CU76" s="121"/>
      <c r="CV76" s="121"/>
      <c r="CW76" s="121"/>
      <c r="CX76" s="121"/>
    </row>
    <row r="77" spans="1:1024" x14ac:dyDescent="0.25">
      <c r="A77" s="117" t="s">
        <v>154</v>
      </c>
      <c r="B77" s="114"/>
      <c r="C77" s="114">
        <f>'Inputs and Outputs'!C114</f>
        <v>0.2</v>
      </c>
      <c r="D77" s="114">
        <f>'Inputs and Outputs'!D114</f>
        <v>0.32</v>
      </c>
      <c r="E77" s="114">
        <f>'Inputs and Outputs'!E114</f>
        <v>0.192</v>
      </c>
      <c r="F77" s="114">
        <f>'Inputs and Outputs'!F114</f>
        <v>0.1152</v>
      </c>
      <c r="G77" s="114">
        <f>'Inputs and Outputs'!G114</f>
        <v>0.1152</v>
      </c>
      <c r="H77" s="114">
        <f>'Inputs and Outputs'!H114</f>
        <v>5.7599999999999998E-2</v>
      </c>
      <c r="I77" s="114">
        <f>'Inputs and Outputs'!I114</f>
        <v>0</v>
      </c>
      <c r="J77" s="114">
        <f>'Inputs and Outputs'!J114</f>
        <v>0</v>
      </c>
      <c r="K77" s="114">
        <f>'Inputs and Outputs'!K114</f>
        <v>0</v>
      </c>
      <c r="L77" s="114">
        <f>'Inputs and Outputs'!L114</f>
        <v>0</v>
      </c>
      <c r="M77" s="114">
        <f>'Inputs and Outputs'!M114</f>
        <v>0</v>
      </c>
      <c r="N77" s="114">
        <f>'Inputs and Outputs'!N114</f>
        <v>0</v>
      </c>
      <c r="O77" s="114">
        <f>'Inputs and Outputs'!O114</f>
        <v>0</v>
      </c>
      <c r="P77" s="114">
        <f>'Inputs and Outputs'!P114</f>
        <v>0</v>
      </c>
      <c r="Q77" s="114">
        <f>'Inputs and Outputs'!Q114</f>
        <v>0</v>
      </c>
      <c r="R77" s="114">
        <f>'Inputs and Outputs'!R114</f>
        <v>0</v>
      </c>
      <c r="S77" s="114">
        <f>'Inputs and Outputs'!S114</f>
        <v>0</v>
      </c>
      <c r="T77" s="114">
        <f>'Inputs and Outputs'!T114</f>
        <v>0</v>
      </c>
      <c r="U77" s="114">
        <f>'Inputs and Outputs'!U114</f>
        <v>0</v>
      </c>
      <c r="V77" s="114">
        <f>'Inputs and Outputs'!V114</f>
        <v>0</v>
      </c>
      <c r="W77" s="114" t="str">
        <f>'Inputs and Outputs'!W114</f>
        <v/>
      </c>
      <c r="X77" s="114" t="str">
        <f>'Inputs and Outputs'!X114</f>
        <v/>
      </c>
      <c r="Y77" s="114" t="str">
        <f>'Inputs and Outputs'!Y114</f>
        <v/>
      </c>
      <c r="Z77" s="114" t="str">
        <f>'Inputs and Outputs'!Z114</f>
        <v/>
      </c>
      <c r="AA77" s="114" t="str">
        <f>'Inputs and Outputs'!AA114</f>
        <v/>
      </c>
      <c r="AB77" s="114" t="str">
        <f>'Inputs and Outputs'!AB114</f>
        <v/>
      </c>
      <c r="AC77" s="114" t="str">
        <f>'Inputs and Outputs'!AC114</f>
        <v/>
      </c>
      <c r="AD77" s="114" t="str">
        <f>'Inputs and Outputs'!AD114</f>
        <v/>
      </c>
      <c r="AE77" s="114" t="str">
        <f>'Inputs and Outputs'!AE114</f>
        <v/>
      </c>
      <c r="AF77" s="114" t="str">
        <f>'Inputs and Outputs'!AF114</f>
        <v/>
      </c>
      <c r="AG77" s="114" t="str">
        <f>'Inputs and Outputs'!AG114</f>
        <v/>
      </c>
      <c r="AH77" s="114" t="str">
        <f>'Inputs and Outputs'!AH114</f>
        <v/>
      </c>
      <c r="AI77" s="114" t="str">
        <f>'Inputs and Outputs'!AI114</f>
        <v/>
      </c>
      <c r="AJ77" s="114" t="str">
        <f>'Inputs and Outputs'!AJ114</f>
        <v/>
      </c>
      <c r="AK77" s="114" t="str">
        <f>'Inputs and Outputs'!AK114</f>
        <v/>
      </c>
      <c r="AL77" s="114" t="str">
        <f>'Inputs and Outputs'!AL114</f>
        <v/>
      </c>
      <c r="AM77" s="114" t="str">
        <f>'Inputs and Outputs'!AM114</f>
        <v/>
      </c>
      <c r="AN77" s="114" t="str">
        <f>'Inputs and Outputs'!AN114</f>
        <v/>
      </c>
      <c r="AO77" s="114" t="str">
        <f>'Inputs and Outputs'!AO114</f>
        <v/>
      </c>
      <c r="AP77" s="114" t="str">
        <f>'Inputs and Outputs'!AP114</f>
        <v/>
      </c>
      <c r="AQ77" s="114" t="str">
        <f>'Inputs and Outputs'!AQ114</f>
        <v/>
      </c>
      <c r="AR77" s="114" t="str">
        <f>'Inputs and Outputs'!AR114</f>
        <v/>
      </c>
      <c r="AS77" s="114" t="str">
        <f>'Inputs and Outputs'!AS114</f>
        <v/>
      </c>
      <c r="AT77" s="114" t="str">
        <f>'Inputs and Outputs'!AT114</f>
        <v/>
      </c>
      <c r="AU77" s="114" t="str">
        <f>'Inputs and Outputs'!AU114</f>
        <v/>
      </c>
      <c r="AV77" s="114" t="str">
        <f>'Inputs and Outputs'!AV114</f>
        <v/>
      </c>
      <c r="AW77" s="114" t="str">
        <f>'Inputs and Outputs'!AW114</f>
        <v/>
      </c>
      <c r="AX77" s="114" t="str">
        <f>'Inputs and Outputs'!AX114</f>
        <v/>
      </c>
      <c r="AY77" s="114" t="str">
        <f>'Inputs and Outputs'!AY114</f>
        <v/>
      </c>
      <c r="AZ77" s="114" t="str">
        <f>'Inputs and Outputs'!AZ114</f>
        <v/>
      </c>
      <c r="BA77" s="114" t="str">
        <f>'Inputs and Outputs'!BA114</f>
        <v/>
      </c>
      <c r="BB77" s="114" t="str">
        <f>'Inputs and Outputs'!BB114</f>
        <v/>
      </c>
      <c r="BC77" s="114" t="str">
        <f>'Inputs and Outputs'!BC114</f>
        <v/>
      </c>
      <c r="BD77" s="114" t="str">
        <f>'Inputs and Outputs'!BD114</f>
        <v/>
      </c>
      <c r="BE77" s="114" t="str">
        <f>'Inputs and Outputs'!BE114</f>
        <v/>
      </c>
      <c r="BF77" s="114" t="str">
        <f>'Inputs and Outputs'!BF114</f>
        <v/>
      </c>
      <c r="BG77" s="114" t="str">
        <f>'Inputs and Outputs'!BG114</f>
        <v/>
      </c>
      <c r="BH77" s="114" t="str">
        <f>'Inputs and Outputs'!BH114</f>
        <v/>
      </c>
      <c r="BI77" s="114" t="str">
        <f>'Inputs and Outputs'!BI114</f>
        <v/>
      </c>
      <c r="BJ77" s="114" t="str">
        <f>'Inputs and Outputs'!BJ114</f>
        <v/>
      </c>
      <c r="BK77" s="114" t="str">
        <f>'Inputs and Outputs'!BK114</f>
        <v/>
      </c>
      <c r="BL77" s="114" t="str">
        <f>'Inputs and Outputs'!BL114</f>
        <v/>
      </c>
      <c r="BM77" s="114" t="str">
        <f>'Inputs and Outputs'!BM114</f>
        <v/>
      </c>
      <c r="BN77" s="114" t="str">
        <f>'Inputs and Outputs'!BN114</f>
        <v/>
      </c>
      <c r="BO77" s="114" t="str">
        <f>'Inputs and Outputs'!BO114</f>
        <v/>
      </c>
      <c r="BP77" s="114" t="str">
        <f>'Inputs and Outputs'!BP114</f>
        <v/>
      </c>
      <c r="BQ77" s="114" t="str">
        <f>'Inputs and Outputs'!BQ114</f>
        <v/>
      </c>
      <c r="BR77" s="114" t="str">
        <f>'Inputs and Outputs'!BR114</f>
        <v/>
      </c>
      <c r="BS77" s="114" t="str">
        <f>'Inputs and Outputs'!BS114</f>
        <v/>
      </c>
      <c r="BT77" s="114" t="str">
        <f>'Inputs and Outputs'!BT114</f>
        <v/>
      </c>
      <c r="BU77" s="114" t="str">
        <f>'Inputs and Outputs'!BU114</f>
        <v/>
      </c>
      <c r="BV77" s="114" t="str">
        <f>'Inputs and Outputs'!BV114</f>
        <v/>
      </c>
      <c r="BW77" s="114" t="str">
        <f>'Inputs and Outputs'!BW114</f>
        <v/>
      </c>
      <c r="BX77" s="114" t="str">
        <f>'Inputs and Outputs'!BX114</f>
        <v/>
      </c>
      <c r="BY77" s="114" t="str">
        <f>'Inputs and Outputs'!BY114</f>
        <v/>
      </c>
      <c r="BZ77" s="114" t="str">
        <f>'Inputs and Outputs'!BZ114</f>
        <v/>
      </c>
      <c r="CA77" s="114" t="str">
        <f>'Inputs and Outputs'!CA114</f>
        <v/>
      </c>
      <c r="CB77" s="114" t="str">
        <f>'Inputs and Outputs'!CB114</f>
        <v/>
      </c>
      <c r="CC77" s="114" t="str">
        <f>'Inputs and Outputs'!CC114</f>
        <v/>
      </c>
      <c r="CD77" s="114" t="str">
        <f>'Inputs and Outputs'!CD114</f>
        <v/>
      </c>
      <c r="CE77" s="114" t="str">
        <f>'Inputs and Outputs'!CE114</f>
        <v/>
      </c>
      <c r="CF77" s="114" t="str">
        <f>'Inputs and Outputs'!CF114</f>
        <v/>
      </c>
      <c r="CG77" s="114" t="str">
        <f>'Inputs and Outputs'!CG114</f>
        <v/>
      </c>
      <c r="CH77" s="114" t="str">
        <f>'Inputs and Outputs'!CH114</f>
        <v/>
      </c>
      <c r="CI77" s="114" t="str">
        <f>'Inputs and Outputs'!CI114</f>
        <v/>
      </c>
      <c r="CJ77" s="114" t="str">
        <f>'Inputs and Outputs'!CJ114</f>
        <v/>
      </c>
      <c r="CK77" s="114" t="str">
        <f>'Inputs and Outputs'!CK114</f>
        <v/>
      </c>
      <c r="CL77" s="114" t="str">
        <f>'Inputs and Outputs'!CL114</f>
        <v/>
      </c>
      <c r="CM77" s="114" t="str">
        <f>'Inputs and Outputs'!CM114</f>
        <v/>
      </c>
      <c r="CN77" s="114" t="str">
        <f>'Inputs and Outputs'!CN114</f>
        <v/>
      </c>
      <c r="CO77" s="114" t="str">
        <f>'Inputs and Outputs'!CO114</f>
        <v/>
      </c>
      <c r="CP77" s="114" t="str">
        <f>'Inputs and Outputs'!CP114</f>
        <v/>
      </c>
      <c r="CQ77" s="114" t="str">
        <f>'Inputs and Outputs'!CQ114</f>
        <v/>
      </c>
      <c r="CR77" s="114" t="str">
        <f>'Inputs and Outputs'!CR114</f>
        <v/>
      </c>
      <c r="CS77" s="114" t="str">
        <f>'Inputs and Outputs'!CS114</f>
        <v/>
      </c>
      <c r="CT77" s="114" t="str">
        <f>'Inputs and Outputs'!CT114</f>
        <v/>
      </c>
      <c r="CU77" s="114" t="str">
        <f>'Inputs and Outputs'!CU114</f>
        <v/>
      </c>
      <c r="CV77" s="114" t="str">
        <f>'Inputs and Outputs'!CV114</f>
        <v/>
      </c>
      <c r="CW77" s="114" t="str">
        <f>'Inputs and Outputs'!CW114</f>
        <v/>
      </c>
      <c r="CX77" s="114" t="str">
        <f>'Inputs and Outputs'!CX114</f>
        <v/>
      </c>
    </row>
    <row r="78" spans="1:1024" x14ac:dyDescent="0.25">
      <c r="A78" s="117" t="s">
        <v>155</v>
      </c>
      <c r="B78" s="121">
        <f>IF(ISNUMBER(outYear),IF(FederalDepreciation="N/A",0,($B$94-IF(itc_fed_percent_deprbas_fed="Yes",0.5*MIN(itc_fed_percent/100*$B$94,itc_fed_percent_maxvalue),0))),"")</f>
        <v>7430.7425000000012</v>
      </c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  <c r="AZ78" s="114"/>
      <c r="BA78" s="114"/>
      <c r="BB78" s="114"/>
      <c r="BC78" s="114"/>
      <c r="BD78" s="114"/>
      <c r="BE78" s="114"/>
      <c r="BF78" s="114"/>
      <c r="BG78" s="114"/>
      <c r="BH78" s="114"/>
      <c r="BI78" s="114"/>
      <c r="BJ78" s="114"/>
      <c r="BK78" s="114"/>
      <c r="BL78" s="114"/>
      <c r="BM78" s="114"/>
      <c r="BN78" s="114"/>
      <c r="BO78" s="114"/>
      <c r="BP78" s="114"/>
      <c r="BQ78" s="114"/>
      <c r="BR78" s="114"/>
      <c r="BS78" s="114"/>
      <c r="BT78" s="114"/>
      <c r="BU78" s="114"/>
      <c r="BV78" s="114"/>
      <c r="BW78" s="114"/>
      <c r="BX78" s="114"/>
      <c r="BY78" s="114"/>
      <c r="BZ78" s="114"/>
      <c r="CA78" s="114"/>
      <c r="CB78" s="114"/>
      <c r="CC78" s="114"/>
      <c r="CD78" s="114"/>
      <c r="CE78" s="114"/>
      <c r="CF78" s="114"/>
      <c r="CG78" s="114"/>
      <c r="CH78" s="114"/>
      <c r="CI78" s="114"/>
      <c r="CJ78" s="114"/>
      <c r="CK78" s="114"/>
      <c r="CL78" s="114"/>
      <c r="CM78" s="114"/>
      <c r="CN78" s="114"/>
      <c r="CO78" s="114"/>
      <c r="CP78" s="114"/>
      <c r="CQ78" s="114"/>
      <c r="CR78" s="114"/>
      <c r="CS78" s="114"/>
      <c r="CT78" s="114"/>
      <c r="CU78" s="114"/>
      <c r="CV78" s="114"/>
      <c r="CW78" s="114"/>
      <c r="CX78" s="114"/>
    </row>
    <row r="79" spans="1:1024" x14ac:dyDescent="0.25">
      <c r="A79" s="117" t="s">
        <v>156</v>
      </c>
      <c r="B79" s="121">
        <f>$B$78*(1-BonusFraction)</f>
        <v>7430.7425000000012</v>
      </c>
      <c r="C79" s="114"/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  <c r="AZ79" s="114"/>
      <c r="BA79" s="114"/>
      <c r="BB79" s="114"/>
      <c r="BC79" s="114"/>
      <c r="BD79" s="114"/>
      <c r="BE79" s="114"/>
      <c r="BF79" s="114"/>
      <c r="BG79" s="114"/>
      <c r="BH79" s="114"/>
      <c r="BI79" s="114"/>
      <c r="BJ79" s="114"/>
      <c r="BK79" s="114"/>
      <c r="BL79" s="114"/>
      <c r="BM79" s="114"/>
      <c r="BN79" s="114"/>
      <c r="BO79" s="114"/>
      <c r="BP79" s="114"/>
      <c r="BQ79" s="114"/>
      <c r="BR79" s="114"/>
      <c r="BS79" s="114"/>
      <c r="BT79" s="114"/>
      <c r="BU79" s="114"/>
      <c r="BV79" s="114"/>
      <c r="BW79" s="114"/>
      <c r="BX79" s="114"/>
      <c r="BY79" s="114"/>
      <c r="BZ79" s="114"/>
      <c r="CA79" s="114"/>
      <c r="CB79" s="114"/>
      <c r="CC79" s="114"/>
      <c r="CD79" s="114"/>
      <c r="CE79" s="114"/>
      <c r="CF79" s="114"/>
      <c r="CG79" s="114"/>
      <c r="CH79" s="114"/>
      <c r="CI79" s="114"/>
      <c r="CJ79" s="114"/>
      <c r="CK79" s="114"/>
      <c r="CL79" s="114"/>
      <c r="CM79" s="114"/>
      <c r="CN79" s="114"/>
      <c r="CO79" s="114"/>
      <c r="CP79" s="114"/>
      <c r="CQ79" s="114"/>
      <c r="CR79" s="114"/>
      <c r="CS79" s="114"/>
      <c r="CT79" s="114"/>
      <c r="CU79" s="114"/>
      <c r="CV79" s="114"/>
      <c r="CW79" s="114"/>
      <c r="CX79" s="114"/>
    </row>
    <row r="80" spans="1:1024" x14ac:dyDescent="0.25">
      <c r="A80" s="117" t="s">
        <v>157</v>
      </c>
      <c r="B80" s="113"/>
      <c r="C80" s="121">
        <f>IF(ISNUMBER(outYear),$B$79*C77 + $B$78*BonusFraction,"")</f>
        <v>1486.1485000000002</v>
      </c>
      <c r="D80" s="121">
        <f t="shared" ref="D80:AI80" si="39">IF(ISNUMBER(outYear),$B$79*D77,"")</f>
        <v>2377.8376000000003</v>
      </c>
      <c r="E80" s="121">
        <f t="shared" si="39"/>
        <v>1426.7025600000002</v>
      </c>
      <c r="F80" s="121">
        <f t="shared" si="39"/>
        <v>856.02153600000008</v>
      </c>
      <c r="G80" s="121">
        <f t="shared" si="39"/>
        <v>856.02153600000008</v>
      </c>
      <c r="H80" s="121">
        <f t="shared" si="39"/>
        <v>428.01076800000004</v>
      </c>
      <c r="I80" s="121">
        <f t="shared" si="39"/>
        <v>0</v>
      </c>
      <c r="J80" s="121">
        <f t="shared" si="39"/>
        <v>0</v>
      </c>
      <c r="K80" s="121">
        <f t="shared" si="39"/>
        <v>0</v>
      </c>
      <c r="L80" s="121">
        <f t="shared" si="39"/>
        <v>0</v>
      </c>
      <c r="M80" s="121">
        <f t="shared" si="39"/>
        <v>0</v>
      </c>
      <c r="N80" s="121">
        <f t="shared" si="39"/>
        <v>0</v>
      </c>
      <c r="O80" s="121">
        <f t="shared" si="39"/>
        <v>0</v>
      </c>
      <c r="P80" s="121">
        <f t="shared" si="39"/>
        <v>0</v>
      </c>
      <c r="Q80" s="121">
        <f t="shared" si="39"/>
        <v>0</v>
      </c>
      <c r="R80" s="121">
        <f t="shared" si="39"/>
        <v>0</v>
      </c>
      <c r="S80" s="121">
        <f t="shared" si="39"/>
        <v>0</v>
      </c>
      <c r="T80" s="121">
        <f t="shared" si="39"/>
        <v>0</v>
      </c>
      <c r="U80" s="121">
        <f t="shared" si="39"/>
        <v>0</v>
      </c>
      <c r="V80" s="121">
        <f t="shared" si="39"/>
        <v>0</v>
      </c>
      <c r="W80" s="121" t="str">
        <f t="shared" si="39"/>
        <v/>
      </c>
      <c r="X80" s="121" t="str">
        <f t="shared" si="39"/>
        <v/>
      </c>
      <c r="Y80" s="121" t="str">
        <f t="shared" si="39"/>
        <v/>
      </c>
      <c r="Z80" s="121" t="str">
        <f t="shared" si="39"/>
        <v/>
      </c>
      <c r="AA80" s="121" t="str">
        <f t="shared" si="39"/>
        <v/>
      </c>
      <c r="AB80" s="121" t="str">
        <f t="shared" si="39"/>
        <v/>
      </c>
      <c r="AC80" s="121" t="str">
        <f t="shared" si="39"/>
        <v/>
      </c>
      <c r="AD80" s="121" t="str">
        <f t="shared" si="39"/>
        <v/>
      </c>
      <c r="AE80" s="121" t="str">
        <f t="shared" si="39"/>
        <v/>
      </c>
      <c r="AF80" s="121" t="str">
        <f t="shared" si="39"/>
        <v/>
      </c>
      <c r="AG80" s="121" t="str">
        <f t="shared" si="39"/>
        <v/>
      </c>
      <c r="AH80" s="121" t="str">
        <f t="shared" si="39"/>
        <v/>
      </c>
      <c r="AI80" s="121" t="str">
        <f t="shared" si="39"/>
        <v/>
      </c>
      <c r="AJ80" s="121" t="str">
        <f t="shared" ref="AJ80:BO80" si="40">IF(ISNUMBER(outYear),$B$79*AJ77,"")</f>
        <v/>
      </c>
      <c r="AK80" s="121" t="str">
        <f t="shared" si="40"/>
        <v/>
      </c>
      <c r="AL80" s="121" t="str">
        <f t="shared" si="40"/>
        <v/>
      </c>
      <c r="AM80" s="121" t="str">
        <f t="shared" si="40"/>
        <v/>
      </c>
      <c r="AN80" s="121" t="str">
        <f t="shared" si="40"/>
        <v/>
      </c>
      <c r="AO80" s="121" t="str">
        <f t="shared" si="40"/>
        <v/>
      </c>
      <c r="AP80" s="121" t="str">
        <f t="shared" si="40"/>
        <v/>
      </c>
      <c r="AQ80" s="121" t="str">
        <f t="shared" si="40"/>
        <v/>
      </c>
      <c r="AR80" s="121" t="str">
        <f t="shared" si="40"/>
        <v/>
      </c>
      <c r="AS80" s="121" t="str">
        <f t="shared" si="40"/>
        <v/>
      </c>
      <c r="AT80" s="121" t="str">
        <f t="shared" si="40"/>
        <v/>
      </c>
      <c r="AU80" s="121" t="str">
        <f t="shared" si="40"/>
        <v/>
      </c>
      <c r="AV80" s="121" t="str">
        <f t="shared" si="40"/>
        <v/>
      </c>
      <c r="AW80" s="121" t="str">
        <f t="shared" si="40"/>
        <v/>
      </c>
      <c r="AX80" s="121" t="str">
        <f t="shared" si="40"/>
        <v/>
      </c>
      <c r="AY80" s="121" t="str">
        <f t="shared" si="40"/>
        <v/>
      </c>
      <c r="AZ80" s="121" t="str">
        <f t="shared" si="40"/>
        <v/>
      </c>
      <c r="BA80" s="121" t="str">
        <f t="shared" si="40"/>
        <v/>
      </c>
      <c r="BB80" s="121" t="str">
        <f t="shared" si="40"/>
        <v/>
      </c>
      <c r="BC80" s="121" t="str">
        <f t="shared" si="40"/>
        <v/>
      </c>
      <c r="BD80" s="121" t="str">
        <f t="shared" si="40"/>
        <v/>
      </c>
      <c r="BE80" s="121" t="str">
        <f t="shared" si="40"/>
        <v/>
      </c>
      <c r="BF80" s="121" t="str">
        <f t="shared" si="40"/>
        <v/>
      </c>
      <c r="BG80" s="121" t="str">
        <f t="shared" si="40"/>
        <v/>
      </c>
      <c r="BH80" s="121" t="str">
        <f t="shared" si="40"/>
        <v/>
      </c>
      <c r="BI80" s="121" t="str">
        <f t="shared" si="40"/>
        <v/>
      </c>
      <c r="BJ80" s="121" t="str">
        <f t="shared" si="40"/>
        <v/>
      </c>
      <c r="BK80" s="121" t="str">
        <f t="shared" si="40"/>
        <v/>
      </c>
      <c r="BL80" s="121" t="str">
        <f t="shared" si="40"/>
        <v/>
      </c>
      <c r="BM80" s="121" t="str">
        <f t="shared" si="40"/>
        <v/>
      </c>
      <c r="BN80" s="121" t="str">
        <f t="shared" si="40"/>
        <v/>
      </c>
      <c r="BO80" s="121" t="str">
        <f t="shared" si="40"/>
        <v/>
      </c>
      <c r="BP80" s="121" t="str">
        <f t="shared" ref="BP80:CX80" si="41">IF(ISNUMBER(outYear),$B$79*BP77,"")</f>
        <v/>
      </c>
      <c r="BQ80" s="121" t="str">
        <f t="shared" si="41"/>
        <v/>
      </c>
      <c r="BR80" s="121" t="str">
        <f t="shared" si="41"/>
        <v/>
      </c>
      <c r="BS80" s="121" t="str">
        <f t="shared" si="41"/>
        <v/>
      </c>
      <c r="BT80" s="121" t="str">
        <f t="shared" si="41"/>
        <v/>
      </c>
      <c r="BU80" s="121" t="str">
        <f t="shared" si="41"/>
        <v/>
      </c>
      <c r="BV80" s="121" t="str">
        <f t="shared" si="41"/>
        <v/>
      </c>
      <c r="BW80" s="121" t="str">
        <f t="shared" si="41"/>
        <v/>
      </c>
      <c r="BX80" s="121" t="str">
        <f t="shared" si="41"/>
        <v/>
      </c>
      <c r="BY80" s="121" t="str">
        <f t="shared" si="41"/>
        <v/>
      </c>
      <c r="BZ80" s="121" t="str">
        <f t="shared" si="41"/>
        <v/>
      </c>
      <c r="CA80" s="121" t="str">
        <f t="shared" si="41"/>
        <v/>
      </c>
      <c r="CB80" s="121" t="str">
        <f t="shared" si="41"/>
        <v/>
      </c>
      <c r="CC80" s="121" t="str">
        <f t="shared" si="41"/>
        <v/>
      </c>
      <c r="CD80" s="121" t="str">
        <f t="shared" si="41"/>
        <v/>
      </c>
      <c r="CE80" s="121" t="str">
        <f t="shared" si="41"/>
        <v/>
      </c>
      <c r="CF80" s="121" t="str">
        <f t="shared" si="41"/>
        <v/>
      </c>
      <c r="CG80" s="121" t="str">
        <f t="shared" si="41"/>
        <v/>
      </c>
      <c r="CH80" s="121" t="str">
        <f t="shared" si="41"/>
        <v/>
      </c>
      <c r="CI80" s="121" t="str">
        <f t="shared" si="41"/>
        <v/>
      </c>
      <c r="CJ80" s="121" t="str">
        <f t="shared" si="41"/>
        <v/>
      </c>
      <c r="CK80" s="121" t="str">
        <f t="shared" si="41"/>
        <v/>
      </c>
      <c r="CL80" s="121" t="str">
        <f t="shared" si="41"/>
        <v/>
      </c>
      <c r="CM80" s="121" t="str">
        <f t="shared" si="41"/>
        <v/>
      </c>
      <c r="CN80" s="121" t="str">
        <f t="shared" si="41"/>
        <v/>
      </c>
      <c r="CO80" s="121" t="str">
        <f t="shared" si="41"/>
        <v/>
      </c>
      <c r="CP80" s="121" t="str">
        <f t="shared" si="41"/>
        <v/>
      </c>
      <c r="CQ80" s="121" t="str">
        <f t="shared" si="41"/>
        <v/>
      </c>
      <c r="CR80" s="121" t="str">
        <f t="shared" si="41"/>
        <v/>
      </c>
      <c r="CS80" s="121" t="str">
        <f t="shared" si="41"/>
        <v/>
      </c>
      <c r="CT80" s="121" t="str">
        <f t="shared" si="41"/>
        <v/>
      </c>
      <c r="CU80" s="121" t="str">
        <f t="shared" si="41"/>
        <v/>
      </c>
      <c r="CV80" s="121" t="str">
        <f t="shared" si="41"/>
        <v/>
      </c>
      <c r="CW80" s="121" t="str">
        <f t="shared" si="41"/>
        <v/>
      </c>
      <c r="CX80" s="121" t="str">
        <f t="shared" si="41"/>
        <v/>
      </c>
    </row>
    <row r="81" spans="1:102" x14ac:dyDescent="0.25">
      <c r="A81" s="107" t="s">
        <v>158</v>
      </c>
      <c r="B81" s="113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1"/>
      <c r="BK81" s="121"/>
      <c r="BL81" s="121"/>
      <c r="BM81" s="121"/>
      <c r="BN81" s="121"/>
      <c r="BO81" s="121"/>
      <c r="BP81" s="121"/>
      <c r="BQ81" s="121"/>
      <c r="BR81" s="121"/>
      <c r="BS81" s="121"/>
      <c r="BT81" s="121"/>
      <c r="BU81" s="121"/>
      <c r="BV81" s="121"/>
      <c r="BW81" s="121"/>
      <c r="BX81" s="121"/>
      <c r="BY81" s="121"/>
      <c r="BZ81" s="121"/>
      <c r="CA81" s="121"/>
      <c r="CB81" s="121"/>
      <c r="CC81" s="121"/>
      <c r="CD81" s="121"/>
      <c r="CE81" s="121"/>
      <c r="CF81" s="121"/>
      <c r="CG81" s="121"/>
      <c r="CH81" s="121"/>
      <c r="CI81" s="121"/>
      <c r="CJ81" s="121"/>
      <c r="CK81" s="121"/>
      <c r="CL81" s="121"/>
      <c r="CM81" s="121"/>
      <c r="CN81" s="121"/>
      <c r="CO81" s="121"/>
      <c r="CP81" s="121"/>
      <c r="CQ81" s="121"/>
      <c r="CR81" s="121"/>
      <c r="CS81" s="121"/>
      <c r="CT81" s="121"/>
      <c r="CU81" s="121"/>
      <c r="CV81" s="121"/>
      <c r="CW81" s="121"/>
      <c r="CX81" s="121"/>
    </row>
    <row r="82" spans="1:102" x14ac:dyDescent="0.25">
      <c r="A82" s="117" t="s">
        <v>154</v>
      </c>
      <c r="B82" s="114"/>
      <c r="C82" s="114">
        <f>'Inputs and Outputs'!C115</f>
        <v>0.2</v>
      </c>
      <c r="D82" s="114">
        <f>'Inputs and Outputs'!D115</f>
        <v>0.32</v>
      </c>
      <c r="E82" s="114">
        <f>'Inputs and Outputs'!E115</f>
        <v>0.192</v>
      </c>
      <c r="F82" s="114">
        <f>'Inputs and Outputs'!F115</f>
        <v>0.1152</v>
      </c>
      <c r="G82" s="114">
        <f>'Inputs and Outputs'!G115</f>
        <v>0.1152</v>
      </c>
      <c r="H82" s="114">
        <f>'Inputs and Outputs'!H115</f>
        <v>5.7599999999999998E-2</v>
      </c>
      <c r="I82" s="114">
        <f>'Inputs and Outputs'!I115</f>
        <v>0</v>
      </c>
      <c r="J82" s="114">
        <f>'Inputs and Outputs'!J115</f>
        <v>0</v>
      </c>
      <c r="K82" s="114">
        <f>'Inputs and Outputs'!K115</f>
        <v>0</v>
      </c>
      <c r="L82" s="114">
        <f>'Inputs and Outputs'!L115</f>
        <v>0</v>
      </c>
      <c r="M82" s="114">
        <f>'Inputs and Outputs'!M115</f>
        <v>0</v>
      </c>
      <c r="N82" s="114">
        <f>'Inputs and Outputs'!N115</f>
        <v>0</v>
      </c>
      <c r="O82" s="114">
        <f>'Inputs and Outputs'!O115</f>
        <v>0</v>
      </c>
      <c r="P82" s="114">
        <f>'Inputs and Outputs'!P115</f>
        <v>0</v>
      </c>
      <c r="Q82" s="114">
        <f>'Inputs and Outputs'!Q115</f>
        <v>0</v>
      </c>
      <c r="R82" s="114">
        <f>'Inputs and Outputs'!R115</f>
        <v>0</v>
      </c>
      <c r="S82" s="114">
        <f>'Inputs and Outputs'!S115</f>
        <v>0</v>
      </c>
      <c r="T82" s="114">
        <f>'Inputs and Outputs'!T115</f>
        <v>0</v>
      </c>
      <c r="U82" s="114">
        <f>'Inputs and Outputs'!U115</f>
        <v>0</v>
      </c>
      <c r="V82" s="114">
        <f>'Inputs and Outputs'!V115</f>
        <v>0</v>
      </c>
      <c r="W82" s="114" t="str">
        <f>'Inputs and Outputs'!W115</f>
        <v/>
      </c>
      <c r="X82" s="114" t="str">
        <f>'Inputs and Outputs'!X115</f>
        <v/>
      </c>
      <c r="Y82" s="114" t="str">
        <f>'Inputs and Outputs'!Y115</f>
        <v/>
      </c>
      <c r="Z82" s="114" t="str">
        <f>'Inputs and Outputs'!Z115</f>
        <v/>
      </c>
      <c r="AA82" s="114" t="str">
        <f>'Inputs and Outputs'!AA115</f>
        <v/>
      </c>
      <c r="AB82" s="114" t="str">
        <f>'Inputs and Outputs'!AB115</f>
        <v/>
      </c>
      <c r="AC82" s="114" t="str">
        <f>'Inputs and Outputs'!AC115</f>
        <v/>
      </c>
      <c r="AD82" s="114" t="str">
        <f>'Inputs and Outputs'!AD115</f>
        <v/>
      </c>
      <c r="AE82" s="114" t="str">
        <f>'Inputs and Outputs'!AE115</f>
        <v/>
      </c>
      <c r="AF82" s="114" t="str">
        <f>'Inputs and Outputs'!AF115</f>
        <v/>
      </c>
      <c r="AG82" s="114" t="str">
        <f>'Inputs and Outputs'!AG115</f>
        <v/>
      </c>
      <c r="AH82" s="114" t="str">
        <f>'Inputs and Outputs'!AH115</f>
        <v/>
      </c>
      <c r="AI82" s="114" t="str">
        <f>'Inputs and Outputs'!AI115</f>
        <v/>
      </c>
      <c r="AJ82" s="114" t="str">
        <f>'Inputs and Outputs'!AJ115</f>
        <v/>
      </c>
      <c r="AK82" s="114" t="str">
        <f>'Inputs and Outputs'!AK115</f>
        <v/>
      </c>
      <c r="AL82" s="114" t="str">
        <f>'Inputs and Outputs'!AL115</f>
        <v/>
      </c>
      <c r="AM82" s="114" t="str">
        <f>'Inputs and Outputs'!AM115</f>
        <v/>
      </c>
      <c r="AN82" s="114" t="str">
        <f>'Inputs and Outputs'!AN115</f>
        <v/>
      </c>
      <c r="AO82" s="114" t="str">
        <f>'Inputs and Outputs'!AO115</f>
        <v/>
      </c>
      <c r="AP82" s="114" t="str">
        <f>'Inputs and Outputs'!AP115</f>
        <v/>
      </c>
      <c r="AQ82" s="114" t="str">
        <f>'Inputs and Outputs'!AQ115</f>
        <v/>
      </c>
      <c r="AR82" s="114" t="str">
        <f>'Inputs and Outputs'!AR115</f>
        <v/>
      </c>
      <c r="AS82" s="114" t="str">
        <f>'Inputs and Outputs'!AS115</f>
        <v/>
      </c>
      <c r="AT82" s="114" t="str">
        <f>'Inputs and Outputs'!AT115</f>
        <v/>
      </c>
      <c r="AU82" s="114" t="str">
        <f>'Inputs and Outputs'!AU115</f>
        <v/>
      </c>
      <c r="AV82" s="114" t="str">
        <f>'Inputs and Outputs'!AV115</f>
        <v/>
      </c>
      <c r="AW82" s="114" t="str">
        <f>'Inputs and Outputs'!AW115</f>
        <v/>
      </c>
      <c r="AX82" s="114" t="str">
        <f>'Inputs and Outputs'!AX115</f>
        <v/>
      </c>
      <c r="AY82" s="114" t="str">
        <f>'Inputs and Outputs'!AY115</f>
        <v/>
      </c>
      <c r="AZ82" s="114" t="str">
        <f>'Inputs and Outputs'!AZ115</f>
        <v/>
      </c>
      <c r="BA82" s="114" t="str">
        <f>'Inputs and Outputs'!BA115</f>
        <v/>
      </c>
      <c r="BB82" s="114" t="str">
        <f>'Inputs and Outputs'!BB115</f>
        <v/>
      </c>
      <c r="BC82" s="114" t="str">
        <f>'Inputs and Outputs'!BC115</f>
        <v/>
      </c>
      <c r="BD82" s="114" t="str">
        <f>'Inputs and Outputs'!BD115</f>
        <v/>
      </c>
      <c r="BE82" s="114" t="str">
        <f>'Inputs and Outputs'!BE115</f>
        <v/>
      </c>
      <c r="BF82" s="114" t="str">
        <f>'Inputs and Outputs'!BF115</f>
        <v/>
      </c>
      <c r="BG82" s="114" t="str">
        <f>'Inputs and Outputs'!BG115</f>
        <v/>
      </c>
      <c r="BH82" s="114" t="str">
        <f>'Inputs and Outputs'!BH115</f>
        <v/>
      </c>
      <c r="BI82" s="114" t="str">
        <f>'Inputs and Outputs'!BI115</f>
        <v/>
      </c>
      <c r="BJ82" s="114" t="str">
        <f>'Inputs and Outputs'!BJ115</f>
        <v/>
      </c>
      <c r="BK82" s="114" t="str">
        <f>'Inputs and Outputs'!BK115</f>
        <v/>
      </c>
      <c r="BL82" s="114" t="str">
        <f>'Inputs and Outputs'!BL115</f>
        <v/>
      </c>
      <c r="BM82" s="114" t="str">
        <f>'Inputs and Outputs'!BM115</f>
        <v/>
      </c>
      <c r="BN82" s="114" t="str">
        <f>'Inputs and Outputs'!BN115</f>
        <v/>
      </c>
      <c r="BO82" s="114" t="str">
        <f>'Inputs and Outputs'!BO115</f>
        <v/>
      </c>
      <c r="BP82" s="114" t="str">
        <f>'Inputs and Outputs'!BP115</f>
        <v/>
      </c>
      <c r="BQ82" s="114" t="str">
        <f>'Inputs and Outputs'!BQ115</f>
        <v/>
      </c>
      <c r="BR82" s="114" t="str">
        <f>'Inputs and Outputs'!BR115</f>
        <v/>
      </c>
      <c r="BS82" s="114" t="str">
        <f>'Inputs and Outputs'!BS115</f>
        <v/>
      </c>
      <c r="BT82" s="114" t="str">
        <f>'Inputs and Outputs'!BT115</f>
        <v/>
      </c>
      <c r="BU82" s="114" t="str">
        <f>'Inputs and Outputs'!BU115</f>
        <v/>
      </c>
      <c r="BV82" s="114" t="str">
        <f>'Inputs and Outputs'!BV115</f>
        <v/>
      </c>
      <c r="BW82" s="114" t="str">
        <f>'Inputs and Outputs'!BW115</f>
        <v/>
      </c>
      <c r="BX82" s="114" t="str">
        <f>'Inputs and Outputs'!BX115</f>
        <v/>
      </c>
      <c r="BY82" s="114" t="str">
        <f>'Inputs and Outputs'!BY115</f>
        <v/>
      </c>
      <c r="BZ82" s="114" t="str">
        <f>'Inputs and Outputs'!BZ115</f>
        <v/>
      </c>
      <c r="CA82" s="114" t="str">
        <f>'Inputs and Outputs'!CA115</f>
        <v/>
      </c>
      <c r="CB82" s="114" t="str">
        <f>'Inputs and Outputs'!CB115</f>
        <v/>
      </c>
      <c r="CC82" s="114" t="str">
        <f>'Inputs and Outputs'!CC115</f>
        <v/>
      </c>
      <c r="CD82" s="114" t="str">
        <f>'Inputs and Outputs'!CD115</f>
        <v/>
      </c>
      <c r="CE82" s="114" t="str">
        <f>'Inputs and Outputs'!CE115</f>
        <v/>
      </c>
      <c r="CF82" s="114" t="str">
        <f>'Inputs and Outputs'!CF115</f>
        <v/>
      </c>
      <c r="CG82" s="114" t="str">
        <f>'Inputs and Outputs'!CG115</f>
        <v/>
      </c>
      <c r="CH82" s="114" t="str">
        <f>'Inputs and Outputs'!CH115</f>
        <v/>
      </c>
      <c r="CI82" s="114" t="str">
        <f>'Inputs and Outputs'!CI115</f>
        <v/>
      </c>
      <c r="CJ82" s="114" t="str">
        <f>'Inputs and Outputs'!CJ115</f>
        <v/>
      </c>
      <c r="CK82" s="114" t="str">
        <f>'Inputs and Outputs'!CK115</f>
        <v/>
      </c>
      <c r="CL82" s="114" t="str">
        <f>'Inputs and Outputs'!CL115</f>
        <v/>
      </c>
      <c r="CM82" s="114" t="str">
        <f>'Inputs and Outputs'!CM115</f>
        <v/>
      </c>
      <c r="CN82" s="114" t="str">
        <f>'Inputs and Outputs'!CN115</f>
        <v/>
      </c>
      <c r="CO82" s="114" t="str">
        <f>'Inputs and Outputs'!CO115</f>
        <v/>
      </c>
      <c r="CP82" s="114" t="str">
        <f>'Inputs and Outputs'!CP115</f>
        <v/>
      </c>
      <c r="CQ82" s="114" t="str">
        <f>'Inputs and Outputs'!CQ115</f>
        <v/>
      </c>
      <c r="CR82" s="114" t="str">
        <f>'Inputs and Outputs'!CR115</f>
        <v/>
      </c>
      <c r="CS82" s="114" t="str">
        <f>'Inputs and Outputs'!CS115</f>
        <v/>
      </c>
      <c r="CT82" s="114" t="str">
        <f>'Inputs and Outputs'!CT115</f>
        <v/>
      </c>
      <c r="CU82" s="114" t="str">
        <f>'Inputs and Outputs'!CU115</f>
        <v/>
      </c>
      <c r="CV82" s="114" t="str">
        <f>'Inputs and Outputs'!CV115</f>
        <v/>
      </c>
      <c r="CW82" s="114" t="str">
        <f>'Inputs and Outputs'!CW115</f>
        <v/>
      </c>
      <c r="CX82" s="114" t="str">
        <f>'Inputs and Outputs'!CX115</f>
        <v/>
      </c>
    </row>
    <row r="83" spans="1:102" x14ac:dyDescent="0.25">
      <c r="A83" s="117" t="s">
        <v>155</v>
      </c>
      <c r="B83" s="121">
        <f>IF(ISNUMBER(outYear),IF(WindFederalDepreciation="N/A",0,($B$96-IF(wind_itc_fed_percent_deprbas_fed="Yes",0.5*MIN(wind_itc_fed_percent/100*$B$96,wind_itc_fed_percent_maxvalue),0))),"")</f>
        <v>0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  <c r="AZ83" s="114"/>
      <c r="BA83" s="114"/>
      <c r="BB83" s="114"/>
      <c r="BC83" s="114"/>
      <c r="BD83" s="114"/>
      <c r="BE83" s="114"/>
      <c r="BF83" s="114"/>
      <c r="BG83" s="114"/>
      <c r="BH83" s="114"/>
      <c r="BI83" s="114"/>
      <c r="BJ83" s="114"/>
      <c r="BK83" s="114"/>
      <c r="BL83" s="114"/>
      <c r="BM83" s="114"/>
      <c r="BN83" s="114"/>
      <c r="BO83" s="114"/>
      <c r="BP83" s="114"/>
      <c r="BQ83" s="114"/>
      <c r="BR83" s="114"/>
      <c r="BS83" s="114"/>
      <c r="BT83" s="114"/>
      <c r="BU83" s="114"/>
      <c r="BV83" s="114"/>
      <c r="BW83" s="114"/>
      <c r="BX83" s="114"/>
      <c r="BY83" s="114"/>
      <c r="BZ83" s="114"/>
      <c r="CA83" s="114"/>
      <c r="CB83" s="114"/>
      <c r="CC83" s="114"/>
      <c r="CD83" s="114"/>
      <c r="CE83" s="114"/>
      <c r="CF83" s="114"/>
      <c r="CG83" s="114"/>
      <c r="CH83" s="114"/>
      <c r="CI83" s="114"/>
      <c r="CJ83" s="114"/>
      <c r="CK83" s="114"/>
      <c r="CL83" s="114"/>
      <c r="CM83" s="114"/>
      <c r="CN83" s="114"/>
      <c r="CO83" s="114"/>
      <c r="CP83" s="114"/>
      <c r="CQ83" s="114"/>
      <c r="CR83" s="114"/>
      <c r="CS83" s="114"/>
      <c r="CT83" s="114"/>
      <c r="CU83" s="114"/>
      <c r="CV83" s="114"/>
      <c r="CW83" s="114"/>
      <c r="CX83" s="114"/>
    </row>
    <row r="84" spans="1:102" x14ac:dyDescent="0.25">
      <c r="A84" s="117" t="s">
        <v>156</v>
      </c>
      <c r="B84" s="121">
        <f>$B$83*(1-WindBonusFraction)</f>
        <v>0</v>
      </c>
      <c r="C84" s="114"/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  <c r="AZ84" s="114"/>
      <c r="BA84" s="114"/>
      <c r="BB84" s="114"/>
      <c r="BC84" s="114"/>
      <c r="BD84" s="114"/>
      <c r="BE84" s="114"/>
      <c r="BF84" s="114"/>
      <c r="BG84" s="114"/>
      <c r="BH84" s="114"/>
      <c r="BI84" s="114"/>
      <c r="BJ84" s="114"/>
      <c r="BK84" s="114"/>
      <c r="BL84" s="114"/>
      <c r="BM84" s="114"/>
      <c r="BN84" s="114"/>
      <c r="BO84" s="114"/>
      <c r="BP84" s="114"/>
      <c r="BQ84" s="114"/>
      <c r="BR84" s="114"/>
      <c r="BS84" s="114"/>
      <c r="BT84" s="114"/>
      <c r="BU84" s="114"/>
      <c r="BV84" s="114"/>
      <c r="BW84" s="114"/>
      <c r="BX84" s="114"/>
      <c r="BY84" s="114"/>
      <c r="BZ84" s="114"/>
      <c r="CA84" s="114"/>
      <c r="CB84" s="114"/>
      <c r="CC84" s="114"/>
      <c r="CD84" s="114"/>
      <c r="CE84" s="114"/>
      <c r="CF84" s="114"/>
      <c r="CG84" s="114"/>
      <c r="CH84" s="114"/>
      <c r="CI84" s="114"/>
      <c r="CJ84" s="114"/>
      <c r="CK84" s="114"/>
      <c r="CL84" s="114"/>
      <c r="CM84" s="114"/>
      <c r="CN84" s="114"/>
      <c r="CO84" s="114"/>
      <c r="CP84" s="114"/>
      <c r="CQ84" s="114"/>
      <c r="CR84" s="114"/>
      <c r="CS84" s="114"/>
      <c r="CT84" s="114"/>
      <c r="CU84" s="114"/>
      <c r="CV84" s="114"/>
      <c r="CW84" s="114"/>
      <c r="CX84" s="114"/>
    </row>
    <row r="85" spans="1:102" x14ac:dyDescent="0.25">
      <c r="A85" s="117" t="s">
        <v>157</v>
      </c>
      <c r="B85" s="113"/>
      <c r="C85" s="121">
        <f>IF(ISNUMBER(outYear),$B$84*C82 + $B$83*WindBonusFraction,"")</f>
        <v>0</v>
      </c>
      <c r="D85" s="121">
        <f t="shared" ref="D85:AI85" si="42">IF(ISNUMBER(outYear),$B$84*D82,"")</f>
        <v>0</v>
      </c>
      <c r="E85" s="121">
        <f t="shared" si="42"/>
        <v>0</v>
      </c>
      <c r="F85" s="121">
        <f t="shared" si="42"/>
        <v>0</v>
      </c>
      <c r="G85" s="121">
        <f t="shared" si="42"/>
        <v>0</v>
      </c>
      <c r="H85" s="121">
        <f t="shared" si="42"/>
        <v>0</v>
      </c>
      <c r="I85" s="121">
        <f t="shared" si="42"/>
        <v>0</v>
      </c>
      <c r="J85" s="121">
        <f t="shared" si="42"/>
        <v>0</v>
      </c>
      <c r="K85" s="121">
        <f t="shared" si="42"/>
        <v>0</v>
      </c>
      <c r="L85" s="121">
        <f t="shared" si="42"/>
        <v>0</v>
      </c>
      <c r="M85" s="121">
        <f t="shared" si="42"/>
        <v>0</v>
      </c>
      <c r="N85" s="121">
        <f t="shared" si="42"/>
        <v>0</v>
      </c>
      <c r="O85" s="121">
        <f t="shared" si="42"/>
        <v>0</v>
      </c>
      <c r="P85" s="121">
        <f t="shared" si="42"/>
        <v>0</v>
      </c>
      <c r="Q85" s="121">
        <f t="shared" si="42"/>
        <v>0</v>
      </c>
      <c r="R85" s="121">
        <f t="shared" si="42"/>
        <v>0</v>
      </c>
      <c r="S85" s="121">
        <f t="shared" si="42"/>
        <v>0</v>
      </c>
      <c r="T85" s="121">
        <f t="shared" si="42"/>
        <v>0</v>
      </c>
      <c r="U85" s="121">
        <f t="shared" si="42"/>
        <v>0</v>
      </c>
      <c r="V85" s="121">
        <f t="shared" si="42"/>
        <v>0</v>
      </c>
      <c r="W85" s="121" t="str">
        <f t="shared" si="42"/>
        <v/>
      </c>
      <c r="X85" s="121" t="str">
        <f t="shared" si="42"/>
        <v/>
      </c>
      <c r="Y85" s="121" t="str">
        <f t="shared" si="42"/>
        <v/>
      </c>
      <c r="Z85" s="121" t="str">
        <f t="shared" si="42"/>
        <v/>
      </c>
      <c r="AA85" s="121" t="str">
        <f t="shared" si="42"/>
        <v/>
      </c>
      <c r="AB85" s="121" t="str">
        <f t="shared" si="42"/>
        <v/>
      </c>
      <c r="AC85" s="121" t="str">
        <f t="shared" si="42"/>
        <v/>
      </c>
      <c r="AD85" s="121" t="str">
        <f t="shared" si="42"/>
        <v/>
      </c>
      <c r="AE85" s="121" t="str">
        <f t="shared" si="42"/>
        <v/>
      </c>
      <c r="AF85" s="121" t="str">
        <f t="shared" si="42"/>
        <v/>
      </c>
      <c r="AG85" s="121" t="str">
        <f t="shared" si="42"/>
        <v/>
      </c>
      <c r="AH85" s="121" t="str">
        <f t="shared" si="42"/>
        <v/>
      </c>
      <c r="AI85" s="121" t="str">
        <f t="shared" si="42"/>
        <v/>
      </c>
      <c r="AJ85" s="121" t="str">
        <f t="shared" ref="AJ85:BO85" si="43">IF(ISNUMBER(outYear),$B$84*AJ82,"")</f>
        <v/>
      </c>
      <c r="AK85" s="121" t="str">
        <f t="shared" si="43"/>
        <v/>
      </c>
      <c r="AL85" s="121" t="str">
        <f t="shared" si="43"/>
        <v/>
      </c>
      <c r="AM85" s="121" t="str">
        <f t="shared" si="43"/>
        <v/>
      </c>
      <c r="AN85" s="121" t="str">
        <f t="shared" si="43"/>
        <v/>
      </c>
      <c r="AO85" s="121" t="str">
        <f t="shared" si="43"/>
        <v/>
      </c>
      <c r="AP85" s="121" t="str">
        <f t="shared" si="43"/>
        <v/>
      </c>
      <c r="AQ85" s="121" t="str">
        <f t="shared" si="43"/>
        <v/>
      </c>
      <c r="AR85" s="121" t="str">
        <f t="shared" si="43"/>
        <v/>
      </c>
      <c r="AS85" s="121" t="str">
        <f t="shared" si="43"/>
        <v/>
      </c>
      <c r="AT85" s="121" t="str">
        <f t="shared" si="43"/>
        <v/>
      </c>
      <c r="AU85" s="121" t="str">
        <f t="shared" si="43"/>
        <v/>
      </c>
      <c r="AV85" s="121" t="str">
        <f t="shared" si="43"/>
        <v/>
      </c>
      <c r="AW85" s="121" t="str">
        <f t="shared" si="43"/>
        <v/>
      </c>
      <c r="AX85" s="121" t="str">
        <f t="shared" si="43"/>
        <v/>
      </c>
      <c r="AY85" s="121" t="str">
        <f t="shared" si="43"/>
        <v/>
      </c>
      <c r="AZ85" s="121" t="str">
        <f t="shared" si="43"/>
        <v/>
      </c>
      <c r="BA85" s="121" t="str">
        <f t="shared" si="43"/>
        <v/>
      </c>
      <c r="BB85" s="121" t="str">
        <f t="shared" si="43"/>
        <v/>
      </c>
      <c r="BC85" s="121" t="str">
        <f t="shared" si="43"/>
        <v/>
      </c>
      <c r="BD85" s="121" t="str">
        <f t="shared" si="43"/>
        <v/>
      </c>
      <c r="BE85" s="121" t="str">
        <f t="shared" si="43"/>
        <v/>
      </c>
      <c r="BF85" s="121" t="str">
        <f t="shared" si="43"/>
        <v/>
      </c>
      <c r="BG85" s="121" t="str">
        <f t="shared" si="43"/>
        <v/>
      </c>
      <c r="BH85" s="121" t="str">
        <f t="shared" si="43"/>
        <v/>
      </c>
      <c r="BI85" s="121" t="str">
        <f t="shared" si="43"/>
        <v/>
      </c>
      <c r="BJ85" s="121" t="str">
        <f t="shared" si="43"/>
        <v/>
      </c>
      <c r="BK85" s="121" t="str">
        <f t="shared" si="43"/>
        <v/>
      </c>
      <c r="BL85" s="121" t="str">
        <f t="shared" si="43"/>
        <v/>
      </c>
      <c r="BM85" s="121" t="str">
        <f t="shared" si="43"/>
        <v/>
      </c>
      <c r="BN85" s="121" t="str">
        <f t="shared" si="43"/>
        <v/>
      </c>
      <c r="BO85" s="121" t="str">
        <f t="shared" si="43"/>
        <v/>
      </c>
      <c r="BP85" s="121" t="str">
        <f t="shared" ref="BP85:CX85" si="44">IF(ISNUMBER(outYear),$B$84*BP82,"")</f>
        <v/>
      </c>
      <c r="BQ85" s="121" t="str">
        <f t="shared" si="44"/>
        <v/>
      </c>
      <c r="BR85" s="121" t="str">
        <f t="shared" si="44"/>
        <v/>
      </c>
      <c r="BS85" s="121" t="str">
        <f t="shared" si="44"/>
        <v/>
      </c>
      <c r="BT85" s="121" t="str">
        <f t="shared" si="44"/>
        <v/>
      </c>
      <c r="BU85" s="121" t="str">
        <f t="shared" si="44"/>
        <v/>
      </c>
      <c r="BV85" s="121" t="str">
        <f t="shared" si="44"/>
        <v/>
      </c>
      <c r="BW85" s="121" t="str">
        <f t="shared" si="44"/>
        <v/>
      </c>
      <c r="BX85" s="121" t="str">
        <f t="shared" si="44"/>
        <v/>
      </c>
      <c r="BY85" s="121" t="str">
        <f t="shared" si="44"/>
        <v/>
      </c>
      <c r="BZ85" s="121" t="str">
        <f t="shared" si="44"/>
        <v/>
      </c>
      <c r="CA85" s="121" t="str">
        <f t="shared" si="44"/>
        <v/>
      </c>
      <c r="CB85" s="121" t="str">
        <f t="shared" si="44"/>
        <v/>
      </c>
      <c r="CC85" s="121" t="str">
        <f t="shared" si="44"/>
        <v/>
      </c>
      <c r="CD85" s="121" t="str">
        <f t="shared" si="44"/>
        <v/>
      </c>
      <c r="CE85" s="121" t="str">
        <f t="shared" si="44"/>
        <v/>
      </c>
      <c r="CF85" s="121" t="str">
        <f t="shared" si="44"/>
        <v/>
      </c>
      <c r="CG85" s="121" t="str">
        <f t="shared" si="44"/>
        <v/>
      </c>
      <c r="CH85" s="121" t="str">
        <f t="shared" si="44"/>
        <v/>
      </c>
      <c r="CI85" s="121" t="str">
        <f t="shared" si="44"/>
        <v/>
      </c>
      <c r="CJ85" s="121" t="str">
        <f t="shared" si="44"/>
        <v/>
      </c>
      <c r="CK85" s="121" t="str">
        <f t="shared" si="44"/>
        <v/>
      </c>
      <c r="CL85" s="121" t="str">
        <f t="shared" si="44"/>
        <v/>
      </c>
      <c r="CM85" s="121" t="str">
        <f t="shared" si="44"/>
        <v/>
      </c>
      <c r="CN85" s="121" t="str">
        <f t="shared" si="44"/>
        <v/>
      </c>
      <c r="CO85" s="121" t="str">
        <f t="shared" si="44"/>
        <v/>
      </c>
      <c r="CP85" s="121" t="str">
        <f t="shared" si="44"/>
        <v/>
      </c>
      <c r="CQ85" s="121" t="str">
        <f t="shared" si="44"/>
        <v/>
      </c>
      <c r="CR85" s="121" t="str">
        <f t="shared" si="44"/>
        <v/>
      </c>
      <c r="CS85" s="121" t="str">
        <f t="shared" si="44"/>
        <v/>
      </c>
      <c r="CT85" s="121" t="str">
        <f t="shared" si="44"/>
        <v/>
      </c>
      <c r="CU85" s="121" t="str">
        <f t="shared" si="44"/>
        <v/>
      </c>
      <c r="CV85" s="121" t="str">
        <f t="shared" si="44"/>
        <v/>
      </c>
      <c r="CW85" s="121" t="str">
        <f t="shared" si="44"/>
        <v/>
      </c>
      <c r="CX85" s="121" t="str">
        <f t="shared" si="44"/>
        <v/>
      </c>
    </row>
    <row r="86" spans="1:102" x14ac:dyDescent="0.25">
      <c r="A86" s="107" t="s">
        <v>159</v>
      </c>
      <c r="B86" s="113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1"/>
      <c r="BK86" s="121"/>
      <c r="BL86" s="121"/>
      <c r="BM86" s="121"/>
      <c r="BN86" s="121"/>
      <c r="BO86" s="121"/>
      <c r="BP86" s="121"/>
      <c r="BQ86" s="121"/>
      <c r="BR86" s="121"/>
      <c r="BS86" s="121"/>
      <c r="BT86" s="121"/>
      <c r="BU86" s="121"/>
      <c r="BV86" s="121"/>
      <c r="BW86" s="121"/>
      <c r="BX86" s="121"/>
      <c r="BY86" s="121"/>
      <c r="BZ86" s="121"/>
      <c r="CA86" s="121"/>
      <c r="CB86" s="121"/>
      <c r="CC86" s="121"/>
      <c r="CD86" s="121"/>
      <c r="CE86" s="121"/>
      <c r="CF86" s="121"/>
      <c r="CG86" s="121"/>
      <c r="CH86" s="121"/>
      <c r="CI86" s="121"/>
      <c r="CJ86" s="121"/>
      <c r="CK86" s="121"/>
      <c r="CL86" s="121"/>
      <c r="CM86" s="121"/>
      <c r="CN86" s="121"/>
      <c r="CO86" s="121"/>
      <c r="CP86" s="121"/>
      <c r="CQ86" s="121"/>
      <c r="CR86" s="121"/>
      <c r="CS86" s="121"/>
      <c r="CT86" s="121"/>
      <c r="CU86" s="121"/>
      <c r="CV86" s="121"/>
      <c r="CW86" s="121"/>
      <c r="CX86" s="121"/>
    </row>
    <row r="87" spans="1:102" x14ac:dyDescent="0.25">
      <c r="A87" s="117" t="s">
        <v>154</v>
      </c>
      <c r="B87" s="113"/>
      <c r="C87" s="114">
        <f>'Inputs and Outputs'!C116</f>
        <v>0.1429</v>
      </c>
      <c r="D87" s="114">
        <f>'Inputs and Outputs'!D116</f>
        <v>0.24490000000000001</v>
      </c>
      <c r="E87" s="114">
        <f>'Inputs and Outputs'!E116</f>
        <v>0.1749</v>
      </c>
      <c r="F87" s="114">
        <f>'Inputs and Outputs'!F116</f>
        <v>0.1249</v>
      </c>
      <c r="G87" s="114">
        <f>'Inputs and Outputs'!G116</f>
        <v>8.9300000000000004E-2</v>
      </c>
      <c r="H87" s="114">
        <f>'Inputs and Outputs'!H116</f>
        <v>8.9200000000000002E-2</v>
      </c>
      <c r="I87" s="114">
        <f>'Inputs and Outputs'!I116</f>
        <v>8.9300000000000004E-2</v>
      </c>
      <c r="J87" s="114">
        <f>'Inputs and Outputs'!J116</f>
        <v>4.4600000000000001E-2</v>
      </c>
      <c r="K87" s="114">
        <f>'Inputs and Outputs'!K116</f>
        <v>0</v>
      </c>
      <c r="L87" s="114">
        <f>'Inputs and Outputs'!L116</f>
        <v>0</v>
      </c>
      <c r="M87" s="114">
        <f>'Inputs and Outputs'!M116</f>
        <v>0</v>
      </c>
      <c r="N87" s="114">
        <f>'Inputs and Outputs'!N116</f>
        <v>0</v>
      </c>
      <c r="O87" s="114">
        <f>'Inputs and Outputs'!O116</f>
        <v>0</v>
      </c>
      <c r="P87" s="114">
        <f>'Inputs and Outputs'!P116</f>
        <v>0</v>
      </c>
      <c r="Q87" s="114">
        <f>'Inputs and Outputs'!Q116</f>
        <v>0</v>
      </c>
      <c r="R87" s="114">
        <f>'Inputs and Outputs'!R116</f>
        <v>0</v>
      </c>
      <c r="S87" s="114">
        <f>'Inputs and Outputs'!S116</f>
        <v>0</v>
      </c>
      <c r="T87" s="114">
        <f>'Inputs and Outputs'!T116</f>
        <v>0</v>
      </c>
      <c r="U87" s="114">
        <f>'Inputs and Outputs'!U116</f>
        <v>0</v>
      </c>
      <c r="V87" s="114">
        <f>'Inputs and Outputs'!V116</f>
        <v>0</v>
      </c>
      <c r="W87" s="114" t="str">
        <f>'Inputs and Outputs'!W116</f>
        <v/>
      </c>
      <c r="X87" s="114" t="str">
        <f>'Inputs and Outputs'!X116</f>
        <v/>
      </c>
      <c r="Y87" s="114" t="str">
        <f>'Inputs and Outputs'!Y116</f>
        <v/>
      </c>
      <c r="Z87" s="114" t="str">
        <f>'Inputs and Outputs'!Z116</f>
        <v/>
      </c>
      <c r="AA87" s="114" t="str">
        <f>'Inputs and Outputs'!AA116</f>
        <v/>
      </c>
      <c r="AB87" s="114" t="str">
        <f>'Inputs and Outputs'!AB116</f>
        <v/>
      </c>
      <c r="AC87" s="114" t="str">
        <f>'Inputs and Outputs'!AC116</f>
        <v/>
      </c>
      <c r="AD87" s="114" t="str">
        <f>'Inputs and Outputs'!AD116</f>
        <v/>
      </c>
      <c r="AE87" s="114" t="str">
        <f>'Inputs and Outputs'!AE116</f>
        <v/>
      </c>
      <c r="AF87" s="114" t="str">
        <f>'Inputs and Outputs'!AF116</f>
        <v/>
      </c>
      <c r="AG87" s="114" t="str">
        <f>'Inputs and Outputs'!AG116</f>
        <v/>
      </c>
      <c r="AH87" s="114" t="str">
        <f>'Inputs and Outputs'!AH116</f>
        <v/>
      </c>
      <c r="AI87" s="114" t="str">
        <f>'Inputs and Outputs'!AI116</f>
        <v/>
      </c>
      <c r="AJ87" s="114" t="str">
        <f>'Inputs and Outputs'!AJ116</f>
        <v/>
      </c>
      <c r="AK87" s="114" t="str">
        <f>'Inputs and Outputs'!AK116</f>
        <v/>
      </c>
      <c r="AL87" s="114" t="str">
        <f>'Inputs and Outputs'!AL116</f>
        <v/>
      </c>
      <c r="AM87" s="114" t="str">
        <f>'Inputs and Outputs'!AM116</f>
        <v/>
      </c>
      <c r="AN87" s="114" t="str">
        <f>'Inputs and Outputs'!AN116</f>
        <v/>
      </c>
      <c r="AO87" s="114" t="str">
        <f>'Inputs and Outputs'!AO116</f>
        <v/>
      </c>
      <c r="AP87" s="114" t="str">
        <f>'Inputs and Outputs'!AP116</f>
        <v/>
      </c>
      <c r="AQ87" s="114" t="str">
        <f>'Inputs and Outputs'!AQ116</f>
        <v/>
      </c>
      <c r="AR87" s="114" t="str">
        <f>'Inputs and Outputs'!AR116</f>
        <v/>
      </c>
      <c r="AS87" s="114" t="str">
        <f>'Inputs and Outputs'!AS116</f>
        <v/>
      </c>
      <c r="AT87" s="114" t="str">
        <f>'Inputs and Outputs'!AT116</f>
        <v/>
      </c>
      <c r="AU87" s="114" t="str">
        <f>'Inputs and Outputs'!AU116</f>
        <v/>
      </c>
      <c r="AV87" s="114" t="str">
        <f>'Inputs and Outputs'!AV116</f>
        <v/>
      </c>
      <c r="AW87" s="114" t="str">
        <f>'Inputs and Outputs'!AW116</f>
        <v/>
      </c>
      <c r="AX87" s="114" t="str">
        <f>'Inputs and Outputs'!AX116</f>
        <v/>
      </c>
      <c r="AY87" s="114" t="str">
        <f>'Inputs and Outputs'!AY116</f>
        <v/>
      </c>
      <c r="AZ87" s="114" t="str">
        <f>'Inputs and Outputs'!AZ116</f>
        <v/>
      </c>
      <c r="BA87" s="114" t="str">
        <f>'Inputs and Outputs'!BA116</f>
        <v/>
      </c>
      <c r="BB87" s="114" t="str">
        <f>'Inputs and Outputs'!BB116</f>
        <v/>
      </c>
      <c r="BC87" s="114" t="str">
        <f>'Inputs and Outputs'!BC116</f>
        <v/>
      </c>
      <c r="BD87" s="114" t="str">
        <f>'Inputs and Outputs'!BD116</f>
        <v/>
      </c>
      <c r="BE87" s="114" t="str">
        <f>'Inputs and Outputs'!BE116</f>
        <v/>
      </c>
      <c r="BF87" s="114" t="str">
        <f>'Inputs and Outputs'!BF116</f>
        <v/>
      </c>
      <c r="BG87" s="114" t="str">
        <f>'Inputs and Outputs'!BG116</f>
        <v/>
      </c>
      <c r="BH87" s="114" t="str">
        <f>'Inputs and Outputs'!BH116</f>
        <v/>
      </c>
      <c r="BI87" s="114" t="str">
        <f>'Inputs and Outputs'!BI116</f>
        <v/>
      </c>
      <c r="BJ87" s="114" t="str">
        <f>'Inputs and Outputs'!BJ116</f>
        <v/>
      </c>
      <c r="BK87" s="114" t="str">
        <f>'Inputs and Outputs'!BK116</f>
        <v/>
      </c>
      <c r="BL87" s="114" t="str">
        <f>'Inputs and Outputs'!BL116</f>
        <v/>
      </c>
      <c r="BM87" s="114" t="str">
        <f>'Inputs and Outputs'!BM116</f>
        <v/>
      </c>
      <c r="BN87" s="114" t="str">
        <f>'Inputs and Outputs'!BN116</f>
        <v/>
      </c>
      <c r="BO87" s="114" t="str">
        <f>'Inputs and Outputs'!BO116</f>
        <v/>
      </c>
      <c r="BP87" s="114" t="str">
        <f>'Inputs and Outputs'!BP116</f>
        <v/>
      </c>
      <c r="BQ87" s="114" t="str">
        <f>'Inputs and Outputs'!BQ116</f>
        <v/>
      </c>
      <c r="BR87" s="114" t="str">
        <f>'Inputs and Outputs'!BR116</f>
        <v/>
      </c>
      <c r="BS87" s="114" t="str">
        <f>'Inputs and Outputs'!BS116</f>
        <v/>
      </c>
      <c r="BT87" s="114" t="str">
        <f>'Inputs and Outputs'!BT116</f>
        <v/>
      </c>
      <c r="BU87" s="114" t="str">
        <f>'Inputs and Outputs'!BU116</f>
        <v/>
      </c>
      <c r="BV87" s="114" t="str">
        <f>'Inputs and Outputs'!BV116</f>
        <v/>
      </c>
      <c r="BW87" s="114" t="str">
        <f>'Inputs and Outputs'!BW116</f>
        <v/>
      </c>
      <c r="BX87" s="114" t="str">
        <f>'Inputs and Outputs'!BX116</f>
        <v/>
      </c>
      <c r="BY87" s="114" t="str">
        <f>'Inputs and Outputs'!BY116</f>
        <v/>
      </c>
      <c r="BZ87" s="114" t="str">
        <f>'Inputs and Outputs'!BZ116</f>
        <v/>
      </c>
      <c r="CA87" s="114" t="str">
        <f>'Inputs and Outputs'!CA116</f>
        <v/>
      </c>
      <c r="CB87" s="114" t="str">
        <f>'Inputs and Outputs'!CB116</f>
        <v/>
      </c>
      <c r="CC87" s="114" t="str">
        <f>'Inputs and Outputs'!CC116</f>
        <v/>
      </c>
      <c r="CD87" s="114" t="str">
        <f>'Inputs and Outputs'!CD116</f>
        <v/>
      </c>
      <c r="CE87" s="114" t="str">
        <f>'Inputs and Outputs'!CE116</f>
        <v/>
      </c>
      <c r="CF87" s="114" t="str">
        <f>'Inputs and Outputs'!CF116</f>
        <v/>
      </c>
      <c r="CG87" s="114" t="str">
        <f>'Inputs and Outputs'!CG116</f>
        <v/>
      </c>
      <c r="CH87" s="114" t="str">
        <f>'Inputs and Outputs'!CH116</f>
        <v/>
      </c>
      <c r="CI87" s="114" t="str">
        <f>'Inputs and Outputs'!CI116</f>
        <v/>
      </c>
      <c r="CJ87" s="114" t="str">
        <f>'Inputs and Outputs'!CJ116</f>
        <v/>
      </c>
      <c r="CK87" s="114" t="str">
        <f>'Inputs and Outputs'!CK116</f>
        <v/>
      </c>
      <c r="CL87" s="114" t="str">
        <f>'Inputs and Outputs'!CL116</f>
        <v/>
      </c>
      <c r="CM87" s="114" t="str">
        <f>'Inputs and Outputs'!CM116</f>
        <v/>
      </c>
      <c r="CN87" s="114" t="str">
        <f>'Inputs and Outputs'!CN116</f>
        <v/>
      </c>
      <c r="CO87" s="114" t="str">
        <f>'Inputs and Outputs'!CO116</f>
        <v/>
      </c>
      <c r="CP87" s="114" t="str">
        <f>'Inputs and Outputs'!CP116</f>
        <v/>
      </c>
      <c r="CQ87" s="114" t="str">
        <f>'Inputs and Outputs'!CQ116</f>
        <v/>
      </c>
      <c r="CR87" s="114" t="str">
        <f>'Inputs and Outputs'!CR116</f>
        <v/>
      </c>
      <c r="CS87" s="114" t="str">
        <f>'Inputs and Outputs'!CS116</f>
        <v/>
      </c>
      <c r="CT87" s="114" t="str">
        <f>'Inputs and Outputs'!CT116</f>
        <v/>
      </c>
      <c r="CU87" s="114" t="str">
        <f>'Inputs and Outputs'!CU116</f>
        <v/>
      </c>
      <c r="CV87" s="114" t="str">
        <f>'Inputs and Outputs'!CV116</f>
        <v/>
      </c>
      <c r="CW87" s="114" t="str">
        <f>'Inputs and Outputs'!CW116</f>
        <v/>
      </c>
      <c r="CX87" s="114" t="str">
        <f>'Inputs and Outputs'!CX116</f>
        <v/>
      </c>
    </row>
    <row r="88" spans="1:102" x14ac:dyDescent="0.25">
      <c r="A88" s="117" t="s">
        <v>155</v>
      </c>
      <c r="B88" s="121">
        <f>IF(ISNUMBER(outYear),IF(FederalDepreciation="N/A",0,($B$98-IF(batt_itc_fed_percent_deprbas_fed="Yes",0.5*MIN(batt_itc_fed_percent/100*$B$98,batt_itc_fed_percent_maxvalue),0))),"")</f>
        <v>0</v>
      </c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1"/>
      <c r="BK88" s="121"/>
      <c r="BL88" s="121"/>
      <c r="BM88" s="121"/>
      <c r="BN88" s="121"/>
      <c r="BO88" s="121"/>
      <c r="BP88" s="121"/>
      <c r="BQ88" s="121"/>
      <c r="BR88" s="121"/>
      <c r="BS88" s="121"/>
      <c r="BT88" s="121"/>
      <c r="BU88" s="121"/>
      <c r="BV88" s="121"/>
      <c r="BW88" s="121"/>
      <c r="BX88" s="121"/>
      <c r="BY88" s="121"/>
      <c r="BZ88" s="121"/>
      <c r="CA88" s="121"/>
      <c r="CB88" s="121"/>
      <c r="CC88" s="121"/>
      <c r="CD88" s="121"/>
      <c r="CE88" s="121"/>
      <c r="CF88" s="121"/>
      <c r="CG88" s="121"/>
      <c r="CH88" s="121"/>
      <c r="CI88" s="121"/>
      <c r="CJ88" s="121"/>
      <c r="CK88" s="121"/>
      <c r="CL88" s="121"/>
      <c r="CM88" s="121"/>
      <c r="CN88" s="121"/>
      <c r="CO88" s="121"/>
      <c r="CP88" s="121"/>
      <c r="CQ88" s="121"/>
      <c r="CR88" s="121"/>
      <c r="CS88" s="121"/>
      <c r="CT88" s="121"/>
      <c r="CU88" s="121"/>
      <c r="CV88" s="121"/>
      <c r="CW88" s="121"/>
      <c r="CX88" s="121"/>
    </row>
    <row r="89" spans="1:102" x14ac:dyDescent="0.25">
      <c r="A89" s="117" t="s">
        <v>156</v>
      </c>
      <c r="B89" s="121">
        <f>B88*(1-BatteryBonusFraction)</f>
        <v>0</v>
      </c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1"/>
      <c r="BK89" s="121"/>
      <c r="BL89" s="121"/>
      <c r="BM89" s="121"/>
      <c r="BN89" s="121"/>
      <c r="BO89" s="121"/>
      <c r="BP89" s="121"/>
      <c r="BQ89" s="121"/>
      <c r="BR89" s="121"/>
      <c r="BS89" s="121"/>
      <c r="BT89" s="121"/>
      <c r="BU89" s="121"/>
      <c r="BV89" s="121"/>
      <c r="BW89" s="121"/>
      <c r="BX89" s="121"/>
      <c r="BY89" s="121"/>
      <c r="BZ89" s="121"/>
      <c r="CA89" s="121"/>
      <c r="CB89" s="121"/>
      <c r="CC89" s="121"/>
      <c r="CD89" s="121"/>
      <c r="CE89" s="121"/>
      <c r="CF89" s="121"/>
      <c r="CG89" s="121"/>
      <c r="CH89" s="121"/>
      <c r="CI89" s="121"/>
      <c r="CJ89" s="121"/>
      <c r="CK89" s="121"/>
      <c r="CL89" s="121"/>
      <c r="CM89" s="121"/>
      <c r="CN89" s="121"/>
      <c r="CO89" s="121"/>
      <c r="CP89" s="121"/>
      <c r="CQ89" s="121"/>
      <c r="CR89" s="121"/>
      <c r="CS89" s="121"/>
      <c r="CT89" s="121"/>
      <c r="CU89" s="121"/>
      <c r="CV89" s="121"/>
      <c r="CW89" s="121"/>
      <c r="CX89" s="121"/>
    </row>
    <row r="90" spans="1:102" x14ac:dyDescent="0.25">
      <c r="A90" s="117" t="s">
        <v>157</v>
      </c>
      <c r="B90" s="113"/>
      <c r="C90" s="121">
        <f>IF(ISNUMBER(outYear),$B$89*C87 + $B$88*BatteryBonusFraction,"")</f>
        <v>0</v>
      </c>
      <c r="D90" s="121">
        <f t="shared" ref="D90:AI90" si="45">IF(ISNUMBER(outYear),$B$89*D87,"")</f>
        <v>0</v>
      </c>
      <c r="E90" s="121">
        <f t="shared" si="45"/>
        <v>0</v>
      </c>
      <c r="F90" s="121">
        <f t="shared" si="45"/>
        <v>0</v>
      </c>
      <c r="G90" s="121">
        <f t="shared" si="45"/>
        <v>0</v>
      </c>
      <c r="H90" s="121">
        <f t="shared" si="45"/>
        <v>0</v>
      </c>
      <c r="I90" s="121">
        <f t="shared" si="45"/>
        <v>0</v>
      </c>
      <c r="J90" s="121">
        <f t="shared" si="45"/>
        <v>0</v>
      </c>
      <c r="K90" s="121">
        <f t="shared" si="45"/>
        <v>0</v>
      </c>
      <c r="L90" s="121">
        <f t="shared" si="45"/>
        <v>0</v>
      </c>
      <c r="M90" s="121">
        <f t="shared" si="45"/>
        <v>0</v>
      </c>
      <c r="N90" s="121">
        <f t="shared" si="45"/>
        <v>0</v>
      </c>
      <c r="O90" s="121">
        <f t="shared" si="45"/>
        <v>0</v>
      </c>
      <c r="P90" s="121">
        <f t="shared" si="45"/>
        <v>0</v>
      </c>
      <c r="Q90" s="121">
        <f t="shared" si="45"/>
        <v>0</v>
      </c>
      <c r="R90" s="121">
        <f t="shared" si="45"/>
        <v>0</v>
      </c>
      <c r="S90" s="121">
        <f t="shared" si="45"/>
        <v>0</v>
      </c>
      <c r="T90" s="121">
        <f t="shared" si="45"/>
        <v>0</v>
      </c>
      <c r="U90" s="121">
        <f t="shared" si="45"/>
        <v>0</v>
      </c>
      <c r="V90" s="121">
        <f t="shared" si="45"/>
        <v>0</v>
      </c>
      <c r="W90" s="121" t="str">
        <f t="shared" si="45"/>
        <v/>
      </c>
      <c r="X90" s="121" t="str">
        <f t="shared" si="45"/>
        <v/>
      </c>
      <c r="Y90" s="121" t="str">
        <f t="shared" si="45"/>
        <v/>
      </c>
      <c r="Z90" s="121" t="str">
        <f t="shared" si="45"/>
        <v/>
      </c>
      <c r="AA90" s="121" t="str">
        <f t="shared" si="45"/>
        <v/>
      </c>
      <c r="AB90" s="121" t="str">
        <f t="shared" si="45"/>
        <v/>
      </c>
      <c r="AC90" s="121" t="str">
        <f t="shared" si="45"/>
        <v/>
      </c>
      <c r="AD90" s="121" t="str">
        <f t="shared" si="45"/>
        <v/>
      </c>
      <c r="AE90" s="121" t="str">
        <f t="shared" si="45"/>
        <v/>
      </c>
      <c r="AF90" s="121" t="str">
        <f t="shared" si="45"/>
        <v/>
      </c>
      <c r="AG90" s="121" t="str">
        <f t="shared" si="45"/>
        <v/>
      </c>
      <c r="AH90" s="121" t="str">
        <f t="shared" si="45"/>
        <v/>
      </c>
      <c r="AI90" s="121" t="str">
        <f t="shared" si="45"/>
        <v/>
      </c>
      <c r="AJ90" s="121" t="str">
        <f t="shared" ref="AJ90:BO90" si="46">IF(ISNUMBER(outYear),$B$89*AJ87,"")</f>
        <v/>
      </c>
      <c r="AK90" s="121" t="str">
        <f t="shared" si="46"/>
        <v/>
      </c>
      <c r="AL90" s="121" t="str">
        <f t="shared" si="46"/>
        <v/>
      </c>
      <c r="AM90" s="121" t="str">
        <f t="shared" si="46"/>
        <v/>
      </c>
      <c r="AN90" s="121" t="str">
        <f t="shared" si="46"/>
        <v/>
      </c>
      <c r="AO90" s="121" t="str">
        <f t="shared" si="46"/>
        <v/>
      </c>
      <c r="AP90" s="121" t="str">
        <f t="shared" si="46"/>
        <v/>
      </c>
      <c r="AQ90" s="121" t="str">
        <f t="shared" si="46"/>
        <v/>
      </c>
      <c r="AR90" s="121" t="str">
        <f t="shared" si="46"/>
        <v/>
      </c>
      <c r="AS90" s="121" t="str">
        <f t="shared" si="46"/>
        <v/>
      </c>
      <c r="AT90" s="121" t="str">
        <f t="shared" si="46"/>
        <v/>
      </c>
      <c r="AU90" s="121" t="str">
        <f t="shared" si="46"/>
        <v/>
      </c>
      <c r="AV90" s="121" t="str">
        <f t="shared" si="46"/>
        <v/>
      </c>
      <c r="AW90" s="121" t="str">
        <f t="shared" si="46"/>
        <v/>
      </c>
      <c r="AX90" s="121" t="str">
        <f t="shared" si="46"/>
        <v/>
      </c>
      <c r="AY90" s="121" t="str">
        <f t="shared" si="46"/>
        <v/>
      </c>
      <c r="AZ90" s="121" t="str">
        <f t="shared" si="46"/>
        <v/>
      </c>
      <c r="BA90" s="121" t="str">
        <f t="shared" si="46"/>
        <v/>
      </c>
      <c r="BB90" s="121" t="str">
        <f t="shared" si="46"/>
        <v/>
      </c>
      <c r="BC90" s="121" t="str">
        <f t="shared" si="46"/>
        <v/>
      </c>
      <c r="BD90" s="121" t="str">
        <f t="shared" si="46"/>
        <v/>
      </c>
      <c r="BE90" s="121" t="str">
        <f t="shared" si="46"/>
        <v/>
      </c>
      <c r="BF90" s="121" t="str">
        <f t="shared" si="46"/>
        <v/>
      </c>
      <c r="BG90" s="121" t="str">
        <f t="shared" si="46"/>
        <v/>
      </c>
      <c r="BH90" s="121" t="str">
        <f t="shared" si="46"/>
        <v/>
      </c>
      <c r="BI90" s="121" t="str">
        <f t="shared" si="46"/>
        <v/>
      </c>
      <c r="BJ90" s="121" t="str">
        <f t="shared" si="46"/>
        <v/>
      </c>
      <c r="BK90" s="121" t="str">
        <f t="shared" si="46"/>
        <v/>
      </c>
      <c r="BL90" s="121" t="str">
        <f t="shared" si="46"/>
        <v/>
      </c>
      <c r="BM90" s="121" t="str">
        <f t="shared" si="46"/>
        <v/>
      </c>
      <c r="BN90" s="121" t="str">
        <f t="shared" si="46"/>
        <v/>
      </c>
      <c r="BO90" s="121" t="str">
        <f t="shared" si="46"/>
        <v/>
      </c>
      <c r="BP90" s="121" t="str">
        <f t="shared" ref="BP90:CX90" si="47">IF(ISNUMBER(outYear),$B$89*BP87,"")</f>
        <v/>
      </c>
      <c r="BQ90" s="121" t="str">
        <f t="shared" si="47"/>
        <v/>
      </c>
      <c r="BR90" s="121" t="str">
        <f t="shared" si="47"/>
        <v/>
      </c>
      <c r="BS90" s="121" t="str">
        <f t="shared" si="47"/>
        <v/>
      </c>
      <c r="BT90" s="121" t="str">
        <f t="shared" si="47"/>
        <v/>
      </c>
      <c r="BU90" s="121" t="str">
        <f t="shared" si="47"/>
        <v/>
      </c>
      <c r="BV90" s="121" t="str">
        <f t="shared" si="47"/>
        <v/>
      </c>
      <c r="BW90" s="121" t="str">
        <f t="shared" si="47"/>
        <v/>
      </c>
      <c r="BX90" s="121" t="str">
        <f t="shared" si="47"/>
        <v/>
      </c>
      <c r="BY90" s="121" t="str">
        <f t="shared" si="47"/>
        <v/>
      </c>
      <c r="BZ90" s="121" t="str">
        <f t="shared" si="47"/>
        <v/>
      </c>
      <c r="CA90" s="121" t="str">
        <f t="shared" si="47"/>
        <v/>
      </c>
      <c r="CB90" s="121" t="str">
        <f t="shared" si="47"/>
        <v/>
      </c>
      <c r="CC90" s="121" t="str">
        <f t="shared" si="47"/>
        <v/>
      </c>
      <c r="CD90" s="121" t="str">
        <f t="shared" si="47"/>
        <v/>
      </c>
      <c r="CE90" s="121" t="str">
        <f t="shared" si="47"/>
        <v/>
      </c>
      <c r="CF90" s="121" t="str">
        <f t="shared" si="47"/>
        <v/>
      </c>
      <c r="CG90" s="121" t="str">
        <f t="shared" si="47"/>
        <v/>
      </c>
      <c r="CH90" s="121" t="str">
        <f t="shared" si="47"/>
        <v/>
      </c>
      <c r="CI90" s="121" t="str">
        <f t="shared" si="47"/>
        <v/>
      </c>
      <c r="CJ90" s="121" t="str">
        <f t="shared" si="47"/>
        <v/>
      </c>
      <c r="CK90" s="121" t="str">
        <f t="shared" si="47"/>
        <v/>
      </c>
      <c r="CL90" s="121" t="str">
        <f t="shared" si="47"/>
        <v/>
      </c>
      <c r="CM90" s="121" t="str">
        <f t="shared" si="47"/>
        <v/>
      </c>
      <c r="CN90" s="121" t="str">
        <f t="shared" si="47"/>
        <v/>
      </c>
      <c r="CO90" s="121" t="str">
        <f t="shared" si="47"/>
        <v/>
      </c>
      <c r="CP90" s="121" t="str">
        <f t="shared" si="47"/>
        <v/>
      </c>
      <c r="CQ90" s="121" t="str">
        <f t="shared" si="47"/>
        <v/>
      </c>
      <c r="CR90" s="121" t="str">
        <f t="shared" si="47"/>
        <v/>
      </c>
      <c r="CS90" s="121" t="str">
        <f t="shared" si="47"/>
        <v/>
      </c>
      <c r="CT90" s="121" t="str">
        <f t="shared" si="47"/>
        <v/>
      </c>
      <c r="CU90" s="121" t="str">
        <f t="shared" si="47"/>
        <v/>
      </c>
      <c r="CV90" s="121" t="str">
        <f t="shared" si="47"/>
        <v/>
      </c>
      <c r="CW90" s="121" t="str">
        <f t="shared" si="47"/>
        <v/>
      </c>
      <c r="CX90" s="121" t="str">
        <f t="shared" si="47"/>
        <v/>
      </c>
    </row>
    <row r="91" spans="1:102" x14ac:dyDescent="0.25">
      <c r="A91" s="107" t="s">
        <v>160</v>
      </c>
      <c r="B91" s="113"/>
      <c r="C91" s="121">
        <f t="shared" ref="C91:AH91" si="48">IF(ISNUMBER(outYear),SUM(C75,C80,C85,C90),"")</f>
        <v>2080.12698</v>
      </c>
      <c r="D91" s="121">
        <f t="shared" si="48"/>
        <v>2986.6655420000002</v>
      </c>
      <c r="E91" s="121">
        <f t="shared" si="48"/>
        <v>2050.7512005500002</v>
      </c>
      <c r="F91" s="121">
        <f t="shared" si="48"/>
        <v>1495.67139256375</v>
      </c>
      <c r="G91" s="121">
        <f t="shared" si="48"/>
        <v>1511.6626389778437</v>
      </c>
      <c r="H91" s="121">
        <f t="shared" si="48"/>
        <v>1100.0428985522897</v>
      </c>
      <c r="I91" s="121">
        <f t="shared" si="48"/>
        <v>688.8329338160969</v>
      </c>
      <c r="J91" s="121">
        <f t="shared" si="48"/>
        <v>706.05375716149933</v>
      </c>
      <c r="K91" s="121">
        <f t="shared" si="48"/>
        <v>723.70510109053657</v>
      </c>
      <c r="L91" s="121">
        <f t="shared" si="48"/>
        <v>741.79772861780009</v>
      </c>
      <c r="M91" s="121">
        <f t="shared" si="48"/>
        <v>760.34267183324505</v>
      </c>
      <c r="N91" s="121">
        <f t="shared" si="48"/>
        <v>779.35123862907619</v>
      </c>
      <c r="O91" s="121">
        <f t="shared" si="48"/>
        <v>798.83501959480304</v>
      </c>
      <c r="P91" s="121">
        <f t="shared" si="48"/>
        <v>818.8058950846729</v>
      </c>
      <c r="Q91" s="121">
        <f t="shared" si="48"/>
        <v>839.27604246178987</v>
      </c>
      <c r="R91" s="121">
        <f t="shared" si="48"/>
        <v>860.25794352333457</v>
      </c>
      <c r="S91" s="121">
        <f t="shared" si="48"/>
        <v>881.76439211141781</v>
      </c>
      <c r="T91" s="121">
        <f t="shared" si="48"/>
        <v>903.80850191420336</v>
      </c>
      <c r="U91" s="121">
        <f t="shared" si="48"/>
        <v>926.40371446205836</v>
      </c>
      <c r="V91" s="121">
        <f t="shared" si="48"/>
        <v>949.56380732360969</v>
      </c>
      <c r="W91" s="121" t="str">
        <f t="shared" si="48"/>
        <v/>
      </c>
      <c r="X91" s="121" t="str">
        <f t="shared" si="48"/>
        <v/>
      </c>
      <c r="Y91" s="121" t="str">
        <f t="shared" si="48"/>
        <v/>
      </c>
      <c r="Z91" s="121" t="str">
        <f t="shared" si="48"/>
        <v/>
      </c>
      <c r="AA91" s="121" t="str">
        <f t="shared" si="48"/>
        <v/>
      </c>
      <c r="AB91" s="121" t="str">
        <f t="shared" si="48"/>
        <v/>
      </c>
      <c r="AC91" s="121" t="str">
        <f t="shared" si="48"/>
        <v/>
      </c>
      <c r="AD91" s="121" t="str">
        <f t="shared" si="48"/>
        <v/>
      </c>
      <c r="AE91" s="121" t="str">
        <f t="shared" si="48"/>
        <v/>
      </c>
      <c r="AF91" s="121" t="str">
        <f t="shared" si="48"/>
        <v/>
      </c>
      <c r="AG91" s="121" t="str">
        <f t="shared" si="48"/>
        <v/>
      </c>
      <c r="AH91" s="121" t="str">
        <f t="shared" si="48"/>
        <v/>
      </c>
      <c r="AI91" s="121" t="str">
        <f t="shared" ref="AI91:BN91" si="49">IF(ISNUMBER(outYear),SUM(AI75,AI80,AI85,AI90),"")</f>
        <v/>
      </c>
      <c r="AJ91" s="121" t="str">
        <f t="shared" si="49"/>
        <v/>
      </c>
      <c r="AK91" s="121" t="str">
        <f t="shared" si="49"/>
        <v/>
      </c>
      <c r="AL91" s="121" t="str">
        <f t="shared" si="49"/>
        <v/>
      </c>
      <c r="AM91" s="121" t="str">
        <f t="shared" si="49"/>
        <v/>
      </c>
      <c r="AN91" s="121" t="str">
        <f t="shared" si="49"/>
        <v/>
      </c>
      <c r="AO91" s="121" t="str">
        <f t="shared" si="49"/>
        <v/>
      </c>
      <c r="AP91" s="121" t="str">
        <f t="shared" si="49"/>
        <v/>
      </c>
      <c r="AQ91" s="121" t="str">
        <f t="shared" si="49"/>
        <v/>
      </c>
      <c r="AR91" s="121" t="str">
        <f t="shared" si="49"/>
        <v/>
      </c>
      <c r="AS91" s="121" t="str">
        <f t="shared" si="49"/>
        <v/>
      </c>
      <c r="AT91" s="121" t="str">
        <f t="shared" si="49"/>
        <v/>
      </c>
      <c r="AU91" s="121" t="str">
        <f t="shared" si="49"/>
        <v/>
      </c>
      <c r="AV91" s="121" t="str">
        <f t="shared" si="49"/>
        <v/>
      </c>
      <c r="AW91" s="121" t="str">
        <f t="shared" si="49"/>
        <v/>
      </c>
      <c r="AX91" s="121" t="str">
        <f t="shared" si="49"/>
        <v/>
      </c>
      <c r="AY91" s="121" t="str">
        <f t="shared" si="49"/>
        <v/>
      </c>
      <c r="AZ91" s="121" t="str">
        <f t="shared" si="49"/>
        <v/>
      </c>
      <c r="BA91" s="121" t="str">
        <f t="shared" si="49"/>
        <v/>
      </c>
      <c r="BB91" s="121" t="str">
        <f t="shared" si="49"/>
        <v/>
      </c>
      <c r="BC91" s="121" t="str">
        <f t="shared" si="49"/>
        <v/>
      </c>
      <c r="BD91" s="121" t="str">
        <f t="shared" si="49"/>
        <v/>
      </c>
      <c r="BE91" s="121" t="str">
        <f t="shared" si="49"/>
        <v/>
      </c>
      <c r="BF91" s="121" t="str">
        <f t="shared" si="49"/>
        <v/>
      </c>
      <c r="BG91" s="121" t="str">
        <f t="shared" si="49"/>
        <v/>
      </c>
      <c r="BH91" s="121" t="str">
        <f t="shared" si="49"/>
        <v/>
      </c>
      <c r="BI91" s="121" t="str">
        <f t="shared" si="49"/>
        <v/>
      </c>
      <c r="BJ91" s="121" t="str">
        <f t="shared" si="49"/>
        <v/>
      </c>
      <c r="BK91" s="121" t="str">
        <f t="shared" si="49"/>
        <v/>
      </c>
      <c r="BL91" s="121" t="str">
        <f t="shared" si="49"/>
        <v/>
      </c>
      <c r="BM91" s="121" t="str">
        <f t="shared" si="49"/>
        <v/>
      </c>
      <c r="BN91" s="121" t="str">
        <f t="shared" si="49"/>
        <v/>
      </c>
      <c r="BO91" s="121" t="str">
        <f t="shared" ref="BO91:CT91" si="50">IF(ISNUMBER(outYear),SUM(BO75,BO80,BO85,BO90),"")</f>
        <v/>
      </c>
      <c r="BP91" s="121" t="str">
        <f t="shared" si="50"/>
        <v/>
      </c>
      <c r="BQ91" s="121" t="str">
        <f t="shared" si="50"/>
        <v/>
      </c>
      <c r="BR91" s="121" t="str">
        <f t="shared" si="50"/>
        <v/>
      </c>
      <c r="BS91" s="121" t="str">
        <f t="shared" si="50"/>
        <v/>
      </c>
      <c r="BT91" s="121" t="str">
        <f t="shared" si="50"/>
        <v/>
      </c>
      <c r="BU91" s="121" t="str">
        <f t="shared" si="50"/>
        <v/>
      </c>
      <c r="BV91" s="121" t="str">
        <f t="shared" si="50"/>
        <v/>
      </c>
      <c r="BW91" s="121" t="str">
        <f t="shared" si="50"/>
        <v/>
      </c>
      <c r="BX91" s="121" t="str">
        <f t="shared" si="50"/>
        <v/>
      </c>
      <c r="BY91" s="121" t="str">
        <f t="shared" si="50"/>
        <v/>
      </c>
      <c r="BZ91" s="121" t="str">
        <f t="shared" si="50"/>
        <v/>
      </c>
      <c r="CA91" s="121" t="str">
        <f t="shared" si="50"/>
        <v/>
      </c>
      <c r="CB91" s="121" t="str">
        <f t="shared" si="50"/>
        <v/>
      </c>
      <c r="CC91" s="121" t="str">
        <f t="shared" si="50"/>
        <v/>
      </c>
      <c r="CD91" s="121" t="str">
        <f t="shared" si="50"/>
        <v/>
      </c>
      <c r="CE91" s="121" t="str">
        <f t="shared" si="50"/>
        <v/>
      </c>
      <c r="CF91" s="121" t="str">
        <f t="shared" si="50"/>
        <v/>
      </c>
      <c r="CG91" s="121" t="str">
        <f t="shared" si="50"/>
        <v/>
      </c>
      <c r="CH91" s="121" t="str">
        <f t="shared" si="50"/>
        <v/>
      </c>
      <c r="CI91" s="121" t="str">
        <f t="shared" si="50"/>
        <v/>
      </c>
      <c r="CJ91" s="121" t="str">
        <f t="shared" si="50"/>
        <v/>
      </c>
      <c r="CK91" s="121" t="str">
        <f t="shared" si="50"/>
        <v/>
      </c>
      <c r="CL91" s="121" t="str">
        <f t="shared" si="50"/>
        <v/>
      </c>
      <c r="CM91" s="121" t="str">
        <f t="shared" si="50"/>
        <v/>
      </c>
      <c r="CN91" s="121" t="str">
        <f t="shared" si="50"/>
        <v/>
      </c>
      <c r="CO91" s="121" t="str">
        <f t="shared" si="50"/>
        <v/>
      </c>
      <c r="CP91" s="121" t="str">
        <f t="shared" si="50"/>
        <v/>
      </c>
      <c r="CQ91" s="121" t="str">
        <f t="shared" si="50"/>
        <v/>
      </c>
      <c r="CR91" s="121" t="str">
        <f t="shared" si="50"/>
        <v/>
      </c>
      <c r="CS91" s="121" t="str">
        <f t="shared" si="50"/>
        <v/>
      </c>
      <c r="CT91" s="121" t="str">
        <f t="shared" si="50"/>
        <v/>
      </c>
      <c r="CU91" s="121" t="str">
        <f t="shared" ref="CU91:CX91" si="51">IF(ISNUMBER(outYear),SUM(CU75,CU80,CU85,CU90),"")</f>
        <v/>
      </c>
      <c r="CV91" s="121" t="str">
        <f t="shared" si="51"/>
        <v/>
      </c>
      <c r="CW91" s="121" t="str">
        <f t="shared" si="51"/>
        <v/>
      </c>
      <c r="CX91" s="121" t="str">
        <f t="shared" si="51"/>
        <v/>
      </c>
    </row>
    <row r="92" spans="1:102" x14ac:dyDescent="0.25">
      <c r="A92" s="96" t="s">
        <v>161</v>
      </c>
      <c r="B92" s="113"/>
      <c r="C92" s="121">
        <f t="shared" ref="C92:AH92" si="52">IF(ISNUMBER(outYear),C73-C91,"")</f>
        <v>-2080.12698</v>
      </c>
      <c r="D92" s="121">
        <f t="shared" si="52"/>
        <v>-2986.6655420000002</v>
      </c>
      <c r="E92" s="121">
        <f t="shared" si="52"/>
        <v>-2050.7512005500002</v>
      </c>
      <c r="F92" s="121">
        <f t="shared" si="52"/>
        <v>-1495.67139256375</v>
      </c>
      <c r="G92" s="121">
        <f t="shared" si="52"/>
        <v>-1511.6626389778437</v>
      </c>
      <c r="H92" s="121">
        <f t="shared" si="52"/>
        <v>-1100.0428985522897</v>
      </c>
      <c r="I92" s="121">
        <f t="shared" si="52"/>
        <v>-688.8329338160969</v>
      </c>
      <c r="J92" s="121">
        <f t="shared" si="52"/>
        <v>-706.05375716149933</v>
      </c>
      <c r="K92" s="121">
        <f t="shared" si="52"/>
        <v>-723.70510109053657</v>
      </c>
      <c r="L92" s="121">
        <f t="shared" si="52"/>
        <v>-741.79772861780009</v>
      </c>
      <c r="M92" s="121">
        <f t="shared" si="52"/>
        <v>-760.34267183324505</v>
      </c>
      <c r="N92" s="121">
        <f t="shared" si="52"/>
        <v>-779.35123862907619</v>
      </c>
      <c r="O92" s="121">
        <f t="shared" si="52"/>
        <v>-798.83501959480304</v>
      </c>
      <c r="P92" s="121">
        <f t="shared" si="52"/>
        <v>-818.8058950846729</v>
      </c>
      <c r="Q92" s="121">
        <f t="shared" si="52"/>
        <v>-839.27604246178987</v>
      </c>
      <c r="R92" s="121">
        <f t="shared" si="52"/>
        <v>-860.25794352333457</v>
      </c>
      <c r="S92" s="121">
        <f t="shared" si="52"/>
        <v>-881.76439211141781</v>
      </c>
      <c r="T92" s="121">
        <f t="shared" si="52"/>
        <v>-903.80850191420336</v>
      </c>
      <c r="U92" s="121">
        <f t="shared" si="52"/>
        <v>-926.40371446205836</v>
      </c>
      <c r="V92" s="121">
        <f t="shared" si="52"/>
        <v>-949.56380732360969</v>
      </c>
      <c r="W92" s="121" t="str">
        <f t="shared" si="52"/>
        <v/>
      </c>
      <c r="X92" s="121" t="str">
        <f t="shared" si="52"/>
        <v/>
      </c>
      <c r="Y92" s="121" t="str">
        <f t="shared" si="52"/>
        <v/>
      </c>
      <c r="Z92" s="121" t="str">
        <f t="shared" si="52"/>
        <v/>
      </c>
      <c r="AA92" s="121" t="str">
        <f t="shared" si="52"/>
        <v/>
      </c>
      <c r="AB92" s="121" t="str">
        <f t="shared" si="52"/>
        <v/>
      </c>
      <c r="AC92" s="121" t="str">
        <f t="shared" si="52"/>
        <v/>
      </c>
      <c r="AD92" s="121" t="str">
        <f t="shared" si="52"/>
        <v/>
      </c>
      <c r="AE92" s="121" t="str">
        <f t="shared" si="52"/>
        <v/>
      </c>
      <c r="AF92" s="121" t="str">
        <f t="shared" si="52"/>
        <v/>
      </c>
      <c r="AG92" s="121" t="str">
        <f t="shared" si="52"/>
        <v/>
      </c>
      <c r="AH92" s="121" t="str">
        <f t="shared" si="52"/>
        <v/>
      </c>
      <c r="AI92" s="121" t="str">
        <f t="shared" ref="AI92:BN92" si="53">IF(ISNUMBER(outYear),AI73-AI91,"")</f>
        <v/>
      </c>
      <c r="AJ92" s="121" t="str">
        <f t="shared" si="53"/>
        <v/>
      </c>
      <c r="AK92" s="121" t="str">
        <f t="shared" si="53"/>
        <v/>
      </c>
      <c r="AL92" s="121" t="str">
        <f t="shared" si="53"/>
        <v/>
      </c>
      <c r="AM92" s="121" t="str">
        <f t="shared" si="53"/>
        <v/>
      </c>
      <c r="AN92" s="121" t="str">
        <f t="shared" si="53"/>
        <v/>
      </c>
      <c r="AO92" s="121" t="str">
        <f t="shared" si="53"/>
        <v/>
      </c>
      <c r="AP92" s="121" t="str">
        <f t="shared" si="53"/>
        <v/>
      </c>
      <c r="AQ92" s="121" t="str">
        <f t="shared" si="53"/>
        <v/>
      </c>
      <c r="AR92" s="121" t="str">
        <f t="shared" si="53"/>
        <v/>
      </c>
      <c r="AS92" s="121" t="str">
        <f t="shared" si="53"/>
        <v/>
      </c>
      <c r="AT92" s="121" t="str">
        <f t="shared" si="53"/>
        <v/>
      </c>
      <c r="AU92" s="121" t="str">
        <f t="shared" si="53"/>
        <v/>
      </c>
      <c r="AV92" s="121" t="str">
        <f t="shared" si="53"/>
        <v/>
      </c>
      <c r="AW92" s="121" t="str">
        <f t="shared" si="53"/>
        <v/>
      </c>
      <c r="AX92" s="121" t="str">
        <f t="shared" si="53"/>
        <v/>
      </c>
      <c r="AY92" s="121" t="str">
        <f t="shared" si="53"/>
        <v/>
      </c>
      <c r="AZ92" s="121" t="str">
        <f t="shared" si="53"/>
        <v/>
      </c>
      <c r="BA92" s="121" t="str">
        <f t="shared" si="53"/>
        <v/>
      </c>
      <c r="BB92" s="121" t="str">
        <f t="shared" si="53"/>
        <v/>
      </c>
      <c r="BC92" s="121" t="str">
        <f t="shared" si="53"/>
        <v/>
      </c>
      <c r="BD92" s="121" t="str">
        <f t="shared" si="53"/>
        <v/>
      </c>
      <c r="BE92" s="121" t="str">
        <f t="shared" si="53"/>
        <v/>
      </c>
      <c r="BF92" s="121" t="str">
        <f t="shared" si="53"/>
        <v/>
      </c>
      <c r="BG92" s="121" t="str">
        <f t="shared" si="53"/>
        <v/>
      </c>
      <c r="BH92" s="121" t="str">
        <f t="shared" si="53"/>
        <v/>
      </c>
      <c r="BI92" s="121" t="str">
        <f t="shared" si="53"/>
        <v/>
      </c>
      <c r="BJ92" s="121" t="str">
        <f t="shared" si="53"/>
        <v/>
      </c>
      <c r="BK92" s="121" t="str">
        <f t="shared" si="53"/>
        <v/>
      </c>
      <c r="BL92" s="121" t="str">
        <f t="shared" si="53"/>
        <v/>
      </c>
      <c r="BM92" s="121" t="str">
        <f t="shared" si="53"/>
        <v/>
      </c>
      <c r="BN92" s="121" t="str">
        <f t="shared" si="53"/>
        <v/>
      </c>
      <c r="BO92" s="121" t="str">
        <f t="shared" ref="BO92:CT92" si="54">IF(ISNUMBER(outYear),BO73-BO91,"")</f>
        <v/>
      </c>
      <c r="BP92" s="121" t="str">
        <f t="shared" si="54"/>
        <v/>
      </c>
      <c r="BQ92" s="121" t="str">
        <f t="shared" si="54"/>
        <v/>
      </c>
      <c r="BR92" s="121" t="str">
        <f t="shared" si="54"/>
        <v/>
      </c>
      <c r="BS92" s="121" t="str">
        <f t="shared" si="54"/>
        <v/>
      </c>
      <c r="BT92" s="121" t="str">
        <f t="shared" si="54"/>
        <v/>
      </c>
      <c r="BU92" s="121" t="str">
        <f t="shared" si="54"/>
        <v/>
      </c>
      <c r="BV92" s="121" t="str">
        <f t="shared" si="54"/>
        <v/>
      </c>
      <c r="BW92" s="121" t="str">
        <f t="shared" si="54"/>
        <v/>
      </c>
      <c r="BX92" s="121" t="str">
        <f t="shared" si="54"/>
        <v/>
      </c>
      <c r="BY92" s="121" t="str">
        <f t="shared" si="54"/>
        <v/>
      </c>
      <c r="BZ92" s="121" t="str">
        <f t="shared" si="54"/>
        <v/>
      </c>
      <c r="CA92" s="121" t="str">
        <f t="shared" si="54"/>
        <v/>
      </c>
      <c r="CB92" s="121" t="str">
        <f t="shared" si="54"/>
        <v/>
      </c>
      <c r="CC92" s="121" t="str">
        <f t="shared" si="54"/>
        <v/>
      </c>
      <c r="CD92" s="121" t="str">
        <f t="shared" si="54"/>
        <v/>
      </c>
      <c r="CE92" s="121" t="str">
        <f t="shared" si="54"/>
        <v/>
      </c>
      <c r="CF92" s="121" t="str">
        <f t="shared" si="54"/>
        <v/>
      </c>
      <c r="CG92" s="121" t="str">
        <f t="shared" si="54"/>
        <v/>
      </c>
      <c r="CH92" s="121" t="str">
        <f t="shared" si="54"/>
        <v/>
      </c>
      <c r="CI92" s="121" t="str">
        <f t="shared" si="54"/>
        <v/>
      </c>
      <c r="CJ92" s="121" t="str">
        <f t="shared" si="54"/>
        <v/>
      </c>
      <c r="CK92" s="121" t="str">
        <f t="shared" si="54"/>
        <v/>
      </c>
      <c r="CL92" s="121" t="str">
        <f t="shared" si="54"/>
        <v/>
      </c>
      <c r="CM92" s="121" t="str">
        <f t="shared" si="54"/>
        <v/>
      </c>
      <c r="CN92" s="121" t="str">
        <f t="shared" si="54"/>
        <v/>
      </c>
      <c r="CO92" s="121" t="str">
        <f t="shared" si="54"/>
        <v/>
      </c>
      <c r="CP92" s="121" t="str">
        <f t="shared" si="54"/>
        <v/>
      </c>
      <c r="CQ92" s="121" t="str">
        <f t="shared" si="54"/>
        <v/>
      </c>
      <c r="CR92" s="121" t="str">
        <f t="shared" si="54"/>
        <v/>
      </c>
      <c r="CS92" s="121" t="str">
        <f t="shared" si="54"/>
        <v/>
      </c>
      <c r="CT92" s="121" t="str">
        <f t="shared" si="54"/>
        <v/>
      </c>
      <c r="CU92" s="121" t="str">
        <f t="shared" ref="CU92:CX92" si="55">IF(ISNUMBER(outYear),CU73-CU91,"")</f>
        <v/>
      </c>
      <c r="CV92" s="121" t="str">
        <f t="shared" si="55"/>
        <v/>
      </c>
      <c r="CW92" s="121" t="str">
        <f t="shared" si="55"/>
        <v/>
      </c>
      <c r="CX92" s="121" t="str">
        <f t="shared" si="55"/>
        <v/>
      </c>
    </row>
    <row r="93" spans="1:102" x14ac:dyDescent="0.25">
      <c r="A93" s="96" t="s">
        <v>162</v>
      </c>
      <c r="B93" s="113"/>
      <c r="C93" s="121">
        <f t="shared" ref="C93:AH93" si="56">IF(ISNUMBER(outYear),+C92*federal_tax_rate/100,"")</f>
        <v>-540.8330148</v>
      </c>
      <c r="D93" s="121">
        <f t="shared" si="56"/>
        <v>-776.53304092000008</v>
      </c>
      <c r="E93" s="121">
        <f t="shared" si="56"/>
        <v>-533.19531214300002</v>
      </c>
      <c r="F93" s="121">
        <f t="shared" si="56"/>
        <v>-388.87456206657504</v>
      </c>
      <c r="G93" s="121">
        <f t="shared" si="56"/>
        <v>-393.03228613423931</v>
      </c>
      <c r="H93" s="121">
        <f t="shared" si="56"/>
        <v>-286.01115362359531</v>
      </c>
      <c r="I93" s="121">
        <f t="shared" si="56"/>
        <v>-179.09656279218518</v>
      </c>
      <c r="J93" s="121">
        <f t="shared" si="56"/>
        <v>-183.57397686198982</v>
      </c>
      <c r="K93" s="121">
        <f t="shared" si="56"/>
        <v>-188.1633262835395</v>
      </c>
      <c r="L93" s="121">
        <f t="shared" si="56"/>
        <v>-192.86740944062802</v>
      </c>
      <c r="M93" s="121">
        <f t="shared" si="56"/>
        <v>-197.68909467664372</v>
      </c>
      <c r="N93" s="121">
        <f t="shared" si="56"/>
        <v>-202.63132204355981</v>
      </c>
      <c r="O93" s="121">
        <f t="shared" si="56"/>
        <v>-207.6971050946488</v>
      </c>
      <c r="P93" s="121">
        <f t="shared" si="56"/>
        <v>-212.88953272201496</v>
      </c>
      <c r="Q93" s="121">
        <f t="shared" si="56"/>
        <v>-218.21177104006537</v>
      </c>
      <c r="R93" s="121">
        <f t="shared" si="56"/>
        <v>-223.66706531606698</v>
      </c>
      <c r="S93" s="121">
        <f t="shared" si="56"/>
        <v>-229.25874194896863</v>
      </c>
      <c r="T93" s="121">
        <f t="shared" si="56"/>
        <v>-234.99021049769286</v>
      </c>
      <c r="U93" s="121">
        <f t="shared" si="56"/>
        <v>-240.86496576013516</v>
      </c>
      <c r="V93" s="121">
        <f t="shared" si="56"/>
        <v>-246.88658990413853</v>
      </c>
      <c r="W93" s="121" t="str">
        <f t="shared" si="56"/>
        <v/>
      </c>
      <c r="X93" s="121" t="str">
        <f t="shared" si="56"/>
        <v/>
      </c>
      <c r="Y93" s="121" t="str">
        <f t="shared" si="56"/>
        <v/>
      </c>
      <c r="Z93" s="121" t="str">
        <f t="shared" si="56"/>
        <v/>
      </c>
      <c r="AA93" s="121" t="str">
        <f t="shared" si="56"/>
        <v/>
      </c>
      <c r="AB93" s="121" t="str">
        <f t="shared" si="56"/>
        <v/>
      </c>
      <c r="AC93" s="121" t="str">
        <f t="shared" si="56"/>
        <v/>
      </c>
      <c r="AD93" s="121" t="str">
        <f t="shared" si="56"/>
        <v/>
      </c>
      <c r="AE93" s="121" t="str">
        <f t="shared" si="56"/>
        <v/>
      </c>
      <c r="AF93" s="121" t="str">
        <f t="shared" si="56"/>
        <v/>
      </c>
      <c r="AG93" s="121" t="str">
        <f t="shared" si="56"/>
        <v/>
      </c>
      <c r="AH93" s="121" t="str">
        <f t="shared" si="56"/>
        <v/>
      </c>
      <c r="AI93" s="121" t="str">
        <f t="shared" ref="AI93:BN93" si="57">IF(ISNUMBER(outYear),+AI92*federal_tax_rate/100,"")</f>
        <v/>
      </c>
      <c r="AJ93" s="121" t="str">
        <f t="shared" si="57"/>
        <v/>
      </c>
      <c r="AK93" s="121" t="str">
        <f t="shared" si="57"/>
        <v/>
      </c>
      <c r="AL93" s="121" t="str">
        <f t="shared" si="57"/>
        <v/>
      </c>
      <c r="AM93" s="121" t="str">
        <f t="shared" si="57"/>
        <v/>
      </c>
      <c r="AN93" s="121" t="str">
        <f t="shared" si="57"/>
        <v/>
      </c>
      <c r="AO93" s="121" t="str">
        <f t="shared" si="57"/>
        <v/>
      </c>
      <c r="AP93" s="121" t="str">
        <f t="shared" si="57"/>
        <v/>
      </c>
      <c r="AQ93" s="121" t="str">
        <f t="shared" si="57"/>
        <v/>
      </c>
      <c r="AR93" s="121" t="str">
        <f t="shared" si="57"/>
        <v/>
      </c>
      <c r="AS93" s="121" t="str">
        <f t="shared" si="57"/>
        <v/>
      </c>
      <c r="AT93" s="121" t="str">
        <f t="shared" si="57"/>
        <v/>
      </c>
      <c r="AU93" s="121" t="str">
        <f t="shared" si="57"/>
        <v/>
      </c>
      <c r="AV93" s="121" t="str">
        <f t="shared" si="57"/>
        <v/>
      </c>
      <c r="AW93" s="121" t="str">
        <f t="shared" si="57"/>
        <v/>
      </c>
      <c r="AX93" s="121" t="str">
        <f t="shared" si="57"/>
        <v/>
      </c>
      <c r="AY93" s="121" t="str">
        <f t="shared" si="57"/>
        <v/>
      </c>
      <c r="AZ93" s="121" t="str">
        <f t="shared" si="57"/>
        <v/>
      </c>
      <c r="BA93" s="121" t="str">
        <f t="shared" si="57"/>
        <v/>
      </c>
      <c r="BB93" s="121" t="str">
        <f t="shared" si="57"/>
        <v/>
      </c>
      <c r="BC93" s="121" t="str">
        <f t="shared" si="57"/>
        <v/>
      </c>
      <c r="BD93" s="121" t="str">
        <f t="shared" si="57"/>
        <v/>
      </c>
      <c r="BE93" s="121" t="str">
        <f t="shared" si="57"/>
        <v/>
      </c>
      <c r="BF93" s="121" t="str">
        <f t="shared" si="57"/>
        <v/>
      </c>
      <c r="BG93" s="121" t="str">
        <f t="shared" si="57"/>
        <v/>
      </c>
      <c r="BH93" s="121" t="str">
        <f t="shared" si="57"/>
        <v/>
      </c>
      <c r="BI93" s="121" t="str">
        <f t="shared" si="57"/>
        <v/>
      </c>
      <c r="BJ93" s="121" t="str">
        <f t="shared" si="57"/>
        <v/>
      </c>
      <c r="BK93" s="121" t="str">
        <f t="shared" si="57"/>
        <v/>
      </c>
      <c r="BL93" s="121" t="str">
        <f t="shared" si="57"/>
        <v/>
      </c>
      <c r="BM93" s="121" t="str">
        <f t="shared" si="57"/>
        <v/>
      </c>
      <c r="BN93" s="121" t="str">
        <f t="shared" si="57"/>
        <v/>
      </c>
      <c r="BO93" s="121" t="str">
        <f t="shared" ref="BO93:CT93" si="58">IF(ISNUMBER(outYear),+BO92*federal_tax_rate/100,"")</f>
        <v/>
      </c>
      <c r="BP93" s="121" t="str">
        <f t="shared" si="58"/>
        <v/>
      </c>
      <c r="BQ93" s="121" t="str">
        <f t="shared" si="58"/>
        <v/>
      </c>
      <c r="BR93" s="121" t="str">
        <f t="shared" si="58"/>
        <v/>
      </c>
      <c r="BS93" s="121" t="str">
        <f t="shared" si="58"/>
        <v/>
      </c>
      <c r="BT93" s="121" t="str">
        <f t="shared" si="58"/>
        <v/>
      </c>
      <c r="BU93" s="121" t="str">
        <f t="shared" si="58"/>
        <v/>
      </c>
      <c r="BV93" s="121" t="str">
        <f t="shared" si="58"/>
        <v/>
      </c>
      <c r="BW93" s="121" t="str">
        <f t="shared" si="58"/>
        <v/>
      </c>
      <c r="BX93" s="121" t="str">
        <f t="shared" si="58"/>
        <v/>
      </c>
      <c r="BY93" s="121" t="str">
        <f t="shared" si="58"/>
        <v/>
      </c>
      <c r="BZ93" s="121" t="str">
        <f t="shared" si="58"/>
        <v/>
      </c>
      <c r="CA93" s="121" t="str">
        <f t="shared" si="58"/>
        <v/>
      </c>
      <c r="CB93" s="121" t="str">
        <f t="shared" si="58"/>
        <v/>
      </c>
      <c r="CC93" s="121" t="str">
        <f t="shared" si="58"/>
        <v/>
      </c>
      <c r="CD93" s="121" t="str">
        <f t="shared" si="58"/>
        <v/>
      </c>
      <c r="CE93" s="121" t="str">
        <f t="shared" si="58"/>
        <v/>
      </c>
      <c r="CF93" s="121" t="str">
        <f t="shared" si="58"/>
        <v/>
      </c>
      <c r="CG93" s="121" t="str">
        <f t="shared" si="58"/>
        <v/>
      </c>
      <c r="CH93" s="121" t="str">
        <f t="shared" si="58"/>
        <v/>
      </c>
      <c r="CI93" s="121" t="str">
        <f t="shared" si="58"/>
        <v/>
      </c>
      <c r="CJ93" s="121" t="str">
        <f t="shared" si="58"/>
        <v/>
      </c>
      <c r="CK93" s="121" t="str">
        <f t="shared" si="58"/>
        <v/>
      </c>
      <c r="CL93" s="121" t="str">
        <f t="shared" si="58"/>
        <v/>
      </c>
      <c r="CM93" s="121" t="str">
        <f t="shared" si="58"/>
        <v/>
      </c>
      <c r="CN93" s="121" t="str">
        <f t="shared" si="58"/>
        <v/>
      </c>
      <c r="CO93" s="121" t="str">
        <f t="shared" si="58"/>
        <v/>
      </c>
      <c r="CP93" s="121" t="str">
        <f t="shared" si="58"/>
        <v/>
      </c>
      <c r="CQ93" s="121" t="str">
        <f t="shared" si="58"/>
        <v/>
      </c>
      <c r="CR93" s="121" t="str">
        <f t="shared" si="58"/>
        <v/>
      </c>
      <c r="CS93" s="121" t="str">
        <f t="shared" si="58"/>
        <v/>
      </c>
      <c r="CT93" s="121" t="str">
        <f t="shared" si="58"/>
        <v/>
      </c>
      <c r="CU93" s="121" t="str">
        <f t="shared" ref="CU93:CX93" si="59">IF(ISNUMBER(outYear),+CU92*federal_tax_rate/100,"")</f>
        <v/>
      </c>
      <c r="CV93" s="121" t="str">
        <f t="shared" si="59"/>
        <v/>
      </c>
      <c r="CW93" s="121" t="str">
        <f t="shared" si="59"/>
        <v/>
      </c>
      <c r="CX93" s="121" t="str">
        <f t="shared" si="59"/>
        <v/>
      </c>
    </row>
    <row r="94" spans="1:102" x14ac:dyDescent="0.25">
      <c r="A94" s="96" t="s">
        <v>163</v>
      </c>
      <c r="B94" s="121">
        <f>IF(ISNUMBER(outYear),pv_installed_cost-IF(ibi_sta_percent_deprbas_fed="Yes",B41,0)-IF(ibi_uti_percent_deprbas_fed="Yes",B42,0)-IF(cbi_fed_deprbas_fed="Yes",B45,0)-IF(cbi_sta_deprbas_fed="Yes",B46,0)-IF(cbi_uti_deprbas_fed="Yes",B47,0),"")</f>
        <v>8742.0500000000011</v>
      </c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1"/>
      <c r="BK94" s="121"/>
      <c r="BL94" s="121"/>
      <c r="BM94" s="121"/>
      <c r="BN94" s="121"/>
      <c r="BO94" s="121"/>
      <c r="BP94" s="121"/>
      <c r="BQ94" s="121"/>
      <c r="BR94" s="121"/>
      <c r="BS94" s="121"/>
      <c r="BT94" s="121"/>
      <c r="BU94" s="121"/>
      <c r="BV94" s="121"/>
      <c r="BW94" s="121"/>
      <c r="BX94" s="121"/>
      <c r="BY94" s="121"/>
      <c r="BZ94" s="121"/>
      <c r="CA94" s="121"/>
      <c r="CB94" s="121"/>
      <c r="CC94" s="121"/>
      <c r="CD94" s="121"/>
      <c r="CE94" s="121"/>
      <c r="CF94" s="121"/>
      <c r="CG94" s="121"/>
      <c r="CH94" s="121"/>
      <c r="CI94" s="121"/>
      <c r="CJ94" s="121"/>
      <c r="CK94" s="121"/>
      <c r="CL94" s="121"/>
      <c r="CM94" s="121"/>
      <c r="CN94" s="121"/>
      <c r="CO94" s="121"/>
      <c r="CP94" s="121"/>
      <c r="CQ94" s="121"/>
      <c r="CR94" s="121"/>
      <c r="CS94" s="121"/>
      <c r="CT94" s="121"/>
      <c r="CU94" s="121"/>
      <c r="CV94" s="121"/>
      <c r="CW94" s="121"/>
      <c r="CX94" s="121"/>
    </row>
    <row r="95" spans="1:102" x14ac:dyDescent="0.25">
      <c r="A95" s="96" t="s">
        <v>164</v>
      </c>
      <c r="B95" s="113"/>
      <c r="C95" s="121">
        <f>IF(ISNUMBER(outYear),MIN(itc_fed_percent/100*$B$94,itc_fed_percent_maxvalue),"")</f>
        <v>2622.6150000000002</v>
      </c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1"/>
      <c r="BK95" s="121"/>
      <c r="BL95" s="121"/>
      <c r="BM95" s="121"/>
      <c r="BN95" s="121"/>
      <c r="BO95" s="121"/>
      <c r="BP95" s="121"/>
      <c r="BQ95" s="121"/>
      <c r="BR95" s="121"/>
      <c r="BS95" s="121"/>
      <c r="BT95" s="121"/>
      <c r="BU95" s="121"/>
      <c r="BV95" s="121"/>
      <c r="BW95" s="121"/>
      <c r="BX95" s="121"/>
      <c r="BY95" s="121"/>
      <c r="BZ95" s="121"/>
      <c r="CA95" s="121"/>
      <c r="CB95" s="121"/>
      <c r="CC95" s="121"/>
      <c r="CD95" s="121"/>
      <c r="CE95" s="121"/>
      <c r="CF95" s="121"/>
      <c r="CG95" s="121"/>
      <c r="CH95" s="121"/>
      <c r="CI95" s="121"/>
      <c r="CJ95" s="121"/>
      <c r="CK95" s="121"/>
      <c r="CL95" s="121"/>
      <c r="CM95" s="121"/>
      <c r="CN95" s="121"/>
      <c r="CO95" s="121"/>
      <c r="CP95" s="121"/>
      <c r="CQ95" s="121"/>
      <c r="CR95" s="121"/>
      <c r="CS95" s="121"/>
      <c r="CT95" s="121"/>
      <c r="CU95" s="121"/>
      <c r="CV95" s="121"/>
      <c r="CW95" s="121"/>
      <c r="CX95" s="121"/>
    </row>
    <row r="96" spans="1:102" x14ac:dyDescent="0.25">
      <c r="A96" s="96" t="s">
        <v>165</v>
      </c>
      <c r="B96" s="121">
        <f>IF(ISNUMBER(outYear),wind_installed_cost-IF(wind_ibi_sta_percent_deprbas_fed="Yes",B50,0)-IF(wind_ibi_uti_percent_deprbas_fed="Yes",B51,0)-IF(wind_cbi_fed_deprbas_fed="Yes",B54,0)-IF(wind_cbi_sta_deprbas_fed="Yes",B55,0)-IF(wind_cbi_uti_deprbas_fed="Yes",B56,0),"")</f>
        <v>0</v>
      </c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1"/>
      <c r="BK96" s="121"/>
      <c r="BL96" s="121"/>
      <c r="BM96" s="121"/>
      <c r="BN96" s="121"/>
      <c r="BO96" s="121"/>
      <c r="BP96" s="121"/>
      <c r="BQ96" s="121"/>
      <c r="BR96" s="121"/>
      <c r="BS96" s="121"/>
      <c r="BT96" s="121"/>
      <c r="BU96" s="121"/>
      <c r="BV96" s="121"/>
      <c r="BW96" s="121"/>
      <c r="BX96" s="121"/>
      <c r="BY96" s="121"/>
      <c r="BZ96" s="121"/>
      <c r="CA96" s="121"/>
      <c r="CB96" s="121"/>
      <c r="CC96" s="121"/>
      <c r="CD96" s="121"/>
      <c r="CE96" s="121"/>
      <c r="CF96" s="121"/>
      <c r="CG96" s="121"/>
      <c r="CH96" s="121"/>
      <c r="CI96" s="121"/>
      <c r="CJ96" s="121"/>
      <c r="CK96" s="121"/>
      <c r="CL96" s="121"/>
      <c r="CM96" s="121"/>
      <c r="CN96" s="121"/>
      <c r="CO96" s="121"/>
      <c r="CP96" s="121"/>
      <c r="CQ96" s="121"/>
      <c r="CR96" s="121"/>
      <c r="CS96" s="121"/>
      <c r="CT96" s="121"/>
      <c r="CU96" s="121"/>
      <c r="CV96" s="121"/>
      <c r="CW96" s="121"/>
      <c r="CX96" s="121"/>
    </row>
    <row r="97" spans="1:102" x14ac:dyDescent="0.25">
      <c r="A97" s="96" t="s">
        <v>166</v>
      </c>
      <c r="B97" s="113"/>
      <c r="C97" s="121">
        <f>IF(ISNUMBER(outYear),MIN(wind_itc_fed_percent/100*$B$96,wind_itc_fed_percent_maxvalue),"")</f>
        <v>0</v>
      </c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1"/>
      <c r="BK97" s="121"/>
      <c r="BL97" s="121"/>
      <c r="BM97" s="121"/>
      <c r="BN97" s="121"/>
      <c r="BO97" s="121"/>
      <c r="BP97" s="121"/>
      <c r="BQ97" s="121"/>
      <c r="BR97" s="121"/>
      <c r="BS97" s="121"/>
      <c r="BT97" s="121"/>
      <c r="BU97" s="121"/>
      <c r="BV97" s="121"/>
      <c r="BW97" s="121"/>
      <c r="BX97" s="121"/>
      <c r="BY97" s="121"/>
      <c r="BZ97" s="121"/>
      <c r="CA97" s="121"/>
      <c r="CB97" s="121"/>
      <c r="CC97" s="121"/>
      <c r="CD97" s="121"/>
      <c r="CE97" s="121"/>
      <c r="CF97" s="121"/>
      <c r="CG97" s="121"/>
      <c r="CH97" s="121"/>
      <c r="CI97" s="121"/>
      <c r="CJ97" s="121"/>
      <c r="CK97" s="121"/>
      <c r="CL97" s="121"/>
      <c r="CM97" s="121"/>
      <c r="CN97" s="121"/>
      <c r="CO97" s="121"/>
      <c r="CP97" s="121"/>
      <c r="CQ97" s="121"/>
      <c r="CR97" s="121"/>
      <c r="CS97" s="121"/>
      <c r="CT97" s="121"/>
      <c r="CU97" s="121"/>
      <c r="CV97" s="121"/>
      <c r="CW97" s="121"/>
      <c r="CX97" s="121"/>
    </row>
    <row r="98" spans="1:102" x14ac:dyDescent="0.25">
      <c r="A98" s="96" t="s">
        <v>167</v>
      </c>
      <c r="B98" s="113">
        <f>IF(ISNUMBER(outYear),battery_installed_cost-IF(batt_ibi_sta_percent_deprbas_fed="Yes",B59,0)-IF(batt_ibi_uti_percent_deprbas_fed="Yes",B60,0)-IF(batt_cbi_fed_deprbas_fed="Yes",B63,0)-IF(batt_cbi_sta_deprbas_fed="Yes",B64,0)-IF(batt_cbi_uti_deprbas_fed="Yes",B65,0),"")</f>
        <v>0</v>
      </c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1"/>
      <c r="BK98" s="121"/>
      <c r="BL98" s="121"/>
      <c r="BM98" s="121"/>
      <c r="BN98" s="121"/>
      <c r="BO98" s="121"/>
      <c r="BP98" s="121"/>
      <c r="BQ98" s="121"/>
      <c r="BR98" s="121"/>
      <c r="BS98" s="121"/>
      <c r="BT98" s="121"/>
      <c r="BU98" s="121"/>
      <c r="BV98" s="121"/>
      <c r="BW98" s="121"/>
      <c r="BX98" s="121"/>
      <c r="BY98" s="121"/>
      <c r="BZ98" s="121"/>
      <c r="CA98" s="121"/>
      <c r="CB98" s="121"/>
      <c r="CC98" s="121"/>
      <c r="CD98" s="121"/>
      <c r="CE98" s="121"/>
      <c r="CF98" s="121"/>
      <c r="CG98" s="121"/>
      <c r="CH98" s="121"/>
      <c r="CI98" s="121"/>
      <c r="CJ98" s="121"/>
      <c r="CK98" s="121"/>
      <c r="CL98" s="121"/>
      <c r="CM98" s="121"/>
      <c r="CN98" s="121"/>
      <c r="CO98" s="121"/>
      <c r="CP98" s="121"/>
      <c r="CQ98" s="121"/>
      <c r="CR98" s="121"/>
      <c r="CS98" s="121"/>
      <c r="CT98" s="121"/>
      <c r="CU98" s="121"/>
      <c r="CV98" s="121"/>
      <c r="CW98" s="121"/>
      <c r="CX98" s="121"/>
    </row>
    <row r="99" spans="1:102" x14ac:dyDescent="0.25">
      <c r="A99" s="96" t="s">
        <v>168</v>
      </c>
      <c r="B99" s="113"/>
      <c r="C99" s="121">
        <f>IF(ISNUMBER(outYear),MIN(batt_itc_fed_percent/100*$B$98,batt_itc_fed_percent_maxvalue),"")</f>
        <v>0</v>
      </c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1"/>
      <c r="BK99" s="121"/>
      <c r="BL99" s="121"/>
      <c r="BM99" s="121"/>
      <c r="BN99" s="121"/>
      <c r="BO99" s="121"/>
      <c r="BP99" s="121"/>
      <c r="BQ99" s="121"/>
      <c r="BR99" s="121"/>
      <c r="BS99" s="121"/>
      <c r="BT99" s="121"/>
      <c r="BU99" s="121"/>
      <c r="BV99" s="121"/>
      <c r="BW99" s="121"/>
      <c r="BX99" s="121"/>
      <c r="BY99" s="121"/>
      <c r="BZ99" s="121"/>
      <c r="CA99" s="121"/>
      <c r="CB99" s="121"/>
      <c r="CC99" s="121"/>
      <c r="CD99" s="121"/>
      <c r="CE99" s="121"/>
      <c r="CF99" s="121"/>
      <c r="CG99" s="121"/>
      <c r="CH99" s="121"/>
      <c r="CI99" s="121"/>
      <c r="CJ99" s="121"/>
      <c r="CK99" s="121"/>
      <c r="CL99" s="121"/>
      <c r="CM99" s="121"/>
      <c r="CN99" s="121"/>
      <c r="CO99" s="121"/>
      <c r="CP99" s="121"/>
      <c r="CQ99" s="121"/>
      <c r="CR99" s="121"/>
      <c r="CS99" s="121"/>
      <c r="CT99" s="121"/>
      <c r="CU99" s="121"/>
      <c r="CV99" s="121"/>
      <c r="CW99" s="121"/>
      <c r="CX99" s="121"/>
    </row>
    <row r="100" spans="1:102" x14ac:dyDescent="0.25">
      <c r="A100" s="102" t="s">
        <v>169</v>
      </c>
      <c r="B100" s="109"/>
      <c r="C100" s="110">
        <f t="shared" ref="C100:AH100" si="60">IF(ISNUMBER(outYear),-C93+C95+C97+C99,"")</f>
        <v>3163.4480148000002</v>
      </c>
      <c r="D100" s="110">
        <f t="shared" si="60"/>
        <v>776.53304092000008</v>
      </c>
      <c r="E100" s="110">
        <f t="shared" si="60"/>
        <v>533.19531214300002</v>
      </c>
      <c r="F100" s="110">
        <f t="shared" si="60"/>
        <v>388.87456206657504</v>
      </c>
      <c r="G100" s="110">
        <f t="shared" si="60"/>
        <v>393.03228613423931</v>
      </c>
      <c r="H100" s="110">
        <f t="shared" si="60"/>
        <v>286.01115362359531</v>
      </c>
      <c r="I100" s="110">
        <f t="shared" si="60"/>
        <v>179.09656279218518</v>
      </c>
      <c r="J100" s="110">
        <f t="shared" si="60"/>
        <v>183.57397686198982</v>
      </c>
      <c r="K100" s="110">
        <f t="shared" si="60"/>
        <v>188.1633262835395</v>
      </c>
      <c r="L100" s="110">
        <f t="shared" si="60"/>
        <v>192.86740944062802</v>
      </c>
      <c r="M100" s="110">
        <f t="shared" si="60"/>
        <v>197.68909467664372</v>
      </c>
      <c r="N100" s="110">
        <f t="shared" si="60"/>
        <v>202.63132204355981</v>
      </c>
      <c r="O100" s="110">
        <f t="shared" si="60"/>
        <v>207.6971050946488</v>
      </c>
      <c r="P100" s="110">
        <f t="shared" si="60"/>
        <v>212.88953272201496</v>
      </c>
      <c r="Q100" s="110">
        <f t="shared" si="60"/>
        <v>218.21177104006537</v>
      </c>
      <c r="R100" s="110">
        <f t="shared" si="60"/>
        <v>223.66706531606698</v>
      </c>
      <c r="S100" s="110">
        <f t="shared" si="60"/>
        <v>229.25874194896863</v>
      </c>
      <c r="T100" s="110">
        <f t="shared" si="60"/>
        <v>234.99021049769286</v>
      </c>
      <c r="U100" s="110">
        <f t="shared" si="60"/>
        <v>240.86496576013516</v>
      </c>
      <c r="V100" s="110">
        <f t="shared" si="60"/>
        <v>246.88658990413853</v>
      </c>
      <c r="W100" s="110" t="str">
        <f t="shared" si="60"/>
        <v/>
      </c>
      <c r="X100" s="110" t="str">
        <f t="shared" si="60"/>
        <v/>
      </c>
      <c r="Y100" s="110" t="str">
        <f t="shared" si="60"/>
        <v/>
      </c>
      <c r="Z100" s="110" t="str">
        <f t="shared" si="60"/>
        <v/>
      </c>
      <c r="AA100" s="110" t="str">
        <f t="shared" si="60"/>
        <v/>
      </c>
      <c r="AB100" s="110" t="str">
        <f t="shared" si="60"/>
        <v/>
      </c>
      <c r="AC100" s="110" t="str">
        <f t="shared" si="60"/>
        <v/>
      </c>
      <c r="AD100" s="110" t="str">
        <f t="shared" si="60"/>
        <v/>
      </c>
      <c r="AE100" s="110" t="str">
        <f t="shared" si="60"/>
        <v/>
      </c>
      <c r="AF100" s="110" t="str">
        <f t="shared" si="60"/>
        <v/>
      </c>
      <c r="AG100" s="110" t="str">
        <f t="shared" si="60"/>
        <v/>
      </c>
      <c r="AH100" s="110" t="str">
        <f t="shared" si="60"/>
        <v/>
      </c>
      <c r="AI100" s="110" t="str">
        <f t="shared" ref="AI100:BN100" si="61">IF(ISNUMBER(outYear),-AI93+AI95+AI97+AI99,"")</f>
        <v/>
      </c>
      <c r="AJ100" s="110" t="str">
        <f t="shared" si="61"/>
        <v/>
      </c>
      <c r="AK100" s="110" t="str">
        <f t="shared" si="61"/>
        <v/>
      </c>
      <c r="AL100" s="110" t="str">
        <f t="shared" si="61"/>
        <v/>
      </c>
      <c r="AM100" s="110" t="str">
        <f t="shared" si="61"/>
        <v/>
      </c>
      <c r="AN100" s="110" t="str">
        <f t="shared" si="61"/>
        <v/>
      </c>
      <c r="AO100" s="110" t="str">
        <f t="shared" si="61"/>
        <v/>
      </c>
      <c r="AP100" s="110" t="str">
        <f t="shared" si="61"/>
        <v/>
      </c>
      <c r="AQ100" s="110" t="str">
        <f t="shared" si="61"/>
        <v/>
      </c>
      <c r="AR100" s="110" t="str">
        <f t="shared" si="61"/>
        <v/>
      </c>
      <c r="AS100" s="110" t="str">
        <f t="shared" si="61"/>
        <v/>
      </c>
      <c r="AT100" s="110" t="str">
        <f t="shared" si="61"/>
        <v/>
      </c>
      <c r="AU100" s="110" t="str">
        <f t="shared" si="61"/>
        <v/>
      </c>
      <c r="AV100" s="110" t="str">
        <f t="shared" si="61"/>
        <v/>
      </c>
      <c r="AW100" s="110" t="str">
        <f t="shared" si="61"/>
        <v/>
      </c>
      <c r="AX100" s="110" t="str">
        <f t="shared" si="61"/>
        <v/>
      </c>
      <c r="AY100" s="110" t="str">
        <f t="shared" si="61"/>
        <v/>
      </c>
      <c r="AZ100" s="110" t="str">
        <f t="shared" si="61"/>
        <v/>
      </c>
      <c r="BA100" s="110" t="str">
        <f t="shared" si="61"/>
        <v/>
      </c>
      <c r="BB100" s="110" t="str">
        <f t="shared" si="61"/>
        <v/>
      </c>
      <c r="BC100" s="110" t="str">
        <f t="shared" si="61"/>
        <v/>
      </c>
      <c r="BD100" s="110" t="str">
        <f t="shared" si="61"/>
        <v/>
      </c>
      <c r="BE100" s="110" t="str">
        <f t="shared" si="61"/>
        <v/>
      </c>
      <c r="BF100" s="110" t="str">
        <f t="shared" si="61"/>
        <v/>
      </c>
      <c r="BG100" s="110" t="str">
        <f t="shared" si="61"/>
        <v/>
      </c>
      <c r="BH100" s="110" t="str">
        <f t="shared" si="61"/>
        <v/>
      </c>
      <c r="BI100" s="110" t="str">
        <f t="shared" si="61"/>
        <v/>
      </c>
      <c r="BJ100" s="110" t="str">
        <f t="shared" si="61"/>
        <v/>
      </c>
      <c r="BK100" s="110" t="str">
        <f t="shared" si="61"/>
        <v/>
      </c>
      <c r="BL100" s="110" t="str">
        <f t="shared" si="61"/>
        <v/>
      </c>
      <c r="BM100" s="110" t="str">
        <f t="shared" si="61"/>
        <v/>
      </c>
      <c r="BN100" s="110" t="str">
        <f t="shared" si="61"/>
        <v/>
      </c>
      <c r="BO100" s="110" t="str">
        <f t="shared" ref="BO100:CT100" si="62">IF(ISNUMBER(outYear),-BO93+BO95+BO97+BO99,"")</f>
        <v/>
      </c>
      <c r="BP100" s="110" t="str">
        <f t="shared" si="62"/>
        <v/>
      </c>
      <c r="BQ100" s="110" t="str">
        <f t="shared" si="62"/>
        <v/>
      </c>
      <c r="BR100" s="110" t="str">
        <f t="shared" si="62"/>
        <v/>
      </c>
      <c r="BS100" s="110" t="str">
        <f t="shared" si="62"/>
        <v/>
      </c>
      <c r="BT100" s="110" t="str">
        <f t="shared" si="62"/>
        <v/>
      </c>
      <c r="BU100" s="110" t="str">
        <f t="shared" si="62"/>
        <v/>
      </c>
      <c r="BV100" s="110" t="str">
        <f t="shared" si="62"/>
        <v/>
      </c>
      <c r="BW100" s="110" t="str">
        <f t="shared" si="62"/>
        <v/>
      </c>
      <c r="BX100" s="110" t="str">
        <f t="shared" si="62"/>
        <v/>
      </c>
      <c r="BY100" s="110" t="str">
        <f t="shared" si="62"/>
        <v/>
      </c>
      <c r="BZ100" s="110" t="str">
        <f t="shared" si="62"/>
        <v/>
      </c>
      <c r="CA100" s="110" t="str">
        <f t="shared" si="62"/>
        <v/>
      </c>
      <c r="CB100" s="110" t="str">
        <f t="shared" si="62"/>
        <v/>
      </c>
      <c r="CC100" s="110" t="str">
        <f t="shared" si="62"/>
        <v/>
      </c>
      <c r="CD100" s="110" t="str">
        <f t="shared" si="62"/>
        <v/>
      </c>
      <c r="CE100" s="110" t="str">
        <f t="shared" si="62"/>
        <v/>
      </c>
      <c r="CF100" s="110" t="str">
        <f t="shared" si="62"/>
        <v/>
      </c>
      <c r="CG100" s="110" t="str">
        <f t="shared" si="62"/>
        <v/>
      </c>
      <c r="CH100" s="110" t="str">
        <f t="shared" si="62"/>
        <v/>
      </c>
      <c r="CI100" s="110" t="str">
        <f t="shared" si="62"/>
        <v/>
      </c>
      <c r="CJ100" s="110" t="str">
        <f t="shared" si="62"/>
        <v/>
      </c>
      <c r="CK100" s="110" t="str">
        <f t="shared" si="62"/>
        <v/>
      </c>
      <c r="CL100" s="110" t="str">
        <f t="shared" si="62"/>
        <v/>
      </c>
      <c r="CM100" s="110" t="str">
        <f t="shared" si="62"/>
        <v/>
      </c>
      <c r="CN100" s="110" t="str">
        <f t="shared" si="62"/>
        <v/>
      </c>
      <c r="CO100" s="110" t="str">
        <f t="shared" si="62"/>
        <v/>
      </c>
      <c r="CP100" s="110" t="str">
        <f t="shared" si="62"/>
        <v/>
      </c>
      <c r="CQ100" s="110" t="str">
        <f t="shared" si="62"/>
        <v/>
      </c>
      <c r="CR100" s="110" t="str">
        <f t="shared" si="62"/>
        <v/>
      </c>
      <c r="CS100" s="110" t="str">
        <f t="shared" si="62"/>
        <v/>
      </c>
      <c r="CT100" s="110" t="str">
        <f t="shared" si="62"/>
        <v/>
      </c>
      <c r="CU100" s="110" t="str">
        <f t="shared" ref="CU100:CX100" si="63">IF(ISNUMBER(outYear),-CU93+CU95+CU97+CU99,"")</f>
        <v/>
      </c>
      <c r="CV100" s="110" t="str">
        <f t="shared" si="63"/>
        <v/>
      </c>
      <c r="CW100" s="110" t="str">
        <f t="shared" si="63"/>
        <v/>
      </c>
      <c r="CX100" s="110" t="str">
        <f t="shared" si="63"/>
        <v/>
      </c>
    </row>
    <row r="101" spans="1:102" x14ac:dyDescent="0.25">
      <c r="A101" s="96"/>
      <c r="B101" s="113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14"/>
      <c r="BY101" s="114"/>
      <c r="BZ101" s="114"/>
      <c r="CA101" s="114"/>
      <c r="CB101" s="114"/>
      <c r="CC101" s="114"/>
      <c r="CD101" s="114"/>
      <c r="CE101" s="114"/>
      <c r="CF101" s="114"/>
      <c r="CG101" s="114"/>
      <c r="CH101" s="114"/>
      <c r="CI101" s="114"/>
      <c r="CJ101" s="114"/>
      <c r="CK101" s="114"/>
      <c r="CL101" s="114"/>
      <c r="CM101" s="114"/>
      <c r="CN101" s="114"/>
      <c r="CO101" s="114"/>
      <c r="CP101" s="114"/>
      <c r="CQ101" s="114"/>
      <c r="CR101" s="114"/>
      <c r="CS101" s="114"/>
      <c r="CT101" s="114"/>
      <c r="CU101" s="114"/>
      <c r="CV101" s="114"/>
      <c r="CW101" s="114"/>
      <c r="CX101" s="114"/>
    </row>
    <row r="102" spans="1:102" x14ac:dyDescent="0.25">
      <c r="A102" s="96"/>
      <c r="B102" s="113"/>
      <c r="C102" s="114"/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14"/>
      <c r="BY102" s="114"/>
      <c r="BZ102" s="114"/>
      <c r="CA102" s="114"/>
      <c r="CB102" s="114"/>
      <c r="CC102" s="114"/>
      <c r="CD102" s="114"/>
      <c r="CE102" s="114"/>
      <c r="CF102" s="114"/>
      <c r="CG102" s="114"/>
      <c r="CH102" s="114"/>
      <c r="CI102" s="114"/>
      <c r="CJ102" s="114"/>
      <c r="CK102" s="114"/>
      <c r="CL102" s="114"/>
      <c r="CM102" s="114"/>
      <c r="CN102" s="114"/>
      <c r="CO102" s="114"/>
      <c r="CP102" s="114"/>
      <c r="CQ102" s="114"/>
      <c r="CR102" s="114"/>
      <c r="CS102" s="114"/>
      <c r="CT102" s="114"/>
      <c r="CU102" s="114"/>
      <c r="CV102" s="114"/>
      <c r="CW102" s="114"/>
      <c r="CX102" s="114"/>
    </row>
    <row r="103" spans="1:102" x14ac:dyDescent="0.25">
      <c r="A103" s="112" t="s">
        <v>170</v>
      </c>
      <c r="B103" s="121">
        <f>B29+B70-total_installed_cost</f>
        <v>-9742.0500000000011</v>
      </c>
      <c r="C103" s="121">
        <f t="shared" ref="C103:AH103" si="64">IF(ISNUMBER(outYear),(C37+C70+C100),"")</f>
        <v>2569.4695348000005</v>
      </c>
      <c r="D103" s="121">
        <f t="shared" si="64"/>
        <v>167.70509892000007</v>
      </c>
      <c r="E103" s="121">
        <f t="shared" si="64"/>
        <v>-90.853328406999935</v>
      </c>
      <c r="F103" s="121">
        <f t="shared" si="64"/>
        <v>-250.77529449717491</v>
      </c>
      <c r="G103" s="121">
        <f t="shared" si="64"/>
        <v>-262.6088168436043</v>
      </c>
      <c r="H103" s="121">
        <f t="shared" si="64"/>
        <v>-386.02097692869438</v>
      </c>
      <c r="I103" s="121">
        <f t="shared" si="64"/>
        <v>-509.73637102391172</v>
      </c>
      <c r="J103" s="121">
        <f t="shared" si="64"/>
        <v>-522.47978029950946</v>
      </c>
      <c r="K103" s="121">
        <f t="shared" si="64"/>
        <v>-535.54177480699707</v>
      </c>
      <c r="L103" s="121">
        <f t="shared" si="64"/>
        <v>-548.93031917717212</v>
      </c>
      <c r="M103" s="121">
        <f t="shared" si="64"/>
        <v>-562.65357715660139</v>
      </c>
      <c r="N103" s="121">
        <f t="shared" si="64"/>
        <v>-576.71991658551633</v>
      </c>
      <c r="O103" s="121">
        <f t="shared" si="64"/>
        <v>-591.13791450015424</v>
      </c>
      <c r="P103" s="121">
        <f t="shared" si="64"/>
        <v>-605.91636236265799</v>
      </c>
      <c r="Q103" s="121">
        <f t="shared" si="64"/>
        <v>-621.06427142172447</v>
      </c>
      <c r="R103" s="121">
        <f t="shared" si="64"/>
        <v>-636.59087820726756</v>
      </c>
      <c r="S103" s="121">
        <f t="shared" si="64"/>
        <v>-652.50565016244923</v>
      </c>
      <c r="T103" s="121">
        <f t="shared" si="64"/>
        <v>-668.81829141651053</v>
      </c>
      <c r="U103" s="121">
        <f t="shared" si="64"/>
        <v>-685.53874870192317</v>
      </c>
      <c r="V103" s="121">
        <f t="shared" si="64"/>
        <v>-702.67721741947116</v>
      </c>
      <c r="W103" s="121" t="str">
        <f t="shared" si="64"/>
        <v/>
      </c>
      <c r="X103" s="121" t="str">
        <f t="shared" si="64"/>
        <v/>
      </c>
      <c r="Y103" s="121" t="str">
        <f t="shared" si="64"/>
        <v/>
      </c>
      <c r="Z103" s="121" t="str">
        <f t="shared" si="64"/>
        <v/>
      </c>
      <c r="AA103" s="121" t="str">
        <f t="shared" si="64"/>
        <v/>
      </c>
      <c r="AB103" s="121" t="str">
        <f t="shared" si="64"/>
        <v/>
      </c>
      <c r="AC103" s="121" t="str">
        <f t="shared" si="64"/>
        <v/>
      </c>
      <c r="AD103" s="121" t="str">
        <f t="shared" si="64"/>
        <v/>
      </c>
      <c r="AE103" s="121" t="str">
        <f t="shared" si="64"/>
        <v/>
      </c>
      <c r="AF103" s="121" t="str">
        <f t="shared" si="64"/>
        <v/>
      </c>
      <c r="AG103" s="121" t="str">
        <f t="shared" si="64"/>
        <v/>
      </c>
      <c r="AH103" s="121" t="str">
        <f t="shared" si="64"/>
        <v/>
      </c>
      <c r="AI103" s="121" t="str">
        <f t="shared" ref="AI103:BN103" si="65">IF(ISNUMBER(outYear),(AI37+AI70+AI100),"")</f>
        <v/>
      </c>
      <c r="AJ103" s="121" t="str">
        <f t="shared" si="65"/>
        <v/>
      </c>
      <c r="AK103" s="121" t="str">
        <f t="shared" si="65"/>
        <v/>
      </c>
      <c r="AL103" s="121" t="str">
        <f t="shared" si="65"/>
        <v/>
      </c>
      <c r="AM103" s="121" t="str">
        <f t="shared" si="65"/>
        <v/>
      </c>
      <c r="AN103" s="121" t="str">
        <f t="shared" si="65"/>
        <v/>
      </c>
      <c r="AO103" s="121" t="str">
        <f t="shared" si="65"/>
        <v/>
      </c>
      <c r="AP103" s="121" t="str">
        <f t="shared" si="65"/>
        <v/>
      </c>
      <c r="AQ103" s="121" t="str">
        <f t="shared" si="65"/>
        <v/>
      </c>
      <c r="AR103" s="121" t="str">
        <f t="shared" si="65"/>
        <v/>
      </c>
      <c r="AS103" s="121" t="str">
        <f t="shared" si="65"/>
        <v/>
      </c>
      <c r="AT103" s="121" t="str">
        <f t="shared" si="65"/>
        <v/>
      </c>
      <c r="AU103" s="121" t="str">
        <f t="shared" si="65"/>
        <v/>
      </c>
      <c r="AV103" s="121" t="str">
        <f t="shared" si="65"/>
        <v/>
      </c>
      <c r="AW103" s="121" t="str">
        <f t="shared" si="65"/>
        <v/>
      </c>
      <c r="AX103" s="121" t="str">
        <f t="shared" si="65"/>
        <v/>
      </c>
      <c r="AY103" s="121" t="str">
        <f t="shared" si="65"/>
        <v/>
      </c>
      <c r="AZ103" s="121" t="str">
        <f t="shared" si="65"/>
        <v/>
      </c>
      <c r="BA103" s="121" t="str">
        <f t="shared" si="65"/>
        <v/>
      </c>
      <c r="BB103" s="121" t="str">
        <f t="shared" si="65"/>
        <v/>
      </c>
      <c r="BC103" s="121" t="str">
        <f t="shared" si="65"/>
        <v/>
      </c>
      <c r="BD103" s="121" t="str">
        <f t="shared" si="65"/>
        <v/>
      </c>
      <c r="BE103" s="121" t="str">
        <f t="shared" si="65"/>
        <v/>
      </c>
      <c r="BF103" s="121" t="str">
        <f t="shared" si="65"/>
        <v/>
      </c>
      <c r="BG103" s="121" t="str">
        <f t="shared" si="65"/>
        <v/>
      </c>
      <c r="BH103" s="121" t="str">
        <f t="shared" si="65"/>
        <v/>
      </c>
      <c r="BI103" s="121" t="str">
        <f t="shared" si="65"/>
        <v/>
      </c>
      <c r="BJ103" s="121" t="str">
        <f t="shared" si="65"/>
        <v/>
      </c>
      <c r="BK103" s="121" t="str">
        <f t="shared" si="65"/>
        <v/>
      </c>
      <c r="BL103" s="121" t="str">
        <f t="shared" si="65"/>
        <v/>
      </c>
      <c r="BM103" s="121" t="str">
        <f t="shared" si="65"/>
        <v/>
      </c>
      <c r="BN103" s="121" t="str">
        <f t="shared" si="65"/>
        <v/>
      </c>
      <c r="BO103" s="121" t="str">
        <f t="shared" ref="BO103:CX103" si="66">IF(ISNUMBER(outYear),(BO37+BO70+BO100),"")</f>
        <v/>
      </c>
      <c r="BP103" s="121" t="str">
        <f t="shared" si="66"/>
        <v/>
      </c>
      <c r="BQ103" s="121" t="str">
        <f t="shared" si="66"/>
        <v/>
      </c>
      <c r="BR103" s="121" t="str">
        <f t="shared" si="66"/>
        <v/>
      </c>
      <c r="BS103" s="121" t="str">
        <f t="shared" si="66"/>
        <v/>
      </c>
      <c r="BT103" s="121" t="str">
        <f t="shared" si="66"/>
        <v/>
      </c>
      <c r="BU103" s="121" t="str">
        <f t="shared" si="66"/>
        <v/>
      </c>
      <c r="BV103" s="121" t="str">
        <f t="shared" si="66"/>
        <v/>
      </c>
      <c r="BW103" s="121" t="str">
        <f t="shared" si="66"/>
        <v/>
      </c>
      <c r="BX103" s="121" t="str">
        <f t="shared" si="66"/>
        <v/>
      </c>
      <c r="BY103" s="121" t="str">
        <f t="shared" si="66"/>
        <v/>
      </c>
      <c r="BZ103" s="121" t="str">
        <f t="shared" si="66"/>
        <v/>
      </c>
      <c r="CA103" s="121" t="str">
        <f t="shared" si="66"/>
        <v/>
      </c>
      <c r="CB103" s="121" t="str">
        <f t="shared" si="66"/>
        <v/>
      </c>
      <c r="CC103" s="121" t="str">
        <f t="shared" si="66"/>
        <v/>
      </c>
      <c r="CD103" s="121" t="str">
        <f t="shared" si="66"/>
        <v/>
      </c>
      <c r="CE103" s="121" t="str">
        <f t="shared" si="66"/>
        <v/>
      </c>
      <c r="CF103" s="121" t="str">
        <f t="shared" si="66"/>
        <v/>
      </c>
      <c r="CG103" s="121" t="str">
        <f t="shared" si="66"/>
        <v/>
      </c>
      <c r="CH103" s="121" t="str">
        <f t="shared" si="66"/>
        <v/>
      </c>
      <c r="CI103" s="121" t="str">
        <f t="shared" si="66"/>
        <v/>
      </c>
      <c r="CJ103" s="121" t="str">
        <f t="shared" si="66"/>
        <v/>
      </c>
      <c r="CK103" s="121" t="str">
        <f t="shared" si="66"/>
        <v/>
      </c>
      <c r="CL103" s="121" t="str">
        <f t="shared" si="66"/>
        <v/>
      </c>
      <c r="CM103" s="121" t="str">
        <f t="shared" si="66"/>
        <v/>
      </c>
      <c r="CN103" s="121" t="str">
        <f t="shared" si="66"/>
        <v/>
      </c>
      <c r="CO103" s="121" t="str">
        <f t="shared" si="66"/>
        <v/>
      </c>
      <c r="CP103" s="121" t="str">
        <f t="shared" si="66"/>
        <v/>
      </c>
      <c r="CQ103" s="121" t="str">
        <f t="shared" si="66"/>
        <v/>
      </c>
      <c r="CR103" s="121" t="str">
        <f t="shared" si="66"/>
        <v/>
      </c>
      <c r="CS103" s="121" t="str">
        <f t="shared" si="66"/>
        <v/>
      </c>
      <c r="CT103" s="121" t="str">
        <f t="shared" si="66"/>
        <v/>
      </c>
      <c r="CU103" s="121" t="str">
        <f t="shared" si="66"/>
        <v/>
      </c>
      <c r="CV103" s="121" t="str">
        <f t="shared" si="66"/>
        <v/>
      </c>
      <c r="CW103" s="121" t="str">
        <f t="shared" si="66"/>
        <v/>
      </c>
      <c r="CX103" s="121" t="str">
        <f t="shared" si="66"/>
        <v/>
      </c>
    </row>
    <row r="104" spans="1:102" x14ac:dyDescent="0.25">
      <c r="A104" s="112" t="s">
        <v>171</v>
      </c>
      <c r="B104" s="119">
        <v>0</v>
      </c>
      <c r="C104" s="119">
        <f>IF(ISNUMBER(outYear),IF(FederalDepreciation="N/A",'Cash Flow'!C10,'Cash Flow'!C10*(1-federal_tax_rate/100)),"")</f>
        <v>2387.565599999999</v>
      </c>
      <c r="D104" s="119">
        <f>IF(ISNUMBER(outYear),IF(FederalDepreciation="N/A",'Cash Flow'!D10,'Cash Flow'!D10*(1-federal_tax_rate/100)),"")</f>
        <v>2513.3330055455986</v>
      </c>
      <c r="E104" s="119">
        <f>IF(ISNUMBER(outYear),IF(FederalDepreciation="N/A",'Cash Flow'!E10,'Cash Flow'!E10*(1-federal_tax_rate/100)),"")</f>
        <v>2578.6796636897852</v>
      </c>
      <c r="F104" s="119">
        <f>IF(ISNUMBER(outYear),IF(FederalDepreciation="N/A",'Cash Flow'!F10,'Cash Flow'!F10*(1-federal_tax_rate/100)),"")</f>
        <v>2645.7253349457187</v>
      </c>
      <c r="G104" s="119">
        <f>IF(ISNUMBER(outYear),IF(FederalDepreciation="N/A",'Cash Flow'!G10,'Cash Flow'!G10*(1-federal_tax_rate/100)),"")</f>
        <v>2714.5141936543068</v>
      </c>
      <c r="H104" s="119">
        <f>IF(ISNUMBER(outYear),IF(FederalDepreciation="N/A",'Cash Flow'!H10,'Cash Flow'!H10*(1-federal_tax_rate/100)),"")</f>
        <v>2785.0915626893184</v>
      </c>
      <c r="I104" s="119">
        <f>IF(ISNUMBER(outYear),IF(FederalDepreciation="N/A",'Cash Flow'!I10,'Cash Flow'!I10*(1-federal_tax_rate/100)),"")</f>
        <v>2857.5039433192419</v>
      </c>
      <c r="J104" s="119">
        <f>IF(ISNUMBER(outYear),IF(FederalDepreciation="N/A",'Cash Flow'!J10,'Cash Flow'!J10*(1-federal_tax_rate/100)),"")</f>
        <v>2931.7990458455415</v>
      </c>
      <c r="K104" s="119">
        <f>IF(ISNUMBER(outYear),IF(FederalDepreciation="N/A",'Cash Flow'!K10,'Cash Flow'!K10*(1-federal_tax_rate/100)),"")</f>
        <v>3008.025821037525</v>
      </c>
      <c r="L104" s="119">
        <f>IF(ISNUMBER(outYear),IF(FederalDepreciation="N/A",'Cash Flow'!L10,'Cash Flow'!L10*(1-federal_tax_rate/100)),"")</f>
        <v>3086.2344923845003</v>
      </c>
      <c r="M104" s="119">
        <f>IF(ISNUMBER(outYear),IF(FederalDepreciation="N/A",'Cash Flow'!M10,'Cash Flow'!M10*(1-federal_tax_rate/100)),"")</f>
        <v>3166.476589186499</v>
      </c>
      <c r="N104" s="119">
        <f>IF(ISNUMBER(outYear),IF(FederalDepreciation="N/A",'Cash Flow'!N10,'Cash Flow'!N10*(1-federal_tax_rate/100)),"")</f>
        <v>3248.804980505347</v>
      </c>
      <c r="O104" s="119">
        <f>IF(ISNUMBER(outYear),IF(FederalDepreciation="N/A",'Cash Flow'!O10,'Cash Flow'!O10*(1-federal_tax_rate/100)),"")</f>
        <v>3333.2739099984874</v>
      </c>
      <c r="P104" s="119">
        <f>IF(ISNUMBER(outYear),IF(FederalDepreciation="N/A",'Cash Flow'!P10,'Cash Flow'!P10*(1-federal_tax_rate/100)),"")</f>
        <v>3419.9390316584463</v>
      </c>
      <c r="Q104" s="119">
        <f>IF(ISNUMBER(outYear),IF(FederalDepreciation="N/A",'Cash Flow'!Q10,'Cash Flow'!Q10*(1-federal_tax_rate/100)),"")</f>
        <v>3508.8574464815656</v>
      </c>
      <c r="R104" s="119">
        <f>IF(ISNUMBER(outYear),IF(FederalDepreciation="N/A",'Cash Flow'!R10,'Cash Flow'!R10*(1-federal_tax_rate/100)),"")</f>
        <v>3600.0877400900863</v>
      </c>
      <c r="S104" s="119">
        <f>IF(ISNUMBER(outYear),IF(FederalDepreciation="N/A",'Cash Flow'!S10,'Cash Flow'!S10*(1-federal_tax_rate/100)),"")</f>
        <v>3693.6900213324288</v>
      </c>
      <c r="T104" s="119">
        <f>IF(ISNUMBER(outYear),IF(FederalDepreciation="N/A",'Cash Flow'!T10,'Cash Flow'!T10*(1-federal_tax_rate/100)),"")</f>
        <v>3789.7259618870717</v>
      </c>
      <c r="U104" s="119">
        <f>IF(ISNUMBER(outYear),IF(FederalDepreciation="N/A",'Cash Flow'!U10,'Cash Flow'!U10*(1-federal_tax_rate/100)),"")</f>
        <v>3888.2588368961351</v>
      </c>
      <c r="V104" s="119">
        <f>IF(ISNUMBER(outYear),IF(FederalDepreciation="N/A",'Cash Flow'!V10,'Cash Flow'!V10*(1-federal_tax_rate/100)),"")</f>
        <v>3989.3535666554367</v>
      </c>
      <c r="W104" s="119" t="str">
        <f>IF(ISNUMBER(outYear),IF(FederalDepreciation="N/A",'Cash Flow'!W10,'Cash Flow'!W10*(1-federal_tax_rate/100)),"")</f>
        <v/>
      </c>
      <c r="X104" s="119" t="str">
        <f>IF(ISNUMBER(outYear),IF(FederalDepreciation="N/A",'Cash Flow'!X10,'Cash Flow'!X10*(1-federal_tax_rate/100)),"")</f>
        <v/>
      </c>
      <c r="Y104" s="119" t="str">
        <f>IF(ISNUMBER(outYear),IF(FederalDepreciation="N/A",'Cash Flow'!Y10,'Cash Flow'!Y10*(1-federal_tax_rate/100)),"")</f>
        <v/>
      </c>
      <c r="Z104" s="119" t="str">
        <f>IF(ISNUMBER(outYear),IF(FederalDepreciation="N/A",'Cash Flow'!Z10,'Cash Flow'!Z10*(1-federal_tax_rate/100)),"")</f>
        <v/>
      </c>
      <c r="AA104" s="119" t="str">
        <f>IF(ISNUMBER(outYear),IF(FederalDepreciation="N/A",'Cash Flow'!AA10,'Cash Flow'!AA10*(1-federal_tax_rate/100)),"")</f>
        <v/>
      </c>
      <c r="AB104" s="119" t="str">
        <f>IF(ISNUMBER(outYear),IF(FederalDepreciation="N/A",'Cash Flow'!AB10,'Cash Flow'!AB10*(1-federal_tax_rate/100)),"")</f>
        <v/>
      </c>
      <c r="AC104" s="119" t="str">
        <f>IF(ISNUMBER(outYear),IF(FederalDepreciation="N/A",'Cash Flow'!AC10,'Cash Flow'!AC10*(1-federal_tax_rate/100)),"")</f>
        <v/>
      </c>
      <c r="AD104" s="119" t="str">
        <f>IF(ISNUMBER(outYear),IF(FederalDepreciation="N/A",'Cash Flow'!AD10,'Cash Flow'!AD10*(1-federal_tax_rate/100)),"")</f>
        <v/>
      </c>
      <c r="AE104" s="119" t="str">
        <f>IF(ISNUMBER(outYear),IF(FederalDepreciation="N/A",'Cash Flow'!AE10,'Cash Flow'!AE10*(1-federal_tax_rate/100)),"")</f>
        <v/>
      </c>
      <c r="AF104" s="119" t="str">
        <f>IF(ISNUMBER(outYear),IF(FederalDepreciation="N/A",'Cash Flow'!AF10,'Cash Flow'!AF10*(1-federal_tax_rate/100)),"")</f>
        <v/>
      </c>
      <c r="AG104" s="119" t="str">
        <f>IF(ISNUMBER(outYear),IF(FederalDepreciation="N/A",'Cash Flow'!AG10,'Cash Flow'!AG10*(1-federal_tax_rate/100)),"")</f>
        <v/>
      </c>
      <c r="AH104" s="119" t="str">
        <f>IF(ISNUMBER(outYear),IF(FederalDepreciation="N/A",'Cash Flow'!AH10,'Cash Flow'!AH10*(1-federal_tax_rate/100)),"")</f>
        <v/>
      </c>
      <c r="AI104" s="119" t="str">
        <f>IF(ISNUMBER(outYear),IF(FederalDepreciation="N/A",'Cash Flow'!AI10,'Cash Flow'!AI10*(1-federal_tax_rate/100)),"")</f>
        <v/>
      </c>
      <c r="AJ104" s="119" t="str">
        <f>IF(ISNUMBER(outYear),IF(FederalDepreciation="N/A",'Cash Flow'!AJ10,'Cash Flow'!AJ10*(1-federal_tax_rate/100)),"")</f>
        <v/>
      </c>
      <c r="AK104" s="119" t="str">
        <f>IF(ISNUMBER(outYear),IF(FederalDepreciation="N/A",'Cash Flow'!AK10,'Cash Flow'!AK10*(1-federal_tax_rate/100)),"")</f>
        <v/>
      </c>
      <c r="AL104" s="119" t="str">
        <f>IF(ISNUMBER(outYear),IF(FederalDepreciation="N/A",'Cash Flow'!AL10,'Cash Flow'!AL10*(1-federal_tax_rate/100)),"")</f>
        <v/>
      </c>
      <c r="AM104" s="119" t="str">
        <f>IF(ISNUMBER(outYear),IF(FederalDepreciation="N/A",'Cash Flow'!AM10,'Cash Flow'!AM10*(1-federal_tax_rate/100)),"")</f>
        <v/>
      </c>
      <c r="AN104" s="119" t="str">
        <f>IF(ISNUMBER(outYear),IF(FederalDepreciation="N/A",'Cash Flow'!AN10,'Cash Flow'!AN10*(1-federal_tax_rate/100)),"")</f>
        <v/>
      </c>
      <c r="AO104" s="119" t="str">
        <f>IF(ISNUMBER(outYear),IF(FederalDepreciation="N/A",'Cash Flow'!AO10,'Cash Flow'!AO10*(1-federal_tax_rate/100)),"")</f>
        <v/>
      </c>
      <c r="AP104" s="119" t="str">
        <f>IF(ISNUMBER(outYear),IF(FederalDepreciation="N/A",'Cash Flow'!AP10,'Cash Flow'!AP10*(1-federal_tax_rate/100)),"")</f>
        <v/>
      </c>
      <c r="AQ104" s="119" t="str">
        <f>IF(ISNUMBER(outYear),IF(FederalDepreciation="N/A",'Cash Flow'!AQ10,'Cash Flow'!AQ10*(1-federal_tax_rate/100)),"")</f>
        <v/>
      </c>
      <c r="AR104" s="119" t="str">
        <f>IF(ISNUMBER(outYear),IF(FederalDepreciation="N/A",'Cash Flow'!AR10,'Cash Flow'!AR10*(1-federal_tax_rate/100)),"")</f>
        <v/>
      </c>
      <c r="AS104" s="119" t="str">
        <f>IF(ISNUMBER(outYear),IF(FederalDepreciation="N/A",'Cash Flow'!AS10,'Cash Flow'!AS10*(1-federal_tax_rate/100)),"")</f>
        <v/>
      </c>
      <c r="AT104" s="119" t="str">
        <f>IF(ISNUMBER(outYear),IF(FederalDepreciation="N/A",'Cash Flow'!AT10,'Cash Flow'!AT10*(1-federal_tax_rate/100)),"")</f>
        <v/>
      </c>
      <c r="AU104" s="119" t="str">
        <f>IF(ISNUMBER(outYear),IF(FederalDepreciation="N/A",'Cash Flow'!AU10,'Cash Flow'!AU10*(1-federal_tax_rate/100)),"")</f>
        <v/>
      </c>
      <c r="AV104" s="119" t="str">
        <f>IF(ISNUMBER(outYear),IF(FederalDepreciation="N/A",'Cash Flow'!AV10,'Cash Flow'!AV10*(1-federal_tax_rate/100)),"")</f>
        <v/>
      </c>
      <c r="AW104" s="119" t="str">
        <f>IF(ISNUMBER(outYear),IF(FederalDepreciation="N/A",'Cash Flow'!AW10,'Cash Flow'!AW10*(1-federal_tax_rate/100)),"")</f>
        <v/>
      </c>
      <c r="AX104" s="119" t="str">
        <f>IF(ISNUMBER(outYear),IF(FederalDepreciation="N/A",'Cash Flow'!AX10,'Cash Flow'!AX10*(1-federal_tax_rate/100)),"")</f>
        <v/>
      </c>
      <c r="AY104" s="119" t="str">
        <f>IF(ISNUMBER(outYear),IF(FederalDepreciation="N/A",'Cash Flow'!AY10,'Cash Flow'!AY10*(1-federal_tax_rate/100)),"")</f>
        <v/>
      </c>
      <c r="AZ104" s="119" t="str">
        <f>IF(ISNUMBER(outYear),IF(FederalDepreciation="N/A",'Cash Flow'!AZ10,'Cash Flow'!AZ10*(1-federal_tax_rate/100)),"")</f>
        <v/>
      </c>
      <c r="BA104" s="119" t="str">
        <f>IF(ISNUMBER(outYear),IF(FederalDepreciation="N/A",'Cash Flow'!BA10,'Cash Flow'!BA10*(1-federal_tax_rate/100)),"")</f>
        <v/>
      </c>
      <c r="BB104" s="119" t="str">
        <f>IF(ISNUMBER(outYear),IF(FederalDepreciation="N/A",'Cash Flow'!BB10,'Cash Flow'!BB10*(1-federal_tax_rate/100)),"")</f>
        <v/>
      </c>
      <c r="BC104" s="119" t="str">
        <f>IF(ISNUMBER(outYear),IF(FederalDepreciation="N/A",'Cash Flow'!BC10,'Cash Flow'!BC10*(1-federal_tax_rate/100)),"")</f>
        <v/>
      </c>
      <c r="BD104" s="119" t="str">
        <f>IF(ISNUMBER(outYear),IF(FederalDepreciation="N/A",'Cash Flow'!BD10,'Cash Flow'!BD10*(1-federal_tax_rate/100)),"")</f>
        <v/>
      </c>
      <c r="BE104" s="119" t="str">
        <f>IF(ISNUMBER(outYear),IF(FederalDepreciation="N/A",'Cash Flow'!BE10,'Cash Flow'!BE10*(1-federal_tax_rate/100)),"")</f>
        <v/>
      </c>
      <c r="BF104" s="119" t="str">
        <f>IF(ISNUMBER(outYear),IF(FederalDepreciation="N/A",'Cash Flow'!BF10,'Cash Flow'!BF10*(1-federal_tax_rate/100)),"")</f>
        <v/>
      </c>
      <c r="BG104" s="119" t="str">
        <f>IF(ISNUMBER(outYear),IF(FederalDepreciation="N/A",'Cash Flow'!BG10,'Cash Flow'!BG10*(1-federal_tax_rate/100)),"")</f>
        <v/>
      </c>
      <c r="BH104" s="119" t="str">
        <f>IF(ISNUMBER(outYear),IF(FederalDepreciation="N/A",'Cash Flow'!BH10,'Cash Flow'!BH10*(1-federal_tax_rate/100)),"")</f>
        <v/>
      </c>
      <c r="BI104" s="119" t="str">
        <f>IF(ISNUMBER(outYear),IF(FederalDepreciation="N/A",'Cash Flow'!BI10,'Cash Flow'!BI10*(1-federal_tax_rate/100)),"")</f>
        <v/>
      </c>
      <c r="BJ104" s="119" t="str">
        <f>IF(ISNUMBER(outYear),IF(FederalDepreciation="N/A",'Cash Flow'!BJ10,'Cash Flow'!BJ10*(1-federal_tax_rate/100)),"")</f>
        <v/>
      </c>
      <c r="BK104" s="119" t="str">
        <f>IF(ISNUMBER(outYear),IF(FederalDepreciation="N/A",'Cash Flow'!BK10,'Cash Flow'!BK10*(1-federal_tax_rate/100)),"")</f>
        <v/>
      </c>
      <c r="BL104" s="119" t="str">
        <f>IF(ISNUMBER(outYear),IF(FederalDepreciation="N/A",'Cash Flow'!BL10,'Cash Flow'!BL10*(1-federal_tax_rate/100)),"")</f>
        <v/>
      </c>
      <c r="BM104" s="119" t="str">
        <f>IF(ISNUMBER(outYear),IF(FederalDepreciation="N/A",'Cash Flow'!BM10,'Cash Flow'!BM10*(1-federal_tax_rate/100)),"")</f>
        <v/>
      </c>
      <c r="BN104" s="119" t="str">
        <f>IF(ISNUMBER(outYear),IF(FederalDepreciation="N/A",'Cash Flow'!BN10,'Cash Flow'!BN10*(1-federal_tax_rate/100)),"")</f>
        <v/>
      </c>
      <c r="BO104" s="119" t="str">
        <f>IF(ISNUMBER(outYear),IF(FederalDepreciation="N/A",'Cash Flow'!BO10,'Cash Flow'!BO10*(1-federal_tax_rate/100)),"")</f>
        <v/>
      </c>
      <c r="BP104" s="119" t="str">
        <f>IF(ISNUMBER(outYear),IF(FederalDepreciation="N/A",'Cash Flow'!BP10,'Cash Flow'!BP10*(1-federal_tax_rate/100)),"")</f>
        <v/>
      </c>
      <c r="BQ104" s="119" t="str">
        <f>IF(ISNUMBER(outYear),IF(FederalDepreciation="N/A",'Cash Flow'!BQ10,'Cash Flow'!BQ10*(1-federal_tax_rate/100)),"")</f>
        <v/>
      </c>
      <c r="BR104" s="119" t="str">
        <f>IF(ISNUMBER(outYear),IF(FederalDepreciation="N/A",'Cash Flow'!BR10,'Cash Flow'!BR10*(1-federal_tax_rate/100)),"")</f>
        <v/>
      </c>
      <c r="BS104" s="119" t="str">
        <f>IF(ISNUMBER(outYear),IF(FederalDepreciation="N/A",'Cash Flow'!BS10,'Cash Flow'!BS10*(1-federal_tax_rate/100)),"")</f>
        <v/>
      </c>
      <c r="BT104" s="119" t="str">
        <f>IF(ISNUMBER(outYear),IF(FederalDepreciation="N/A",'Cash Flow'!BT10,'Cash Flow'!BT10*(1-federal_tax_rate/100)),"")</f>
        <v/>
      </c>
      <c r="BU104" s="119" t="str">
        <f>IF(ISNUMBER(outYear),IF(FederalDepreciation="N/A",'Cash Flow'!BU10,'Cash Flow'!BU10*(1-federal_tax_rate/100)),"")</f>
        <v/>
      </c>
      <c r="BV104" s="119" t="str">
        <f>IF(ISNUMBER(outYear),IF(FederalDepreciation="N/A",'Cash Flow'!BV10,'Cash Flow'!BV10*(1-federal_tax_rate/100)),"")</f>
        <v/>
      </c>
      <c r="BW104" s="119" t="str">
        <f>IF(ISNUMBER(outYear),IF(FederalDepreciation="N/A",'Cash Flow'!BW10,'Cash Flow'!BW10*(1-federal_tax_rate/100)),"")</f>
        <v/>
      </c>
      <c r="BX104" s="119" t="str">
        <f>IF(ISNUMBER(outYear),IF(FederalDepreciation="N/A",'Cash Flow'!BX10,'Cash Flow'!BX10*(1-federal_tax_rate/100)),"")</f>
        <v/>
      </c>
      <c r="BY104" s="119" t="str">
        <f>IF(ISNUMBER(outYear),IF(FederalDepreciation="N/A",'Cash Flow'!BY10,'Cash Flow'!BY10*(1-federal_tax_rate/100)),"")</f>
        <v/>
      </c>
      <c r="BZ104" s="119" t="str">
        <f>IF(ISNUMBER(outYear),IF(FederalDepreciation="N/A",'Cash Flow'!BZ10,'Cash Flow'!BZ10*(1-federal_tax_rate/100)),"")</f>
        <v/>
      </c>
      <c r="CA104" s="119" t="str">
        <f>IF(ISNUMBER(outYear),IF(FederalDepreciation="N/A",'Cash Flow'!CA10,'Cash Flow'!CA10*(1-federal_tax_rate/100)),"")</f>
        <v/>
      </c>
      <c r="CB104" s="119" t="str">
        <f>IF(ISNUMBER(outYear),IF(FederalDepreciation="N/A",'Cash Flow'!CB10,'Cash Flow'!CB10*(1-federal_tax_rate/100)),"")</f>
        <v/>
      </c>
      <c r="CC104" s="119" t="str">
        <f>IF(ISNUMBER(outYear),IF(FederalDepreciation="N/A",'Cash Flow'!CC10,'Cash Flow'!CC10*(1-federal_tax_rate/100)),"")</f>
        <v/>
      </c>
      <c r="CD104" s="119" t="str">
        <f>IF(ISNUMBER(outYear),IF(FederalDepreciation="N/A",'Cash Flow'!CD10,'Cash Flow'!CD10*(1-federal_tax_rate/100)),"")</f>
        <v/>
      </c>
      <c r="CE104" s="119" t="str">
        <f>IF(ISNUMBER(outYear),IF(FederalDepreciation="N/A",'Cash Flow'!CE10,'Cash Flow'!CE10*(1-federal_tax_rate/100)),"")</f>
        <v/>
      </c>
      <c r="CF104" s="119" t="str">
        <f>IF(ISNUMBER(outYear),IF(FederalDepreciation="N/A",'Cash Flow'!CF10,'Cash Flow'!CF10*(1-federal_tax_rate/100)),"")</f>
        <v/>
      </c>
      <c r="CG104" s="119" t="str">
        <f>IF(ISNUMBER(outYear),IF(FederalDepreciation="N/A",'Cash Flow'!CG10,'Cash Flow'!CG10*(1-federal_tax_rate/100)),"")</f>
        <v/>
      </c>
      <c r="CH104" s="119" t="str">
        <f>IF(ISNUMBER(outYear),IF(FederalDepreciation="N/A",'Cash Flow'!CH10,'Cash Flow'!CH10*(1-federal_tax_rate/100)),"")</f>
        <v/>
      </c>
      <c r="CI104" s="119" t="str">
        <f>IF(ISNUMBER(outYear),IF(FederalDepreciation="N/A",'Cash Flow'!CI10,'Cash Flow'!CI10*(1-federal_tax_rate/100)),"")</f>
        <v/>
      </c>
      <c r="CJ104" s="119" t="str">
        <f>IF(ISNUMBER(outYear),IF(FederalDepreciation="N/A",'Cash Flow'!CJ10,'Cash Flow'!CJ10*(1-federal_tax_rate/100)),"")</f>
        <v/>
      </c>
      <c r="CK104" s="119" t="str">
        <f>IF(ISNUMBER(outYear),IF(FederalDepreciation="N/A",'Cash Flow'!CK10,'Cash Flow'!CK10*(1-federal_tax_rate/100)),"")</f>
        <v/>
      </c>
      <c r="CL104" s="119" t="str">
        <f>IF(ISNUMBER(outYear),IF(FederalDepreciation="N/A",'Cash Flow'!CL10,'Cash Flow'!CL10*(1-federal_tax_rate/100)),"")</f>
        <v/>
      </c>
      <c r="CM104" s="119" t="str">
        <f>IF(ISNUMBER(outYear),IF(FederalDepreciation="N/A",'Cash Flow'!CM10,'Cash Flow'!CM10*(1-federal_tax_rate/100)),"")</f>
        <v/>
      </c>
      <c r="CN104" s="119" t="str">
        <f>IF(ISNUMBER(outYear),IF(FederalDepreciation="N/A",'Cash Flow'!CN10,'Cash Flow'!CN10*(1-federal_tax_rate/100)),"")</f>
        <v/>
      </c>
      <c r="CO104" s="119" t="str">
        <f>IF(ISNUMBER(outYear),IF(FederalDepreciation="N/A",'Cash Flow'!CO10,'Cash Flow'!CO10*(1-federal_tax_rate/100)),"")</f>
        <v/>
      </c>
      <c r="CP104" s="119" t="str">
        <f>IF(ISNUMBER(outYear),IF(FederalDepreciation="N/A",'Cash Flow'!CP10,'Cash Flow'!CP10*(1-federal_tax_rate/100)),"")</f>
        <v/>
      </c>
      <c r="CQ104" s="119" t="str">
        <f>IF(ISNUMBER(outYear),IF(FederalDepreciation="N/A",'Cash Flow'!CQ10,'Cash Flow'!CQ10*(1-federal_tax_rate/100)),"")</f>
        <v/>
      </c>
      <c r="CR104" s="119" t="str">
        <f>IF(ISNUMBER(outYear),IF(FederalDepreciation="N/A",'Cash Flow'!CR10,'Cash Flow'!CR10*(1-federal_tax_rate/100)),"")</f>
        <v/>
      </c>
      <c r="CS104" s="119" t="str">
        <f>IF(ISNUMBER(outYear),IF(FederalDepreciation="N/A",'Cash Flow'!CS10,'Cash Flow'!CS10*(1-federal_tax_rate/100)),"")</f>
        <v/>
      </c>
      <c r="CT104" s="119" t="str">
        <f>IF(ISNUMBER(outYear),IF(FederalDepreciation="N/A",'Cash Flow'!CT10,'Cash Flow'!CT10*(1-federal_tax_rate/100)),"")</f>
        <v/>
      </c>
      <c r="CU104" s="119" t="str">
        <f>IF(ISNUMBER(outYear),IF(FederalDepreciation="N/A",'Cash Flow'!CU10,'Cash Flow'!CU10*(1-federal_tax_rate/100)),"")</f>
        <v/>
      </c>
      <c r="CV104" s="119" t="str">
        <f>IF(ISNUMBER(outYear),IF(FederalDepreciation="N/A",'Cash Flow'!CV10,'Cash Flow'!CV10*(1-federal_tax_rate/100)),"")</f>
        <v/>
      </c>
      <c r="CW104" s="119" t="str">
        <f>IF(ISNUMBER(outYear),IF(FederalDepreciation="N/A",'Cash Flow'!CW10,'Cash Flow'!CW10*(1-federal_tax_rate/100)),"")</f>
        <v/>
      </c>
      <c r="CX104" s="119" t="str">
        <f>IF(ISNUMBER(outYear),IF(FederalDepreciation="N/A",'Cash Flow'!CX10,'Cash Flow'!CX10*(1-federal_tax_rate/100)),"")</f>
        <v/>
      </c>
    </row>
    <row r="105" spans="1:102" x14ac:dyDescent="0.25">
      <c r="A105" s="120" t="s">
        <v>172</v>
      </c>
      <c r="B105" s="121">
        <f>IF(ISNUMBER(outYear),+B103+B10,"")</f>
        <v>-9742.0500000000011</v>
      </c>
      <c r="C105" s="121">
        <f t="shared" ref="C105:AH105" si="67">IF(ISNUMBER(outYear),+C103+C104,"")</f>
        <v>4957.0351347999995</v>
      </c>
      <c r="D105" s="121">
        <f t="shared" si="67"/>
        <v>2681.0381044655987</v>
      </c>
      <c r="E105" s="121">
        <f t="shared" si="67"/>
        <v>2487.8263352827853</v>
      </c>
      <c r="F105" s="121">
        <f t="shared" si="67"/>
        <v>2394.9500404485439</v>
      </c>
      <c r="G105" s="121">
        <f t="shared" si="67"/>
        <v>2451.9053768107024</v>
      </c>
      <c r="H105" s="121">
        <f t="shared" si="67"/>
        <v>2399.070585760624</v>
      </c>
      <c r="I105" s="121">
        <f t="shared" si="67"/>
        <v>2347.76757229533</v>
      </c>
      <c r="J105" s="121">
        <f t="shared" si="67"/>
        <v>2409.3192655460321</v>
      </c>
      <c r="K105" s="121">
        <f t="shared" si="67"/>
        <v>2472.4840462305278</v>
      </c>
      <c r="L105" s="121">
        <f t="shared" si="67"/>
        <v>2537.3041732073279</v>
      </c>
      <c r="M105" s="121">
        <f t="shared" si="67"/>
        <v>2603.8230120298977</v>
      </c>
      <c r="N105" s="121">
        <f t="shared" si="67"/>
        <v>2672.0850639198306</v>
      </c>
      <c r="O105" s="121">
        <f t="shared" si="67"/>
        <v>2742.1359954983332</v>
      </c>
      <c r="P105" s="121">
        <f t="shared" si="67"/>
        <v>2814.0226692957885</v>
      </c>
      <c r="Q105" s="121">
        <f t="shared" si="67"/>
        <v>2887.7931750598409</v>
      </c>
      <c r="R105" s="121">
        <f t="shared" si="67"/>
        <v>2963.4968618828188</v>
      </c>
      <c r="S105" s="121">
        <f t="shared" si="67"/>
        <v>3041.1843711699794</v>
      </c>
      <c r="T105" s="121">
        <f t="shared" si="67"/>
        <v>3120.9076704705612</v>
      </c>
      <c r="U105" s="121">
        <f t="shared" si="67"/>
        <v>3202.7200881942117</v>
      </c>
      <c r="V105" s="121">
        <f t="shared" si="67"/>
        <v>3286.6763492359655</v>
      </c>
      <c r="W105" s="121" t="str">
        <f t="shared" si="67"/>
        <v/>
      </c>
      <c r="X105" s="121" t="str">
        <f t="shared" si="67"/>
        <v/>
      </c>
      <c r="Y105" s="121" t="str">
        <f t="shared" si="67"/>
        <v/>
      </c>
      <c r="Z105" s="121" t="str">
        <f t="shared" si="67"/>
        <v/>
      </c>
      <c r="AA105" s="121" t="str">
        <f t="shared" si="67"/>
        <v/>
      </c>
      <c r="AB105" s="121" t="str">
        <f t="shared" si="67"/>
        <v/>
      </c>
      <c r="AC105" s="121" t="str">
        <f t="shared" si="67"/>
        <v/>
      </c>
      <c r="AD105" s="121" t="str">
        <f t="shared" si="67"/>
        <v/>
      </c>
      <c r="AE105" s="121" t="str">
        <f t="shared" si="67"/>
        <v/>
      </c>
      <c r="AF105" s="121" t="str">
        <f t="shared" si="67"/>
        <v/>
      </c>
      <c r="AG105" s="121" t="str">
        <f t="shared" si="67"/>
        <v/>
      </c>
      <c r="AH105" s="121" t="str">
        <f t="shared" si="67"/>
        <v/>
      </c>
      <c r="AI105" s="121" t="str">
        <f t="shared" ref="AI105:BN105" si="68">IF(ISNUMBER(outYear),+AI103+AI104,"")</f>
        <v/>
      </c>
      <c r="AJ105" s="121" t="str">
        <f t="shared" si="68"/>
        <v/>
      </c>
      <c r="AK105" s="121" t="str">
        <f t="shared" si="68"/>
        <v/>
      </c>
      <c r="AL105" s="121" t="str">
        <f t="shared" si="68"/>
        <v/>
      </c>
      <c r="AM105" s="121" t="str">
        <f t="shared" si="68"/>
        <v/>
      </c>
      <c r="AN105" s="121" t="str">
        <f t="shared" si="68"/>
        <v/>
      </c>
      <c r="AO105" s="121" t="str">
        <f t="shared" si="68"/>
        <v/>
      </c>
      <c r="AP105" s="121" t="str">
        <f t="shared" si="68"/>
        <v/>
      </c>
      <c r="AQ105" s="121" t="str">
        <f t="shared" si="68"/>
        <v/>
      </c>
      <c r="AR105" s="121" t="str">
        <f t="shared" si="68"/>
        <v/>
      </c>
      <c r="AS105" s="121" t="str">
        <f t="shared" si="68"/>
        <v/>
      </c>
      <c r="AT105" s="121" t="str">
        <f t="shared" si="68"/>
        <v/>
      </c>
      <c r="AU105" s="121" t="str">
        <f t="shared" si="68"/>
        <v/>
      </c>
      <c r="AV105" s="121" t="str">
        <f t="shared" si="68"/>
        <v/>
      </c>
      <c r="AW105" s="121" t="str">
        <f t="shared" si="68"/>
        <v/>
      </c>
      <c r="AX105" s="121" t="str">
        <f t="shared" si="68"/>
        <v/>
      </c>
      <c r="AY105" s="121" t="str">
        <f t="shared" si="68"/>
        <v/>
      </c>
      <c r="AZ105" s="121" t="str">
        <f t="shared" si="68"/>
        <v/>
      </c>
      <c r="BA105" s="121" t="str">
        <f t="shared" si="68"/>
        <v/>
      </c>
      <c r="BB105" s="121" t="str">
        <f t="shared" si="68"/>
        <v/>
      </c>
      <c r="BC105" s="121" t="str">
        <f t="shared" si="68"/>
        <v/>
      </c>
      <c r="BD105" s="121" t="str">
        <f t="shared" si="68"/>
        <v/>
      </c>
      <c r="BE105" s="121" t="str">
        <f t="shared" si="68"/>
        <v/>
      </c>
      <c r="BF105" s="121" t="str">
        <f t="shared" si="68"/>
        <v/>
      </c>
      <c r="BG105" s="121" t="str">
        <f t="shared" si="68"/>
        <v/>
      </c>
      <c r="BH105" s="121" t="str">
        <f t="shared" si="68"/>
        <v/>
      </c>
      <c r="BI105" s="121" t="str">
        <f t="shared" si="68"/>
        <v/>
      </c>
      <c r="BJ105" s="121" t="str">
        <f t="shared" si="68"/>
        <v/>
      </c>
      <c r="BK105" s="121" t="str">
        <f t="shared" si="68"/>
        <v/>
      </c>
      <c r="BL105" s="121" t="str">
        <f t="shared" si="68"/>
        <v/>
      </c>
      <c r="BM105" s="121" t="str">
        <f t="shared" si="68"/>
        <v/>
      </c>
      <c r="BN105" s="121" t="str">
        <f t="shared" si="68"/>
        <v/>
      </c>
      <c r="BO105" s="121" t="str">
        <f t="shared" ref="BO105:CT105" si="69">IF(ISNUMBER(outYear),+BO103+BO104,"")</f>
        <v/>
      </c>
      <c r="BP105" s="121" t="str">
        <f t="shared" si="69"/>
        <v/>
      </c>
      <c r="BQ105" s="121" t="str">
        <f t="shared" si="69"/>
        <v/>
      </c>
      <c r="BR105" s="121" t="str">
        <f t="shared" si="69"/>
        <v/>
      </c>
      <c r="BS105" s="121" t="str">
        <f t="shared" si="69"/>
        <v/>
      </c>
      <c r="BT105" s="121" t="str">
        <f t="shared" si="69"/>
        <v/>
      </c>
      <c r="BU105" s="121" t="str">
        <f t="shared" si="69"/>
        <v/>
      </c>
      <c r="BV105" s="121" t="str">
        <f t="shared" si="69"/>
        <v/>
      </c>
      <c r="BW105" s="121" t="str">
        <f t="shared" si="69"/>
        <v/>
      </c>
      <c r="BX105" s="121" t="str">
        <f t="shared" si="69"/>
        <v/>
      </c>
      <c r="BY105" s="121" t="str">
        <f t="shared" si="69"/>
        <v/>
      </c>
      <c r="BZ105" s="121" t="str">
        <f t="shared" si="69"/>
        <v/>
      </c>
      <c r="CA105" s="121" t="str">
        <f t="shared" si="69"/>
        <v/>
      </c>
      <c r="CB105" s="121" t="str">
        <f t="shared" si="69"/>
        <v/>
      </c>
      <c r="CC105" s="121" t="str">
        <f t="shared" si="69"/>
        <v/>
      </c>
      <c r="CD105" s="121" t="str">
        <f t="shared" si="69"/>
        <v/>
      </c>
      <c r="CE105" s="121" t="str">
        <f t="shared" si="69"/>
        <v/>
      </c>
      <c r="CF105" s="121" t="str">
        <f t="shared" si="69"/>
        <v/>
      </c>
      <c r="CG105" s="121" t="str">
        <f t="shared" si="69"/>
        <v/>
      </c>
      <c r="CH105" s="121" t="str">
        <f t="shared" si="69"/>
        <v/>
      </c>
      <c r="CI105" s="121" t="str">
        <f t="shared" si="69"/>
        <v/>
      </c>
      <c r="CJ105" s="121" t="str">
        <f t="shared" si="69"/>
        <v/>
      </c>
      <c r="CK105" s="121" t="str">
        <f t="shared" si="69"/>
        <v/>
      </c>
      <c r="CL105" s="121" t="str">
        <f t="shared" si="69"/>
        <v/>
      </c>
      <c r="CM105" s="121" t="str">
        <f t="shared" si="69"/>
        <v/>
      </c>
      <c r="CN105" s="121" t="str">
        <f t="shared" si="69"/>
        <v/>
      </c>
      <c r="CO105" s="121" t="str">
        <f t="shared" si="69"/>
        <v/>
      </c>
      <c r="CP105" s="121" t="str">
        <f t="shared" si="69"/>
        <v/>
      </c>
      <c r="CQ105" s="121" t="str">
        <f t="shared" si="69"/>
        <v/>
      </c>
      <c r="CR105" s="121" t="str">
        <f t="shared" si="69"/>
        <v/>
      </c>
      <c r="CS105" s="121" t="str">
        <f t="shared" si="69"/>
        <v/>
      </c>
      <c r="CT105" s="121" t="str">
        <f t="shared" si="69"/>
        <v/>
      </c>
      <c r="CU105" s="121" t="str">
        <f t="shared" ref="CU105:CX105" si="70">IF(ISNUMBER(outYear),+CU103+CU104,"")</f>
        <v/>
      </c>
      <c r="CV105" s="121" t="str">
        <f t="shared" si="70"/>
        <v/>
      </c>
      <c r="CW105" s="121" t="str">
        <f t="shared" si="70"/>
        <v/>
      </c>
      <c r="CX105" s="121" t="str">
        <f t="shared" si="70"/>
        <v/>
      </c>
    </row>
    <row r="106" spans="1:102" x14ac:dyDescent="0.25">
      <c r="B106" s="122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C106" s="86"/>
      <c r="BD106" s="86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W106" s="86"/>
      <c r="BX106" s="86"/>
      <c r="BY106" s="86"/>
      <c r="BZ106" s="86"/>
      <c r="CA106" s="86"/>
      <c r="CB106" s="86"/>
      <c r="CC106" s="86"/>
      <c r="CD106" s="86"/>
      <c r="CE106" s="86"/>
      <c r="CF106" s="86"/>
      <c r="CG106" s="86"/>
      <c r="CH106" s="86"/>
      <c r="CI106" s="86"/>
      <c r="CJ106" s="86"/>
      <c r="CK106" s="86"/>
      <c r="CL106" s="86"/>
      <c r="CM106" s="86"/>
      <c r="CN106" s="86"/>
      <c r="CO106" s="86"/>
      <c r="CP106" s="86"/>
      <c r="CQ106" s="86"/>
      <c r="CR106" s="86"/>
      <c r="CS106" s="86"/>
      <c r="CT106" s="86"/>
      <c r="CU106" s="86"/>
      <c r="CV106" s="86"/>
      <c r="CW106" s="86"/>
      <c r="CX106" s="86"/>
    </row>
    <row r="107" spans="1:102" x14ac:dyDescent="0.25">
      <c r="A107" s="104" t="s">
        <v>173</v>
      </c>
      <c r="B107" s="115"/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  <c r="BS107" s="116"/>
      <c r="BT107" s="116"/>
      <c r="BU107" s="116"/>
      <c r="BV107" s="116"/>
      <c r="BW107" s="116"/>
      <c r="BX107" s="116"/>
      <c r="BY107" s="116"/>
      <c r="BZ107" s="116"/>
      <c r="CA107" s="116"/>
      <c r="CB107" s="116"/>
      <c r="CC107" s="116"/>
      <c r="CD107" s="116"/>
      <c r="CE107" s="116"/>
      <c r="CF107" s="116"/>
      <c r="CG107" s="116"/>
      <c r="CH107" s="116"/>
      <c r="CI107" s="116"/>
      <c r="CJ107" s="116"/>
      <c r="CK107" s="116"/>
      <c r="CL107" s="116"/>
      <c r="CM107" s="116"/>
      <c r="CN107" s="116"/>
      <c r="CO107" s="116"/>
      <c r="CP107" s="116"/>
      <c r="CQ107" s="116"/>
      <c r="CR107" s="116"/>
      <c r="CS107" s="116"/>
      <c r="CT107" s="116"/>
      <c r="CU107" s="116"/>
      <c r="CV107" s="116"/>
      <c r="CW107" s="116"/>
      <c r="CX107" s="106"/>
    </row>
    <row r="108" spans="1:102" x14ac:dyDescent="0.25">
      <c r="A108" t="s">
        <v>174</v>
      </c>
      <c r="B108" s="123">
        <f>IF(ISNUMBER(outYear),-'Inputs and Outputs'!B110,"")</f>
        <v>0</v>
      </c>
      <c r="C108" s="123">
        <f>IF(ISNUMBER(outYear),-'Inputs and Outputs'!C110*(1-federal_tax_rate/100),"")</f>
        <v>-8620.8001999999997</v>
      </c>
      <c r="D108" s="123">
        <f>IF(ISNUMBER(outYear),-'Inputs and Outputs'!D110*(1-federal_tax_rate/100),"")</f>
        <v>-9074.9094713351988</v>
      </c>
      <c r="E108" s="123">
        <f>IF(ISNUMBER(outYear),-'Inputs and Outputs'!E110*(1-federal_tax_rate/100),"")</f>
        <v>-9310.857117589916</v>
      </c>
      <c r="F108" s="123">
        <f>IF(ISNUMBER(outYear),-'Inputs and Outputs'!F110*(1-federal_tax_rate/100),"")</f>
        <v>-9552.9394026472528</v>
      </c>
      <c r="G108" s="123">
        <f>IF(ISNUMBER(outYear),-'Inputs and Outputs'!G110*(1-federal_tax_rate/100),"")</f>
        <v>-9801.315827116081</v>
      </c>
      <c r="H108" s="123">
        <f>IF(ISNUMBER(outYear),-'Inputs and Outputs'!H110*(1-federal_tax_rate/100),"")</f>
        <v>-10056.150038621097</v>
      </c>
      <c r="I108" s="123">
        <f>IF(ISNUMBER(outYear),-'Inputs and Outputs'!I110*(1-federal_tax_rate/100),"")</f>
        <v>-10317.609939625248</v>
      </c>
      <c r="J108" s="123">
        <f>IF(ISNUMBER(outYear),-'Inputs and Outputs'!J110*(1-federal_tax_rate/100),"")</f>
        <v>-10585.867798055502</v>
      </c>
      <c r="K108" s="123">
        <f>IF(ISNUMBER(outYear),-'Inputs and Outputs'!K110*(1-federal_tax_rate/100),"")</f>
        <v>-10861.100360804945</v>
      </c>
      <c r="L108" s="123">
        <f>IF(ISNUMBER(outYear),-'Inputs and Outputs'!L110*(1-federal_tax_rate/100),"")</f>
        <v>-11143.488970185874</v>
      </c>
      <c r="M108" s="123">
        <f>IF(ISNUMBER(outYear),-'Inputs and Outputs'!M110*(1-federal_tax_rate/100),"")</f>
        <v>-11433.219683410707</v>
      </c>
      <c r="N108" s="123">
        <f>IF(ISNUMBER(outYear),-'Inputs and Outputs'!N110*(1-federal_tax_rate/100),"")</f>
        <v>-11730.483395179384</v>
      </c>
      <c r="O108" s="123">
        <f>IF(ISNUMBER(outYear),-'Inputs and Outputs'!O110*(1-federal_tax_rate/100),"")</f>
        <v>-12035.47596345405</v>
      </c>
      <c r="P108" s="123">
        <f>IF(ISNUMBER(outYear),-'Inputs and Outputs'!P110*(1-federal_tax_rate/100),"")</f>
        <v>-12348.398338503854</v>
      </c>
      <c r="Q108" s="123">
        <f>IF(ISNUMBER(outYear),-'Inputs and Outputs'!Q110*(1-federal_tax_rate/100),"")</f>
        <v>-12669.456695304953</v>
      </c>
      <c r="R108" s="123">
        <f>IF(ISNUMBER(outYear),-'Inputs and Outputs'!R110*(1-federal_tax_rate/100),"")</f>
        <v>-12998.862569382882</v>
      </c>
      <c r="S108" s="123">
        <f>IF(ISNUMBER(outYear),-'Inputs and Outputs'!S110*(1-federal_tax_rate/100),"")</f>
        <v>-13336.832996186837</v>
      </c>
      <c r="T108" s="123">
        <f>IF(ISNUMBER(outYear),-'Inputs and Outputs'!T110*(1-federal_tax_rate/100),"")</f>
        <v>-13683.590654087693</v>
      </c>
      <c r="U108" s="123">
        <f>IF(ISNUMBER(outYear),-'Inputs and Outputs'!U110*(1-federal_tax_rate/100),"")</f>
        <v>-14039.364011093974</v>
      </c>
      <c r="V108" s="123">
        <f>IF(ISNUMBER(outYear),-'Inputs and Outputs'!V110*(1-federal_tax_rate/100),"")</f>
        <v>-14404.387475382418</v>
      </c>
      <c r="W108" s="123" t="str">
        <f>IF(ISNUMBER(outYear),-'Inputs and Outputs'!W110*(1-federal_tax_rate/100),"")</f>
        <v/>
      </c>
      <c r="X108" s="123" t="str">
        <f>IF(ISNUMBER(outYear),-'Inputs and Outputs'!X110*(1-federal_tax_rate/100),"")</f>
        <v/>
      </c>
      <c r="Y108" s="123" t="str">
        <f>IF(ISNUMBER(outYear),-'Inputs and Outputs'!Y110*(1-federal_tax_rate/100),"")</f>
        <v/>
      </c>
      <c r="Z108" s="123" t="str">
        <f>IF(ISNUMBER(outYear),-'Inputs and Outputs'!Z110*(1-federal_tax_rate/100),"")</f>
        <v/>
      </c>
      <c r="AA108" s="123" t="str">
        <f>IF(ISNUMBER(outYear),-'Inputs and Outputs'!AA110*(1-federal_tax_rate/100),"")</f>
        <v/>
      </c>
      <c r="AB108" s="123" t="str">
        <f>IF(ISNUMBER(outYear),-'Inputs and Outputs'!AB110*(1-federal_tax_rate/100),"")</f>
        <v/>
      </c>
      <c r="AC108" s="123" t="str">
        <f>IF(ISNUMBER(outYear),-'Inputs and Outputs'!AC110*(1-federal_tax_rate/100),"")</f>
        <v/>
      </c>
      <c r="AD108" s="123" t="str">
        <f>IF(ISNUMBER(outYear),-'Inputs and Outputs'!AD110*(1-federal_tax_rate/100),"")</f>
        <v/>
      </c>
      <c r="AE108" s="123" t="str">
        <f>IF(ISNUMBER(outYear),-'Inputs and Outputs'!AE110*(1-federal_tax_rate/100),"")</f>
        <v/>
      </c>
      <c r="AF108" s="123" t="str">
        <f>IF(ISNUMBER(outYear),-'Inputs and Outputs'!AF110*(1-federal_tax_rate/100),"")</f>
        <v/>
      </c>
      <c r="AG108" s="123" t="str">
        <f>IF(ISNUMBER(outYear),-'Inputs and Outputs'!AG110*(1-federal_tax_rate/100),"")</f>
        <v/>
      </c>
      <c r="AH108" s="123" t="str">
        <f>IF(ISNUMBER(outYear),-'Inputs and Outputs'!AH110*(1-federal_tax_rate/100),"")</f>
        <v/>
      </c>
      <c r="AI108" s="123" t="str">
        <f>IF(ISNUMBER(outYear),-'Inputs and Outputs'!AI110*(1-federal_tax_rate/100),"")</f>
        <v/>
      </c>
      <c r="AJ108" s="123" t="str">
        <f>IF(ISNUMBER(outYear),-'Inputs and Outputs'!AJ110*(1-federal_tax_rate/100),"")</f>
        <v/>
      </c>
      <c r="AK108" s="123" t="str">
        <f>IF(ISNUMBER(outYear),-'Inputs and Outputs'!AK110*(1-federal_tax_rate/100),"")</f>
        <v/>
      </c>
      <c r="AL108" s="123" t="str">
        <f>IF(ISNUMBER(outYear),-'Inputs and Outputs'!AL110*(1-federal_tax_rate/100),"")</f>
        <v/>
      </c>
      <c r="AM108" s="123" t="str">
        <f>IF(ISNUMBER(outYear),-'Inputs and Outputs'!AM110*(1-federal_tax_rate/100),"")</f>
        <v/>
      </c>
      <c r="AN108" s="123" t="str">
        <f>IF(ISNUMBER(outYear),-'Inputs and Outputs'!AN110*(1-federal_tax_rate/100),"")</f>
        <v/>
      </c>
      <c r="AO108" s="123" t="str">
        <f>IF(ISNUMBER(outYear),-'Inputs and Outputs'!AO110*(1-federal_tax_rate/100),"")</f>
        <v/>
      </c>
      <c r="AP108" s="123" t="str">
        <f>IF(ISNUMBER(outYear),-'Inputs and Outputs'!AP110*(1-federal_tax_rate/100),"")</f>
        <v/>
      </c>
      <c r="AQ108" s="123" t="str">
        <f>IF(ISNUMBER(outYear),-'Inputs and Outputs'!AQ110*(1-federal_tax_rate/100),"")</f>
        <v/>
      </c>
      <c r="AR108" s="123" t="str">
        <f>IF(ISNUMBER(outYear),-'Inputs and Outputs'!AR110*(1-federal_tax_rate/100),"")</f>
        <v/>
      </c>
      <c r="AS108" s="123" t="str">
        <f>IF(ISNUMBER(outYear),-'Inputs and Outputs'!AS110*(1-federal_tax_rate/100),"")</f>
        <v/>
      </c>
      <c r="AT108" s="123" t="str">
        <f>IF(ISNUMBER(outYear),-'Inputs and Outputs'!AT110*(1-federal_tax_rate/100),"")</f>
        <v/>
      </c>
      <c r="AU108" s="123" t="str">
        <f>IF(ISNUMBER(outYear),-'Inputs and Outputs'!AU110*(1-federal_tax_rate/100),"")</f>
        <v/>
      </c>
      <c r="AV108" s="123" t="str">
        <f>IF(ISNUMBER(outYear),-'Inputs and Outputs'!AV110*(1-federal_tax_rate/100),"")</f>
        <v/>
      </c>
      <c r="AW108" s="123" t="str">
        <f>IF(ISNUMBER(outYear),-'Inputs and Outputs'!AW110*(1-federal_tax_rate/100),"")</f>
        <v/>
      </c>
      <c r="AX108" s="123" t="str">
        <f>IF(ISNUMBER(outYear),-'Inputs and Outputs'!AX110*(1-federal_tax_rate/100),"")</f>
        <v/>
      </c>
      <c r="AY108" s="123" t="str">
        <f>IF(ISNUMBER(outYear),-'Inputs and Outputs'!AY110*(1-federal_tax_rate/100),"")</f>
        <v/>
      </c>
      <c r="AZ108" s="123" t="str">
        <f>IF(ISNUMBER(outYear),-'Inputs and Outputs'!AZ110*(1-federal_tax_rate/100),"")</f>
        <v/>
      </c>
      <c r="BA108" s="123" t="str">
        <f>IF(ISNUMBER(outYear),-'Inputs and Outputs'!BA110*(1-federal_tax_rate/100),"")</f>
        <v/>
      </c>
      <c r="BB108" s="123" t="str">
        <f>IF(ISNUMBER(outYear),-'Inputs and Outputs'!BB110*(1-federal_tax_rate/100),"")</f>
        <v/>
      </c>
      <c r="BC108" s="123" t="str">
        <f>IF(ISNUMBER(outYear),-'Inputs and Outputs'!BC110*(1-federal_tax_rate/100),"")</f>
        <v/>
      </c>
      <c r="BD108" s="123" t="str">
        <f>IF(ISNUMBER(outYear),-'Inputs and Outputs'!BD110*(1-federal_tax_rate/100),"")</f>
        <v/>
      </c>
      <c r="BE108" s="123" t="str">
        <f>IF(ISNUMBER(outYear),-'Inputs and Outputs'!BE110*(1-federal_tax_rate/100),"")</f>
        <v/>
      </c>
      <c r="BF108" s="123" t="str">
        <f>IF(ISNUMBER(outYear),-'Inputs and Outputs'!BF110*(1-federal_tax_rate/100),"")</f>
        <v/>
      </c>
      <c r="BG108" s="123" t="str">
        <f>IF(ISNUMBER(outYear),-'Inputs and Outputs'!BG110*(1-federal_tax_rate/100),"")</f>
        <v/>
      </c>
      <c r="BH108" s="123" t="str">
        <f>IF(ISNUMBER(outYear),-'Inputs and Outputs'!BH110*(1-federal_tax_rate/100),"")</f>
        <v/>
      </c>
      <c r="BI108" s="123" t="str">
        <f>IF(ISNUMBER(outYear),-'Inputs and Outputs'!BI110*(1-federal_tax_rate/100),"")</f>
        <v/>
      </c>
      <c r="BJ108" s="123" t="str">
        <f>IF(ISNUMBER(outYear),-'Inputs and Outputs'!BJ110*(1-federal_tax_rate/100),"")</f>
        <v/>
      </c>
      <c r="BK108" s="123" t="str">
        <f>IF(ISNUMBER(outYear),-'Inputs and Outputs'!BK110*(1-federal_tax_rate/100),"")</f>
        <v/>
      </c>
      <c r="BL108" s="123" t="str">
        <f>IF(ISNUMBER(outYear),-'Inputs and Outputs'!BL110*(1-federal_tax_rate/100),"")</f>
        <v/>
      </c>
      <c r="BM108" s="123" t="str">
        <f>IF(ISNUMBER(outYear),-'Inputs and Outputs'!BM110*(1-federal_tax_rate/100),"")</f>
        <v/>
      </c>
      <c r="BN108" s="123" t="str">
        <f>IF(ISNUMBER(outYear),-'Inputs and Outputs'!BN110*(1-federal_tax_rate/100),"")</f>
        <v/>
      </c>
      <c r="BO108" s="123" t="str">
        <f>IF(ISNUMBER(outYear),-'Inputs and Outputs'!BO110*(1-federal_tax_rate/100),"")</f>
        <v/>
      </c>
      <c r="BP108" s="123" t="str">
        <f>IF(ISNUMBER(outYear),-'Inputs and Outputs'!BP110*(1-federal_tax_rate/100),"")</f>
        <v/>
      </c>
      <c r="BQ108" s="123" t="str">
        <f>IF(ISNUMBER(outYear),-'Inputs and Outputs'!BQ110*(1-federal_tax_rate/100),"")</f>
        <v/>
      </c>
      <c r="BR108" s="123" t="str">
        <f>IF(ISNUMBER(outYear),-'Inputs and Outputs'!BR110*(1-federal_tax_rate/100),"")</f>
        <v/>
      </c>
      <c r="BS108" s="123" t="str">
        <f>IF(ISNUMBER(outYear),-'Inputs and Outputs'!BS110*(1-federal_tax_rate/100),"")</f>
        <v/>
      </c>
      <c r="BT108" s="123" t="str">
        <f>IF(ISNUMBER(outYear),-'Inputs and Outputs'!BT110*(1-federal_tax_rate/100),"")</f>
        <v/>
      </c>
      <c r="BU108" s="123" t="str">
        <f>IF(ISNUMBER(outYear),-'Inputs and Outputs'!BU110*(1-federal_tax_rate/100),"")</f>
        <v/>
      </c>
      <c r="BV108" s="123" t="str">
        <f>IF(ISNUMBER(outYear),-'Inputs and Outputs'!BV110*(1-federal_tax_rate/100),"")</f>
        <v/>
      </c>
      <c r="BW108" s="123" t="str">
        <f>IF(ISNUMBER(outYear),-'Inputs and Outputs'!BW110*(1-federal_tax_rate/100),"")</f>
        <v/>
      </c>
      <c r="BX108" s="123" t="str">
        <f>IF(ISNUMBER(outYear),-'Inputs and Outputs'!BX110*(1-federal_tax_rate/100),"")</f>
        <v/>
      </c>
      <c r="BY108" s="123" t="str">
        <f>IF(ISNUMBER(outYear),-'Inputs and Outputs'!BY110*(1-federal_tax_rate/100),"")</f>
        <v/>
      </c>
      <c r="BZ108" s="123" t="str">
        <f>IF(ISNUMBER(outYear),-'Inputs and Outputs'!BZ110*(1-federal_tax_rate/100),"")</f>
        <v/>
      </c>
      <c r="CA108" s="123" t="str">
        <f>IF(ISNUMBER(outYear),-'Inputs and Outputs'!CA110*(1-federal_tax_rate/100),"")</f>
        <v/>
      </c>
      <c r="CB108" s="123" t="str">
        <f>IF(ISNUMBER(outYear),-'Inputs and Outputs'!CB110*(1-federal_tax_rate/100),"")</f>
        <v/>
      </c>
      <c r="CC108" s="123" t="str">
        <f>IF(ISNUMBER(outYear),-'Inputs and Outputs'!CC110*(1-federal_tax_rate/100),"")</f>
        <v/>
      </c>
      <c r="CD108" s="123" t="str">
        <f>IF(ISNUMBER(outYear),-'Inputs and Outputs'!CD110*(1-federal_tax_rate/100),"")</f>
        <v/>
      </c>
      <c r="CE108" s="123" t="str">
        <f>IF(ISNUMBER(outYear),-'Inputs and Outputs'!CE110*(1-federal_tax_rate/100),"")</f>
        <v/>
      </c>
      <c r="CF108" s="123" t="str">
        <f>IF(ISNUMBER(outYear),-'Inputs and Outputs'!CF110*(1-federal_tax_rate/100),"")</f>
        <v/>
      </c>
      <c r="CG108" s="123" t="str">
        <f>IF(ISNUMBER(outYear),-'Inputs and Outputs'!CG110*(1-federal_tax_rate/100),"")</f>
        <v/>
      </c>
      <c r="CH108" s="123" t="str">
        <f>IF(ISNUMBER(outYear),-'Inputs and Outputs'!CH110*(1-federal_tax_rate/100),"")</f>
        <v/>
      </c>
      <c r="CI108" s="123" t="str">
        <f>IF(ISNUMBER(outYear),-'Inputs and Outputs'!CI110*(1-federal_tax_rate/100),"")</f>
        <v/>
      </c>
      <c r="CJ108" s="123" t="str">
        <f>IF(ISNUMBER(outYear),-'Inputs and Outputs'!CJ110*(1-federal_tax_rate/100),"")</f>
        <v/>
      </c>
      <c r="CK108" s="123" t="str">
        <f>IF(ISNUMBER(outYear),-'Inputs and Outputs'!CK110*(1-federal_tax_rate/100),"")</f>
        <v/>
      </c>
      <c r="CL108" s="123" t="str">
        <f>IF(ISNUMBER(outYear),-'Inputs and Outputs'!CL110*(1-federal_tax_rate/100),"")</f>
        <v/>
      </c>
      <c r="CM108" s="123" t="str">
        <f>IF(ISNUMBER(outYear),-'Inputs and Outputs'!CM110*(1-federal_tax_rate/100),"")</f>
        <v/>
      </c>
      <c r="CN108" s="123" t="str">
        <f>IF(ISNUMBER(outYear),-'Inputs and Outputs'!CN110*(1-federal_tax_rate/100),"")</f>
        <v/>
      </c>
      <c r="CO108" s="123" t="str">
        <f>IF(ISNUMBER(outYear),-'Inputs and Outputs'!CO110*(1-federal_tax_rate/100),"")</f>
        <v/>
      </c>
      <c r="CP108" s="123" t="str">
        <f>IF(ISNUMBER(outYear),-'Inputs and Outputs'!CP110*(1-federal_tax_rate/100),"")</f>
        <v/>
      </c>
      <c r="CQ108" s="123" t="str">
        <f>IF(ISNUMBER(outYear),-'Inputs and Outputs'!CQ110*(1-federal_tax_rate/100),"")</f>
        <v/>
      </c>
      <c r="CR108" s="123" t="str">
        <f>IF(ISNUMBER(outYear),-'Inputs and Outputs'!CR110*(1-federal_tax_rate/100),"")</f>
        <v/>
      </c>
      <c r="CS108" s="123" t="str">
        <f>IF(ISNUMBER(outYear),-'Inputs and Outputs'!CS110*(1-federal_tax_rate/100),"")</f>
        <v/>
      </c>
      <c r="CT108" s="123" t="str">
        <f>IF(ISNUMBER(outYear),-'Inputs and Outputs'!CT110*(1-federal_tax_rate/100),"")</f>
        <v/>
      </c>
      <c r="CU108" s="123" t="str">
        <f>IF(ISNUMBER(outYear),-'Inputs and Outputs'!CU110*(1-federal_tax_rate/100),"")</f>
        <v/>
      </c>
      <c r="CV108" s="123" t="str">
        <f>IF(ISNUMBER(outYear),-'Inputs and Outputs'!CV110*(1-federal_tax_rate/100),"")</f>
        <v/>
      </c>
      <c r="CW108" s="123" t="str">
        <f>IF(ISNUMBER(outYear),-'Inputs and Outputs'!CW110*(1-federal_tax_rate/100),"")</f>
        <v/>
      </c>
      <c r="CX108" s="123" t="str">
        <f>IF(ISNUMBER(outYear),-'Inputs and Outputs'!CX110*(1-federal_tax_rate/100),"")</f>
        <v/>
      </c>
    </row>
    <row r="109" spans="1:102" x14ac:dyDescent="0.25">
      <c r="A109" t="s">
        <v>175</v>
      </c>
      <c r="B109" s="123">
        <f>IF(ISNUMBER(outYear),B103,"")</f>
        <v>-9742.0500000000011</v>
      </c>
      <c r="C109" s="123">
        <f>IF(ISNUMBER(outYear),C103-('Inputs and Outputs'!C111+'Inputs and Outputs'!C112)*(1-federal_tax_rate/100),"")</f>
        <v>-3663.7650652000002</v>
      </c>
      <c r="D109" s="123">
        <f>IF(ISNUMBER(outYear),D103-('Inputs and Outputs'!D111+'Inputs and Outputs'!D112)*(1-federal_tax_rate/100),"")</f>
        <v>-6393.8713668696</v>
      </c>
      <c r="E109" s="123">
        <f>IF(ISNUMBER(outYear),E103-('Inputs and Outputs'!E111+'Inputs and Outputs'!E112)*(1-federal_tax_rate/100),"")</f>
        <v>-6823.0307823071307</v>
      </c>
      <c r="F109" s="123">
        <f>IF(ISNUMBER(outYear),F103-('Inputs and Outputs'!F111+'Inputs and Outputs'!F112)*(1-federal_tax_rate/100),"")</f>
        <v>-7157.9893621987094</v>
      </c>
      <c r="G109" s="123">
        <f>IF(ISNUMBER(outYear),G103-('Inputs and Outputs'!G111+'Inputs and Outputs'!G112)*(1-federal_tax_rate/100),"")</f>
        <v>-7349.4104503053786</v>
      </c>
      <c r="H109" s="123">
        <f>IF(ISNUMBER(outYear),H103-('Inputs and Outputs'!H111+'Inputs and Outputs'!H112)*(1-federal_tax_rate/100),"")</f>
        <v>-7657.0794528604747</v>
      </c>
      <c r="I109" s="123">
        <f>IF(ISNUMBER(outYear),I103-('Inputs and Outputs'!I111+'Inputs and Outputs'!I112)*(1-federal_tax_rate/100),"")</f>
        <v>-7969.8423673299176</v>
      </c>
      <c r="J109" s="123">
        <f>IF(ISNUMBER(outYear),J103-('Inputs and Outputs'!J111+'Inputs and Outputs'!J112)*(1-federal_tax_rate/100),"")</f>
        <v>-8176.5485325094705</v>
      </c>
      <c r="K109" s="123">
        <f>IF(ISNUMBER(outYear),K103-('Inputs and Outputs'!K111+'Inputs and Outputs'!K112)*(1-federal_tax_rate/100),"")</f>
        <v>-8388.6163145744176</v>
      </c>
      <c r="L109" s="123">
        <f>IF(ISNUMBER(outYear),L103-('Inputs and Outputs'!L111+'Inputs and Outputs'!L112)*(1-federal_tax_rate/100),"")</f>
        <v>-8606.1847969785449</v>
      </c>
      <c r="M109" s="123">
        <f>IF(ISNUMBER(outYear),M103-('Inputs and Outputs'!M111+'Inputs and Outputs'!M112)*(1-federal_tax_rate/100),"")</f>
        <v>-8829.3966713808095</v>
      </c>
      <c r="N109" s="123">
        <f>IF(ISNUMBER(outYear),N103-('Inputs and Outputs'!N111+'Inputs and Outputs'!N112)*(1-federal_tax_rate/100),"")</f>
        <v>-9058.3983312595519</v>
      </c>
      <c r="O109" s="123">
        <f>IF(ISNUMBER(outYear),O103-('Inputs and Outputs'!O111+'Inputs and Outputs'!O112)*(1-federal_tax_rate/100),"")</f>
        <v>-9293.3399679557151</v>
      </c>
      <c r="P109" s="123">
        <f>IF(ISNUMBER(outYear),P103-('Inputs and Outputs'!P111+'Inputs and Outputs'!P112)*(1-federal_tax_rate/100),"")</f>
        <v>-9534.3756692080642</v>
      </c>
      <c r="Q109" s="123">
        <f>IF(ISNUMBER(outYear),Q103-('Inputs and Outputs'!Q111+'Inputs and Outputs'!Q112)*(1-federal_tax_rate/100),"")</f>
        <v>-9781.6635202451125</v>
      </c>
      <c r="R109" s="123">
        <f>IF(ISNUMBER(outYear),R103-('Inputs and Outputs'!R111+'Inputs and Outputs'!R112)*(1-federal_tax_rate/100),"")</f>
        <v>-10035.365707500063</v>
      </c>
      <c r="S109" s="123">
        <f>IF(ISNUMBER(outYear),S103-('Inputs and Outputs'!S111+'Inputs and Outputs'!S112)*(1-federal_tax_rate/100),"")</f>
        <v>-10295.648625016856</v>
      </c>
      <c r="T109" s="123">
        <f>IF(ISNUMBER(outYear),T103-('Inputs and Outputs'!T111+'Inputs and Outputs'!T112)*(1-federal_tax_rate/100),"")</f>
        <v>-10562.682983617131</v>
      </c>
      <c r="U109" s="123">
        <f>IF(ISNUMBER(outYear),U103-('Inputs and Outputs'!U111+'Inputs and Outputs'!U112)*(1-federal_tax_rate/100),"")</f>
        <v>-10836.643922899762</v>
      </c>
      <c r="V109" s="123">
        <f>IF(ISNUMBER(outYear),V103-('Inputs and Outputs'!V111+'Inputs and Outputs'!V112)*(1-federal_tax_rate/100),"")</f>
        <v>-11117.711126146452</v>
      </c>
      <c r="W109" s="123" t="str">
        <f>IF(ISNUMBER(outYear),W103-('Inputs and Outputs'!W111+'Inputs and Outputs'!W112)*(1-federal_tax_rate/100),"")</f>
        <v/>
      </c>
      <c r="X109" s="123" t="str">
        <f>IF(ISNUMBER(outYear),X103-('Inputs and Outputs'!X111+'Inputs and Outputs'!X112)*(1-federal_tax_rate/100),"")</f>
        <v/>
      </c>
      <c r="Y109" s="123" t="str">
        <f>IF(ISNUMBER(outYear),Y103-('Inputs and Outputs'!Y111+'Inputs and Outputs'!Y112)*(1-federal_tax_rate/100),"")</f>
        <v/>
      </c>
      <c r="Z109" s="123" t="str">
        <f>IF(ISNUMBER(outYear),Z103-('Inputs and Outputs'!Z111+'Inputs and Outputs'!Z112)*(1-federal_tax_rate/100),"")</f>
        <v/>
      </c>
      <c r="AA109" s="123" t="str">
        <f>IF(ISNUMBER(outYear),AA103-('Inputs and Outputs'!AA111+'Inputs and Outputs'!AA112)*(1-federal_tax_rate/100),"")</f>
        <v/>
      </c>
      <c r="AB109" s="123" t="str">
        <f>IF(ISNUMBER(outYear),AB103-('Inputs and Outputs'!AB111+'Inputs and Outputs'!AB112)*(1-federal_tax_rate/100),"")</f>
        <v/>
      </c>
      <c r="AC109" s="123" t="str">
        <f>IF(ISNUMBER(outYear),AC103-('Inputs and Outputs'!AC111+'Inputs and Outputs'!AC112)*(1-federal_tax_rate/100),"")</f>
        <v/>
      </c>
      <c r="AD109" s="123" t="str">
        <f>IF(ISNUMBER(outYear),AD103-('Inputs and Outputs'!AD111+'Inputs and Outputs'!AD112)*(1-federal_tax_rate/100),"")</f>
        <v/>
      </c>
      <c r="AE109" s="123" t="str">
        <f>IF(ISNUMBER(outYear),AE103-('Inputs and Outputs'!AE111+'Inputs and Outputs'!AE112)*(1-federal_tax_rate/100),"")</f>
        <v/>
      </c>
      <c r="AF109" s="123" t="str">
        <f>IF(ISNUMBER(outYear),AF103-('Inputs and Outputs'!AF111+'Inputs and Outputs'!AF112)*(1-federal_tax_rate/100),"")</f>
        <v/>
      </c>
      <c r="AG109" s="123" t="str">
        <f>IF(ISNUMBER(outYear),AG103-('Inputs and Outputs'!AG111+'Inputs and Outputs'!AG112)*(1-federal_tax_rate/100),"")</f>
        <v/>
      </c>
      <c r="AH109" s="123" t="str">
        <f>IF(ISNUMBER(outYear),AH103-('Inputs and Outputs'!AH111+'Inputs and Outputs'!AH112)*(1-federal_tax_rate/100),"")</f>
        <v/>
      </c>
      <c r="AI109" s="123" t="str">
        <f>IF(ISNUMBER(outYear),AI103-('Inputs and Outputs'!AI111+'Inputs and Outputs'!AI112)*(1-federal_tax_rate/100),"")</f>
        <v/>
      </c>
      <c r="AJ109" s="123" t="str">
        <f>IF(ISNUMBER(outYear),AJ103-('Inputs and Outputs'!AJ111+'Inputs and Outputs'!AJ112)*(1-federal_tax_rate/100),"")</f>
        <v/>
      </c>
      <c r="AK109" s="123" t="str">
        <f>IF(ISNUMBER(outYear),AK103-('Inputs and Outputs'!AK111+'Inputs and Outputs'!AK112)*(1-federal_tax_rate/100),"")</f>
        <v/>
      </c>
      <c r="AL109" s="123" t="str">
        <f>IF(ISNUMBER(outYear),AL103-('Inputs and Outputs'!AL111+'Inputs and Outputs'!AL112)*(1-federal_tax_rate/100),"")</f>
        <v/>
      </c>
      <c r="AM109" s="123" t="str">
        <f>IF(ISNUMBER(outYear),AM103-('Inputs and Outputs'!AM111+'Inputs and Outputs'!AM112)*(1-federal_tax_rate/100),"")</f>
        <v/>
      </c>
      <c r="AN109" s="123" t="str">
        <f>IF(ISNUMBER(outYear),AN103-('Inputs and Outputs'!AN111+'Inputs and Outputs'!AN112)*(1-federal_tax_rate/100),"")</f>
        <v/>
      </c>
      <c r="AO109" s="123" t="str">
        <f>IF(ISNUMBER(outYear),AO103-('Inputs and Outputs'!AO111+'Inputs and Outputs'!AO112)*(1-federal_tax_rate/100),"")</f>
        <v/>
      </c>
      <c r="AP109" s="123" t="str">
        <f>IF(ISNUMBER(outYear),AP103-('Inputs and Outputs'!AP111+'Inputs and Outputs'!AP112)*(1-federal_tax_rate/100),"")</f>
        <v/>
      </c>
      <c r="AQ109" s="123" t="str">
        <f>IF(ISNUMBER(outYear),AQ103-('Inputs and Outputs'!AQ111+'Inputs and Outputs'!AQ112)*(1-federal_tax_rate/100),"")</f>
        <v/>
      </c>
      <c r="AR109" s="123" t="str">
        <f>IF(ISNUMBER(outYear),AR103-('Inputs and Outputs'!AR111+'Inputs and Outputs'!AR112)*(1-federal_tax_rate/100),"")</f>
        <v/>
      </c>
      <c r="AS109" s="123" t="str">
        <f>IF(ISNUMBER(outYear),AS103-('Inputs and Outputs'!AS111+'Inputs and Outputs'!AS112)*(1-federal_tax_rate/100),"")</f>
        <v/>
      </c>
      <c r="AT109" s="123" t="str">
        <f>IF(ISNUMBER(outYear),AT103-('Inputs and Outputs'!AT111+'Inputs and Outputs'!AT112)*(1-federal_tax_rate/100),"")</f>
        <v/>
      </c>
      <c r="AU109" s="123" t="str">
        <f>IF(ISNUMBER(outYear),AU103-('Inputs and Outputs'!AU111+'Inputs and Outputs'!AU112)*(1-federal_tax_rate/100),"")</f>
        <v/>
      </c>
      <c r="AV109" s="123" t="str">
        <f>IF(ISNUMBER(outYear),AV103-('Inputs and Outputs'!AV111+'Inputs and Outputs'!AV112)*(1-federal_tax_rate/100),"")</f>
        <v/>
      </c>
      <c r="AW109" s="123" t="str">
        <f>IF(ISNUMBER(outYear),AW103-('Inputs and Outputs'!AW111+'Inputs and Outputs'!AW112)*(1-federal_tax_rate/100),"")</f>
        <v/>
      </c>
      <c r="AX109" s="123" t="str">
        <f>IF(ISNUMBER(outYear),AX103-('Inputs and Outputs'!AX111+'Inputs and Outputs'!AX112)*(1-federal_tax_rate/100),"")</f>
        <v/>
      </c>
      <c r="AY109" s="123" t="str">
        <f>IF(ISNUMBER(outYear),AY103-('Inputs and Outputs'!AY111+'Inputs and Outputs'!AY112)*(1-federal_tax_rate/100),"")</f>
        <v/>
      </c>
      <c r="AZ109" s="123" t="str">
        <f>IF(ISNUMBER(outYear),AZ103-('Inputs and Outputs'!AZ111+'Inputs and Outputs'!AZ112)*(1-federal_tax_rate/100),"")</f>
        <v/>
      </c>
      <c r="BA109" s="123" t="str">
        <f>IF(ISNUMBER(outYear),BA103-('Inputs and Outputs'!BA111+'Inputs and Outputs'!BA112)*(1-federal_tax_rate/100),"")</f>
        <v/>
      </c>
      <c r="BB109" s="123" t="str">
        <f>IF(ISNUMBER(outYear),BB103-('Inputs and Outputs'!BB111+'Inputs and Outputs'!BB112)*(1-federal_tax_rate/100),"")</f>
        <v/>
      </c>
      <c r="BC109" s="123" t="str">
        <f>IF(ISNUMBER(outYear),BC103-('Inputs and Outputs'!BC111+'Inputs and Outputs'!BC112)*(1-federal_tax_rate/100),"")</f>
        <v/>
      </c>
      <c r="BD109" s="123" t="str">
        <f>IF(ISNUMBER(outYear),BD103-('Inputs and Outputs'!BD111+'Inputs and Outputs'!BD112)*(1-federal_tax_rate/100),"")</f>
        <v/>
      </c>
      <c r="BE109" s="123" t="str">
        <f>IF(ISNUMBER(outYear),BE103-('Inputs and Outputs'!BE111+'Inputs and Outputs'!BE112)*(1-federal_tax_rate/100),"")</f>
        <v/>
      </c>
      <c r="BF109" s="123" t="str">
        <f>IF(ISNUMBER(outYear),BF103-('Inputs and Outputs'!BF111+'Inputs and Outputs'!BF112)*(1-federal_tax_rate/100),"")</f>
        <v/>
      </c>
      <c r="BG109" s="123" t="str">
        <f>IF(ISNUMBER(outYear),BG103-('Inputs and Outputs'!BG111+'Inputs and Outputs'!BG112)*(1-federal_tax_rate/100),"")</f>
        <v/>
      </c>
      <c r="BH109" s="123" t="str">
        <f>IF(ISNUMBER(outYear),BH103-('Inputs and Outputs'!BH111+'Inputs and Outputs'!BH112)*(1-federal_tax_rate/100),"")</f>
        <v/>
      </c>
      <c r="BI109" s="123" t="str">
        <f>IF(ISNUMBER(outYear),BI103-('Inputs and Outputs'!BI111+'Inputs and Outputs'!BI112)*(1-federal_tax_rate/100),"")</f>
        <v/>
      </c>
      <c r="BJ109" s="123" t="str">
        <f>IF(ISNUMBER(outYear),BJ103-('Inputs and Outputs'!BJ111+'Inputs and Outputs'!BJ112)*(1-federal_tax_rate/100),"")</f>
        <v/>
      </c>
      <c r="BK109" s="123" t="str">
        <f>IF(ISNUMBER(outYear),BK103-('Inputs and Outputs'!BK111+'Inputs and Outputs'!BK112)*(1-federal_tax_rate/100),"")</f>
        <v/>
      </c>
      <c r="BL109" s="123" t="str">
        <f>IF(ISNUMBER(outYear),BL103-('Inputs and Outputs'!BL111+'Inputs and Outputs'!BL112)*(1-federal_tax_rate/100),"")</f>
        <v/>
      </c>
      <c r="BM109" s="123" t="str">
        <f>IF(ISNUMBER(outYear),BM103-('Inputs and Outputs'!BM111+'Inputs and Outputs'!BM112)*(1-federal_tax_rate/100),"")</f>
        <v/>
      </c>
      <c r="BN109" s="123" t="str">
        <f>IF(ISNUMBER(outYear),BN103-('Inputs and Outputs'!BN111+'Inputs and Outputs'!BN112)*(1-federal_tax_rate/100),"")</f>
        <v/>
      </c>
      <c r="BO109" s="123" t="str">
        <f>IF(ISNUMBER(outYear),BO103-('Inputs and Outputs'!BO111+'Inputs and Outputs'!BO112)*(1-federal_tax_rate/100),"")</f>
        <v/>
      </c>
      <c r="BP109" s="123" t="str">
        <f>IF(ISNUMBER(outYear),BP103-('Inputs and Outputs'!BP111+'Inputs and Outputs'!BP112)*(1-federal_tax_rate/100),"")</f>
        <v/>
      </c>
      <c r="BQ109" s="123" t="str">
        <f>IF(ISNUMBER(outYear),BQ103-('Inputs and Outputs'!BQ111+'Inputs and Outputs'!BQ112)*(1-federal_tax_rate/100),"")</f>
        <v/>
      </c>
      <c r="BR109" s="123" t="str">
        <f>IF(ISNUMBER(outYear),BR103-('Inputs and Outputs'!BR111+'Inputs and Outputs'!BR112)*(1-federal_tax_rate/100),"")</f>
        <v/>
      </c>
      <c r="BS109" s="123" t="str">
        <f>IF(ISNUMBER(outYear),BS103-('Inputs and Outputs'!BS111+'Inputs and Outputs'!BS112)*(1-federal_tax_rate/100),"")</f>
        <v/>
      </c>
      <c r="BT109" s="123" t="str">
        <f>IF(ISNUMBER(outYear),BT103-('Inputs and Outputs'!BT111+'Inputs and Outputs'!BT112)*(1-federal_tax_rate/100),"")</f>
        <v/>
      </c>
      <c r="BU109" s="123" t="str">
        <f>IF(ISNUMBER(outYear),BU103-('Inputs and Outputs'!BU111+'Inputs and Outputs'!BU112)*(1-federal_tax_rate/100),"")</f>
        <v/>
      </c>
      <c r="BV109" s="123" t="str">
        <f>IF(ISNUMBER(outYear),BV103-('Inputs and Outputs'!BV111+'Inputs and Outputs'!BV112)*(1-federal_tax_rate/100),"")</f>
        <v/>
      </c>
      <c r="BW109" s="123" t="str">
        <f>IF(ISNUMBER(outYear),BW103-('Inputs and Outputs'!BW111+'Inputs and Outputs'!BW112)*(1-federal_tax_rate/100),"")</f>
        <v/>
      </c>
      <c r="BX109" s="123" t="str">
        <f>IF(ISNUMBER(outYear),BX103-('Inputs and Outputs'!BX111+'Inputs and Outputs'!BX112)*(1-federal_tax_rate/100),"")</f>
        <v/>
      </c>
      <c r="BY109" s="123" t="str">
        <f>IF(ISNUMBER(outYear),BY103-('Inputs and Outputs'!BY111+'Inputs and Outputs'!BY112)*(1-federal_tax_rate/100),"")</f>
        <v/>
      </c>
      <c r="BZ109" s="123" t="str">
        <f>IF(ISNUMBER(outYear),BZ103-('Inputs and Outputs'!BZ111+'Inputs and Outputs'!BZ112)*(1-federal_tax_rate/100),"")</f>
        <v/>
      </c>
      <c r="CA109" s="123" t="str">
        <f>IF(ISNUMBER(outYear),CA103-('Inputs and Outputs'!CA111+'Inputs and Outputs'!CA112)*(1-federal_tax_rate/100),"")</f>
        <v/>
      </c>
      <c r="CB109" s="123" t="str">
        <f>IF(ISNUMBER(outYear),CB103-('Inputs and Outputs'!CB111+'Inputs and Outputs'!CB112)*(1-federal_tax_rate/100),"")</f>
        <v/>
      </c>
      <c r="CC109" s="123" t="str">
        <f>IF(ISNUMBER(outYear),CC103-('Inputs and Outputs'!CC111+'Inputs and Outputs'!CC112)*(1-federal_tax_rate/100),"")</f>
        <v/>
      </c>
      <c r="CD109" s="123" t="str">
        <f>IF(ISNUMBER(outYear),CD103-('Inputs and Outputs'!CD111+'Inputs and Outputs'!CD112)*(1-federal_tax_rate/100),"")</f>
        <v/>
      </c>
      <c r="CE109" s="123" t="str">
        <f>IF(ISNUMBER(outYear),CE103-('Inputs and Outputs'!CE111+'Inputs and Outputs'!CE112)*(1-federal_tax_rate/100),"")</f>
        <v/>
      </c>
      <c r="CF109" s="123" t="str">
        <f>IF(ISNUMBER(outYear),CF103-('Inputs and Outputs'!CF111+'Inputs and Outputs'!CF112)*(1-federal_tax_rate/100),"")</f>
        <v/>
      </c>
      <c r="CG109" s="123" t="str">
        <f>IF(ISNUMBER(outYear),CG103-('Inputs and Outputs'!CG111+'Inputs and Outputs'!CG112)*(1-federal_tax_rate/100),"")</f>
        <v/>
      </c>
      <c r="CH109" s="123" t="str">
        <f>IF(ISNUMBER(outYear),CH103-('Inputs and Outputs'!CH111+'Inputs and Outputs'!CH112)*(1-federal_tax_rate/100),"")</f>
        <v/>
      </c>
      <c r="CI109" s="123" t="str">
        <f>IF(ISNUMBER(outYear),CI103-('Inputs and Outputs'!CI111+'Inputs and Outputs'!CI112)*(1-federal_tax_rate/100),"")</f>
        <v/>
      </c>
      <c r="CJ109" s="123" t="str">
        <f>IF(ISNUMBER(outYear),CJ103-('Inputs and Outputs'!CJ111+'Inputs and Outputs'!CJ112)*(1-federal_tax_rate/100),"")</f>
        <v/>
      </c>
      <c r="CK109" s="123" t="str">
        <f>IF(ISNUMBER(outYear),CK103-('Inputs and Outputs'!CK111+'Inputs and Outputs'!CK112)*(1-federal_tax_rate/100),"")</f>
        <v/>
      </c>
      <c r="CL109" s="123" t="str">
        <f>IF(ISNUMBER(outYear),CL103-('Inputs and Outputs'!CL111+'Inputs and Outputs'!CL112)*(1-federal_tax_rate/100),"")</f>
        <v/>
      </c>
      <c r="CM109" s="123" t="str">
        <f>IF(ISNUMBER(outYear),CM103-('Inputs and Outputs'!CM111+'Inputs and Outputs'!CM112)*(1-federal_tax_rate/100),"")</f>
        <v/>
      </c>
      <c r="CN109" s="123" t="str">
        <f>IF(ISNUMBER(outYear),CN103-('Inputs and Outputs'!CN111+'Inputs and Outputs'!CN112)*(1-federal_tax_rate/100),"")</f>
        <v/>
      </c>
      <c r="CO109" s="123" t="str">
        <f>IF(ISNUMBER(outYear),CO103-('Inputs and Outputs'!CO111+'Inputs and Outputs'!CO112)*(1-federal_tax_rate/100),"")</f>
        <v/>
      </c>
      <c r="CP109" s="123" t="str">
        <f>IF(ISNUMBER(outYear),CP103-('Inputs and Outputs'!CP111+'Inputs and Outputs'!CP112)*(1-federal_tax_rate/100),"")</f>
        <v/>
      </c>
      <c r="CQ109" s="123" t="str">
        <f>IF(ISNUMBER(outYear),CQ103-('Inputs and Outputs'!CQ111+'Inputs and Outputs'!CQ112)*(1-federal_tax_rate/100),"")</f>
        <v/>
      </c>
      <c r="CR109" s="123" t="str">
        <f>IF(ISNUMBER(outYear),CR103-('Inputs and Outputs'!CR111+'Inputs and Outputs'!CR112)*(1-federal_tax_rate/100),"")</f>
        <v/>
      </c>
      <c r="CS109" s="123" t="str">
        <f>IF(ISNUMBER(outYear),CS103-('Inputs and Outputs'!CS111+'Inputs and Outputs'!CS112)*(1-federal_tax_rate/100),"")</f>
        <v/>
      </c>
      <c r="CT109" s="123" t="str">
        <f>IF(ISNUMBER(outYear),CT103-('Inputs and Outputs'!CT111+'Inputs and Outputs'!CT112)*(1-federal_tax_rate/100),"")</f>
        <v/>
      </c>
      <c r="CU109" s="123" t="str">
        <f>IF(ISNUMBER(outYear),CU103-('Inputs and Outputs'!CU111+'Inputs and Outputs'!CU112)*(1-federal_tax_rate/100),"")</f>
        <v/>
      </c>
      <c r="CV109" s="123" t="str">
        <f>IF(ISNUMBER(outYear),CV103-('Inputs and Outputs'!CV111+'Inputs and Outputs'!CV112)*(1-federal_tax_rate/100),"")</f>
        <v/>
      </c>
      <c r="CW109" s="123" t="str">
        <f>IF(ISNUMBER(outYear),CW103-('Inputs and Outputs'!CW111+'Inputs and Outputs'!CW112)*(1-federal_tax_rate/100),"")</f>
        <v/>
      </c>
      <c r="CX109" s="123" t="str">
        <f>IF(ISNUMBER(outYear),CX103-('Inputs and Outputs'!CX111+'Inputs and Outputs'!CX112)*(1-federal_tax_rate/100),"")</f>
        <v/>
      </c>
    </row>
  </sheetData>
  <pageMargins left="0.7" right="0.7" top="0.75" bottom="0.75" header="0.51180555555555496" footer="0.51180555555555496"/>
  <pageSetup firstPageNumber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124</vt:i4>
      </vt:variant>
    </vt:vector>
  </HeadingPairs>
  <TitlesOfParts>
    <vt:vector size="126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diesel_fuel_used_cost</vt:lpstr>
      <vt:lpstr>escalation_rate_nominal</vt:lpstr>
      <vt:lpstr>existing_pv</vt:lpstr>
      <vt:lpstr>federal_tax_rate</vt:lpstr>
      <vt:lpstr>FederalDepreciation</vt:lpstr>
      <vt:lpstr>fixed_om_cost_generator</vt:lpstr>
      <vt:lpstr>generator_energy_produced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system_capacity_generator</vt:lpstr>
      <vt:lpstr>system_capacity_wind</vt:lpstr>
      <vt:lpstr>total_installed_cost</vt:lpstr>
      <vt:lpstr>variable_om_cost_generator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Mishra, Sakshi</cp:lastModifiedBy>
  <cp:revision>1</cp:revision>
  <cp:lastPrinted>2006-11-13T23:17:12Z</cp:lastPrinted>
  <dcterms:created xsi:type="dcterms:W3CDTF">2005-08-17T04:34:40Z</dcterms:created>
  <dcterms:modified xsi:type="dcterms:W3CDTF">2019-10-15T04:10:50Z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