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nlaws/projects/reopt/webtool/reopt_api/proforma/"/>
    </mc:Choice>
  </mc:AlternateContent>
  <xr:revisionPtr revIDLastSave="0" documentId="13_ncr:1_{E0C43805-55C9-0A42-A8C3-BD0654A3F1B8}" xr6:coauthVersionLast="32" xr6:coauthVersionMax="32" xr10:uidLastSave="{00000000-0000-0000-0000-000000000000}"/>
  <bookViews>
    <workbookView xWindow="0" yWindow="460" windowWidth="27340" windowHeight="18180" tabRatio="59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Outputs'!$B$32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Outputs'!$B$68</definedName>
    <definedName name="batt_cbi_fed_deprbas_fed">'Inputs and Outputs'!$E$68</definedName>
    <definedName name="batt_cbi_fed_maxvalue">'Inputs and Outputs'!$C$68</definedName>
    <definedName name="batt_cbi_fed_tax_fed">'Inputs and Outputs'!$D$68</definedName>
    <definedName name="batt_cbi_sta_amount">'Inputs and Outputs'!$B$69</definedName>
    <definedName name="batt_cbi_sta_deprbas_fed">'Inputs and Outputs'!$E$69</definedName>
    <definedName name="batt_cbi_sta_maxvalue">'Inputs and Outputs'!$C$69</definedName>
    <definedName name="batt_cbi_sta_tax_fed">'Inputs and Outputs'!$D$69</definedName>
    <definedName name="batt_cbi_uti_amount">'Inputs and Outputs'!$B$70</definedName>
    <definedName name="batt_cbi_uti_deprbas_fed">'Inputs and Outputs'!$E$70</definedName>
    <definedName name="batt_cbi_uti_maxvalue">'Inputs and Outputs'!$C$70</definedName>
    <definedName name="batt_cbi_uti_tax_fed">'Inputs and Outputs'!$D$70</definedName>
    <definedName name="batt_ibi_sta_percent">'Inputs and Outputs'!$B$65</definedName>
    <definedName name="batt_ibi_sta_percent_deprbas_fed">'Inputs and Outputs'!$E$65</definedName>
    <definedName name="batt_ibi_sta_percent_maxvalue">'Inputs and Outputs'!$C$65</definedName>
    <definedName name="batt_ibi_sta_percent_tax_fed">'Inputs and Outputs'!$D$65</definedName>
    <definedName name="batt_ibi_uti_percent">'Inputs and Outputs'!$B$66</definedName>
    <definedName name="batt_ibi_uti_percent_deprbas_fed">'Inputs and Outputs'!$E$66</definedName>
    <definedName name="batt_ibi_uti_percent_maxvalue">'Inputs and Outputs'!$C$66</definedName>
    <definedName name="batt_ibi_uti_percent_tax_fed">'Inputs and Outputs'!$D$66</definedName>
    <definedName name="batt_itc_fed_percent">'Inputs and Outputs'!$B$60</definedName>
    <definedName name="batt_itc_fed_percent_deprbas_fed">'Inputs and Outputs'!$D$60</definedName>
    <definedName name="batt_itc_fed_percent_maxvalue">'Inputs and Outputs'!$C$60</definedName>
    <definedName name="batt_kw">'Inputs and Outputs'!$B$6</definedName>
    <definedName name="batt_kwh">'Inputs and Outputs'!$B$7</definedName>
    <definedName name="batt_repl_cost_kw">'Inputs and Outputs'!$B$21</definedName>
    <definedName name="batt_repl_cost_kwh">'Inputs and Outputs'!$B$23</definedName>
    <definedName name="batt_repl_kw_year">'Inputs and Outputs'!$B$22</definedName>
    <definedName name="batt_repl_year_kw">'Inputs and Outputs'!$B$22</definedName>
    <definedName name="batt_repl_year_kwh">'Inputs and Outputs'!$B$24</definedName>
    <definedName name="battery_installed_cost">'Inputs and Outputs'!$B$18</definedName>
    <definedName name="BatteryBonusFraction">'Inputs and Outputs'!$C$74</definedName>
    <definedName name="BatteryFederalDepreciation">'Inputs and Outputs'!$C$73</definedName>
    <definedName name="BatteryMACRSBonusFraction">'Inputs and Outputs'!$C$74</definedName>
    <definedName name="BonusFraction">'Inputs and Outputs'!$B$74</definedName>
    <definedName name="CashFlow">'Cash Flow'!$C$82:$CX$82</definedName>
    <definedName name="cbi_fed_amount">'Inputs and Outputs'!$B$51</definedName>
    <definedName name="cbi_fed_deprbas_fed">'Inputs and Outputs'!$E$51</definedName>
    <definedName name="cbi_fed_deprbas_sta">'Inputs and Outputs'!#REF!</definedName>
    <definedName name="cbi_fed_maxvalue">'Inputs and Outputs'!$C$51</definedName>
    <definedName name="cbi_fed_tax_fed">'Inputs and Outputs'!$D$51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Outputs'!$B$52</definedName>
    <definedName name="cbi_sta_deprbas_fed">'Inputs and Outputs'!$E$52</definedName>
    <definedName name="cbi_sta_deprbas_sta">'Inputs and Outputs'!#REF!</definedName>
    <definedName name="cbi_sta_maxvalue">'Inputs and Outputs'!$C$52</definedName>
    <definedName name="cbi_sta_tax_fed">'Inputs and Outputs'!$D$52</definedName>
    <definedName name="cbi_sta_tax_sta">'Inputs and Outputs'!#REF!</definedName>
    <definedName name="cbi_uti_amount">'Inputs and Outputs'!$B$53</definedName>
    <definedName name="cbi_uti_deprbas_fed">'Inputs and Outputs'!$E$53</definedName>
    <definedName name="cbi_uti_deprbas_sta">'Inputs and Outputs'!#REF!</definedName>
    <definedName name="cbi_uti_maxvalue">'Inputs and Outputs'!$C$53</definedName>
    <definedName name="cbi_uti_tax_fed">'Inputs and Outputs'!$D$53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Outputs'!$B$27</definedName>
    <definedName name="EnergyValue">'Inputs and Outputs'!#REF!</definedName>
    <definedName name="escalation_rate">'Inputs and Outputs'!#REF!</definedName>
    <definedName name="escalation_rate_nominal">'Inputs and Outputs'!$B$34</definedName>
    <definedName name="federal_tax_rate">'Inputs and Outputs'!$B$38</definedName>
    <definedName name="FederalDepreciation">'Inputs and Outputs'!$B$73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Outputs'!$B$48</definedName>
    <definedName name="ibi_sta_percent_deprbas_fed">'Inputs and Outputs'!$E$48</definedName>
    <definedName name="ibi_sta_percent_deprbas_sta">'Inputs and Outputs'!#REF!</definedName>
    <definedName name="ibi_sta_percent_maxvalue">'Inputs and Outputs'!$C$48</definedName>
    <definedName name="ibi_sta_percent_tax_fed">'Inputs and Outputs'!$D$48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Outputs'!$B$49</definedName>
    <definedName name="ibi_uti_percent_deprbas_fed">'Inputs and Outputs'!$E$49</definedName>
    <definedName name="ibi_uti_percent_deprbas_sta">'Inputs and Outputs'!#REF!</definedName>
    <definedName name="ibi_uti_percent_maxvalue">'Inputs and Outputs'!$C$49</definedName>
    <definedName name="ibi_uti_percent_tax_fed">'Inputs and Outputs'!$D$49</definedName>
    <definedName name="ibi_uti_percent_tax_sta">'Inputs and Outputs'!#REF!</definedName>
    <definedName name="inflation_rate">'Inputs and Outputs'!$B$33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Outputs'!$B$43</definedName>
    <definedName name="itc_fed_percent_deprbas_fed">'Inputs and Outputs'!$D$43</definedName>
    <definedName name="itc_fed_percent_deprbas_sta">'Inputs and Outputs'!#REF!</definedName>
    <definedName name="itc_fed_percent_deprbas_state">'Inputs and Outputs'!#REF!</definedName>
    <definedName name="itc_fed_percent_maxvalue">'Inputs and Outputs'!$C$43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Outputs'!$B$29</definedName>
    <definedName name="loan_term">'Inputs and Outputs'!$B$28</definedName>
    <definedName name="MACRSBonusFraction">'Inputs and Outputs'!$B$74</definedName>
    <definedName name="NominalDiscountRate">'Inputs and Outputs'!$B$35</definedName>
    <definedName name="O_M_cost_escalation_rate__nominal_____year">'Inputs and Outputs'!$B$33</definedName>
    <definedName name="om_capacity">'Inputs and Outputs'!$B$20</definedName>
    <definedName name="om_capacity_escal">'Inputs and Outputs'!#REF!</definedName>
    <definedName name="om_cost_escalation_rate_nominal">'Inputs and Outputs'!$B$33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Outputs'!$B$55</definedName>
    <definedName name="pbi_combined_maxvalue">'Inputs and Outputs'!$C$55</definedName>
    <definedName name="pbi_combined_tax_fed">'Inputs and Outputs'!$D$55</definedName>
    <definedName name="pbi_combined_tax_sta">'Inputs and Outputs'!#REF!</definedName>
    <definedName name="pbi_combined_term">'Inputs and Outputs'!$E$55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Outputs'!$B$17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Outputs'!$B$16</definedName>
    <definedName name="UseDepreciation">'Inputs and Outputs'!#REF!</definedName>
    <definedName name="UseTaxDeductibleInterest">'Inputs and Outputs'!#REF!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0" i="8" l="1"/>
  <c r="B49" i="8"/>
  <c r="B75" i="8" l="1"/>
  <c r="C2" i="8" l="1"/>
  <c r="B67" i="8"/>
  <c r="B68" i="8" s="1"/>
  <c r="B45" i="8"/>
  <c r="B44" i="8"/>
  <c r="B36" i="8"/>
  <c r="B48" i="8"/>
  <c r="B51" i="8" s="1"/>
  <c r="B41" i="8"/>
  <c r="B40" i="8"/>
  <c r="B39" i="8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C76" i="7"/>
  <c r="C13" i="8"/>
  <c r="C77" i="7"/>
  <c r="C78" i="7"/>
  <c r="C82" i="7"/>
  <c r="C66" i="8" s="1"/>
  <c r="B85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C26" i="8"/>
  <c r="C27" i="8"/>
  <c r="C28" i="8"/>
  <c r="C12" i="8"/>
  <c r="C29" i="8" l="1"/>
  <c r="D2" i="8"/>
  <c r="D82" i="7" s="1"/>
  <c r="D66" i="8" s="1"/>
  <c r="D69" i="8" s="1"/>
  <c r="C79" i="7"/>
  <c r="C14" i="8"/>
  <c r="C15" i="8" s="1"/>
  <c r="C76" i="8"/>
  <c r="C81" i="7"/>
  <c r="C61" i="8" s="1"/>
  <c r="B46" i="8"/>
  <c r="C80" i="7"/>
  <c r="B42" i="8"/>
  <c r="B35" i="8"/>
  <c r="C85" i="8"/>
  <c r="C69" i="8"/>
  <c r="D81" i="7"/>
  <c r="D61" i="8" s="1"/>
  <c r="D76" i="7"/>
  <c r="E2" i="8"/>
  <c r="E79" i="7" s="1"/>
  <c r="D14" i="8"/>
  <c r="D78" i="7"/>
  <c r="D13" i="8" l="1"/>
  <c r="D26" i="8"/>
  <c r="D77" i="7"/>
  <c r="D79" i="7"/>
  <c r="D28" i="8"/>
  <c r="E26" i="8" s="1"/>
  <c r="D85" i="8"/>
  <c r="D27" i="8"/>
  <c r="D29" i="8" s="1"/>
  <c r="D12" i="8"/>
  <c r="D15" i="8" s="1"/>
  <c r="C18" i="8"/>
  <c r="C59" i="8" s="1"/>
  <c r="C31" i="8"/>
  <c r="B73" i="8"/>
  <c r="B37" i="8"/>
  <c r="E14" i="8"/>
  <c r="E82" i="7"/>
  <c r="E66" i="8" s="1"/>
  <c r="E69" i="8" s="1"/>
  <c r="E13" i="8"/>
  <c r="F2" i="8"/>
  <c r="F79" i="7" s="1"/>
  <c r="E77" i="7"/>
  <c r="E85" i="8" s="1"/>
  <c r="E78" i="7"/>
  <c r="E27" i="8"/>
  <c r="E81" i="7"/>
  <c r="E61" i="8" s="1"/>
  <c r="E76" i="7"/>
  <c r="E28" i="8"/>
  <c r="E12" i="8"/>
  <c r="D80" i="7" l="1"/>
  <c r="D18" i="8"/>
  <c r="D59" i="8" s="1"/>
  <c r="D31" i="8"/>
  <c r="B62" i="8"/>
  <c r="B63" i="8" s="1"/>
  <c r="E64" i="8" s="1"/>
  <c r="C74" i="8"/>
  <c r="B54" i="8"/>
  <c r="B22" i="8"/>
  <c r="B23" i="8" s="1"/>
  <c r="E15" i="8"/>
  <c r="E18" i="8" s="1"/>
  <c r="E59" i="8" s="1"/>
  <c r="E29" i="8"/>
  <c r="E80" i="7"/>
  <c r="F78" i="7"/>
  <c r="F82" i="7"/>
  <c r="F66" i="8" s="1"/>
  <c r="F69" i="8" s="1"/>
  <c r="G2" i="8"/>
  <c r="G79" i="7" s="1"/>
  <c r="F13" i="8"/>
  <c r="F81" i="7"/>
  <c r="F61" i="8" s="1"/>
  <c r="F14" i="8"/>
  <c r="F26" i="8"/>
  <c r="F27" i="8"/>
  <c r="F77" i="7"/>
  <c r="F28" i="8"/>
  <c r="F76" i="7"/>
  <c r="F12" i="8"/>
  <c r="E31" i="8" l="1"/>
  <c r="F15" i="8"/>
  <c r="F29" i="8"/>
  <c r="B24" i="8"/>
  <c r="B31" i="8" s="1"/>
  <c r="F64" i="8"/>
  <c r="E70" i="8"/>
  <c r="F80" i="7"/>
  <c r="C64" i="8"/>
  <c r="C70" i="8" s="1"/>
  <c r="D64" i="8"/>
  <c r="D70" i="8" s="1"/>
  <c r="B80" i="8"/>
  <c r="B86" i="8" s="1"/>
  <c r="F31" i="8"/>
  <c r="F18" i="8"/>
  <c r="F59" i="8" s="1"/>
  <c r="G14" i="8"/>
  <c r="G77" i="7"/>
  <c r="G85" i="8" s="1"/>
  <c r="G78" i="7"/>
  <c r="G81" i="7"/>
  <c r="G61" i="8" s="1"/>
  <c r="G64" i="8" s="1"/>
  <c r="H2" i="8"/>
  <c r="H79" i="7" s="1"/>
  <c r="G13" i="8"/>
  <c r="G82" i="7"/>
  <c r="G66" i="8" s="1"/>
  <c r="G69" i="8" s="1"/>
  <c r="G76" i="7"/>
  <c r="G27" i="8"/>
  <c r="G26" i="8"/>
  <c r="G28" i="8"/>
  <c r="G12" i="8"/>
  <c r="F85" i="8"/>
  <c r="G15" i="8" l="1"/>
  <c r="G80" i="7"/>
  <c r="F70" i="8"/>
  <c r="G29" i="8"/>
  <c r="G31" i="8" s="1"/>
  <c r="G18" i="8"/>
  <c r="G59" i="8" s="1"/>
  <c r="G70" i="8" s="1"/>
  <c r="I2" i="8"/>
  <c r="I79" i="7" s="1"/>
  <c r="H27" i="8"/>
  <c r="H81" i="7"/>
  <c r="H61" i="8" s="1"/>
  <c r="H64" i="8" s="1"/>
  <c r="H76" i="7"/>
  <c r="H26" i="8"/>
  <c r="H13" i="8"/>
  <c r="H14" i="8"/>
  <c r="H82" i="7"/>
  <c r="H66" i="8" s="1"/>
  <c r="H69" i="8" s="1"/>
  <c r="H28" i="8"/>
  <c r="H77" i="7"/>
  <c r="H78" i="7"/>
  <c r="H12" i="8"/>
  <c r="H15" i="8" l="1"/>
  <c r="H18" i="8" s="1"/>
  <c r="H59" i="8" s="1"/>
  <c r="H70" i="8" s="1"/>
  <c r="H29" i="8"/>
  <c r="H31" i="8"/>
  <c r="H80" i="7"/>
  <c r="J2" i="8"/>
  <c r="J79" i="7" s="1"/>
  <c r="I81" i="7"/>
  <c r="I61" i="8" s="1"/>
  <c r="I64" i="8" s="1"/>
  <c r="I76" i="7"/>
  <c r="I14" i="8"/>
  <c r="I78" i="7"/>
  <c r="I13" i="8"/>
  <c r="I77" i="7"/>
  <c r="I27" i="8"/>
  <c r="I82" i="7"/>
  <c r="I66" i="8" s="1"/>
  <c r="I69" i="8" s="1"/>
  <c r="I26" i="8"/>
  <c r="I28" i="8"/>
  <c r="I12" i="8"/>
  <c r="I15" i="8" s="1"/>
  <c r="H85" i="8"/>
  <c r="I29" i="8" l="1"/>
  <c r="I31" i="8" s="1"/>
  <c r="I18" i="8"/>
  <c r="I59" i="8" s="1"/>
  <c r="I70" i="8" s="1"/>
  <c r="I80" i="7"/>
  <c r="I85" i="8"/>
  <c r="K2" i="8"/>
  <c r="K79" i="7" s="1"/>
  <c r="J76" i="7"/>
  <c r="J27" i="8"/>
  <c r="J14" i="8"/>
  <c r="J78" i="7"/>
  <c r="J77" i="7"/>
  <c r="J26" i="8"/>
  <c r="J81" i="7"/>
  <c r="J61" i="8" s="1"/>
  <c r="J64" i="8" s="1"/>
  <c r="J28" i="8"/>
  <c r="J82" i="7"/>
  <c r="J66" i="8" s="1"/>
  <c r="J69" i="8" s="1"/>
  <c r="J12" i="8"/>
  <c r="J13" i="8"/>
  <c r="J80" i="7" l="1"/>
  <c r="J15" i="8"/>
  <c r="J29" i="8"/>
  <c r="J31" i="8" s="1"/>
  <c r="J18" i="8"/>
  <c r="J59" i="8" s="1"/>
  <c r="J70" i="8" s="1"/>
  <c r="L2" i="8"/>
  <c r="L79" i="7" s="1"/>
  <c r="K78" i="7"/>
  <c r="K27" i="8"/>
  <c r="K26" i="8"/>
  <c r="K82" i="7"/>
  <c r="K66" i="8" s="1"/>
  <c r="K69" i="8" s="1"/>
  <c r="K77" i="7"/>
  <c r="K81" i="7"/>
  <c r="K61" i="8" s="1"/>
  <c r="K64" i="8" s="1"/>
  <c r="K28" i="8"/>
  <c r="K14" i="8"/>
  <c r="K13" i="8"/>
  <c r="K85" i="8"/>
  <c r="K12" i="8"/>
  <c r="K15" i="8" s="1"/>
  <c r="K76" i="7"/>
  <c r="J85" i="8"/>
  <c r="K29" i="8" l="1"/>
  <c r="K31" i="8" s="1"/>
  <c r="K80" i="7"/>
  <c r="K18" i="8"/>
  <c r="K59" i="8" s="1"/>
  <c r="K70" i="8" s="1"/>
  <c r="M2" i="8"/>
  <c r="M79" i="7" s="1"/>
  <c r="L14" i="8"/>
  <c r="L13" i="8"/>
  <c r="L27" i="8"/>
  <c r="L78" i="7"/>
  <c r="L28" i="8"/>
  <c r="L26" i="8"/>
  <c r="L82" i="7"/>
  <c r="L66" i="8" s="1"/>
  <c r="L69" i="8" s="1"/>
  <c r="L76" i="7"/>
  <c r="L81" i="7"/>
  <c r="L61" i="8" s="1"/>
  <c r="L64" i="8" s="1"/>
  <c r="L77" i="7"/>
  <c r="L12" i="8"/>
  <c r="L80" i="7" l="1"/>
  <c r="L15" i="8"/>
  <c r="L18" i="8" s="1"/>
  <c r="L59" i="8" s="1"/>
  <c r="L70" i="8" s="1"/>
  <c r="L29" i="8"/>
  <c r="N2" i="8"/>
  <c r="N79" i="7" s="1"/>
  <c r="M78" i="7"/>
  <c r="M28" i="8"/>
  <c r="M81" i="7"/>
  <c r="M61" i="8" s="1"/>
  <c r="M64" i="8" s="1"/>
  <c r="M26" i="8"/>
  <c r="M27" i="8"/>
  <c r="M76" i="7"/>
  <c r="M14" i="8"/>
  <c r="M82" i="7"/>
  <c r="M66" i="8" s="1"/>
  <c r="M69" i="8" s="1"/>
  <c r="M13" i="8"/>
  <c r="M77" i="7"/>
  <c r="M80" i="7" s="1"/>
  <c r="M12" i="8"/>
  <c r="M53" i="8"/>
  <c r="M54" i="8" s="1"/>
  <c r="L85" i="8"/>
  <c r="L31" i="8" l="1"/>
  <c r="M15" i="8"/>
  <c r="M29" i="8"/>
  <c r="M18" i="8"/>
  <c r="M59" i="8" s="1"/>
  <c r="M70" i="8" s="1"/>
  <c r="M31" i="8"/>
  <c r="M85" i="8"/>
  <c r="N13" i="8"/>
  <c r="N27" i="8"/>
  <c r="N29" i="8" s="1"/>
  <c r="O2" i="8"/>
  <c r="O79" i="7" s="1"/>
  <c r="N82" i="7"/>
  <c r="N66" i="8" s="1"/>
  <c r="N26" i="8"/>
  <c r="N69" i="8"/>
  <c r="N76" i="7"/>
  <c r="N14" i="8"/>
  <c r="N77" i="7"/>
  <c r="N85" i="8" s="1"/>
  <c r="N78" i="7"/>
  <c r="N81" i="7"/>
  <c r="N61" i="8" s="1"/>
  <c r="N64" i="8" s="1"/>
  <c r="N28" i="8"/>
  <c r="N53" i="8"/>
  <c r="N54" i="8" s="1"/>
  <c r="N12" i="8"/>
  <c r="M57" i="8"/>
  <c r="N15" i="8" l="1"/>
  <c r="N31" i="8" s="1"/>
  <c r="N57" i="8"/>
  <c r="M71" i="8"/>
  <c r="M72" i="8" s="1"/>
  <c r="M77" i="8" s="1"/>
  <c r="M80" i="8" s="1"/>
  <c r="N18" i="8"/>
  <c r="N59" i="8" s="1"/>
  <c r="N70" i="8" s="1"/>
  <c r="N71" i="8" s="1"/>
  <c r="N72" i="8" s="1"/>
  <c r="N77" i="8" s="1"/>
  <c r="P2" i="8"/>
  <c r="P79" i="7" s="1"/>
  <c r="O81" i="7"/>
  <c r="O61" i="8" s="1"/>
  <c r="O64" i="8" s="1"/>
  <c r="O26" i="8"/>
  <c r="O27" i="8"/>
  <c r="O82" i="7"/>
  <c r="O66" i="8" s="1"/>
  <c r="O69" i="8" s="1"/>
  <c r="O78" i="7"/>
  <c r="O14" i="8"/>
  <c r="O77" i="7"/>
  <c r="O76" i="7"/>
  <c r="O28" i="8"/>
  <c r="O13" i="8"/>
  <c r="O12" i="8"/>
  <c r="O53" i="8"/>
  <c r="O54" i="8" s="1"/>
  <c r="N80" i="7"/>
  <c r="O15" i="8" l="1"/>
  <c r="O18" i="8" s="1"/>
  <c r="O59" i="8" s="1"/>
  <c r="O29" i="8"/>
  <c r="O31" i="8" s="1"/>
  <c r="O70" i="8"/>
  <c r="O80" i="7"/>
  <c r="O57" i="8"/>
  <c r="O71" i="8" s="1"/>
  <c r="O72" i="8" s="1"/>
  <c r="O77" i="8" s="1"/>
  <c r="O85" i="8"/>
  <c r="P28" i="8"/>
  <c r="Q2" i="8"/>
  <c r="Q79" i="7" s="1"/>
  <c r="P27" i="8"/>
  <c r="P81" i="7"/>
  <c r="P61" i="8" s="1"/>
  <c r="P64" i="8" s="1"/>
  <c r="P14" i="8"/>
  <c r="P77" i="7"/>
  <c r="P85" i="8" s="1"/>
  <c r="P26" i="8"/>
  <c r="P76" i="7"/>
  <c r="P78" i="7"/>
  <c r="P82" i="7"/>
  <c r="P66" i="8" s="1"/>
  <c r="P69" i="8" s="1"/>
  <c r="P53" i="8"/>
  <c r="P54" i="8" s="1"/>
  <c r="P13" i="8"/>
  <c r="P12" i="8"/>
  <c r="P15" i="8" s="1"/>
  <c r="M86" i="8"/>
  <c r="N80" i="8"/>
  <c r="P29" i="8" l="1"/>
  <c r="O80" i="8"/>
  <c r="O86" i="8" s="1"/>
  <c r="P31" i="8"/>
  <c r="P18" i="8"/>
  <c r="P59" i="8" s="1"/>
  <c r="P70" i="8" s="1"/>
  <c r="R2" i="8"/>
  <c r="R79" i="7" s="1"/>
  <c r="Q27" i="8"/>
  <c r="Q82" i="7"/>
  <c r="Q66" i="8" s="1"/>
  <c r="Q69" i="8" s="1"/>
  <c r="Q13" i="8"/>
  <c r="Q14" i="8"/>
  <c r="Q76" i="7"/>
  <c r="Q78" i="7"/>
  <c r="Q77" i="7"/>
  <c r="Q81" i="7"/>
  <c r="Q61" i="8" s="1"/>
  <c r="Q64" i="8" s="1"/>
  <c r="Q57" i="8"/>
  <c r="Q28" i="8"/>
  <c r="Q26" i="8"/>
  <c r="Q12" i="8"/>
  <c r="Q53" i="8"/>
  <c r="Q54" i="8" s="1"/>
  <c r="N86" i="8"/>
  <c r="P57" i="8"/>
  <c r="P80" i="7"/>
  <c r="Q15" i="8" l="1"/>
  <c r="Q29" i="8"/>
  <c r="P71" i="8"/>
  <c r="P72" i="8" s="1"/>
  <c r="P77" i="8" s="1"/>
  <c r="P80" i="8" s="1"/>
  <c r="Q18" i="8"/>
  <c r="Q59" i="8" s="1"/>
  <c r="Q70" i="8" s="1"/>
  <c r="Q71" i="8" s="1"/>
  <c r="Q72" i="8" s="1"/>
  <c r="Q77" i="8" s="1"/>
  <c r="S2" i="8"/>
  <c r="S79" i="7" s="1"/>
  <c r="R27" i="8"/>
  <c r="R77" i="7"/>
  <c r="R85" i="8" s="1"/>
  <c r="R28" i="8"/>
  <c r="R81" i="7"/>
  <c r="R61" i="8" s="1"/>
  <c r="R64" i="8" s="1"/>
  <c r="R76" i="7"/>
  <c r="R26" i="8"/>
  <c r="R14" i="8"/>
  <c r="R13" i="8"/>
  <c r="R78" i="7"/>
  <c r="R53" i="8"/>
  <c r="R54" i="8" s="1"/>
  <c r="R82" i="7"/>
  <c r="R66" i="8" s="1"/>
  <c r="R69" i="8" s="1"/>
  <c r="R12" i="8"/>
  <c r="Q80" i="7"/>
  <c r="Q85" i="8"/>
  <c r="R15" i="8" l="1"/>
  <c r="Q31" i="8"/>
  <c r="Q80" i="8" s="1"/>
  <c r="R57" i="8"/>
  <c r="R29" i="8"/>
  <c r="R18" i="8"/>
  <c r="R59" i="8" s="1"/>
  <c r="R70" i="8" s="1"/>
  <c r="R71" i="8" s="1"/>
  <c r="R72" i="8" s="1"/>
  <c r="R77" i="8" s="1"/>
  <c r="R80" i="7"/>
  <c r="P86" i="8"/>
  <c r="T2" i="8"/>
  <c r="T79" i="7" s="1"/>
  <c r="S28" i="8"/>
  <c r="S81" i="7"/>
  <c r="S61" i="8" s="1"/>
  <c r="S27" i="8"/>
  <c r="S64" i="8"/>
  <c r="S82" i="7"/>
  <c r="S66" i="8" s="1"/>
  <c r="S69" i="8" s="1"/>
  <c r="S77" i="7"/>
  <c r="S85" i="8" s="1"/>
  <c r="S14" i="8"/>
  <c r="S13" i="8"/>
  <c r="S26" i="8"/>
  <c r="S78" i="7"/>
  <c r="S76" i="7"/>
  <c r="S53" i="8"/>
  <c r="S54" i="8" s="1"/>
  <c r="S57" i="8"/>
  <c r="S12" i="8"/>
  <c r="S15" i="8" l="1"/>
  <c r="R31" i="8"/>
  <c r="S29" i="8"/>
  <c r="S31" i="8"/>
  <c r="S18" i="8"/>
  <c r="S59" i="8" s="1"/>
  <c r="S70" i="8" s="1"/>
  <c r="S71" i="8" s="1"/>
  <c r="S72" i="8" s="1"/>
  <c r="S77" i="8" s="1"/>
  <c r="Q86" i="8"/>
  <c r="R80" i="8"/>
  <c r="U2" i="8"/>
  <c r="U79" i="7" s="1"/>
  <c r="T77" i="7"/>
  <c r="T85" i="8" s="1"/>
  <c r="T82" i="7"/>
  <c r="T66" i="8" s="1"/>
  <c r="T78" i="7"/>
  <c r="T76" i="7"/>
  <c r="T26" i="8"/>
  <c r="T81" i="7"/>
  <c r="T61" i="8" s="1"/>
  <c r="T64" i="8" s="1"/>
  <c r="T69" i="8"/>
  <c r="T27" i="8"/>
  <c r="T28" i="8"/>
  <c r="T14" i="8"/>
  <c r="T13" i="8"/>
  <c r="T12" i="8"/>
  <c r="T15" i="8" s="1"/>
  <c r="T53" i="8"/>
  <c r="T54" i="8" s="1"/>
  <c r="T57" i="8"/>
  <c r="S80" i="7"/>
  <c r="T29" i="8" l="1"/>
  <c r="T31" i="8" s="1"/>
  <c r="S80" i="8"/>
  <c r="S86" i="8" s="1"/>
  <c r="T18" i="8"/>
  <c r="T59" i="8" s="1"/>
  <c r="T70" i="8" s="1"/>
  <c r="T71" i="8" s="1"/>
  <c r="T72" i="8" s="1"/>
  <c r="T77" i="8" s="1"/>
  <c r="T80" i="7"/>
  <c r="V2" i="8"/>
  <c r="V79" i="7" s="1"/>
  <c r="U82" i="7"/>
  <c r="U66" i="8" s="1"/>
  <c r="U69" i="8" s="1"/>
  <c r="U27" i="8"/>
  <c r="U14" i="8"/>
  <c r="U13" i="8"/>
  <c r="U28" i="8"/>
  <c r="U76" i="7"/>
  <c r="U26" i="8"/>
  <c r="U77" i="7"/>
  <c r="U85" i="8" s="1"/>
  <c r="U78" i="7"/>
  <c r="U81" i="7"/>
  <c r="U61" i="8" s="1"/>
  <c r="U64" i="8" s="1"/>
  <c r="U12" i="8"/>
  <c r="U53" i="8"/>
  <c r="U54" i="8" s="1"/>
  <c r="R86" i="8"/>
  <c r="U15" i="8" l="1"/>
  <c r="U29" i="8"/>
  <c r="U31" i="8" s="1"/>
  <c r="U80" i="7"/>
  <c r="U18" i="8"/>
  <c r="U59" i="8" s="1"/>
  <c r="U70" i="8" s="1"/>
  <c r="U57" i="8"/>
  <c r="V14" i="8"/>
  <c r="V81" i="7"/>
  <c r="V61" i="8" s="1"/>
  <c r="V64" i="8" s="1"/>
  <c r="W2" i="8"/>
  <c r="W79" i="7" s="1"/>
  <c r="V26" i="8"/>
  <c r="V78" i="7"/>
  <c r="V76" i="7"/>
  <c r="V13" i="8"/>
  <c r="V27" i="8"/>
  <c r="V77" i="7"/>
  <c r="V28" i="8"/>
  <c r="V53" i="8"/>
  <c r="V54" i="8" s="1"/>
  <c r="V82" i="7"/>
  <c r="V66" i="8" s="1"/>
  <c r="V69" i="8" s="1"/>
  <c r="V12" i="8"/>
  <c r="T80" i="8"/>
  <c r="V15" i="8" l="1"/>
  <c r="V29" i="8"/>
  <c r="U71" i="8"/>
  <c r="U72" i="8" s="1"/>
  <c r="U77" i="8" s="1"/>
  <c r="U80" i="8" s="1"/>
  <c r="U86" i="8" s="1"/>
  <c r="V31" i="8"/>
  <c r="V18" i="8"/>
  <c r="V59" i="8" s="1"/>
  <c r="V70" i="8" s="1"/>
  <c r="V80" i="7"/>
  <c r="W28" i="8"/>
  <c r="X2" i="8"/>
  <c r="X79" i="7" s="1"/>
  <c r="W82" i="7"/>
  <c r="W66" i="8" s="1"/>
  <c r="W13" i="8"/>
  <c r="W81" i="7"/>
  <c r="W61" i="8" s="1"/>
  <c r="W64" i="8" s="1"/>
  <c r="W27" i="8"/>
  <c r="W69" i="8"/>
  <c r="W77" i="7"/>
  <c r="W85" i="8"/>
  <c r="W14" i="8"/>
  <c r="W26" i="8"/>
  <c r="W78" i="7"/>
  <c r="W76" i="7"/>
  <c r="W12" i="8"/>
  <c r="W53" i="8"/>
  <c r="W54" i="8" s="1"/>
  <c r="T86" i="8"/>
  <c r="V57" i="8"/>
  <c r="V85" i="8"/>
  <c r="W15" i="8" l="1"/>
  <c r="W57" i="8"/>
  <c r="W29" i="8"/>
  <c r="W31" i="8" s="1"/>
  <c r="V71" i="8"/>
  <c r="V72" i="8" s="1"/>
  <c r="V77" i="8" s="1"/>
  <c r="V80" i="8" s="1"/>
  <c r="W18" i="8"/>
  <c r="W59" i="8" s="1"/>
  <c r="W70" i="8" s="1"/>
  <c r="W71" i="8" s="1"/>
  <c r="W72" i="8" s="1"/>
  <c r="W77" i="8" s="1"/>
  <c r="W80" i="7"/>
  <c r="Y2" i="8"/>
  <c r="Y79" i="7" s="1"/>
  <c r="X81" i="7"/>
  <c r="X61" i="8" s="1"/>
  <c r="X64" i="8" s="1"/>
  <c r="X14" i="8"/>
  <c r="X78" i="7"/>
  <c r="X82" i="7"/>
  <c r="X66" i="8" s="1"/>
  <c r="X69" i="8" s="1"/>
  <c r="X77" i="7"/>
  <c r="X76" i="7"/>
  <c r="X27" i="8"/>
  <c r="X28" i="8"/>
  <c r="X13" i="8"/>
  <c r="X26" i="8"/>
  <c r="X53" i="8"/>
  <c r="X54" i="8" s="1"/>
  <c r="X12" i="8"/>
  <c r="X15" i="8" l="1"/>
  <c r="X29" i="8"/>
  <c r="X18" i="8"/>
  <c r="X59" i="8" s="1"/>
  <c r="X70" i="8" s="1"/>
  <c r="X31" i="8"/>
  <c r="X57" i="8"/>
  <c r="Y78" i="7"/>
  <c r="Z2" i="8"/>
  <c r="Z79" i="7" s="1"/>
  <c r="Y82" i="7"/>
  <c r="Y66" i="8" s="1"/>
  <c r="Y69" i="8" s="1"/>
  <c r="Y26" i="8"/>
  <c r="Y27" i="8"/>
  <c r="Y13" i="8"/>
  <c r="Y14" i="8"/>
  <c r="Y28" i="8"/>
  <c r="Y77" i="7"/>
  <c r="Y76" i="7"/>
  <c r="Y81" i="7"/>
  <c r="Y61" i="8" s="1"/>
  <c r="Y64" i="8" s="1"/>
  <c r="Y53" i="8"/>
  <c r="Y54" i="8" s="1"/>
  <c r="Y12" i="8"/>
  <c r="X80" i="7"/>
  <c r="X85" i="8"/>
  <c r="V86" i="8"/>
  <c r="W80" i="8"/>
  <c r="Y15" i="8" l="1"/>
  <c r="Y80" i="7"/>
  <c r="Y29" i="8"/>
  <c r="Y31" i="8" s="1"/>
  <c r="X71" i="8"/>
  <c r="X72" i="8" s="1"/>
  <c r="X77" i="8" s="1"/>
  <c r="X80" i="8" s="1"/>
  <c r="Y18" i="8"/>
  <c r="Y59" i="8" s="1"/>
  <c r="Y70" i="8" s="1"/>
  <c r="W86" i="8"/>
  <c r="Y57" i="8"/>
  <c r="Y85" i="8"/>
  <c r="AA2" i="8"/>
  <c r="AA79" i="7" s="1"/>
  <c r="Z13" i="8"/>
  <c r="Z82" i="7"/>
  <c r="Z66" i="8" s="1"/>
  <c r="Z26" i="8"/>
  <c r="Z14" i="8"/>
  <c r="Z69" i="8"/>
  <c r="Z81" i="7"/>
  <c r="Z61" i="8" s="1"/>
  <c r="Z64" i="8" s="1"/>
  <c r="Z28" i="8"/>
  <c r="Z29" i="8" s="1"/>
  <c r="Z27" i="8"/>
  <c r="Z78" i="7"/>
  <c r="Z76" i="7"/>
  <c r="Z77" i="7"/>
  <c r="Z80" i="7" s="1"/>
  <c r="Z12" i="8"/>
  <c r="Z53" i="8"/>
  <c r="Z54" i="8" s="1"/>
  <c r="Z15" i="8" l="1"/>
  <c r="Y71" i="8"/>
  <c r="Y72" i="8" s="1"/>
  <c r="Y77" i="8" s="1"/>
  <c r="Y80" i="8" s="1"/>
  <c r="Z31" i="8"/>
  <c r="Z18" i="8"/>
  <c r="Z59" i="8" s="1"/>
  <c r="Z70" i="8" s="1"/>
  <c r="Z57" i="8"/>
  <c r="AB2" i="8"/>
  <c r="AB79" i="7" s="1"/>
  <c r="AA82" i="7"/>
  <c r="AA66" i="8" s="1"/>
  <c r="AA69" i="8" s="1"/>
  <c r="AA13" i="8"/>
  <c r="AA14" i="8"/>
  <c r="AA26" i="8"/>
  <c r="AA76" i="7"/>
  <c r="AA27" i="8"/>
  <c r="AA77" i="7"/>
  <c r="AA78" i="7"/>
  <c r="AA81" i="7"/>
  <c r="AA61" i="8" s="1"/>
  <c r="AA64" i="8" s="1"/>
  <c r="AA28" i="8"/>
  <c r="AA12" i="8"/>
  <c r="AA53" i="8"/>
  <c r="AA54" i="8" s="1"/>
  <c r="Z85" i="8"/>
  <c r="X86" i="8"/>
  <c r="AA80" i="7" l="1"/>
  <c r="B8" i="8" s="1" a="1"/>
  <c r="AA8" i="8" s="1"/>
  <c r="AA81" i="8" s="1"/>
  <c r="AA29" i="8"/>
  <c r="AA15" i="8"/>
  <c r="Z71" i="8"/>
  <c r="Z72" i="8" s="1"/>
  <c r="Z77" i="8" s="1"/>
  <c r="Z80" i="8" s="1"/>
  <c r="AA18" i="8"/>
  <c r="AA59" i="8" s="1"/>
  <c r="AA70" i="8" s="1"/>
  <c r="AA31" i="8"/>
  <c r="AA85" i="8"/>
  <c r="Y86" i="8"/>
  <c r="AA57" i="8"/>
  <c r="AB69" i="8"/>
  <c r="AC2" i="8"/>
  <c r="AC79" i="7" s="1"/>
  <c r="AB64" i="8"/>
  <c r="AB77" i="8"/>
  <c r="AB57" i="8"/>
  <c r="AB31" i="8"/>
  <c r="AB72" i="8"/>
  <c r="AB82" i="7"/>
  <c r="AB66" i="8" s="1"/>
  <c r="AB53" i="8"/>
  <c r="AB54" i="8" s="1"/>
  <c r="AB76" i="7"/>
  <c r="AB14" i="8"/>
  <c r="AB77" i="7"/>
  <c r="AB71" i="8"/>
  <c r="AB78" i="7"/>
  <c r="AB15" i="8"/>
  <c r="AB86" i="8"/>
  <c r="AB13" i="8"/>
  <c r="AB12" i="8"/>
  <c r="AB82" i="8"/>
  <c r="AB81" i="7"/>
  <c r="AB61" i="8" s="1"/>
  <c r="AB70" i="8"/>
  <c r="AB80" i="8"/>
  <c r="AB85" i="8"/>
  <c r="AB81" i="8"/>
  <c r="AB18" i="8"/>
  <c r="AB59" i="8" s="1"/>
  <c r="CN8" i="8" l="1"/>
  <c r="D8" i="8"/>
  <c r="D81" i="8" s="1"/>
  <c r="CX8" i="8"/>
  <c r="BO8" i="8"/>
  <c r="AZ8" i="8"/>
  <c r="CI8" i="8"/>
  <c r="AK8" i="8"/>
  <c r="BM8" i="8"/>
  <c r="J8" i="8"/>
  <c r="J81" i="8" s="1"/>
  <c r="BC8" i="8"/>
  <c r="BN8" i="8"/>
  <c r="CT8" i="8"/>
  <c r="BS8" i="8"/>
  <c r="CS8" i="8"/>
  <c r="AS8" i="8"/>
  <c r="W8" i="8"/>
  <c r="W81" i="8" s="1"/>
  <c r="W82" i="8" s="1"/>
  <c r="AJ8" i="8"/>
  <c r="K8" i="8"/>
  <c r="K81" i="8" s="1"/>
  <c r="Q8" i="8"/>
  <c r="Q81" i="8" s="1"/>
  <c r="Q82" i="8" s="1"/>
  <c r="Z8" i="8"/>
  <c r="Z81" i="8" s="1"/>
  <c r="AP8" i="8"/>
  <c r="Y8" i="8"/>
  <c r="Y81" i="8" s="1"/>
  <c r="Y82" i="8" s="1"/>
  <c r="BE8" i="8"/>
  <c r="BJ8" i="8"/>
  <c r="BW8" i="8"/>
  <c r="BQ8" i="8"/>
  <c r="AL8" i="8"/>
  <c r="BR8" i="8"/>
  <c r="BH8" i="8"/>
  <c r="M8" i="8"/>
  <c r="M81" i="8" s="1"/>
  <c r="M82" i="8" s="1"/>
  <c r="CV8" i="8"/>
  <c r="CW8" i="8"/>
  <c r="F8" i="8"/>
  <c r="F81" i="8" s="1"/>
  <c r="AQ8" i="8"/>
  <c r="AM8" i="8"/>
  <c r="AB8" i="8"/>
  <c r="CJ8" i="8"/>
  <c r="AT8" i="8"/>
  <c r="CE8" i="8"/>
  <c r="CM8" i="8"/>
  <c r="CC8" i="8"/>
  <c r="BP8" i="8"/>
  <c r="N8" i="8"/>
  <c r="N81" i="8" s="1"/>
  <c r="N82" i="8" s="1"/>
  <c r="P8" i="8"/>
  <c r="P81" i="8" s="1"/>
  <c r="P82" i="8" s="1"/>
  <c r="CK8" i="8"/>
  <c r="S8" i="8"/>
  <c r="S81" i="8" s="1"/>
  <c r="S82" i="8" s="1"/>
  <c r="CQ8" i="8"/>
  <c r="AH8" i="8"/>
  <c r="AE8" i="8"/>
  <c r="BI8" i="8"/>
  <c r="AY8" i="8"/>
  <c r="AX8" i="8"/>
  <c r="BX8" i="8"/>
  <c r="AV8" i="8"/>
  <c r="I8" i="8"/>
  <c r="I81" i="8" s="1"/>
  <c r="AU8" i="8"/>
  <c r="BT8" i="8"/>
  <c r="C8" i="8"/>
  <c r="C81" i="8" s="1"/>
  <c r="BF8" i="8"/>
  <c r="BY8" i="8"/>
  <c r="G8" i="8"/>
  <c r="G81" i="8" s="1"/>
  <c r="CP8" i="8"/>
  <c r="CU8" i="8"/>
  <c r="AF8" i="8"/>
  <c r="CB8" i="8"/>
  <c r="R8" i="8"/>
  <c r="R81" i="8" s="1"/>
  <c r="R82" i="8" s="1"/>
  <c r="AR8" i="8"/>
  <c r="BZ8" i="8"/>
  <c r="BU8" i="8"/>
  <c r="AC8" i="8"/>
  <c r="AW8" i="8"/>
  <c r="AI8" i="8"/>
  <c r="CR8" i="8"/>
  <c r="BA8" i="8"/>
  <c r="BK8" i="8"/>
  <c r="CF8" i="8"/>
  <c r="CA8" i="8"/>
  <c r="BG8" i="8"/>
  <c r="V8" i="8"/>
  <c r="V81" i="8" s="1"/>
  <c r="V82" i="8" s="1"/>
  <c r="BB8" i="8"/>
  <c r="L8" i="8"/>
  <c r="L81" i="8" s="1"/>
  <c r="BL8" i="8"/>
  <c r="BV8" i="8"/>
  <c r="CL8" i="8"/>
  <c r="O8" i="8"/>
  <c r="O81" i="8" s="1"/>
  <c r="O82" i="8" s="1"/>
  <c r="AD8" i="8"/>
  <c r="CO8" i="8"/>
  <c r="B8" i="8"/>
  <c r="B82" i="8" s="1"/>
  <c r="CD8" i="8"/>
  <c r="E8" i="8"/>
  <c r="E81" i="8" s="1"/>
  <c r="AN8" i="8"/>
  <c r="H8" i="8"/>
  <c r="H81" i="8" s="1"/>
  <c r="T8" i="8"/>
  <c r="T81" i="8" s="1"/>
  <c r="T82" i="8" s="1"/>
  <c r="U8" i="8"/>
  <c r="U81" i="8" s="1"/>
  <c r="U82" i="8" s="1"/>
  <c r="CG8" i="8"/>
  <c r="CH8" i="8"/>
  <c r="AO8" i="8"/>
  <c r="X8" i="8"/>
  <c r="X81" i="8" s="1"/>
  <c r="X82" i="8" s="1"/>
  <c r="BD8" i="8"/>
  <c r="AG8" i="8"/>
  <c r="AA71" i="8"/>
  <c r="AA72" i="8" s="1"/>
  <c r="AA77" i="8" s="1"/>
  <c r="AA80" i="8" s="1"/>
  <c r="Z86" i="8"/>
  <c r="Z82" i="8"/>
  <c r="AC12" i="8"/>
  <c r="AC70" i="8"/>
  <c r="AC57" i="8"/>
  <c r="AC69" i="8"/>
  <c r="AD2" i="8"/>
  <c r="AD79" i="7" s="1"/>
  <c r="AC64" i="8"/>
  <c r="AC13" i="8"/>
  <c r="AC77" i="8"/>
  <c r="AC31" i="8"/>
  <c r="AC78" i="7"/>
  <c r="AC82" i="8"/>
  <c r="AC86" i="8"/>
  <c r="AC15" i="8"/>
  <c r="AC14" i="8"/>
  <c r="AC85" i="8"/>
  <c r="AC82" i="7"/>
  <c r="AC66" i="8" s="1"/>
  <c r="AC72" i="8"/>
  <c r="AC80" i="8"/>
  <c r="AC81" i="8"/>
  <c r="AC53" i="8"/>
  <c r="AC54" i="8" s="1"/>
  <c r="AC71" i="8"/>
  <c r="AC77" i="7"/>
  <c r="AC18" i="8"/>
  <c r="AC59" i="8" s="1"/>
  <c r="AC81" i="7"/>
  <c r="AC61" i="8" s="1"/>
  <c r="AC76" i="7"/>
  <c r="AA82" i="8" l="1"/>
  <c r="AA86" i="8"/>
  <c r="AD14" i="8"/>
  <c r="AD76" i="7"/>
  <c r="AD69" i="8"/>
  <c r="AE2" i="8"/>
  <c r="AE79" i="7" s="1"/>
  <c r="AD78" i="7"/>
  <c r="AD85" i="8"/>
  <c r="AD64" i="8"/>
  <c r="AD81" i="7"/>
  <c r="AD61" i="8" s="1"/>
  <c r="AD81" i="8"/>
  <c r="AD15" i="8"/>
  <c r="AD53" i="8"/>
  <c r="AD54" i="8" s="1"/>
  <c r="AD71" i="8"/>
  <c r="AD70" i="8"/>
  <c r="AD31" i="8"/>
  <c r="AD80" i="8"/>
  <c r="AD82" i="8"/>
  <c r="AD77" i="7"/>
  <c r="AD82" i="7"/>
  <c r="AD66" i="8" s="1"/>
  <c r="AD77" i="8"/>
  <c r="AD86" i="8"/>
  <c r="AD18" i="8"/>
  <c r="AD59" i="8" s="1"/>
  <c r="AD57" i="8"/>
  <c r="AD72" i="8"/>
  <c r="AD13" i="8"/>
  <c r="AD12" i="8"/>
  <c r="AE69" i="8" l="1"/>
  <c r="AF2" i="8"/>
  <c r="AF79" i="7" s="1"/>
  <c r="AE13" i="8"/>
  <c r="AE82" i="7"/>
  <c r="AE66" i="8" s="1"/>
  <c r="AE53" i="8"/>
  <c r="AE54" i="8" s="1"/>
  <c r="AE18" i="8"/>
  <c r="AE59" i="8" s="1"/>
  <c r="AE14" i="8"/>
  <c r="AE12" i="8"/>
  <c r="AE70" i="8"/>
  <c r="AE57" i="8"/>
  <c r="AE71" i="8"/>
  <c r="AE81" i="7"/>
  <c r="AE61" i="8" s="1"/>
  <c r="AE76" i="7"/>
  <c r="AE15" i="8"/>
  <c r="AE77" i="7"/>
  <c r="AE86" i="8"/>
  <c r="AE81" i="8"/>
  <c r="AE82" i="8"/>
  <c r="AE78" i="7"/>
  <c r="AE72" i="8"/>
  <c r="AE64" i="8"/>
  <c r="AE31" i="8"/>
  <c r="AE77" i="8"/>
  <c r="AE80" i="8"/>
  <c r="AE85" i="8"/>
  <c r="AF69" i="8" l="1"/>
  <c r="AG2" i="8"/>
  <c r="AG79" i="7" s="1"/>
  <c r="AF86" i="8"/>
  <c r="AF82" i="8"/>
  <c r="AF14" i="8"/>
  <c r="AF81" i="7"/>
  <c r="AF61" i="8" s="1"/>
  <c r="AF85" i="8"/>
  <c r="AF72" i="8"/>
  <c r="AF13" i="8"/>
  <c r="AF81" i="8"/>
  <c r="AF71" i="8"/>
  <c r="AF15" i="8"/>
  <c r="AF12" i="8"/>
  <c r="AF18" i="8"/>
  <c r="AF59" i="8" s="1"/>
  <c r="AF82" i="7"/>
  <c r="AF66" i="8" s="1"/>
  <c r="AF57" i="8"/>
  <c r="AF77" i="7"/>
  <c r="AF76" i="7"/>
  <c r="AF64" i="8"/>
  <c r="AF70" i="8"/>
  <c r="AF31" i="8"/>
  <c r="AF77" i="8"/>
  <c r="AF80" i="8"/>
  <c r="AF53" i="8"/>
  <c r="AF54" i="8" s="1"/>
  <c r="AF78" i="7"/>
  <c r="AG69" i="8" l="1"/>
  <c r="AH2" i="8"/>
  <c r="AH79" i="7" s="1"/>
  <c r="AG82" i="7"/>
  <c r="AG66" i="8" s="1"/>
  <c r="AG85" i="8"/>
  <c r="AG72" i="8"/>
  <c r="AG81" i="8"/>
  <c r="AG13" i="8"/>
  <c r="AG81" i="7"/>
  <c r="AG61" i="8" s="1"/>
  <c r="AG53" i="8"/>
  <c r="AG54" i="8" s="1"/>
  <c r="AG76" i="7"/>
  <c r="AG77" i="7"/>
  <c r="AG18" i="8"/>
  <c r="AG59" i="8" s="1"/>
  <c r="AG14" i="8"/>
  <c r="AG80" i="8"/>
  <c r="AG15" i="8"/>
  <c r="AG77" i="8"/>
  <c r="AG86" i="8"/>
  <c r="AG82" i="8"/>
  <c r="AG12" i="8"/>
  <c r="AG71" i="8"/>
  <c r="AG64" i="8"/>
  <c r="AG78" i="7"/>
  <c r="AG31" i="8"/>
  <c r="AG57" i="8"/>
  <c r="AG70" i="8"/>
  <c r="AI2" i="8" l="1"/>
  <c r="AI79" i="7" s="1"/>
  <c r="AH77" i="7"/>
  <c r="AH69" i="8"/>
  <c r="AH64" i="8"/>
  <c r="AH81" i="7"/>
  <c r="AH61" i="8" s="1"/>
  <c r="AH57" i="8"/>
  <c r="AH86" i="8"/>
  <c r="AH77" i="8"/>
  <c r="AH53" i="8"/>
  <c r="AH54" i="8" s="1"/>
  <c r="AH13" i="8"/>
  <c r="AH70" i="8"/>
  <c r="AH76" i="7"/>
  <c r="AH31" i="8"/>
  <c r="AH14" i="8"/>
  <c r="AH71" i="8"/>
  <c r="AH12" i="8"/>
  <c r="AH15" i="8"/>
  <c r="AH78" i="7"/>
  <c r="AH82" i="8"/>
  <c r="AH82" i="7"/>
  <c r="AH66" i="8" s="1"/>
  <c r="AH80" i="8"/>
  <c r="AH18" i="8"/>
  <c r="AH59" i="8" s="1"/>
  <c r="AH81" i="8"/>
  <c r="AH85" i="8"/>
  <c r="AH72" i="8"/>
  <c r="AI69" i="8" l="1"/>
  <c r="AJ2" i="8"/>
  <c r="AJ79" i="7" s="1"/>
  <c r="AI12" i="8"/>
  <c r="AI70" i="8"/>
  <c r="AI18" i="8"/>
  <c r="AI59" i="8" s="1"/>
  <c r="AI78" i="7"/>
  <c r="AI81" i="8"/>
  <c r="AI82" i="8"/>
  <c r="AI77" i="7"/>
  <c r="AI86" i="8"/>
  <c r="AI53" i="8"/>
  <c r="AI54" i="8" s="1"/>
  <c r="AI13" i="8"/>
  <c r="AI80" i="8"/>
  <c r="AI72" i="8"/>
  <c r="AI85" i="8"/>
  <c r="AI14" i="8"/>
  <c r="AI57" i="8"/>
  <c r="AI71" i="8"/>
  <c r="AI82" i="7"/>
  <c r="AI66" i="8" s="1"/>
  <c r="AI76" i="7"/>
  <c r="AI77" i="8"/>
  <c r="AI31" i="8"/>
  <c r="AI64" i="8"/>
  <c r="AI15" i="8"/>
  <c r="AI81" i="7"/>
  <c r="AI61" i="8" s="1"/>
  <c r="AJ69" i="8" l="1"/>
  <c r="AK2" i="8"/>
  <c r="AK79" i="7" s="1"/>
  <c r="AJ64" i="8"/>
  <c r="AJ13" i="8"/>
  <c r="AJ15" i="8"/>
  <c r="AJ76" i="7"/>
  <c r="AJ78" i="7"/>
  <c r="AJ86" i="8"/>
  <c r="AJ31" i="8"/>
  <c r="AJ82" i="7"/>
  <c r="AJ66" i="8" s="1"/>
  <c r="AJ70" i="8"/>
  <c r="AJ72" i="8"/>
  <c r="AJ14" i="8"/>
  <c r="AJ77" i="8"/>
  <c r="AJ57" i="8"/>
  <c r="AJ12" i="8"/>
  <c r="AJ80" i="8"/>
  <c r="AJ82" i="8"/>
  <c r="AJ85" i="8"/>
  <c r="AJ71" i="8"/>
  <c r="AJ81" i="7"/>
  <c r="AJ61" i="8" s="1"/>
  <c r="AJ81" i="8"/>
  <c r="AJ77" i="7"/>
  <c r="AJ53" i="8"/>
  <c r="AJ54" i="8" s="1"/>
  <c r="AJ18" i="8"/>
  <c r="AJ59" i="8" s="1"/>
  <c r="AK69" i="8" l="1"/>
  <c r="AL2" i="8"/>
  <c r="AL79" i="7" s="1"/>
  <c r="AK78" i="7"/>
  <c r="AK86" i="8"/>
  <c r="AK82" i="8"/>
  <c r="AK13" i="8"/>
  <c r="AK31" i="8"/>
  <c r="AK18" i="8"/>
  <c r="AK59" i="8" s="1"/>
  <c r="AK12" i="8"/>
  <c r="AK80" i="8"/>
  <c r="AK77" i="7"/>
  <c r="AK85" i="8"/>
  <c r="AK15" i="8"/>
  <c r="AK81" i="8"/>
  <c r="AK81" i="7"/>
  <c r="AK61" i="8" s="1"/>
  <c r="AK76" i="7"/>
  <c r="AK72" i="8"/>
  <c r="AK82" i="7"/>
  <c r="AK66" i="8" s="1"/>
  <c r="AK70" i="8"/>
  <c r="AK77" i="8"/>
  <c r="AK64" i="8"/>
  <c r="AK57" i="8"/>
  <c r="AK14" i="8"/>
  <c r="AK71" i="8"/>
  <c r="AK53" i="8"/>
  <c r="AK54" i="8" s="1"/>
  <c r="AM2" i="8" l="1"/>
  <c r="AM79" i="7" s="1"/>
  <c r="AL69" i="8"/>
  <c r="AL14" i="8"/>
  <c r="AL15" i="8"/>
  <c r="AL78" i="7"/>
  <c r="AL86" i="8"/>
  <c r="AL57" i="8"/>
  <c r="AL81" i="7"/>
  <c r="AL61" i="8" s="1"/>
  <c r="AL18" i="8"/>
  <c r="AL59" i="8" s="1"/>
  <c r="AL71" i="8"/>
  <c r="AL82" i="7"/>
  <c r="AL66" i="8" s="1"/>
  <c r="AL76" i="7"/>
  <c r="AL77" i="8"/>
  <c r="AL31" i="8"/>
  <c r="AL64" i="8"/>
  <c r="AL13" i="8"/>
  <c r="AL70" i="8"/>
  <c r="AL72" i="8"/>
  <c r="AL80" i="8"/>
  <c r="AL85" i="8"/>
  <c r="AL81" i="8"/>
  <c r="AL82" i="8"/>
  <c r="AL77" i="7"/>
  <c r="AL53" i="8"/>
  <c r="AL54" i="8" s="1"/>
  <c r="AL12" i="8"/>
  <c r="AM69" i="8" l="1"/>
  <c r="AN2" i="8"/>
  <c r="AN79" i="7" s="1"/>
  <c r="AM86" i="8"/>
  <c r="AM76" i="7"/>
  <c r="AM13" i="8"/>
  <c r="AM82" i="8"/>
  <c r="AM53" i="8"/>
  <c r="AM54" i="8" s="1"/>
  <c r="AM70" i="8"/>
  <c r="AM64" i="8"/>
  <c r="AM14" i="8"/>
  <c r="AM77" i="8"/>
  <c r="AM31" i="8"/>
  <c r="AM12" i="8"/>
  <c r="AM80" i="8"/>
  <c r="AM78" i="7"/>
  <c r="AM85" i="8"/>
  <c r="AM71" i="8"/>
  <c r="AM77" i="7"/>
  <c r="AM81" i="8"/>
  <c r="AM82" i="7"/>
  <c r="AM66" i="8" s="1"/>
  <c r="AM57" i="8"/>
  <c r="AM72" i="8"/>
  <c r="AM81" i="7"/>
  <c r="AM61" i="8" s="1"/>
  <c r="AM18" i="8"/>
  <c r="AM59" i="8" s="1"/>
  <c r="AM15" i="8"/>
  <c r="AN69" i="8" l="1"/>
  <c r="AO2" i="8"/>
  <c r="AO79" i="7" s="1"/>
  <c r="AN13" i="8"/>
  <c r="AN18" i="8"/>
  <c r="AN59" i="8" s="1"/>
  <c r="AN78" i="7"/>
  <c r="AN86" i="8"/>
  <c r="AN82" i="8"/>
  <c r="AN77" i="7"/>
  <c r="AN85" i="8"/>
  <c r="AN15" i="8"/>
  <c r="AN81" i="8"/>
  <c r="AN64" i="8"/>
  <c r="AN82" i="7"/>
  <c r="AN66" i="8" s="1"/>
  <c r="AN31" i="8"/>
  <c r="AN71" i="8"/>
  <c r="AN76" i="7"/>
  <c r="AN81" i="7"/>
  <c r="AN61" i="8" s="1"/>
  <c r="AN53" i="8"/>
  <c r="AN54" i="8" s="1"/>
  <c r="AN70" i="8"/>
  <c r="AN77" i="8"/>
  <c r="AN80" i="8"/>
  <c r="AN14" i="8"/>
  <c r="AN12" i="8"/>
  <c r="AN72" i="8"/>
  <c r="AN57" i="8"/>
  <c r="AO69" i="8" l="1"/>
  <c r="AP2" i="8"/>
  <c r="AP79" i="7" s="1"/>
  <c r="AO64" i="8"/>
  <c r="AO86" i="8"/>
  <c r="AO14" i="8"/>
  <c r="AO57" i="8"/>
  <c r="AO71" i="8"/>
  <c r="AO18" i="8"/>
  <c r="AO59" i="8" s="1"/>
  <c r="AO81" i="7"/>
  <c r="AO61" i="8" s="1"/>
  <c r="AO70" i="8"/>
  <c r="AO53" i="8"/>
  <c r="AO54" i="8" s="1"/>
  <c r="AO13" i="8"/>
  <c r="AO77" i="8"/>
  <c r="AO82" i="8"/>
  <c r="AO12" i="8"/>
  <c r="AO80" i="8"/>
  <c r="AO31" i="8"/>
  <c r="AO82" i="7"/>
  <c r="AO66" i="8" s="1"/>
  <c r="AO85" i="8"/>
  <c r="AO81" i="8"/>
  <c r="AO15" i="8"/>
  <c r="AO78" i="7"/>
  <c r="AO77" i="7"/>
  <c r="AO76" i="7"/>
  <c r="AO72" i="8"/>
  <c r="AQ2" i="8" l="1"/>
  <c r="AQ79" i="7" s="1"/>
  <c r="AP69" i="8"/>
  <c r="AP14" i="8"/>
  <c r="AP72" i="8"/>
  <c r="AP77" i="7"/>
  <c r="AP86" i="8"/>
  <c r="AP71" i="8"/>
  <c r="AP13" i="8"/>
  <c r="AP70" i="8"/>
  <c r="AP31" i="8"/>
  <c r="AP12" i="8"/>
  <c r="AP80" i="8"/>
  <c r="AP18" i="8"/>
  <c r="AP59" i="8" s="1"/>
  <c r="AP78" i="7"/>
  <c r="AP85" i="8"/>
  <c r="AP81" i="8"/>
  <c r="AP57" i="8"/>
  <c r="AP82" i="7"/>
  <c r="AP66" i="8" s="1"/>
  <c r="AP76" i="7"/>
  <c r="AP15" i="8"/>
  <c r="AP81" i="7"/>
  <c r="AP61" i="8" s="1"/>
  <c r="AP77" i="8"/>
  <c r="AP53" i="8"/>
  <c r="AP54" i="8" s="1"/>
  <c r="AP64" i="8"/>
  <c r="AP82" i="8"/>
  <c r="AQ69" i="8" l="1"/>
  <c r="AR2" i="8"/>
  <c r="AR79" i="7" s="1"/>
  <c r="AQ64" i="8"/>
  <c r="AQ77" i="7"/>
  <c r="AQ81" i="8"/>
  <c r="AQ78" i="7"/>
  <c r="AQ80" i="8"/>
  <c r="AQ57" i="8"/>
  <c r="AQ86" i="8"/>
  <c r="AQ76" i="7"/>
  <c r="AQ82" i="7"/>
  <c r="AQ66" i="8" s="1"/>
  <c r="AQ85" i="8"/>
  <c r="AQ72" i="8"/>
  <c r="AQ71" i="8"/>
  <c r="AQ53" i="8"/>
  <c r="AQ54" i="8" s="1"/>
  <c r="AQ81" i="7"/>
  <c r="AQ61" i="8" s="1"/>
  <c r="AQ31" i="8"/>
  <c r="AQ70" i="8"/>
  <c r="AQ77" i="8"/>
  <c r="AQ14" i="8"/>
  <c r="AQ12" i="8"/>
  <c r="AQ15" i="8"/>
  <c r="AQ18" i="8"/>
  <c r="AQ59" i="8" s="1"/>
  <c r="AQ13" i="8"/>
  <c r="AQ82" i="8"/>
  <c r="AR69" i="8" l="1"/>
  <c r="AS2" i="8"/>
  <c r="AS79" i="7" s="1"/>
  <c r="AR13" i="8"/>
  <c r="AR15" i="8"/>
  <c r="AR31" i="8"/>
  <c r="AR80" i="8"/>
  <c r="AR71" i="8"/>
  <c r="AR78" i="7"/>
  <c r="AR86" i="8"/>
  <c r="AR53" i="8"/>
  <c r="AR54" i="8" s="1"/>
  <c r="AR77" i="7"/>
  <c r="AR85" i="8"/>
  <c r="AR81" i="7"/>
  <c r="AR61" i="8" s="1"/>
  <c r="AR81" i="8"/>
  <c r="AR72" i="8"/>
  <c r="AR76" i="7"/>
  <c r="AR57" i="8"/>
  <c r="AR12" i="8"/>
  <c r="AR82" i="7"/>
  <c r="AR66" i="8" s="1"/>
  <c r="AR70" i="8"/>
  <c r="AR64" i="8"/>
  <c r="AR77" i="8"/>
  <c r="AR82" i="8"/>
  <c r="AR14" i="8"/>
  <c r="AR18" i="8"/>
  <c r="AR59" i="8" s="1"/>
  <c r="AS69" i="8" l="1"/>
  <c r="AT2" i="8"/>
  <c r="AT79" i="7" s="1"/>
  <c r="AS78" i="7"/>
  <c r="AS86" i="8"/>
  <c r="AS15" i="8"/>
  <c r="AS12" i="8"/>
  <c r="AS77" i="8"/>
  <c r="AS80" i="8"/>
  <c r="AS57" i="8"/>
  <c r="AS77" i="7"/>
  <c r="AS85" i="8"/>
  <c r="AS72" i="8"/>
  <c r="AS81" i="7"/>
  <c r="AS61" i="8" s="1"/>
  <c r="AS81" i="8"/>
  <c r="AS53" i="8"/>
  <c r="AS54" i="8" s="1"/>
  <c r="AS76" i="7"/>
  <c r="AS14" i="8"/>
  <c r="AS18" i="8"/>
  <c r="AS59" i="8" s="1"/>
  <c r="AS13" i="8"/>
  <c r="AS82" i="7"/>
  <c r="AS66" i="8" s="1"/>
  <c r="AS64" i="8"/>
  <c r="AS70" i="8"/>
  <c r="AS82" i="8"/>
  <c r="AS31" i="8"/>
  <c r="AS71" i="8"/>
  <c r="AU2" i="8" l="1"/>
  <c r="AU79" i="7" s="1"/>
  <c r="AT69" i="8"/>
  <c r="AT13" i="8"/>
  <c r="AT31" i="8"/>
  <c r="AT64" i="8"/>
  <c r="AT12" i="8"/>
  <c r="AT70" i="8"/>
  <c r="AT77" i="7"/>
  <c r="AT80" i="8"/>
  <c r="AT57" i="8"/>
  <c r="AT85" i="8"/>
  <c r="AT82" i="8"/>
  <c r="AT78" i="7"/>
  <c r="AT86" i="8"/>
  <c r="AT71" i="8"/>
  <c r="AT81" i="7"/>
  <c r="AT61" i="8" s="1"/>
  <c r="AT81" i="8"/>
  <c r="AT53" i="8"/>
  <c r="AT54" i="8" s="1"/>
  <c r="AT15" i="8"/>
  <c r="AT14" i="8"/>
  <c r="AT72" i="8"/>
  <c r="AT76" i="7"/>
  <c r="AT18" i="8"/>
  <c r="AT59" i="8" s="1"/>
  <c r="AT77" i="8"/>
  <c r="AT82" i="7"/>
  <c r="AT66" i="8" s="1"/>
  <c r="AU69" i="8" l="1"/>
  <c r="AV2" i="8"/>
  <c r="AV79" i="7" s="1"/>
  <c r="AU85" i="8"/>
  <c r="AU64" i="8"/>
  <c r="AU13" i="8"/>
  <c r="AU77" i="7"/>
  <c r="AU80" i="8"/>
  <c r="AU57" i="8"/>
  <c r="AU81" i="7"/>
  <c r="AU61" i="8" s="1"/>
  <c r="AU81" i="8"/>
  <c r="AU53" i="8"/>
  <c r="AU54" i="8" s="1"/>
  <c r="AU70" i="8"/>
  <c r="AU76" i="7"/>
  <c r="AU77" i="8"/>
  <c r="AU72" i="8"/>
  <c r="AU14" i="8"/>
  <c r="AU86" i="8"/>
  <c r="AU18" i="8"/>
  <c r="AU59" i="8" s="1"/>
  <c r="AU15" i="8"/>
  <c r="AU31" i="8"/>
  <c r="AU12" i="8"/>
  <c r="AU78" i="7"/>
  <c r="AU82" i="7"/>
  <c r="AU66" i="8" s="1"/>
  <c r="AU71" i="8"/>
  <c r="AU82" i="8"/>
  <c r="AV69" i="8" l="1"/>
  <c r="AW2" i="8"/>
  <c r="AW79" i="7" s="1"/>
  <c r="AV13" i="8"/>
  <c r="AV77" i="7"/>
  <c r="AV77" i="8"/>
  <c r="AV15" i="8"/>
  <c r="AV72" i="8"/>
  <c r="AV64" i="8"/>
  <c r="AV86" i="8"/>
  <c r="AV18" i="8"/>
  <c r="AV59" i="8" s="1"/>
  <c r="AV82" i="7"/>
  <c r="AV66" i="8" s="1"/>
  <c r="AV76" i="7"/>
  <c r="AV71" i="8"/>
  <c r="AV81" i="7"/>
  <c r="AV61" i="8" s="1"/>
  <c r="AV82" i="8"/>
  <c r="AV85" i="8"/>
  <c r="AV81" i="8"/>
  <c r="AV14" i="8"/>
  <c r="AV57" i="8"/>
  <c r="AV80" i="8"/>
  <c r="AV31" i="8"/>
  <c r="AV53" i="8"/>
  <c r="AV54" i="8" s="1"/>
  <c r="AV12" i="8"/>
  <c r="AV78" i="7"/>
  <c r="AV70" i="8"/>
  <c r="AW69" i="8" l="1"/>
  <c r="AX2" i="8"/>
  <c r="AX79" i="7" s="1"/>
  <c r="AW81" i="8"/>
  <c r="AW57" i="8"/>
  <c r="AW14" i="8"/>
  <c r="AW15" i="8"/>
  <c r="AW70" i="8"/>
  <c r="AW13" i="8"/>
  <c r="AW77" i="8"/>
  <c r="AW18" i="8"/>
  <c r="AW59" i="8" s="1"/>
  <c r="AW64" i="8"/>
  <c r="AW12" i="8"/>
  <c r="AW80" i="8"/>
  <c r="AW78" i="7"/>
  <c r="AW86" i="8"/>
  <c r="AW76" i="7"/>
  <c r="AW82" i="7"/>
  <c r="AW66" i="8" s="1"/>
  <c r="AW81" i="7"/>
  <c r="AW61" i="8" s="1"/>
  <c r="AW85" i="8"/>
  <c r="AW53" i="8"/>
  <c r="AW54" i="8" s="1"/>
  <c r="AW72" i="8"/>
  <c r="AW77" i="7"/>
  <c r="AW82" i="8"/>
  <c r="AW71" i="8"/>
  <c r="AW31" i="8"/>
  <c r="AY2" i="8" l="1"/>
  <c r="AY79" i="7" s="1"/>
  <c r="AX69" i="8"/>
  <c r="AX78" i="7"/>
  <c r="AX70" i="8"/>
  <c r="AX18" i="8"/>
  <c r="AX59" i="8" s="1"/>
  <c r="AX86" i="8"/>
  <c r="AX71" i="8"/>
  <c r="AX64" i="8"/>
  <c r="AX12" i="8"/>
  <c r="AX81" i="8"/>
  <c r="AX72" i="8"/>
  <c r="AX77" i="7"/>
  <c r="AX85" i="8"/>
  <c r="AX31" i="8"/>
  <c r="AX81" i="7"/>
  <c r="AX61" i="8" s="1"/>
  <c r="AX53" i="8"/>
  <c r="AX54" i="8" s="1"/>
  <c r="AX15" i="8"/>
  <c r="AX13" i="8"/>
  <c r="AX76" i="7"/>
  <c r="AX14" i="8"/>
  <c r="AX82" i="8"/>
  <c r="AX82" i="7"/>
  <c r="AX66" i="8" s="1"/>
  <c r="AX77" i="8"/>
  <c r="AX80" i="8"/>
  <c r="AX57" i="8"/>
  <c r="AY69" i="8" l="1"/>
  <c r="AZ2" i="8"/>
  <c r="AZ79" i="7" s="1"/>
  <c r="AY14" i="8"/>
  <c r="AY57" i="8"/>
  <c r="AY31" i="8"/>
  <c r="AY82" i="7"/>
  <c r="AY66" i="8" s="1"/>
  <c r="AY85" i="8"/>
  <c r="AY71" i="8"/>
  <c r="AY18" i="8"/>
  <c r="AY59" i="8" s="1"/>
  <c r="AY64" i="8"/>
  <c r="AY81" i="7"/>
  <c r="AY61" i="8" s="1"/>
  <c r="AY15" i="8"/>
  <c r="AY13" i="8"/>
  <c r="AY70" i="8"/>
  <c r="AY76" i="7"/>
  <c r="AY86" i="8"/>
  <c r="AY81" i="8"/>
  <c r="AY12" i="8"/>
  <c r="AY72" i="8"/>
  <c r="AY78" i="7"/>
  <c r="AY80" i="8"/>
  <c r="AY82" i="8"/>
  <c r="AY53" i="8"/>
  <c r="AY54" i="8" s="1"/>
  <c r="AY77" i="7"/>
  <c r="AY77" i="8"/>
  <c r="AZ69" i="8" l="1"/>
  <c r="BA2" i="8"/>
  <c r="BA79" i="7" s="1"/>
  <c r="AZ78" i="7"/>
  <c r="AZ86" i="8"/>
  <c r="AZ81" i="7"/>
  <c r="AZ61" i="8" s="1"/>
  <c r="AZ85" i="8"/>
  <c r="AZ71" i="8"/>
  <c r="AZ81" i="8"/>
  <c r="AZ53" i="8"/>
  <c r="AZ54" i="8" s="1"/>
  <c r="AZ14" i="8"/>
  <c r="AZ82" i="7"/>
  <c r="AZ66" i="8" s="1"/>
  <c r="AZ76" i="7"/>
  <c r="AZ77" i="7"/>
  <c r="AZ15" i="8"/>
  <c r="AZ72" i="8"/>
  <c r="AZ64" i="8"/>
  <c r="AZ70" i="8"/>
  <c r="AZ31" i="8"/>
  <c r="AZ18" i="8"/>
  <c r="AZ59" i="8" s="1"/>
  <c r="AZ82" i="8"/>
  <c r="AZ13" i="8"/>
  <c r="AZ12" i="8"/>
  <c r="AZ80" i="8"/>
  <c r="AZ77" i="8"/>
  <c r="AZ57" i="8"/>
  <c r="BA69" i="8" l="1"/>
  <c r="BB2" i="8"/>
  <c r="BB79" i="7" s="1"/>
  <c r="BA64" i="8"/>
  <c r="BA13" i="8"/>
  <c r="BA76" i="7"/>
  <c r="BA71" i="8"/>
  <c r="BA12" i="8"/>
  <c r="BA70" i="8"/>
  <c r="BA31" i="8"/>
  <c r="BA53" i="8"/>
  <c r="BA54" i="8" s="1"/>
  <c r="BA77" i="8"/>
  <c r="BA18" i="8"/>
  <c r="BA59" i="8" s="1"/>
  <c r="BA77" i="7"/>
  <c r="BA80" i="8"/>
  <c r="BA82" i="8"/>
  <c r="BA82" i="7"/>
  <c r="BA66" i="8" s="1"/>
  <c r="BA57" i="8"/>
  <c r="BA86" i="8"/>
  <c r="BA85" i="8"/>
  <c r="BA15" i="8"/>
  <c r="BA14" i="8"/>
  <c r="BA78" i="7"/>
  <c r="BA81" i="7"/>
  <c r="BA61" i="8" s="1"/>
  <c r="BA81" i="8"/>
  <c r="BA72" i="8"/>
  <c r="BC2" i="8" l="1"/>
  <c r="BC79" i="7" s="1"/>
  <c r="BB69" i="8"/>
  <c r="BB78" i="7"/>
  <c r="BB85" i="8"/>
  <c r="BB53" i="8"/>
  <c r="BB54" i="8" s="1"/>
  <c r="BB81" i="7"/>
  <c r="BB61" i="8" s="1"/>
  <c r="BB81" i="8"/>
  <c r="BB86" i="8"/>
  <c r="BB72" i="8"/>
  <c r="BB14" i="8"/>
  <c r="BB82" i="7"/>
  <c r="BB66" i="8" s="1"/>
  <c r="BB18" i="8"/>
  <c r="BB59" i="8" s="1"/>
  <c r="BB70" i="8"/>
  <c r="BB82" i="8"/>
  <c r="BB80" i="8"/>
  <c r="BB13" i="8"/>
  <c r="BB15" i="8"/>
  <c r="BB12" i="8"/>
  <c r="BB31" i="8"/>
  <c r="BB71" i="8"/>
  <c r="BB77" i="7"/>
  <c r="BB64" i="8"/>
  <c r="BB77" i="8"/>
  <c r="BB76" i="7"/>
  <c r="BB57" i="8"/>
  <c r="BC69" i="8" l="1"/>
  <c r="BD2" i="8"/>
  <c r="BD79" i="7" s="1"/>
  <c r="BC13" i="8"/>
  <c r="BC76" i="7"/>
  <c r="BC72" i="8"/>
  <c r="BC12" i="8"/>
  <c r="BC70" i="8"/>
  <c r="BC18" i="8"/>
  <c r="BC59" i="8" s="1"/>
  <c r="BC71" i="8"/>
  <c r="BC77" i="7"/>
  <c r="BC77" i="8"/>
  <c r="BC31" i="8"/>
  <c r="BC64" i="8"/>
  <c r="BC80" i="8"/>
  <c r="BC86" i="8"/>
  <c r="BC14" i="8"/>
  <c r="BC57" i="8"/>
  <c r="BC78" i="7"/>
  <c r="BC15" i="8"/>
  <c r="BC81" i="7"/>
  <c r="BC61" i="8" s="1"/>
  <c r="BC53" i="8"/>
  <c r="BC54" i="8" s="1"/>
  <c r="BC82" i="7"/>
  <c r="BC66" i="8" s="1"/>
  <c r="BC85" i="8"/>
  <c r="BC81" i="8"/>
  <c r="BC82" i="8"/>
  <c r="BD69" i="8" l="1"/>
  <c r="BE2" i="8"/>
  <c r="BE79" i="7" s="1"/>
  <c r="BD78" i="7"/>
  <c r="BD86" i="8"/>
  <c r="BD82" i="7"/>
  <c r="BD66" i="8" s="1"/>
  <c r="BD85" i="8"/>
  <c r="BD72" i="8"/>
  <c r="BD81" i="8"/>
  <c r="BD15" i="8"/>
  <c r="BD64" i="8"/>
  <c r="BD14" i="8"/>
  <c r="BD81" i="7"/>
  <c r="BD61" i="8" s="1"/>
  <c r="BD57" i="8"/>
  <c r="BD77" i="7"/>
  <c r="BD71" i="8"/>
  <c r="BD53" i="8"/>
  <c r="BD54" i="8" s="1"/>
  <c r="BD31" i="8"/>
  <c r="BD70" i="8"/>
  <c r="BD18" i="8"/>
  <c r="BD59" i="8" s="1"/>
  <c r="BD12" i="8"/>
  <c r="BD77" i="8"/>
  <c r="BD80" i="8"/>
  <c r="BD76" i="7"/>
  <c r="BD13" i="8"/>
  <c r="BD82" i="8"/>
  <c r="BE69" i="8" l="1"/>
  <c r="BF2" i="8"/>
  <c r="BF79" i="7" s="1"/>
  <c r="BE14" i="8"/>
  <c r="BE31" i="8"/>
  <c r="BE12" i="8"/>
  <c r="BE70" i="8"/>
  <c r="BE18" i="8"/>
  <c r="BE59" i="8" s="1"/>
  <c r="BE78" i="7"/>
  <c r="BE77" i="8"/>
  <c r="BE82" i="8"/>
  <c r="BE64" i="8"/>
  <c r="BE77" i="7"/>
  <c r="BE80" i="8"/>
  <c r="BE71" i="8"/>
  <c r="BE76" i="7"/>
  <c r="BE81" i="7"/>
  <c r="BE61" i="8" s="1"/>
  <c r="BE72" i="8"/>
  <c r="BE86" i="8"/>
  <c r="BE85" i="8"/>
  <c r="BE82" i="7"/>
  <c r="BE66" i="8" s="1"/>
  <c r="BE81" i="8"/>
  <c r="BE53" i="8"/>
  <c r="BE54" i="8" s="1"/>
  <c r="BE57" i="8"/>
  <c r="BE15" i="8"/>
  <c r="BE13" i="8"/>
  <c r="BG2" i="8" l="1"/>
  <c r="BG79" i="7" s="1"/>
  <c r="BF69" i="8"/>
  <c r="BF86" i="8"/>
  <c r="BF31" i="8"/>
  <c r="BF64" i="8"/>
  <c r="BF82" i="7"/>
  <c r="BF66" i="8" s="1"/>
  <c r="BF85" i="8"/>
  <c r="BF53" i="8"/>
  <c r="BF54" i="8" s="1"/>
  <c r="BF81" i="8"/>
  <c r="BF14" i="8"/>
  <c r="BF81" i="7"/>
  <c r="BF61" i="8" s="1"/>
  <c r="BF15" i="8"/>
  <c r="BF70" i="8"/>
  <c r="BF71" i="8"/>
  <c r="BF80" i="8"/>
  <c r="BF13" i="8"/>
  <c r="BF82" i="8"/>
  <c r="BF12" i="8"/>
  <c r="BF57" i="8"/>
  <c r="BF77" i="8"/>
  <c r="BF76" i="7"/>
  <c r="BF72" i="8"/>
  <c r="BF18" i="8"/>
  <c r="BF59" i="8" s="1"/>
  <c r="BF78" i="7"/>
  <c r="BF77" i="7"/>
  <c r="BG69" i="8" l="1"/>
  <c r="BH2" i="8"/>
  <c r="BH79" i="7" s="1"/>
  <c r="BG14" i="8"/>
  <c r="BG76" i="7"/>
  <c r="BG12" i="8"/>
  <c r="BG70" i="8"/>
  <c r="BG72" i="8"/>
  <c r="BG15" i="8"/>
  <c r="BG78" i="7"/>
  <c r="BG77" i="8"/>
  <c r="BG31" i="8"/>
  <c r="BG82" i="8"/>
  <c r="BG64" i="8"/>
  <c r="BG77" i="7"/>
  <c r="BG80" i="8"/>
  <c r="BG71" i="8"/>
  <c r="BG85" i="8"/>
  <c r="BG13" i="8"/>
  <c r="BG53" i="8"/>
  <c r="BG54" i="8" s="1"/>
  <c r="BG82" i="7"/>
  <c r="BG66" i="8" s="1"/>
  <c r="BG18" i="8"/>
  <c r="BG59" i="8" s="1"/>
  <c r="BG86" i="8"/>
  <c r="BG57" i="8"/>
  <c r="BG81" i="7"/>
  <c r="BG61" i="8" s="1"/>
  <c r="BG81" i="8"/>
  <c r="BH69" i="8" l="1"/>
  <c r="BI2" i="8"/>
  <c r="BI79" i="7" s="1"/>
  <c r="BH77" i="7"/>
  <c r="BH86" i="8"/>
  <c r="BH81" i="7"/>
  <c r="BH61" i="8" s="1"/>
  <c r="BH85" i="8"/>
  <c r="BH53" i="8"/>
  <c r="BH54" i="8" s="1"/>
  <c r="BH81" i="8"/>
  <c r="BH14" i="8"/>
  <c r="BH82" i="7"/>
  <c r="BH66" i="8" s="1"/>
  <c r="BH57" i="8"/>
  <c r="BH15" i="8"/>
  <c r="BH78" i="7"/>
  <c r="BH76" i="7"/>
  <c r="BH64" i="8"/>
  <c r="BH71" i="8"/>
  <c r="BH70" i="8"/>
  <c r="BH82" i="8"/>
  <c r="BH18" i="8"/>
  <c r="BH59" i="8" s="1"/>
  <c r="BH31" i="8"/>
  <c r="BH13" i="8"/>
  <c r="BH12" i="8"/>
  <c r="BH77" i="8"/>
  <c r="BH80" i="8"/>
  <c r="BH72" i="8"/>
  <c r="BI69" i="8" l="1"/>
  <c r="BJ2" i="8"/>
  <c r="BJ79" i="7" s="1"/>
  <c r="BI64" i="8"/>
  <c r="BI13" i="8"/>
  <c r="BI71" i="8"/>
  <c r="BI12" i="8"/>
  <c r="BI70" i="8"/>
  <c r="BI15" i="8"/>
  <c r="BI31" i="8"/>
  <c r="BI77" i="8"/>
  <c r="BI82" i="8"/>
  <c r="BI78" i="7"/>
  <c r="BI80" i="8"/>
  <c r="BI72" i="8"/>
  <c r="BI57" i="8"/>
  <c r="BI82" i="7"/>
  <c r="BI66" i="8" s="1"/>
  <c r="BI76" i="7"/>
  <c r="BI86" i="8"/>
  <c r="BI85" i="8"/>
  <c r="BI14" i="8"/>
  <c r="BI77" i="7"/>
  <c r="BI81" i="7"/>
  <c r="BI61" i="8" s="1"/>
  <c r="BI53" i="8"/>
  <c r="BI54" i="8" s="1"/>
  <c r="BI18" i="8"/>
  <c r="BI59" i="8" s="1"/>
  <c r="BI81" i="8"/>
  <c r="BK2" i="8" l="1"/>
  <c r="BK79" i="7" s="1"/>
  <c r="BJ69" i="8"/>
  <c r="BJ78" i="7"/>
  <c r="BJ85" i="8"/>
  <c r="BJ76" i="7"/>
  <c r="BJ82" i="7"/>
  <c r="BJ66" i="8" s="1"/>
  <c r="BJ86" i="8"/>
  <c r="BJ64" i="8"/>
  <c r="BJ81" i="8"/>
  <c r="BJ15" i="8"/>
  <c r="BJ14" i="8"/>
  <c r="BJ81" i="7"/>
  <c r="BJ61" i="8" s="1"/>
  <c r="BJ53" i="8"/>
  <c r="BJ54" i="8" s="1"/>
  <c r="BJ57" i="8"/>
  <c r="BJ70" i="8"/>
  <c r="BJ71" i="8"/>
  <c r="BJ80" i="8"/>
  <c r="BJ13" i="8"/>
  <c r="BJ12" i="8"/>
  <c r="BJ31" i="8"/>
  <c r="BJ72" i="8"/>
  <c r="BJ77" i="7"/>
  <c r="BJ77" i="8"/>
  <c r="BJ18" i="8"/>
  <c r="BJ59" i="8" s="1"/>
  <c r="BJ82" i="8"/>
  <c r="BK69" i="8" l="1"/>
  <c r="BL2" i="8"/>
  <c r="BL79" i="7" s="1"/>
  <c r="BK14" i="8"/>
  <c r="BK31" i="8"/>
  <c r="BK82" i="8"/>
  <c r="BK64" i="8"/>
  <c r="BK12" i="8"/>
  <c r="BK70" i="8"/>
  <c r="BK18" i="8"/>
  <c r="BK59" i="8" s="1"/>
  <c r="BK77" i="7"/>
  <c r="BK77" i="8"/>
  <c r="BK71" i="8"/>
  <c r="BK80" i="8"/>
  <c r="BK53" i="8"/>
  <c r="BK54" i="8" s="1"/>
  <c r="BK81" i="8"/>
  <c r="BK13" i="8"/>
  <c r="BK57" i="8"/>
  <c r="BK78" i="7"/>
  <c r="BK81" i="7"/>
  <c r="BK61" i="8" s="1"/>
  <c r="BK76" i="7"/>
  <c r="BK82" i="7"/>
  <c r="BK66" i="8" s="1"/>
  <c r="BK85" i="8"/>
  <c r="BK86" i="8"/>
  <c r="BK15" i="8"/>
  <c r="BK72" i="8"/>
  <c r="BL69" i="8" l="1"/>
  <c r="BM2" i="8"/>
  <c r="BM79" i="7" s="1"/>
  <c r="BL86" i="8"/>
  <c r="BL64" i="8"/>
  <c r="BL82" i="7"/>
  <c r="BL66" i="8" s="1"/>
  <c r="BL85" i="8"/>
  <c r="BL81" i="8"/>
  <c r="BL14" i="8"/>
  <c r="BL81" i="7"/>
  <c r="BL61" i="8" s="1"/>
  <c r="BL57" i="8"/>
  <c r="BL82" i="8"/>
  <c r="BL78" i="7"/>
  <c r="BL15" i="8"/>
  <c r="BL77" i="7"/>
  <c r="BL18" i="8"/>
  <c r="BL59" i="8" s="1"/>
  <c r="BL53" i="8"/>
  <c r="BL54" i="8" s="1"/>
  <c r="BL70" i="8"/>
  <c r="BL31" i="8"/>
  <c r="BL12" i="8"/>
  <c r="BL77" i="8"/>
  <c r="BL80" i="8"/>
  <c r="BL72" i="8"/>
  <c r="BL71" i="8"/>
  <c r="BL76" i="7"/>
  <c r="BL13" i="8"/>
  <c r="BM69" i="8" l="1"/>
  <c r="BN2" i="8"/>
  <c r="BN79" i="7" s="1"/>
  <c r="BM12" i="8"/>
  <c r="BM70" i="8"/>
  <c r="BM15" i="8"/>
  <c r="BM18" i="8"/>
  <c r="BM59" i="8" s="1"/>
  <c r="BM78" i="7"/>
  <c r="BM77" i="8"/>
  <c r="BM72" i="8"/>
  <c r="BM77" i="7"/>
  <c r="BM80" i="8"/>
  <c r="BM71" i="8"/>
  <c r="BM86" i="8"/>
  <c r="BM57" i="8"/>
  <c r="BM14" i="8"/>
  <c r="BM82" i="7"/>
  <c r="BM66" i="8" s="1"/>
  <c r="BM82" i="8"/>
  <c r="BM31" i="8"/>
  <c r="BM81" i="7"/>
  <c r="BM61" i="8" s="1"/>
  <c r="BM76" i="7"/>
  <c r="BM64" i="8"/>
  <c r="BM13" i="8"/>
  <c r="BM81" i="8"/>
  <c r="BM85" i="8"/>
  <c r="BM53" i="8"/>
  <c r="BM54" i="8" s="1"/>
  <c r="BO2" i="8" l="1"/>
  <c r="BO79" i="7" s="1"/>
  <c r="BN69" i="8"/>
  <c r="BN81" i="7"/>
  <c r="BN61" i="8" s="1"/>
  <c r="BN81" i="8"/>
  <c r="BN57" i="8"/>
  <c r="BN85" i="8"/>
  <c r="BN72" i="8"/>
  <c r="BN13" i="8"/>
  <c r="BN82" i="7"/>
  <c r="BN66" i="8" s="1"/>
  <c r="BN53" i="8"/>
  <c r="BN54" i="8" s="1"/>
  <c r="BN82" i="8"/>
  <c r="BN14" i="8"/>
  <c r="BN31" i="8"/>
  <c r="BN77" i="7"/>
  <c r="BN77" i="8"/>
  <c r="BN15" i="8"/>
  <c r="BN70" i="8"/>
  <c r="BN71" i="8"/>
  <c r="BN64" i="8"/>
  <c r="BN80" i="8"/>
  <c r="BN12" i="8"/>
  <c r="BN78" i="7"/>
  <c r="BN86" i="8"/>
  <c r="BN18" i="8"/>
  <c r="BN59" i="8" s="1"/>
  <c r="BN76" i="7"/>
  <c r="BO69" i="8" l="1"/>
  <c r="BP2" i="8"/>
  <c r="BP79" i="7" s="1"/>
  <c r="BO12" i="8"/>
  <c r="BO70" i="8"/>
  <c r="BO18" i="8"/>
  <c r="BO59" i="8" s="1"/>
  <c r="BO76" i="7"/>
  <c r="BO77" i="7"/>
  <c r="BO77" i="8"/>
  <c r="BO71" i="8"/>
  <c r="BO78" i="7"/>
  <c r="BO80" i="8"/>
  <c r="BO31" i="8"/>
  <c r="BO86" i="8"/>
  <c r="BO64" i="8"/>
  <c r="BO82" i="8"/>
  <c r="BO81" i="8"/>
  <c r="BO85" i="8"/>
  <c r="BO13" i="8"/>
  <c r="BO57" i="8"/>
  <c r="BO14" i="8"/>
  <c r="BO82" i="7"/>
  <c r="BO66" i="8" s="1"/>
  <c r="BO81" i="7"/>
  <c r="BO61" i="8" s="1"/>
  <c r="BO15" i="8"/>
  <c r="BO53" i="8"/>
  <c r="BO54" i="8" s="1"/>
  <c r="BO72" i="8"/>
  <c r="BP69" i="8" l="1"/>
  <c r="BQ2" i="8"/>
  <c r="BQ79" i="7" s="1"/>
  <c r="BP81" i="7"/>
  <c r="BP61" i="8" s="1"/>
  <c r="BP85" i="8"/>
  <c r="BP82" i="8"/>
  <c r="BP81" i="8"/>
  <c r="BP53" i="8"/>
  <c r="BP54" i="8" s="1"/>
  <c r="BP14" i="8"/>
  <c r="BP82" i="7"/>
  <c r="BP66" i="8" s="1"/>
  <c r="BP57" i="8"/>
  <c r="BP64" i="8"/>
  <c r="BP13" i="8"/>
  <c r="BP76" i="7"/>
  <c r="BP15" i="8"/>
  <c r="BP86" i="8"/>
  <c r="BP12" i="8"/>
  <c r="BP71" i="8"/>
  <c r="BP31" i="8"/>
  <c r="BP77" i="7"/>
  <c r="BP78" i="7"/>
  <c r="BP70" i="8"/>
  <c r="BP77" i="8"/>
  <c r="BP80" i="8"/>
  <c r="BP72" i="8"/>
  <c r="BP18" i="8"/>
  <c r="BP59" i="8" s="1"/>
  <c r="BQ69" i="8" l="1"/>
  <c r="BR2" i="8"/>
  <c r="BR79" i="7" s="1"/>
  <c r="BQ12" i="8"/>
  <c r="BQ70" i="8"/>
  <c r="BQ15" i="8"/>
  <c r="BQ31" i="8"/>
  <c r="BQ77" i="8"/>
  <c r="BQ18" i="8"/>
  <c r="BQ59" i="8" s="1"/>
  <c r="BQ72" i="8"/>
  <c r="BQ78" i="7"/>
  <c r="BQ80" i="8"/>
  <c r="BQ77" i="7"/>
  <c r="BQ86" i="8"/>
  <c r="BQ14" i="8"/>
  <c r="BQ81" i="7"/>
  <c r="BQ61" i="8" s="1"/>
  <c r="BQ71" i="8"/>
  <c r="BQ57" i="8"/>
  <c r="BQ64" i="8"/>
  <c r="BQ82" i="7"/>
  <c r="BQ66" i="8" s="1"/>
  <c r="BQ76" i="7"/>
  <c r="BQ85" i="8"/>
  <c r="BQ81" i="8"/>
  <c r="BQ53" i="8"/>
  <c r="BQ54" i="8" s="1"/>
  <c r="BQ82" i="8"/>
  <c r="BQ13" i="8"/>
  <c r="BS2" i="8" l="1"/>
  <c r="BS79" i="7" s="1"/>
  <c r="BR69" i="8"/>
  <c r="BR81" i="7"/>
  <c r="BR61" i="8" s="1"/>
  <c r="BR81" i="8"/>
  <c r="BR86" i="8"/>
  <c r="BR13" i="8"/>
  <c r="BR82" i="7"/>
  <c r="BR66" i="8" s="1"/>
  <c r="BR57" i="8"/>
  <c r="BR82" i="8"/>
  <c r="BR64" i="8"/>
  <c r="BR14" i="8"/>
  <c r="BR76" i="7"/>
  <c r="BR53" i="8"/>
  <c r="BR54" i="8" s="1"/>
  <c r="BR78" i="7"/>
  <c r="BR18" i="8"/>
  <c r="BR59" i="8" s="1"/>
  <c r="BR77" i="8"/>
  <c r="BR70" i="8"/>
  <c r="BR31" i="8"/>
  <c r="BR80" i="8"/>
  <c r="BR85" i="8"/>
  <c r="BR15" i="8"/>
  <c r="BR72" i="8"/>
  <c r="BR71" i="8"/>
  <c r="BR77" i="7"/>
  <c r="BR12" i="8"/>
  <c r="BS69" i="8" l="1"/>
  <c r="BT2" i="8"/>
  <c r="BT79" i="7" s="1"/>
  <c r="BS12" i="8"/>
  <c r="BS70" i="8"/>
  <c r="BS18" i="8"/>
  <c r="BS59" i="8" s="1"/>
  <c r="BS57" i="8"/>
  <c r="BS64" i="8"/>
  <c r="BS77" i="7"/>
  <c r="BS77" i="8"/>
  <c r="BS82" i="8"/>
  <c r="BS80" i="8"/>
  <c r="BS78" i="7"/>
  <c r="BS85" i="8"/>
  <c r="BS15" i="8"/>
  <c r="BS31" i="8"/>
  <c r="BS81" i="8"/>
  <c r="BS86" i="8"/>
  <c r="BS13" i="8"/>
  <c r="BS76" i="7"/>
  <c r="BS71" i="8"/>
  <c r="BS53" i="8"/>
  <c r="BS54" i="8" s="1"/>
  <c r="BS72" i="8"/>
  <c r="BS14" i="8"/>
  <c r="BS81" i="7"/>
  <c r="BS61" i="8" s="1"/>
  <c r="BS82" i="7"/>
  <c r="BS66" i="8" s="1"/>
  <c r="BT69" i="8" l="1"/>
  <c r="BU2" i="8"/>
  <c r="BU79" i="7" s="1"/>
  <c r="BT82" i="7"/>
  <c r="BT66" i="8" s="1"/>
  <c r="BT85" i="8"/>
  <c r="BT81" i="8"/>
  <c r="BT72" i="8"/>
  <c r="BT64" i="8"/>
  <c r="BT14" i="8"/>
  <c r="BT81" i="7"/>
  <c r="BT61" i="8" s="1"/>
  <c r="BT71" i="8"/>
  <c r="BT57" i="8"/>
  <c r="BT13" i="8"/>
  <c r="BT15" i="8"/>
  <c r="BT82" i="8"/>
  <c r="BT86" i="8"/>
  <c r="BT12" i="8"/>
  <c r="BT77" i="7"/>
  <c r="BT76" i="7"/>
  <c r="BT78" i="7"/>
  <c r="BT31" i="8"/>
  <c r="BT53" i="8"/>
  <c r="BT54" i="8" s="1"/>
  <c r="BT18" i="8"/>
  <c r="BT59" i="8" s="1"/>
  <c r="BT77" i="8"/>
  <c r="BT70" i="8"/>
  <c r="BT80" i="8"/>
  <c r="BU69" i="8" l="1"/>
  <c r="BV2" i="8"/>
  <c r="BV79" i="7" s="1"/>
  <c r="BU12" i="8"/>
  <c r="BU70" i="8"/>
  <c r="BU78" i="7"/>
  <c r="BU77" i="8"/>
  <c r="BU31" i="8"/>
  <c r="BU71" i="8"/>
  <c r="BU77" i="7"/>
  <c r="BU80" i="8"/>
  <c r="BU86" i="8"/>
  <c r="BU15" i="8"/>
  <c r="BU14" i="8"/>
  <c r="BU18" i="8"/>
  <c r="BU59" i="8" s="1"/>
  <c r="BU64" i="8"/>
  <c r="BU82" i="7"/>
  <c r="BU66" i="8" s="1"/>
  <c r="BU57" i="8"/>
  <c r="BU82" i="8"/>
  <c r="BU81" i="7"/>
  <c r="BU61" i="8" s="1"/>
  <c r="BU72" i="8"/>
  <c r="BU53" i="8"/>
  <c r="BU54" i="8" s="1"/>
  <c r="BU13" i="8"/>
  <c r="BU81" i="8"/>
  <c r="BU76" i="7"/>
  <c r="BU85" i="8"/>
  <c r="BW2" i="8" l="1"/>
  <c r="BW79" i="7" s="1"/>
  <c r="BV69" i="8"/>
  <c r="BV82" i="7"/>
  <c r="BV66" i="8" s="1"/>
  <c r="BV85" i="8"/>
  <c r="BV82" i="8"/>
  <c r="BV81" i="8"/>
  <c r="BV15" i="8"/>
  <c r="BV64" i="8"/>
  <c r="BV13" i="8"/>
  <c r="BV81" i="7"/>
  <c r="BV61" i="8" s="1"/>
  <c r="BV57" i="8"/>
  <c r="BV14" i="8"/>
  <c r="BV72" i="8"/>
  <c r="BV76" i="7"/>
  <c r="BV77" i="8"/>
  <c r="BV71" i="8"/>
  <c r="BV70" i="8"/>
  <c r="BV31" i="8"/>
  <c r="BV80" i="8"/>
  <c r="BV12" i="8"/>
  <c r="BV78" i="7"/>
  <c r="BV77" i="7"/>
  <c r="BV86" i="8"/>
  <c r="BV18" i="8"/>
  <c r="BV59" i="8" s="1"/>
  <c r="BV53" i="8"/>
  <c r="BV54" i="8" s="1"/>
  <c r="BW69" i="8" l="1"/>
  <c r="BX2" i="8"/>
  <c r="BX79" i="7" s="1"/>
  <c r="BW12" i="8"/>
  <c r="BW70" i="8"/>
  <c r="BW15" i="8"/>
  <c r="BW77" i="7"/>
  <c r="BW77" i="8"/>
  <c r="BW31" i="8"/>
  <c r="BW64" i="8"/>
  <c r="BW80" i="8"/>
  <c r="BW72" i="8"/>
  <c r="BW78" i="7"/>
  <c r="BW81" i="8"/>
  <c r="BW53" i="8"/>
  <c r="BW54" i="8" s="1"/>
  <c r="BW76" i="7"/>
  <c r="BW86" i="8"/>
  <c r="BW85" i="8"/>
  <c r="BW13" i="8"/>
  <c r="BW82" i="8"/>
  <c r="BW14" i="8"/>
  <c r="BW82" i="7"/>
  <c r="BW66" i="8" s="1"/>
  <c r="BW81" i="7"/>
  <c r="BW61" i="8" s="1"/>
  <c r="BW18" i="8"/>
  <c r="BW59" i="8" s="1"/>
  <c r="BW71" i="8"/>
  <c r="BW57" i="8"/>
  <c r="BX69" i="8" l="1"/>
  <c r="BY2" i="8"/>
  <c r="BY79" i="7" s="1"/>
  <c r="BX81" i="7"/>
  <c r="BX61" i="8" s="1"/>
  <c r="BX85" i="8"/>
  <c r="BX53" i="8"/>
  <c r="BX54" i="8" s="1"/>
  <c r="BX64" i="8"/>
  <c r="BX81" i="8"/>
  <c r="BX14" i="8"/>
  <c r="BX82" i="7"/>
  <c r="BX66" i="8" s="1"/>
  <c r="BX76" i="7"/>
  <c r="BX57" i="8"/>
  <c r="BX13" i="8"/>
  <c r="BX15" i="8"/>
  <c r="BX82" i="8"/>
  <c r="BX86" i="8"/>
  <c r="BX12" i="8"/>
  <c r="BX72" i="8"/>
  <c r="BX18" i="8"/>
  <c r="BX59" i="8" s="1"/>
  <c r="BX78" i="7"/>
  <c r="BX77" i="7"/>
  <c r="BX70" i="8"/>
  <c r="BX77" i="8"/>
  <c r="BX80" i="8"/>
  <c r="BX31" i="8"/>
  <c r="BX71" i="8"/>
  <c r="BY69" i="8" l="1"/>
  <c r="BZ2" i="8"/>
  <c r="BZ79" i="7" s="1"/>
  <c r="BY12" i="8"/>
  <c r="BY70" i="8"/>
  <c r="BY77" i="8"/>
  <c r="BY72" i="8"/>
  <c r="BY77" i="7"/>
  <c r="BY80" i="8"/>
  <c r="BY15" i="8"/>
  <c r="BY78" i="7"/>
  <c r="BY86" i="8"/>
  <c r="BY13" i="8"/>
  <c r="BY71" i="8"/>
  <c r="BY81" i="7"/>
  <c r="BY61" i="8" s="1"/>
  <c r="BY57" i="8"/>
  <c r="BY82" i="7"/>
  <c r="BY66" i="8" s="1"/>
  <c r="BY82" i="8"/>
  <c r="BY85" i="8"/>
  <c r="BY81" i="8"/>
  <c r="BY76" i="7"/>
  <c r="BY64" i="8"/>
  <c r="BY53" i="8"/>
  <c r="BY54" i="8" s="1"/>
  <c r="BY31" i="8"/>
  <c r="BY18" i="8"/>
  <c r="BY59" i="8" s="1"/>
  <c r="BY14" i="8"/>
  <c r="CA2" i="8" l="1"/>
  <c r="CA79" i="7" s="1"/>
  <c r="BZ69" i="8"/>
  <c r="BZ81" i="8"/>
  <c r="BZ13" i="8"/>
  <c r="BZ82" i="7"/>
  <c r="BZ66" i="8" s="1"/>
  <c r="BZ76" i="7"/>
  <c r="BZ15" i="8"/>
  <c r="BZ14" i="8"/>
  <c r="BZ70" i="8"/>
  <c r="BZ72" i="8"/>
  <c r="BZ64" i="8"/>
  <c r="BZ12" i="8"/>
  <c r="BZ80" i="8"/>
  <c r="BZ53" i="8"/>
  <c r="BZ54" i="8" s="1"/>
  <c r="BZ77" i="7"/>
  <c r="BZ85" i="8"/>
  <c r="BZ71" i="8"/>
  <c r="BZ86" i="8"/>
  <c r="BZ57" i="8"/>
  <c r="BZ78" i="7"/>
  <c r="BZ82" i="8"/>
  <c r="BZ81" i="7"/>
  <c r="BZ61" i="8" s="1"/>
  <c r="BZ77" i="8"/>
  <c r="BZ31" i="8"/>
  <c r="BZ18" i="8"/>
  <c r="BZ59" i="8" s="1"/>
  <c r="CA69" i="8" l="1"/>
  <c r="CB2" i="8"/>
  <c r="CB79" i="7" s="1"/>
  <c r="CA77" i="7"/>
  <c r="CA77" i="8"/>
  <c r="CA31" i="8"/>
  <c r="CA78" i="7"/>
  <c r="CA80" i="8"/>
  <c r="CA53" i="8"/>
  <c r="CA54" i="8" s="1"/>
  <c r="CA81" i="8"/>
  <c r="CA82" i="8"/>
  <c r="CA81" i="7"/>
  <c r="CA61" i="8" s="1"/>
  <c r="CA71" i="8"/>
  <c r="CA18" i="8"/>
  <c r="CA59" i="8" s="1"/>
  <c r="CA82" i="7"/>
  <c r="CA66" i="8" s="1"/>
  <c r="CA72" i="8"/>
  <c r="CA14" i="8"/>
  <c r="CA76" i="7"/>
  <c r="CA13" i="8"/>
  <c r="CA15" i="8"/>
  <c r="CA12" i="8"/>
  <c r="CA57" i="8"/>
  <c r="CA85" i="8"/>
  <c r="CA64" i="8"/>
  <c r="CA70" i="8"/>
  <c r="CA86" i="8"/>
  <c r="CB69" i="8" l="1"/>
  <c r="CC2" i="8"/>
  <c r="CC79" i="7" s="1"/>
  <c r="CB14" i="8"/>
  <c r="CB81" i="7"/>
  <c r="CB61" i="8" s="1"/>
  <c r="CB76" i="7"/>
  <c r="CB15" i="8"/>
  <c r="CB71" i="8"/>
  <c r="CB57" i="8"/>
  <c r="CB64" i="8"/>
  <c r="CB13" i="8"/>
  <c r="CB70" i="8"/>
  <c r="CB31" i="8"/>
  <c r="CB18" i="8"/>
  <c r="CB59" i="8" s="1"/>
  <c r="CB12" i="8"/>
  <c r="CB77" i="8"/>
  <c r="CB72" i="8"/>
  <c r="CB80" i="8"/>
  <c r="CB86" i="8"/>
  <c r="CB85" i="8"/>
  <c r="CB81" i="8"/>
  <c r="CB78" i="7"/>
  <c r="CB53" i="8"/>
  <c r="CB54" i="8" s="1"/>
  <c r="CB77" i="7"/>
  <c r="CB82" i="7"/>
  <c r="CB66" i="8" s="1"/>
  <c r="CB82" i="8"/>
  <c r="CC69" i="8" l="1"/>
  <c r="CD2" i="8"/>
  <c r="CD79" i="7" s="1"/>
  <c r="CC77" i="7"/>
  <c r="CC80" i="8"/>
  <c r="CC72" i="8"/>
  <c r="CC86" i="8"/>
  <c r="CC53" i="8"/>
  <c r="CC54" i="8" s="1"/>
  <c r="CC82" i="7"/>
  <c r="CC66" i="8" s="1"/>
  <c r="CC85" i="8"/>
  <c r="CC81" i="8"/>
  <c r="CC18" i="8"/>
  <c r="CC59" i="8" s="1"/>
  <c r="CC13" i="8"/>
  <c r="CC76" i="7"/>
  <c r="CC14" i="8"/>
  <c r="CC71" i="8"/>
  <c r="CC12" i="8"/>
  <c r="CC31" i="8"/>
  <c r="CC78" i="7"/>
  <c r="CC64" i="8"/>
  <c r="CC81" i="7"/>
  <c r="CC61" i="8" s="1"/>
  <c r="CC70" i="8"/>
  <c r="CC82" i="8"/>
  <c r="CC77" i="8"/>
  <c r="CC57" i="8"/>
  <c r="CC15" i="8"/>
  <c r="CE2" i="8" l="1"/>
  <c r="CE79" i="7" s="1"/>
  <c r="CD69" i="8"/>
  <c r="CD13" i="8"/>
  <c r="CD82" i="7"/>
  <c r="CD66" i="8" s="1"/>
  <c r="CD76" i="7"/>
  <c r="CD31" i="8"/>
  <c r="CD14" i="8"/>
  <c r="CD82" i="8"/>
  <c r="CD57" i="8"/>
  <c r="CD12" i="8"/>
  <c r="CD77" i="8"/>
  <c r="CD71" i="8"/>
  <c r="CD18" i="8"/>
  <c r="CD59" i="8" s="1"/>
  <c r="CD78" i="7"/>
  <c r="CD70" i="8"/>
  <c r="CD15" i="8"/>
  <c r="CD77" i="7"/>
  <c r="CD72" i="8"/>
  <c r="CD81" i="7"/>
  <c r="CD61" i="8" s="1"/>
  <c r="CD53" i="8"/>
  <c r="CD54" i="8" s="1"/>
  <c r="CD64" i="8"/>
  <c r="CD80" i="8"/>
  <c r="CD81" i="8"/>
  <c r="CD86" i="8"/>
  <c r="CD85" i="8"/>
  <c r="CE69" i="8" l="1"/>
  <c r="CF2" i="8"/>
  <c r="CF79" i="7" s="1"/>
  <c r="CE78" i="7"/>
  <c r="CE80" i="8"/>
  <c r="CE82" i="8"/>
  <c r="CE77" i="7"/>
  <c r="CE86" i="8"/>
  <c r="CE82" i="7"/>
  <c r="CE66" i="8" s="1"/>
  <c r="CE81" i="8"/>
  <c r="CE15" i="8"/>
  <c r="CE64" i="8"/>
  <c r="CE85" i="8"/>
  <c r="CE57" i="8"/>
  <c r="CE81" i="7"/>
  <c r="CE61" i="8" s="1"/>
  <c r="CE72" i="8"/>
  <c r="CE53" i="8"/>
  <c r="CE54" i="8" s="1"/>
  <c r="CE70" i="8"/>
  <c r="CE77" i="8"/>
  <c r="CE31" i="8"/>
  <c r="CE13" i="8"/>
  <c r="CE76" i="7"/>
  <c r="CE12" i="8"/>
  <c r="CE18" i="8"/>
  <c r="CE59" i="8" s="1"/>
  <c r="CE71" i="8"/>
  <c r="CE14" i="8"/>
  <c r="CF69" i="8" l="1"/>
  <c r="CG2" i="8"/>
  <c r="CG79" i="7" s="1"/>
  <c r="CF14" i="8"/>
  <c r="CF82" i="7"/>
  <c r="CF66" i="8" s="1"/>
  <c r="CF18" i="8"/>
  <c r="CF59" i="8" s="1"/>
  <c r="CF31" i="8"/>
  <c r="CF64" i="8"/>
  <c r="CF13" i="8"/>
  <c r="CF57" i="8"/>
  <c r="CF12" i="8"/>
  <c r="CF70" i="8"/>
  <c r="CF72" i="8"/>
  <c r="CF77" i="8"/>
  <c r="CF71" i="8"/>
  <c r="CF15" i="8"/>
  <c r="CF80" i="8"/>
  <c r="CF86" i="8"/>
  <c r="CF85" i="8"/>
  <c r="CF81" i="8"/>
  <c r="CF77" i="7"/>
  <c r="CF53" i="8"/>
  <c r="CF54" i="8" s="1"/>
  <c r="CF81" i="7"/>
  <c r="CF61" i="8" s="1"/>
  <c r="CF76" i="7"/>
  <c r="CF78" i="7"/>
  <c r="CF82" i="8"/>
  <c r="CG69" i="8" l="1"/>
  <c r="CH2" i="8"/>
  <c r="CH79" i="7" s="1"/>
  <c r="CG80" i="8"/>
  <c r="CG82" i="8"/>
  <c r="CG78" i="7"/>
  <c r="CG86" i="8"/>
  <c r="CG71" i="8"/>
  <c r="CG64" i="8"/>
  <c r="CG81" i="7"/>
  <c r="CG61" i="8" s="1"/>
  <c r="CG85" i="8"/>
  <c r="CG57" i="8"/>
  <c r="CG81" i="8"/>
  <c r="CG15" i="8"/>
  <c r="CG14" i="8"/>
  <c r="CG72" i="8"/>
  <c r="CG13" i="8"/>
  <c r="CG18" i="8"/>
  <c r="CG59" i="8" s="1"/>
  <c r="CG12" i="8"/>
  <c r="CG77" i="7"/>
  <c r="CG82" i="7"/>
  <c r="CG66" i="8" s="1"/>
  <c r="CG53" i="8"/>
  <c r="CG54" i="8" s="1"/>
  <c r="CG70" i="8"/>
  <c r="CG76" i="7"/>
  <c r="CG77" i="8"/>
  <c r="CG31" i="8"/>
  <c r="CI2" i="8" l="1"/>
  <c r="CI79" i="7" s="1"/>
  <c r="CH69" i="8"/>
  <c r="CH14" i="8"/>
  <c r="CH82" i="7"/>
  <c r="CH66" i="8" s="1"/>
  <c r="CH31" i="8"/>
  <c r="CH76" i="7"/>
  <c r="CH13" i="8"/>
  <c r="CH18" i="8"/>
  <c r="CH59" i="8" s="1"/>
  <c r="CH15" i="8"/>
  <c r="CH12" i="8"/>
  <c r="CH77" i="8"/>
  <c r="CH72" i="8"/>
  <c r="CH77" i="7"/>
  <c r="CH70" i="8"/>
  <c r="CH57" i="8"/>
  <c r="CH82" i="8"/>
  <c r="CH78" i="7"/>
  <c r="CH71" i="8"/>
  <c r="CH81" i="7"/>
  <c r="CH61" i="8" s="1"/>
  <c r="CH53" i="8"/>
  <c r="CH54" i="8" s="1"/>
  <c r="CH64" i="8"/>
  <c r="CH80" i="8"/>
  <c r="CH81" i="8"/>
  <c r="CH85" i="8"/>
  <c r="CH86" i="8"/>
  <c r="CI69" i="8" l="1"/>
  <c r="CJ2" i="8"/>
  <c r="CJ79" i="7" s="1"/>
  <c r="CI77" i="7"/>
  <c r="CI80" i="8"/>
  <c r="CI53" i="8"/>
  <c r="CI54" i="8" s="1"/>
  <c r="CI85" i="8"/>
  <c r="CI81" i="7"/>
  <c r="CI61" i="8" s="1"/>
  <c r="CI81" i="8"/>
  <c r="CI82" i="8"/>
  <c r="CI64" i="8"/>
  <c r="CI86" i="8"/>
  <c r="CI15" i="8"/>
  <c r="CI82" i="7"/>
  <c r="CI66" i="8" s="1"/>
  <c r="CI31" i="8"/>
  <c r="CI57" i="8"/>
  <c r="CI70" i="8"/>
  <c r="CI71" i="8"/>
  <c r="CI77" i="8"/>
  <c r="CI72" i="8"/>
  <c r="CI13" i="8"/>
  <c r="CI76" i="7"/>
  <c r="CI12" i="8"/>
  <c r="CI14" i="8"/>
  <c r="CI78" i="7"/>
  <c r="CI18" i="8"/>
  <c r="CI59" i="8" s="1"/>
  <c r="CJ69" i="8" l="1"/>
  <c r="CK2" i="8"/>
  <c r="CK79" i="7" s="1"/>
  <c r="CJ14" i="8"/>
  <c r="CJ81" i="7"/>
  <c r="CJ61" i="8" s="1"/>
  <c r="CJ57" i="8"/>
  <c r="CJ13" i="8"/>
  <c r="CJ31" i="8"/>
  <c r="CJ53" i="8"/>
  <c r="CJ54" i="8" s="1"/>
  <c r="CJ12" i="8"/>
  <c r="CJ70" i="8"/>
  <c r="CJ71" i="8"/>
  <c r="CJ77" i="7"/>
  <c r="CJ77" i="8"/>
  <c r="CJ15" i="8"/>
  <c r="CJ72" i="8"/>
  <c r="CJ80" i="8"/>
  <c r="CJ86" i="8"/>
  <c r="CJ85" i="8"/>
  <c r="CJ81" i="8"/>
  <c r="CJ82" i="8"/>
  <c r="CJ82" i="7"/>
  <c r="CJ66" i="8" s="1"/>
  <c r="CJ76" i="7"/>
  <c r="CJ64" i="8"/>
  <c r="CJ78" i="7"/>
  <c r="CJ18" i="8"/>
  <c r="CJ59" i="8" s="1"/>
  <c r="CK69" i="8" l="1"/>
  <c r="CL2" i="8"/>
  <c r="CL79" i="7" s="1"/>
  <c r="CK77" i="7"/>
  <c r="CK80" i="8"/>
  <c r="CK71" i="8"/>
  <c r="CK86" i="8"/>
  <c r="CK72" i="8"/>
  <c r="CK82" i="7"/>
  <c r="CK66" i="8" s="1"/>
  <c r="CK85" i="8"/>
  <c r="CK81" i="8"/>
  <c r="CK82" i="8"/>
  <c r="CK13" i="8"/>
  <c r="CK57" i="8"/>
  <c r="CK14" i="8"/>
  <c r="CK18" i="8"/>
  <c r="CK59" i="8" s="1"/>
  <c r="CK12" i="8"/>
  <c r="CK78" i="7"/>
  <c r="CK76" i="7"/>
  <c r="CK81" i="7"/>
  <c r="CK61" i="8" s="1"/>
  <c r="CK53" i="8"/>
  <c r="CK54" i="8" s="1"/>
  <c r="CK70" i="8"/>
  <c r="CK15" i="8"/>
  <c r="CK31" i="8"/>
  <c r="CK64" i="8"/>
  <c r="CK77" i="8"/>
  <c r="CM2" i="8" l="1"/>
  <c r="CM79" i="7" s="1"/>
  <c r="CL69" i="8"/>
  <c r="CL13" i="8"/>
  <c r="CL81" i="7"/>
  <c r="CL61" i="8" s="1"/>
  <c r="CL57" i="8"/>
  <c r="CL53" i="8"/>
  <c r="CL54" i="8" s="1"/>
  <c r="CL14" i="8"/>
  <c r="CL72" i="8"/>
  <c r="CL64" i="8"/>
  <c r="CL12" i="8"/>
  <c r="CL77" i="8"/>
  <c r="CL15" i="8"/>
  <c r="CL76" i="7"/>
  <c r="CL78" i="7"/>
  <c r="CL70" i="8"/>
  <c r="CL18" i="8"/>
  <c r="CL59" i="8" s="1"/>
  <c r="CL82" i="8"/>
  <c r="CL77" i="7"/>
  <c r="CL31" i="8"/>
  <c r="CL82" i="7"/>
  <c r="CL66" i="8" s="1"/>
  <c r="CL71" i="8"/>
  <c r="CL80" i="8"/>
  <c r="CL85" i="8"/>
  <c r="CL86" i="8"/>
  <c r="CL81" i="8"/>
  <c r="CM69" i="8" l="1"/>
  <c r="CN2" i="8"/>
  <c r="CN79" i="7" s="1"/>
  <c r="CM77" i="7"/>
  <c r="CM80" i="8"/>
  <c r="CM81" i="8"/>
  <c r="CM15" i="8"/>
  <c r="CM82" i="7"/>
  <c r="CM66" i="8" s="1"/>
  <c r="CM86" i="8"/>
  <c r="CM31" i="8"/>
  <c r="CM85" i="8"/>
  <c r="CM53" i="8"/>
  <c r="CM54" i="8" s="1"/>
  <c r="CM81" i="7"/>
  <c r="CM61" i="8" s="1"/>
  <c r="CM76" i="7"/>
  <c r="CM64" i="8"/>
  <c r="CM70" i="8"/>
  <c r="CM18" i="8"/>
  <c r="CM59" i="8" s="1"/>
  <c r="CM77" i="8"/>
  <c r="CM13" i="8"/>
  <c r="CM57" i="8"/>
  <c r="CM12" i="8"/>
  <c r="CM82" i="8"/>
  <c r="CM14" i="8"/>
  <c r="CM78" i="7"/>
  <c r="CM71" i="8"/>
  <c r="CM72" i="8"/>
  <c r="CN69" i="8" l="1"/>
  <c r="CO2" i="8"/>
  <c r="CO79" i="7" s="1"/>
  <c r="CN64" i="8"/>
  <c r="CN14" i="8"/>
  <c r="CN82" i="7"/>
  <c r="CN66" i="8" s="1"/>
  <c r="CN57" i="8"/>
  <c r="CN15" i="8"/>
  <c r="CN13" i="8"/>
  <c r="CN72" i="8"/>
  <c r="CN71" i="8"/>
  <c r="CN12" i="8"/>
  <c r="CN70" i="8"/>
  <c r="CN31" i="8"/>
  <c r="CN53" i="8"/>
  <c r="CN54" i="8" s="1"/>
  <c r="CN77" i="8"/>
  <c r="CN76" i="7"/>
  <c r="CN80" i="8"/>
  <c r="CN86" i="8"/>
  <c r="CN85" i="8"/>
  <c r="CN81" i="8"/>
  <c r="CN78" i="7"/>
  <c r="CN82" i="8"/>
  <c r="CN81" i="7"/>
  <c r="CN61" i="8" s="1"/>
  <c r="CN18" i="8"/>
  <c r="CN59" i="8" s="1"/>
  <c r="CN77" i="7"/>
  <c r="CO69" i="8" l="1"/>
  <c r="CP2" i="8"/>
  <c r="CP79" i="7" s="1"/>
  <c r="CO77" i="7"/>
  <c r="CO80" i="8"/>
  <c r="CO18" i="8"/>
  <c r="CO59" i="8" s="1"/>
  <c r="CO78" i="7"/>
  <c r="CO86" i="8"/>
  <c r="CO81" i="7"/>
  <c r="CO61" i="8" s="1"/>
  <c r="CO85" i="8"/>
  <c r="CO81" i="8"/>
  <c r="CO76" i="7"/>
  <c r="CO14" i="8"/>
  <c r="CO53" i="8"/>
  <c r="CO54" i="8" s="1"/>
  <c r="CO13" i="8"/>
  <c r="CO12" i="8"/>
  <c r="CO15" i="8"/>
  <c r="CO31" i="8"/>
  <c r="CO82" i="7"/>
  <c r="CO66" i="8" s="1"/>
  <c r="CO71" i="8"/>
  <c r="CO70" i="8"/>
  <c r="CO72" i="8"/>
  <c r="CO64" i="8"/>
  <c r="CO57" i="8"/>
  <c r="CO77" i="8"/>
  <c r="CO82" i="8"/>
  <c r="CQ2" i="8" l="1"/>
  <c r="CQ79" i="7" s="1"/>
  <c r="CP69" i="8"/>
  <c r="CP14" i="8"/>
  <c r="CP82" i="7"/>
  <c r="CP66" i="8" s="1"/>
  <c r="CP57" i="8"/>
  <c r="CP53" i="8"/>
  <c r="CP54" i="8" s="1"/>
  <c r="CP13" i="8"/>
  <c r="CP71" i="8"/>
  <c r="CP64" i="8"/>
  <c r="CP12" i="8"/>
  <c r="CP77" i="8"/>
  <c r="CP72" i="8"/>
  <c r="CP82" i="8"/>
  <c r="CP77" i="7"/>
  <c r="CP70" i="8"/>
  <c r="CP76" i="7"/>
  <c r="CP31" i="8"/>
  <c r="CP15" i="8"/>
  <c r="CP78" i="7"/>
  <c r="CP18" i="8"/>
  <c r="CP59" i="8" s="1"/>
  <c r="CP81" i="7"/>
  <c r="CP61" i="8" s="1"/>
  <c r="CP80" i="8"/>
  <c r="CP86" i="8"/>
  <c r="CP81" i="8"/>
  <c r="CP85" i="8"/>
  <c r="CQ69" i="8" l="1"/>
  <c r="CR2" i="8"/>
  <c r="CR79" i="7" s="1"/>
  <c r="CQ80" i="8"/>
  <c r="CQ15" i="8"/>
  <c r="CQ78" i="7"/>
  <c r="CQ81" i="8"/>
  <c r="CQ81" i="7"/>
  <c r="CQ61" i="8" s="1"/>
  <c r="CQ85" i="8"/>
  <c r="CQ76" i="7"/>
  <c r="CQ86" i="8"/>
  <c r="CQ71" i="8"/>
  <c r="CQ82" i="7"/>
  <c r="CQ66" i="8" s="1"/>
  <c r="CQ31" i="8"/>
  <c r="CQ53" i="8"/>
  <c r="CQ54" i="8" s="1"/>
  <c r="CQ70" i="8"/>
  <c r="CQ64" i="8"/>
  <c r="CQ77" i="8"/>
  <c r="CQ82" i="8"/>
  <c r="CQ14" i="8"/>
  <c r="CQ57" i="8"/>
  <c r="CQ12" i="8"/>
  <c r="CQ18" i="8"/>
  <c r="CQ59" i="8" s="1"/>
  <c r="CQ13" i="8"/>
  <c r="CQ72" i="8"/>
  <c r="CQ77" i="7"/>
  <c r="CR69" i="8" l="1"/>
  <c r="CS2" i="8"/>
  <c r="CS79" i="7" s="1"/>
  <c r="CR14" i="8"/>
  <c r="CR81" i="7"/>
  <c r="CR61" i="8" s="1"/>
  <c r="CR57" i="8"/>
  <c r="CR53" i="8"/>
  <c r="CR54" i="8" s="1"/>
  <c r="CR64" i="8"/>
  <c r="CR13" i="8"/>
  <c r="CR31" i="8"/>
  <c r="CR12" i="8"/>
  <c r="CR70" i="8"/>
  <c r="CR76" i="7"/>
  <c r="CR15" i="8"/>
  <c r="CR77" i="7"/>
  <c r="CR77" i="8"/>
  <c r="CR71" i="8"/>
  <c r="CR82" i="8"/>
  <c r="CR80" i="8"/>
  <c r="CR86" i="8"/>
  <c r="CR85" i="8"/>
  <c r="CR81" i="8"/>
  <c r="CR78" i="7"/>
  <c r="CR72" i="8"/>
  <c r="CR82" i="7"/>
  <c r="CR66" i="8" s="1"/>
  <c r="CR18" i="8"/>
  <c r="CR59" i="8" s="1"/>
  <c r="CS69" i="8" l="1"/>
  <c r="CT2" i="8"/>
  <c r="CT79" i="7" s="1"/>
  <c r="CS77" i="7"/>
  <c r="CS80" i="8"/>
  <c r="CS72" i="8"/>
  <c r="CS86" i="8"/>
  <c r="CS71" i="8"/>
  <c r="CS82" i="7"/>
  <c r="CS66" i="8" s="1"/>
  <c r="CS85" i="8"/>
  <c r="CS81" i="8"/>
  <c r="CS18" i="8"/>
  <c r="CS59" i="8" s="1"/>
  <c r="CS13" i="8"/>
  <c r="CS57" i="8"/>
  <c r="CS14" i="8"/>
  <c r="CS15" i="8"/>
  <c r="CS12" i="8"/>
  <c r="CS31" i="8"/>
  <c r="CS78" i="7"/>
  <c r="CS76" i="7"/>
  <c r="CS81" i="7"/>
  <c r="CS61" i="8" s="1"/>
  <c r="CS70" i="8"/>
  <c r="CS77" i="8"/>
  <c r="CS53" i="8"/>
  <c r="CS54" i="8" s="1"/>
  <c r="CS82" i="8"/>
  <c r="CS64" i="8"/>
  <c r="CU2" i="8" l="1"/>
  <c r="CU79" i="7" s="1"/>
  <c r="CT69" i="8"/>
  <c r="CT13" i="8"/>
  <c r="CT81" i="7"/>
  <c r="CT61" i="8" s="1"/>
  <c r="CT57" i="8"/>
  <c r="CT53" i="8"/>
  <c r="CT54" i="8" s="1"/>
  <c r="CT14" i="8"/>
  <c r="CT31" i="8"/>
  <c r="CT64" i="8"/>
  <c r="CT12" i="8"/>
  <c r="CT77" i="8"/>
  <c r="CT76" i="7"/>
  <c r="CT15" i="8"/>
  <c r="CT70" i="8"/>
  <c r="CT82" i="8"/>
  <c r="CT72" i="8"/>
  <c r="CT78" i="7"/>
  <c r="CT18" i="8"/>
  <c r="CT59" i="8" s="1"/>
  <c r="CT77" i="7"/>
  <c r="CT82" i="7"/>
  <c r="CT66" i="8" s="1"/>
  <c r="CT71" i="8"/>
  <c r="CT80" i="8"/>
  <c r="CT81" i="8"/>
  <c r="CT86" i="8"/>
  <c r="CT85" i="8"/>
  <c r="CU69" i="8" l="1"/>
  <c r="CV2" i="8"/>
  <c r="CV79" i="7" s="1"/>
  <c r="CU77" i="7"/>
  <c r="CU80" i="8"/>
  <c r="CU76" i="7"/>
  <c r="CU86" i="8"/>
  <c r="CU82" i="8"/>
  <c r="CU82" i="7"/>
  <c r="CU66" i="8" s="1"/>
  <c r="CU81" i="8"/>
  <c r="CU18" i="8"/>
  <c r="CU59" i="8" s="1"/>
  <c r="CU85" i="8"/>
  <c r="CU81" i="7"/>
  <c r="CU61" i="8" s="1"/>
  <c r="CU72" i="8"/>
  <c r="CU70" i="8"/>
  <c r="CU57" i="8"/>
  <c r="CU64" i="8"/>
  <c r="CU77" i="8"/>
  <c r="CU15" i="8"/>
  <c r="CU13" i="8"/>
  <c r="CU53" i="8"/>
  <c r="CU54" i="8" s="1"/>
  <c r="CU12" i="8"/>
  <c r="CU71" i="8"/>
  <c r="CU78" i="7"/>
  <c r="CU31" i="8"/>
  <c r="CU14" i="8"/>
  <c r="CV69" i="8" l="1"/>
  <c r="CW2" i="8"/>
  <c r="CW79" i="7" s="1"/>
  <c r="CV14" i="8"/>
  <c r="CV82" i="7"/>
  <c r="CV66" i="8" s="1"/>
  <c r="CV57" i="8"/>
  <c r="CV13" i="8"/>
  <c r="CV82" i="8"/>
  <c r="CV53" i="8"/>
  <c r="CV54" i="8" s="1"/>
  <c r="CV12" i="8"/>
  <c r="CV70" i="8"/>
  <c r="CV72" i="8"/>
  <c r="CV77" i="8"/>
  <c r="CV31" i="8"/>
  <c r="CV15" i="8"/>
  <c r="CV64" i="8"/>
  <c r="CV80" i="8"/>
  <c r="CV86" i="8"/>
  <c r="CV85" i="8"/>
  <c r="CV81" i="8"/>
  <c r="CV77" i="7"/>
  <c r="CV71" i="8"/>
  <c r="CV81" i="7"/>
  <c r="CV61" i="8" s="1"/>
  <c r="CV76" i="7"/>
  <c r="CV78" i="7"/>
  <c r="CV18" i="8"/>
  <c r="CV59" i="8" s="1"/>
  <c r="CW69" i="8" l="1"/>
  <c r="CX2" i="8"/>
  <c r="CX79" i="7" s="1"/>
  <c r="CW77" i="7"/>
  <c r="CW80" i="8"/>
  <c r="CW78" i="7"/>
  <c r="CW86" i="8"/>
  <c r="CW76" i="7"/>
  <c r="CW81" i="7"/>
  <c r="CW61" i="8" s="1"/>
  <c r="CW85" i="8"/>
  <c r="CW81" i="8"/>
  <c r="CW15" i="8"/>
  <c r="CW14" i="8"/>
  <c r="CW53" i="8"/>
  <c r="CW54" i="8" s="1"/>
  <c r="CW13" i="8"/>
  <c r="CW12" i="8"/>
  <c r="CW72" i="8"/>
  <c r="CW18" i="8"/>
  <c r="CW59" i="8" s="1"/>
  <c r="CW82" i="7"/>
  <c r="CW66" i="8" s="1"/>
  <c r="CW31" i="8"/>
  <c r="CW70" i="8"/>
  <c r="CW71" i="8"/>
  <c r="CW77" i="8"/>
  <c r="CW57" i="8"/>
  <c r="CW82" i="8"/>
  <c r="CW64" i="8"/>
  <c r="CX69" i="8" l="1"/>
  <c r="CX14" i="8"/>
  <c r="CX82" i="7"/>
  <c r="CX66" i="8" s="1"/>
  <c r="CX86" i="8"/>
  <c r="CX18" i="8"/>
  <c r="CX59" i="8" s="1"/>
  <c r="CX13" i="8"/>
  <c r="CX76" i="7"/>
  <c r="B5" i="8" s="1" a="1"/>
  <c r="CX64" i="8"/>
  <c r="CX12" i="8"/>
  <c r="CX77" i="8"/>
  <c r="CX57" i="8"/>
  <c r="CX77" i="7"/>
  <c r="CX70" i="8"/>
  <c r="CX72" i="8"/>
  <c r="CX15" i="8"/>
  <c r="CX31" i="8"/>
  <c r="CX78" i="7"/>
  <c r="CX71" i="8"/>
  <c r="CX81" i="7"/>
  <c r="CX61" i="8" s="1"/>
  <c r="CX53" i="8"/>
  <c r="CX54" i="8" s="1"/>
  <c r="CX80" i="8"/>
  <c r="CX82" i="8"/>
  <c r="CX85" i="8"/>
  <c r="E8" i="7" s="1"/>
  <c r="CX81" i="8"/>
  <c r="AP5" i="8" l="1"/>
  <c r="AV5" i="8"/>
  <c r="CX5" i="8"/>
  <c r="AI5" i="8"/>
  <c r="CE5" i="8"/>
  <c r="AL5" i="8"/>
  <c r="Y5" i="8"/>
  <c r="BR5" i="8"/>
  <c r="CC5" i="8"/>
  <c r="CH5" i="8"/>
  <c r="BB5" i="8"/>
  <c r="CJ5" i="8"/>
  <c r="CU5" i="8"/>
  <c r="CW5" i="8"/>
  <c r="BH5" i="8"/>
  <c r="BI5" i="8"/>
  <c r="I5" i="8"/>
  <c r="I53" i="8" s="1"/>
  <c r="BE5" i="8"/>
  <c r="CQ5" i="8"/>
  <c r="AB5" i="8"/>
  <c r="CB5" i="8"/>
  <c r="AE5" i="8"/>
  <c r="AR5" i="8"/>
  <c r="BK5" i="8"/>
  <c r="L5" i="8"/>
  <c r="L53" i="8" s="1"/>
  <c r="BO5" i="8"/>
  <c r="V5" i="8"/>
  <c r="CN5" i="8"/>
  <c r="AU5" i="8"/>
  <c r="X5" i="8"/>
  <c r="O5" i="8"/>
  <c r="CD5" i="8"/>
  <c r="CG5" i="8"/>
  <c r="AX5" i="8"/>
  <c r="CF5" i="8"/>
  <c r="R5" i="8"/>
  <c r="AK5" i="8"/>
  <c r="AN5" i="8"/>
  <c r="E5" i="8"/>
  <c r="E53" i="8" s="1"/>
  <c r="AO5" i="8"/>
  <c r="CT5" i="8"/>
  <c r="BA5" i="8"/>
  <c r="AH5" i="8"/>
  <c r="BX5" i="8"/>
  <c r="K5" i="8"/>
  <c r="K53" i="8" s="1"/>
  <c r="U5" i="8"/>
  <c r="BZ5" i="8"/>
  <c r="AT5" i="8"/>
  <c r="CO5" i="8"/>
  <c r="B5" i="8"/>
  <c r="BN5" i="8"/>
  <c r="CA5" i="8"/>
  <c r="H5" i="8"/>
  <c r="H53" i="8" s="1"/>
  <c r="BW5" i="8"/>
  <c r="AQ5" i="8"/>
  <c r="T5" i="8"/>
  <c r="CI5" i="8"/>
  <c r="N5" i="8"/>
  <c r="BD5" i="8"/>
  <c r="AG5" i="8"/>
  <c r="CR5" i="8"/>
  <c r="AZ5" i="8"/>
  <c r="C5" i="8"/>
  <c r="C53" i="8" s="1"/>
  <c r="BQ5" i="8"/>
  <c r="BT5" i="8"/>
  <c r="BF5" i="8"/>
  <c r="Z5" i="8"/>
  <c r="BU5" i="8"/>
  <c r="BY5" i="8"/>
  <c r="BC5" i="8"/>
  <c r="W5" i="8"/>
  <c r="AC5" i="8"/>
  <c r="CL5" i="8"/>
  <c r="P5" i="8"/>
  <c r="AY5" i="8"/>
  <c r="S5" i="8"/>
  <c r="BJ5" i="8"/>
  <c r="BM5" i="8"/>
  <c r="CK5" i="8"/>
  <c r="CM5" i="8"/>
  <c r="G5" i="8"/>
  <c r="G53" i="8" s="1"/>
  <c r="AA5" i="8"/>
  <c r="Q5" i="8"/>
  <c r="AJ5" i="8"/>
  <c r="M5" i="8"/>
  <c r="BS5" i="8"/>
  <c r="BV5" i="8"/>
  <c r="BL5" i="8"/>
  <c r="BP5" i="8"/>
  <c r="CV5" i="8"/>
  <c r="AF5" i="8"/>
  <c r="BG5" i="8"/>
  <c r="CP5" i="8"/>
  <c r="AD5" i="8"/>
  <c r="CS5" i="8"/>
  <c r="F5" i="8"/>
  <c r="F53" i="8" s="1"/>
  <c r="AM5" i="8"/>
  <c r="J5" i="8"/>
  <c r="J53" i="8" s="1"/>
  <c r="AS5" i="8"/>
  <c r="AW5" i="8"/>
  <c r="D5" i="8"/>
  <c r="D53" i="8" s="1"/>
  <c r="F54" i="8" l="1"/>
  <c r="F57" i="8"/>
  <c r="F71" i="8" s="1"/>
  <c r="F72" i="8" s="1"/>
  <c r="F77" i="8" s="1"/>
  <c r="E54" i="8"/>
  <c r="E57" i="8"/>
  <c r="E71" i="8" s="1"/>
  <c r="E72" i="8" s="1"/>
  <c r="E77" i="8" s="1"/>
  <c r="D54" i="8"/>
  <c r="D57" i="8"/>
  <c r="D71" i="8" s="1"/>
  <c r="D72" i="8" s="1"/>
  <c r="D77" i="8" s="1"/>
  <c r="K54" i="8"/>
  <c r="K57" i="8"/>
  <c r="K71" i="8" s="1"/>
  <c r="K72" i="8" s="1"/>
  <c r="K77" i="8" s="1"/>
  <c r="H54" i="8"/>
  <c r="H57" i="8"/>
  <c r="H71" i="8" s="1"/>
  <c r="H72" i="8" s="1"/>
  <c r="H77" i="8" s="1"/>
  <c r="J54" i="8"/>
  <c r="J57" i="8"/>
  <c r="J71" i="8" s="1"/>
  <c r="J72" i="8" s="1"/>
  <c r="J77" i="8" s="1"/>
  <c r="C54" i="8"/>
  <c r="C57" i="8"/>
  <c r="C71" i="8" s="1"/>
  <c r="C72" i="8" s="1"/>
  <c r="C77" i="8" s="1"/>
  <c r="G54" i="8"/>
  <c r="G57" i="8"/>
  <c r="G71" i="8" s="1"/>
  <c r="G72" i="8" s="1"/>
  <c r="G77" i="8" s="1"/>
  <c r="L54" i="8"/>
  <c r="L57" i="8"/>
  <c r="L71" i="8" s="1"/>
  <c r="L72" i="8" s="1"/>
  <c r="L77" i="8" s="1"/>
  <c r="I54" i="8"/>
  <c r="I57" i="8"/>
  <c r="I71" i="8" s="1"/>
  <c r="I72" i="8" s="1"/>
  <c r="I77" i="8" s="1"/>
  <c r="G80" i="8" l="1"/>
  <c r="G82" i="8" s="1"/>
  <c r="K80" i="8"/>
  <c r="J80" i="8"/>
  <c r="J82" i="8" s="1"/>
  <c r="E80" i="8"/>
  <c r="E82" i="8" s="1"/>
  <c r="K86" i="8"/>
  <c r="K82" i="8"/>
  <c r="C80" i="8"/>
  <c r="D80" i="8"/>
  <c r="I80" i="8"/>
  <c r="L80" i="8"/>
  <c r="H80" i="8"/>
  <c r="F80" i="8"/>
  <c r="G86" i="8" l="1"/>
  <c r="E86" i="8"/>
  <c r="J86" i="8"/>
  <c r="D82" i="8"/>
  <c r="D86" i="8"/>
  <c r="H82" i="8"/>
  <c r="H86" i="8"/>
  <c r="C86" i="8"/>
  <c r="C82" i="8"/>
  <c r="L86" i="8"/>
  <c r="L82" i="8"/>
  <c r="F86" i="8"/>
  <c r="F82" i="8"/>
  <c r="I86" i="8"/>
  <c r="I82" i="8"/>
  <c r="E9" i="7" l="1"/>
  <c r="E11" i="7"/>
  <c r="E10" i="7"/>
</calcChain>
</file>

<file path=xl/sharedStrings.xml><?xml version="1.0" encoding="utf-8"?>
<sst xmlns="http://schemas.openxmlformats.org/spreadsheetml/2006/main" count="515" uniqueCount="151">
  <si>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</si>
  <si>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</si>
  <si>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</si>
  <si>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</si>
  <si>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</si>
  <si>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</si>
  <si>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</si>
  <si>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</si>
  <si>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</si>
  <si>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</si>
  <si>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</si>
  <si>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</si>
  <si>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</si>
  <si>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</si>
  <si>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</si>
  <si>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</si>
  <si>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</si>
  <si>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</si>
  <si>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</si>
  <si>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</si>
  <si>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</si>
  <si>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</si>
  <si>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</si>
  <si>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</si>
  <si>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</si>
  <si>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</si>
  <si>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</si>
  <si>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</si>
  <si>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</si>
  <si>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</si>
  <si>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</si>
  <si>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</si>
  <si>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</si>
  <si>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</si>
  <si>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</si>
  <si>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</si>
  <si>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</si>
  <si>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</si>
  <si>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</si>
  <si>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</si>
  <si>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</si>
  <si>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</si>
  <si>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</si>
  <si>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</si>
  <si>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</si>
  <si>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</si>
  <si>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</si>
  <si>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</si>
  <si>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</si>
  <si>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</si>
  <si>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</si>
  <si>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</si>
  <si>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</si>
  <si>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</si>
  <si>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</si>
  <si>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</si>
  <si>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</si>
  <si>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</si>
  <si>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</si>
  <si>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</si>
  <si>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</si>
  <si>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</si>
  <si>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</si>
  <si>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</si>
  <si>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</si>
  <si>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</si>
  <si>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</si>
  <si>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</si>
  <si>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</si>
  <si>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</si>
  <si>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</si>
  <si>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</si>
  <si>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</si>
  <si>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</si>
  <si>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</si>
  <si>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</si>
  <si>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</si>
  <si>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</si>
  <si>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</si>
  <si>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</si>
  <si>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</si>
  <si>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</si>
  <si>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</si>
  <si>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</si>
  <si>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</si>
  <si>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</si>
  <si>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</si>
  <si>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</si>
  <si>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</si>
  <si>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</si>
  <si>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</si>
  <si>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</si>
  <si>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</si>
  <si>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</si>
  <si>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</si>
  <si>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</si>
  <si>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</si>
  <si>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</si>
  <si>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</si>
  <si>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</si>
  <si>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</si>
  <si>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</si>
  <si>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</si>
  <si>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</si>
  <si>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</si>
  <si>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</si>
  <si>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</si>
  <si>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</si>
  <si>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</si>
  <si>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</si>
  <si>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</si>
  <si>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</si>
  <si>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</si>
  <si>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</si>
  <si>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</si>
  <si>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</si>
  <si>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</si>
  <si>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</si>
  <si>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</si>
  <si>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</si>
  <si>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</si>
  <si>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</si>
  <si>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</si>
  <si>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</si>
  <si>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</si>
  <si>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</si>
  <si>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</si>
  <si>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</si>
  <si>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</si>
  <si>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</si>
  <si>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</si>
  <si>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</si>
  <si>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</si>
  <si>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</si>
  <si>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</si>
  <si>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</si>
  <si>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</si>
  <si>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</si>
  <si>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</si>
  <si>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</si>
  <si>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</si>
  <si>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</si>
  <si>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</si>
  <si>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</si>
  <si>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</si>
  <si>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</si>
  <si>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</si>
  <si>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</si>
  <si>
    <t>PV Nameplate capacity (kW), existing</t>
  </si>
  <si>
    <t>PV Nameplate capacity (kW), purchased</t>
  </si>
  <si>
    <t>NOTE: This NPV can differ slightly (&lt;1%) from the Webtool/API results due to rounding and the tolerance in the optimizer.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</si>
</sst>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  <xf numFmtId="2" fontId="23" fillId="0" borderId="13" xfId="44" applyNumberFormat="1" applyFont="1" applyFill="1" applyBorder="1" applyAlignment="1">
      <alignment horizontal="right"/>
    </xf>
  </cellXfs>
  <cellStyles count="68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Followed Hyperlink" xfId="67" builtinId="9" hidden="1"/>
    <cellStyle name="Good 2" xfId="32" xr:uid="{00000000-0005-0000-0000-000024000000}"/>
    <cellStyle name="Heading 1 2" xfId="33" xr:uid="{00000000-0005-0000-0000-000025000000}"/>
    <cellStyle name="Heading 2 2" xfId="34" xr:uid="{00000000-0005-0000-0000-000026000000}"/>
    <cellStyle name="Heading 3 2" xfId="35" xr:uid="{00000000-0005-0000-0000-000027000000}"/>
    <cellStyle name="Heading 4 2" xfId="36" xr:uid="{00000000-0005-0000-0000-000028000000}"/>
    <cellStyle name="Hyperlink" xfId="66" builtinId="8" hidden="1"/>
    <cellStyle name="Input 2" xfId="37" xr:uid="{00000000-0005-0000-0000-00002A000000}"/>
    <cellStyle name="Input 2 2" xfId="56" xr:uid="{00000000-0005-0000-0000-00002B000000}"/>
    <cellStyle name="Linked Cell 2" xfId="38" xr:uid="{00000000-0005-0000-0000-00002C000000}"/>
    <cellStyle name="Neutral 2" xfId="39" xr:uid="{00000000-0005-0000-0000-00002D000000}"/>
    <cellStyle name="Normal" xfId="0" builtinId="0"/>
    <cellStyle name="Normal 2" xfId="40" xr:uid="{00000000-0005-0000-0000-00002F000000}"/>
    <cellStyle name="Normal 2 2" xfId="57" xr:uid="{00000000-0005-0000-0000-000030000000}"/>
    <cellStyle name="Normal 3" xfId="41" xr:uid="{00000000-0005-0000-0000-000031000000}"/>
    <cellStyle name="Normal 3 2" xfId="58" xr:uid="{00000000-0005-0000-0000-000032000000}"/>
    <cellStyle name="Normal 4" xfId="51" xr:uid="{00000000-0005-0000-0000-000033000000}"/>
    <cellStyle name="Note 2" xfId="42" xr:uid="{00000000-0005-0000-0000-000034000000}"/>
    <cellStyle name="Note 2 2" xfId="59" xr:uid="{00000000-0005-0000-0000-000035000000}"/>
    <cellStyle name="Note 2 3" xfId="65" xr:uid="{00000000-0005-0000-0000-000036000000}"/>
    <cellStyle name="Output 2" xfId="43" xr:uid="{00000000-0005-0000-0000-000037000000}"/>
    <cellStyle name="Output 2 2" xfId="60" xr:uid="{00000000-0005-0000-0000-000038000000}"/>
    <cellStyle name="Percent" xfId="44" builtinId="5"/>
    <cellStyle name="Percent 2" xfId="45" xr:uid="{00000000-0005-0000-0000-00003A000000}"/>
    <cellStyle name="Percent 2 2" xfId="46" xr:uid="{00000000-0005-0000-0000-00003B000000}"/>
    <cellStyle name="Percent 2 2 2" xfId="62" xr:uid="{00000000-0005-0000-0000-00003C000000}"/>
    <cellStyle name="Percent 2 3" xfId="61" xr:uid="{00000000-0005-0000-0000-00003D000000}"/>
    <cellStyle name="Percent 3" xfId="47" xr:uid="{00000000-0005-0000-0000-00003E000000}"/>
    <cellStyle name="Percent 3 2" xfId="63" xr:uid="{00000000-0005-0000-0000-00003F000000}"/>
    <cellStyle name="Title 2" xfId="48" xr:uid="{00000000-0005-0000-0000-000040000000}"/>
    <cellStyle name="Total 2" xfId="49" xr:uid="{00000000-0005-0000-0000-000041000000}"/>
    <cellStyle name="Total 2 2" xfId="64" xr:uid="{00000000-0005-0000-0000-000042000000}"/>
    <cellStyle name="Warning Text 2" xfId="50" xr:uid="{00000000-0005-0000-0000-000043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29"/>
  <sheetViews>
    <sheetView tabSelected="1" workbookViewId="0">
      <selection activeCell="F11" sqref="F11"/>
    </sheetView>
  </sheetViews>
  <sheetFormatPr baseColWidth="10" defaultColWidth="15.6640625" defaultRowHeight="14"/>
  <cols>
    <col min="1" max="1" width="41" style="18" customWidth="1"/>
    <col min="2" max="2" width="14.33203125" style="19" customWidth="1"/>
    <col min="3" max="3" width="16.5" style="18" customWidth="1"/>
    <col min="4" max="4" width="19.83203125" style="19" customWidth="1"/>
    <col min="5" max="5" width="19.6640625" style="19" customWidth="1"/>
    <col min="6" max="6" width="19.6640625" style="18" customWidth="1"/>
    <col min="7" max="7" width="19.6640625" style="19" customWidth="1"/>
    <col min="8" max="8" width="18.83203125" style="19" customWidth="1"/>
    <col min="9" max="9" width="15.5" style="19" customWidth="1"/>
    <col min="10" max="10" width="21.83203125" style="19" customWidth="1"/>
    <col min="11" max="33" width="16" style="19" customWidth="1"/>
    <col min="34" max="34" width="15.6640625" style="19" customWidth="1"/>
    <col min="35" max="16384" width="15.6640625" style="19"/>
  </cols>
  <sheetData>
    <row r="1" spans="1:100" ht="22" thickBot="1">
      <c r="A1" s="115" t="s">
        <v>90</v>
      </c>
      <c r="B1" s="114"/>
      <c r="C1" s="27"/>
    </row>
    <row r="2" spans="1:100">
      <c r="A2" s="33" t="s">
        <v>11</v>
      </c>
      <c r="B2" s="34"/>
      <c r="C2" s="20"/>
      <c r="F2" s="20"/>
      <c r="L2" s="21"/>
      <c r="Q2" s="20"/>
    </row>
    <row r="3" spans="1:100" s="22" customFormat="1">
      <c r="A3" s="103" t="s">
        <v>149</v>
      </c>
      <c r="B3" s="110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>
      <c r="A4" s="162" t="s">
        <v>148</v>
      </c>
      <c r="B4" s="163"/>
      <c r="C4" s="20"/>
      <c r="D4" s="47" t="s">
        <v>17</v>
      </c>
      <c r="F4" s="20"/>
      <c r="L4" s="21"/>
      <c r="M4" s="19"/>
      <c r="N4" s="19"/>
      <c r="Q4" s="20"/>
      <c r="CV4" s="22" t="s">
        <v>143</v>
      </c>
    </row>
    <row r="5" spans="1:100" s="22" customFormat="1">
      <c r="A5" s="162" t="s">
        <v>99</v>
      </c>
      <c r="B5" s="163">
        <v>0.5</v>
      </c>
      <c r="C5" s="20"/>
      <c r="D5" s="48" t="s">
        <v>81</v>
      </c>
      <c r="F5" s="20"/>
      <c r="L5" s="21"/>
      <c r="M5" s="19"/>
      <c r="N5" s="19"/>
      <c r="Q5" s="20"/>
      <c r="CV5" s="22">
        <v>5</v>
      </c>
    </row>
    <row r="6" spans="1:100" s="22" customFormat="1">
      <c r="A6" s="103" t="s">
        <v>82</v>
      </c>
      <c r="B6" s="103">
        <v>100</v>
      </c>
      <c r="C6" s="20"/>
      <c r="D6" s="124"/>
      <c r="F6" s="20"/>
      <c r="L6" s="21"/>
      <c r="M6" s="19"/>
      <c r="N6" s="19"/>
      <c r="Q6" s="20"/>
      <c r="CV6" s="22">
        <v>7</v>
      </c>
    </row>
    <row r="7" spans="1:100" s="22" customFormat="1">
      <c r="A7" s="103" t="s">
        <v>83</v>
      </c>
      <c r="B7" s="111">
        <v>50</v>
      </c>
      <c r="D7" s="33" t="s">
        <v>22</v>
      </c>
      <c r="E7" s="34"/>
      <c r="J7" s="21"/>
      <c r="K7" s="19"/>
      <c r="L7" s="19"/>
      <c r="O7" s="20"/>
    </row>
    <row r="8" spans="1:100" s="22" customFormat="1">
      <c r="A8" s="20"/>
      <c r="B8" s="124"/>
      <c r="C8" s="20"/>
      <c r="D8" s="102" t="s">
        <v>94</v>
      </c>
      <c r="E8" s="159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>
      <c r="A9" s="33" t="s">
        <v>113</v>
      </c>
      <c r="B9" s="34"/>
      <c r="C9" s="20"/>
      <c r="D9" s="102" t="s">
        <v>93</v>
      </c>
      <c r="E9" s="159">
        <f>-('Cash Flow'!B86+NPV(NominalDiscountRate/100, 'Cash Flow'!C86:CX86))</f>
        <v>6362442.5031388523</v>
      </c>
      <c r="F9" s="20"/>
      <c r="L9" s="21"/>
      <c r="M9" s="19"/>
      <c r="N9" s="19"/>
      <c r="Q9" s="20"/>
    </row>
    <row r="10" spans="1:100" s="22" customFormat="1">
      <c r="A10" s="103" t="s">
        <v>114</v>
      </c>
      <c r="B10" s="180">
        <v>826030</v>
      </c>
      <c r="C10" s="20"/>
      <c r="D10" s="102" t="s">
        <v>101</v>
      </c>
      <c r="E10" s="104">
        <f>'Cash Flow'!B82+NPV(NominalDiscountRate/100,'Cash Flow'!C82:CX82)</f>
        <v>123509.1021754411</v>
      </c>
      <c r="F10" s="20" t="s">
        <v>150</v>
      </c>
      <c r="L10" s="21"/>
      <c r="M10" s="19"/>
      <c r="N10" s="19"/>
      <c r="Q10" s="20"/>
    </row>
    <row r="11" spans="1:100" s="22" customFormat="1">
      <c r="A11" s="103" t="s">
        <v>115</v>
      </c>
      <c r="B11" s="180">
        <v>783215</v>
      </c>
      <c r="C11" s="20"/>
      <c r="D11" s="103" t="s">
        <v>80</v>
      </c>
      <c r="E11" s="165">
        <f>IF(loan_term=0,IRR('Cash Flow'!B82:CX82, NominalDiscountRate/100),IRR('Cash Flow'!C82:CX82, NominalDiscountRate/100))</f>
        <v>0.13865566155495213</v>
      </c>
      <c r="F11" s="20"/>
      <c r="L11" s="21"/>
      <c r="M11" s="19"/>
      <c r="N11" s="19"/>
      <c r="Q11" s="20"/>
    </row>
    <row r="12" spans="1:100" s="22" customFormat="1">
      <c r="A12" s="103" t="s">
        <v>116</v>
      </c>
      <c r="B12" s="181">
        <v>-10500</v>
      </c>
      <c r="C12" s="20"/>
      <c r="F12" s="20"/>
      <c r="L12" s="21"/>
      <c r="M12" s="19"/>
      <c r="N12" s="19"/>
      <c r="Q12" s="20"/>
    </row>
    <row r="13" spans="1:100">
      <c r="A13" s="103" t="s">
        <v>117</v>
      </c>
      <c r="B13" s="111">
        <v>411626</v>
      </c>
      <c r="C13" s="20"/>
      <c r="F13" s="158"/>
      <c r="L13" s="21"/>
      <c r="Q13" s="20"/>
    </row>
    <row r="14" spans="1:100">
      <c r="A14" s="35"/>
      <c r="B14" s="105"/>
      <c r="C14" s="20"/>
      <c r="F14" s="160"/>
      <c r="G14" s="94"/>
      <c r="H14" s="29"/>
      <c r="L14" s="21"/>
      <c r="Q14" s="20"/>
    </row>
    <row r="15" spans="1:100">
      <c r="A15" s="33" t="s">
        <v>12</v>
      </c>
      <c r="B15" s="34"/>
      <c r="C15" s="20"/>
      <c r="F15" s="160"/>
      <c r="G15" s="161"/>
      <c r="H15" s="95"/>
      <c r="L15" s="21"/>
      <c r="Q15" s="20"/>
    </row>
    <row r="16" spans="1:100">
      <c r="A16" s="40" t="s">
        <v>55</v>
      </c>
      <c r="B16" s="112">
        <v>542718</v>
      </c>
      <c r="C16" s="20"/>
      <c r="F16" s="160"/>
      <c r="G16" s="161"/>
      <c r="H16" s="95"/>
      <c r="L16" s="21"/>
      <c r="Q16" s="20"/>
    </row>
    <row r="17" spans="1:17">
      <c r="A17" s="188" t="s">
        <v>124</v>
      </c>
      <c r="B17" s="113">
        <v>442718</v>
      </c>
      <c r="C17" s="20"/>
      <c r="F17" s="160"/>
      <c r="G17" s="161"/>
      <c r="H17" s="95"/>
      <c r="L17" s="21"/>
      <c r="Q17" s="20"/>
    </row>
    <row r="18" spans="1:17">
      <c r="A18" s="188" t="s">
        <v>125</v>
      </c>
      <c r="B18" s="113">
        <v>100000</v>
      </c>
      <c r="C18" s="20"/>
      <c r="F18" s="20"/>
      <c r="G18" s="20"/>
      <c r="H18" s="23"/>
      <c r="L18" s="21"/>
      <c r="Q18" s="20"/>
    </row>
    <row r="19" spans="1:17">
      <c r="A19" s="42" t="s">
        <v>23</v>
      </c>
      <c r="B19" s="39"/>
      <c r="C19" s="20"/>
      <c r="F19" s="20"/>
      <c r="G19" s="20"/>
      <c r="H19" s="23"/>
      <c r="L19" s="21"/>
      <c r="Q19" s="20"/>
    </row>
    <row r="20" spans="1:17">
      <c r="A20" s="36" t="s">
        <v>7</v>
      </c>
      <c r="B20" s="113">
        <v>20</v>
      </c>
      <c r="C20" s="20"/>
      <c r="H20" s="23"/>
      <c r="L20" s="21"/>
      <c r="Q20" s="20"/>
    </row>
    <row r="21" spans="1:17">
      <c r="A21" s="36" t="s">
        <v>84</v>
      </c>
      <c r="B21" s="113">
        <v>500</v>
      </c>
      <c r="C21" s="20"/>
      <c r="F21" s="19"/>
      <c r="I21" s="20"/>
    </row>
    <row r="22" spans="1:17">
      <c r="A22" s="36" t="s">
        <v>88</v>
      </c>
      <c r="B22" s="113">
        <v>10</v>
      </c>
      <c r="C22" s="20"/>
      <c r="F22" s="19"/>
      <c r="I22" s="20"/>
    </row>
    <row r="23" spans="1:17">
      <c r="A23" s="36" t="s">
        <v>85</v>
      </c>
      <c r="B23" s="113">
        <v>500</v>
      </c>
      <c r="C23" s="20"/>
      <c r="F23" s="19"/>
      <c r="I23" s="20"/>
    </row>
    <row r="24" spans="1:17">
      <c r="A24" s="36" t="s">
        <v>89</v>
      </c>
      <c r="B24" s="113">
        <v>10</v>
      </c>
      <c r="C24" s="20"/>
      <c r="D24" s="21"/>
      <c r="F24" s="19"/>
      <c r="I24" s="20"/>
    </row>
    <row r="25" spans="1:17">
      <c r="A25" s="25"/>
      <c r="B25" s="25"/>
      <c r="C25" s="20"/>
      <c r="D25" s="21"/>
      <c r="F25" s="19"/>
      <c r="I25" s="20"/>
    </row>
    <row r="26" spans="1:17">
      <c r="A26" s="146" t="s">
        <v>14</v>
      </c>
      <c r="B26" s="147"/>
      <c r="C26" s="20"/>
      <c r="D26" s="21"/>
      <c r="F26" s="19"/>
      <c r="I26" s="20"/>
    </row>
    <row r="27" spans="1:17">
      <c r="A27" s="145" t="s">
        <v>50</v>
      </c>
      <c r="B27" s="151">
        <v>0</v>
      </c>
      <c r="C27" s="20"/>
      <c r="D27" s="21"/>
      <c r="F27" s="19"/>
      <c r="I27" s="20"/>
    </row>
    <row r="28" spans="1:17">
      <c r="A28" s="145" t="s">
        <v>51</v>
      </c>
      <c r="B28" s="152">
        <v>0</v>
      </c>
      <c r="C28" s="20"/>
      <c r="D28" s="21"/>
      <c r="F28" s="19"/>
      <c r="I28" s="20"/>
    </row>
    <row r="29" spans="1:17">
      <c r="A29" s="145" t="s">
        <v>52</v>
      </c>
      <c r="B29" s="151">
        <v>0</v>
      </c>
      <c r="C29" s="20"/>
      <c r="D29" s="21"/>
      <c r="F29" s="19"/>
      <c r="I29" s="20"/>
    </row>
    <row r="30" spans="1:17" s="20" customFormat="1">
      <c r="A30" s="148"/>
      <c r="B30" s="125"/>
      <c r="L30" s="19"/>
    </row>
    <row r="31" spans="1:17" s="20" customFormat="1">
      <c r="A31" s="33" t="s">
        <v>15</v>
      </c>
      <c r="B31" s="34"/>
      <c r="L31" s="19"/>
    </row>
    <row r="32" spans="1:17" s="20" customFormat="1">
      <c r="A32" s="31" t="s">
        <v>53</v>
      </c>
      <c r="B32" s="109">
        <v>25</v>
      </c>
      <c r="L32" s="19"/>
    </row>
    <row r="33" spans="1:14" s="20" customFormat="1">
      <c r="A33" s="31" t="s">
        <v>147</v>
      </c>
      <c r="B33" s="107">
        <v>2.5</v>
      </c>
      <c r="L33" s="19"/>
    </row>
    <row r="34" spans="1:14" s="20" customFormat="1">
      <c r="A34" s="31" t="s">
        <v>112</v>
      </c>
      <c r="B34" s="196">
        <v>3.0125000000000002</v>
      </c>
      <c r="L34" s="19"/>
      <c r="M34" s="19"/>
      <c r="N34" s="19"/>
    </row>
    <row r="35" spans="1:14" s="20" customFormat="1">
      <c r="A35" s="31" t="s">
        <v>54</v>
      </c>
      <c r="B35" s="196">
        <v>9.4700000000000006</v>
      </c>
    </row>
    <row r="36" spans="1:14" s="20" customFormat="1">
      <c r="A36" s="43"/>
    </row>
    <row r="37" spans="1:14" s="20" customFormat="1">
      <c r="A37" s="33" t="s">
        <v>13</v>
      </c>
      <c r="B37" s="34"/>
    </row>
    <row r="38" spans="1:14" s="20" customFormat="1">
      <c r="A38" s="31" t="s">
        <v>56</v>
      </c>
      <c r="B38" s="107">
        <v>37</v>
      </c>
    </row>
    <row r="39" spans="1:14" s="20" customFormat="1">
      <c r="C39" s="26"/>
    </row>
    <row r="40" spans="1:14" s="20" customFormat="1">
      <c r="A40" s="121" t="s">
        <v>118</v>
      </c>
      <c r="B40" s="122"/>
      <c r="C40" s="122"/>
      <c r="D40" s="177"/>
    </row>
    <row r="41" spans="1:14" s="20" customFormat="1">
      <c r="A41" s="119" t="s">
        <v>47</v>
      </c>
      <c r="B41" s="120"/>
      <c r="D41" s="179" t="s">
        <v>79</v>
      </c>
      <c r="E41" s="90"/>
    </row>
    <row r="42" spans="1:14" s="20" customFormat="1">
      <c r="A42" s="38" t="s">
        <v>18</v>
      </c>
      <c r="B42" s="89" t="s">
        <v>2</v>
      </c>
      <c r="C42" s="89" t="s">
        <v>6</v>
      </c>
      <c r="D42" s="123" t="s">
        <v>1</v>
      </c>
    </row>
    <row r="43" spans="1:14" s="20" customFormat="1">
      <c r="A43" s="51" t="s">
        <v>1</v>
      </c>
      <c r="B43" s="109">
        <v>30</v>
      </c>
      <c r="C43" s="117">
        <v>9.9999999999999998E+37</v>
      </c>
      <c r="D43" s="92" t="s">
        <v>58</v>
      </c>
      <c r="E43" s="28"/>
      <c r="G43" s="50"/>
      <c r="M43" s="50"/>
    </row>
    <row r="44" spans="1:14" s="20" customFormat="1">
      <c r="A44" s="18"/>
      <c r="B44" s="19"/>
      <c r="C44" s="18"/>
      <c r="D44" s="19"/>
      <c r="E44" s="19"/>
      <c r="F44" s="50"/>
    </row>
    <row r="45" spans="1:14" s="20" customFormat="1">
      <c r="A45" s="45" t="s">
        <v>119</v>
      </c>
      <c r="B45" s="53"/>
      <c r="C45" s="53"/>
      <c r="D45" s="53"/>
      <c r="E45" s="177"/>
    </row>
    <row r="46" spans="1:14" s="20" customFormat="1">
      <c r="A46" s="86" t="s">
        <v>43</v>
      </c>
      <c r="B46" s="55"/>
      <c r="C46" s="56"/>
      <c r="D46" s="118" t="s">
        <v>48</v>
      </c>
      <c r="E46" s="178" t="s">
        <v>79</v>
      </c>
    </row>
    <row r="47" spans="1:14" s="20" customFormat="1">
      <c r="A47" s="36" t="s">
        <v>18</v>
      </c>
      <c r="B47" s="30" t="s">
        <v>2</v>
      </c>
      <c r="C47" s="85" t="s">
        <v>46</v>
      </c>
      <c r="D47" s="88" t="s">
        <v>1</v>
      </c>
      <c r="E47" s="41" t="s">
        <v>1</v>
      </c>
    </row>
    <row r="48" spans="1:14" s="20" customFormat="1">
      <c r="A48" s="37" t="s">
        <v>41</v>
      </c>
      <c r="B48" s="108">
        <v>0</v>
      </c>
      <c r="C48" s="117">
        <v>9.9999999999999998E+37</v>
      </c>
      <c r="D48" s="44" t="s">
        <v>59</v>
      </c>
      <c r="E48" s="92" t="s">
        <v>58</v>
      </c>
    </row>
    <row r="49" spans="1:15" ht="12.75" customHeight="1" thickBot="1">
      <c r="A49" s="37" t="s">
        <v>42</v>
      </c>
      <c r="B49" s="108">
        <v>0</v>
      </c>
      <c r="C49" s="117">
        <v>9.9999999999999998E+37</v>
      </c>
      <c r="D49" s="44" t="s">
        <v>59</v>
      </c>
      <c r="E49" s="92" t="s">
        <v>58</v>
      </c>
      <c r="F49" s="20"/>
      <c r="G49" s="26"/>
      <c r="M49" s="24"/>
    </row>
    <row r="50" spans="1:15" ht="12.75" customHeight="1">
      <c r="A50" s="87" t="s">
        <v>44</v>
      </c>
      <c r="B50" s="32" t="s">
        <v>45</v>
      </c>
      <c r="C50" s="85" t="s">
        <v>46</v>
      </c>
      <c r="D50" s="106"/>
      <c r="E50" s="106"/>
      <c r="F50" s="24"/>
      <c r="G50" s="23"/>
      <c r="M50" s="50"/>
    </row>
    <row r="51" spans="1:15" ht="12.75" customHeight="1">
      <c r="A51" s="37" t="s">
        <v>19</v>
      </c>
      <c r="B51" s="109">
        <v>0</v>
      </c>
      <c r="C51" s="117">
        <v>9.9999999999999998E+37</v>
      </c>
      <c r="D51" s="44" t="s">
        <v>59</v>
      </c>
      <c r="E51" s="92" t="s">
        <v>59</v>
      </c>
      <c r="F51" s="50"/>
      <c r="G51" s="23"/>
      <c r="M51" s="50"/>
    </row>
    <row r="52" spans="1:15" ht="12.75" customHeight="1">
      <c r="A52" s="37" t="s">
        <v>20</v>
      </c>
      <c r="B52" s="109">
        <v>0</v>
      </c>
      <c r="C52" s="117">
        <v>9.9999999999999998E+37</v>
      </c>
      <c r="D52" s="44" t="s">
        <v>59</v>
      </c>
      <c r="E52" s="92" t="s">
        <v>58</v>
      </c>
      <c r="F52" s="50"/>
      <c r="G52" s="23"/>
      <c r="M52" s="50"/>
    </row>
    <row r="53" spans="1:15" ht="12.75" customHeight="1">
      <c r="A53" s="37" t="s">
        <v>21</v>
      </c>
      <c r="B53" s="109">
        <v>0</v>
      </c>
      <c r="C53" s="168">
        <v>9.9999999999999998E+37</v>
      </c>
      <c r="D53" s="169" t="s">
        <v>59</v>
      </c>
      <c r="E53" s="170" t="s">
        <v>58</v>
      </c>
      <c r="F53" s="50"/>
      <c r="G53" s="50"/>
    </row>
    <row r="54" spans="1:15" ht="12.75" customHeight="1">
      <c r="A54" s="87" t="s">
        <v>102</v>
      </c>
      <c r="B54" s="32" t="s">
        <v>104</v>
      </c>
      <c r="C54" s="171" t="s">
        <v>105</v>
      </c>
      <c r="D54" s="174" t="s">
        <v>106</v>
      </c>
      <c r="E54" s="174" t="s">
        <v>107</v>
      </c>
      <c r="F54" s="175" t="s">
        <v>109</v>
      </c>
      <c r="G54" s="50"/>
    </row>
    <row r="55" spans="1:15" ht="12.75" customHeight="1">
      <c r="A55" s="37" t="s">
        <v>103</v>
      </c>
      <c r="B55" s="109">
        <v>0</v>
      </c>
      <c r="C55" s="172">
        <v>9.9999999999999998E+37</v>
      </c>
      <c r="D55" s="171" t="s">
        <v>58</v>
      </c>
      <c r="E55" s="173">
        <v>10</v>
      </c>
      <c r="F55" s="176">
        <v>9.9999999999999998E+37</v>
      </c>
      <c r="G55" s="50"/>
    </row>
    <row r="56" spans="1:15" ht="12.75" customHeight="1">
      <c r="A56" s="182"/>
      <c r="B56" s="183"/>
      <c r="C56" s="184"/>
      <c r="D56" s="185"/>
      <c r="E56" s="186"/>
      <c r="F56" s="187"/>
      <c r="G56" s="50"/>
    </row>
    <row r="57" spans="1:15" ht="12.75" customHeight="1">
      <c r="A57" s="121" t="s">
        <v>122</v>
      </c>
      <c r="B57" s="122"/>
      <c r="C57" s="122"/>
      <c r="D57" s="177"/>
      <c r="E57" s="20"/>
      <c r="F57" s="187"/>
      <c r="G57" s="50"/>
    </row>
    <row r="58" spans="1:15" ht="12.75" customHeight="1">
      <c r="A58" s="119" t="s">
        <v>47</v>
      </c>
      <c r="B58" s="120"/>
      <c r="C58" s="20"/>
      <c r="D58" s="179" t="s">
        <v>79</v>
      </c>
      <c r="E58" s="90"/>
      <c r="F58" s="187"/>
      <c r="G58" s="50"/>
    </row>
    <row r="59" spans="1:15" ht="12.75" customHeight="1">
      <c r="A59" s="38" t="s">
        <v>18</v>
      </c>
      <c r="B59" s="89" t="s">
        <v>2</v>
      </c>
      <c r="C59" s="89" t="s">
        <v>6</v>
      </c>
      <c r="D59" s="123" t="s">
        <v>1</v>
      </c>
      <c r="E59" s="20"/>
      <c r="F59" s="187"/>
      <c r="G59" s="50"/>
    </row>
    <row r="60" spans="1:15" ht="12.75" customHeight="1">
      <c r="A60" s="51" t="s">
        <v>1</v>
      </c>
      <c r="B60" s="109">
        <v>30</v>
      </c>
      <c r="C60" s="117">
        <v>9.9999999999999998E+37</v>
      </c>
      <c r="D60" s="92" t="s">
        <v>58</v>
      </c>
      <c r="E60" s="28"/>
      <c r="F60" s="187"/>
      <c r="G60" s="50"/>
    </row>
    <row r="61" spans="1:15" ht="12.75" customHeight="1">
      <c r="F61" s="187"/>
      <c r="G61" s="189" t="s">
        <v>138</v>
      </c>
      <c r="H61" s="190"/>
      <c r="I61" s="190"/>
      <c r="J61" s="190"/>
      <c r="K61" s="191"/>
      <c r="L61" s="191"/>
      <c r="M61" s="191"/>
      <c r="N61" s="191"/>
      <c r="O61" s="191"/>
    </row>
    <row r="62" spans="1:15" ht="12.75" customHeight="1">
      <c r="A62" s="45" t="s">
        <v>144</v>
      </c>
      <c r="B62" s="53"/>
      <c r="C62" s="53"/>
      <c r="D62" s="53"/>
      <c r="E62" s="177"/>
      <c r="F62" s="187"/>
      <c r="G62" s="192" t="s">
        <v>141</v>
      </c>
      <c r="H62" s="193">
        <v>1</v>
      </c>
      <c r="I62" s="193">
        <v>2</v>
      </c>
      <c r="J62" s="193">
        <v>3</v>
      </c>
      <c r="K62" s="193">
        <v>4</v>
      </c>
      <c r="L62" s="193">
        <v>5</v>
      </c>
      <c r="M62" s="193">
        <v>6</v>
      </c>
      <c r="N62" s="193">
        <v>7</v>
      </c>
      <c r="O62" s="193">
        <v>8</v>
      </c>
    </row>
    <row r="63" spans="1:15" ht="12.75" customHeight="1">
      <c r="A63" s="86" t="s">
        <v>43</v>
      </c>
      <c r="B63" s="55"/>
      <c r="C63" s="56"/>
      <c r="D63" s="118" t="s">
        <v>48</v>
      </c>
      <c r="E63" s="178" t="s">
        <v>79</v>
      </c>
      <c r="F63" s="187"/>
      <c r="G63" s="194" t="s">
        <v>139</v>
      </c>
      <c r="H63" s="195">
        <v>0.2</v>
      </c>
      <c r="I63" s="195">
        <v>0.32</v>
      </c>
      <c r="J63" s="195">
        <v>0.192</v>
      </c>
      <c r="K63" s="195">
        <v>0.1152</v>
      </c>
      <c r="L63" s="195">
        <v>0.1152</v>
      </c>
      <c r="M63" s="195">
        <v>5.7599999999999998E-2</v>
      </c>
      <c r="N63" s="193">
        <v>0</v>
      </c>
      <c r="O63" s="193">
        <v>0</v>
      </c>
    </row>
    <row r="64" spans="1:15" ht="12.75" customHeight="1">
      <c r="A64" s="36" t="s">
        <v>18</v>
      </c>
      <c r="B64" s="30" t="s">
        <v>2</v>
      </c>
      <c r="C64" s="85" t="s">
        <v>46</v>
      </c>
      <c r="D64" s="88" t="s">
        <v>1</v>
      </c>
      <c r="E64" s="41" t="s">
        <v>1</v>
      </c>
      <c r="F64" s="187"/>
      <c r="G64" s="194" t="s">
        <v>140</v>
      </c>
      <c r="H64" s="193">
        <v>0.1429</v>
      </c>
      <c r="I64" s="193">
        <v>0.24490000000000001</v>
      </c>
      <c r="J64" s="193">
        <v>0.1749</v>
      </c>
      <c r="K64" s="193">
        <v>0.1249</v>
      </c>
      <c r="L64" s="193">
        <v>8.9300000000000004E-2</v>
      </c>
      <c r="M64" s="193">
        <v>8.9200000000000002E-2</v>
      </c>
      <c r="N64" s="193">
        <v>8.9300000000000004E-2</v>
      </c>
      <c r="O64" s="193">
        <v>4.4600000000000001E-2</v>
      </c>
    </row>
    <row r="65" spans="1:102" ht="12.75" customHeight="1">
      <c r="A65" s="37" t="s">
        <v>41</v>
      </c>
      <c r="B65" s="108">
        <v>0</v>
      </c>
      <c r="C65" s="117">
        <v>9.9999999999999998E+37</v>
      </c>
      <c r="D65" s="44" t="s">
        <v>59</v>
      </c>
      <c r="E65" s="92" t="s">
        <v>59</v>
      </c>
      <c r="F65" s="187"/>
      <c r="G65" s="23"/>
      <c r="H65" s="18"/>
      <c r="I65" s="18"/>
      <c r="J65" s="18"/>
      <c r="K65" s="18"/>
      <c r="L65" s="18"/>
      <c r="M65" s="18"/>
      <c r="N65" s="18"/>
      <c r="O65" s="18"/>
    </row>
    <row r="66" spans="1:102" ht="12.75" customHeight="1" thickBot="1">
      <c r="A66" s="37" t="s">
        <v>42</v>
      </c>
      <c r="B66" s="108">
        <v>0</v>
      </c>
      <c r="C66" s="117">
        <v>9.9999999999999998E+37</v>
      </c>
      <c r="D66" s="44" t="s">
        <v>59</v>
      </c>
      <c r="E66" s="92" t="s">
        <v>59</v>
      </c>
      <c r="F66" s="187"/>
      <c r="G66" s="50"/>
    </row>
    <row r="67" spans="1:102" ht="12.75" customHeight="1">
      <c r="A67" s="87" t="s">
        <v>44</v>
      </c>
      <c r="B67" s="32" t="s">
        <v>45</v>
      </c>
      <c r="C67" s="85" t="s">
        <v>46</v>
      </c>
      <c r="D67" s="106"/>
      <c r="E67" s="106"/>
      <c r="F67" s="187"/>
      <c r="G67" s="50"/>
    </row>
    <row r="68" spans="1:102" ht="12.75" customHeight="1">
      <c r="A68" s="37" t="s">
        <v>19</v>
      </c>
      <c r="B68" s="109">
        <v>0.1</v>
      </c>
      <c r="C68" s="117">
        <v>9.9999999999999998E+37</v>
      </c>
      <c r="D68" s="44" t="s">
        <v>59</v>
      </c>
      <c r="E68" s="92" t="s">
        <v>59</v>
      </c>
      <c r="F68" s="187"/>
      <c r="G68" s="50"/>
    </row>
    <row r="69" spans="1:102" ht="12.75" customHeight="1">
      <c r="A69" s="37" t="s">
        <v>20</v>
      </c>
      <c r="B69" s="109">
        <v>0</v>
      </c>
      <c r="C69" s="117">
        <v>9.9999999999999998E+37</v>
      </c>
      <c r="D69" s="44" t="s">
        <v>59</v>
      </c>
      <c r="E69" s="92" t="s">
        <v>59</v>
      </c>
      <c r="F69" s="187"/>
      <c r="H69" s="18"/>
      <c r="J69" s="18"/>
      <c r="M69" s="18"/>
    </row>
    <row r="70" spans="1:102" ht="12.75" customHeight="1">
      <c r="A70" s="37" t="s">
        <v>21</v>
      </c>
      <c r="B70" s="109">
        <v>0</v>
      </c>
      <c r="C70" s="117">
        <v>9.9999999999999998E+37</v>
      </c>
      <c r="D70" s="44" t="s">
        <v>59</v>
      </c>
      <c r="E70" s="92" t="s">
        <v>59</v>
      </c>
      <c r="H70" s="18"/>
      <c r="J70" s="18"/>
      <c r="M70" s="18"/>
    </row>
    <row r="71" spans="1:102" ht="12.75" customHeight="1">
      <c r="H71" s="18"/>
      <c r="K71" s="18"/>
    </row>
    <row r="72" spans="1:102" ht="12.75" customHeight="1">
      <c r="A72" s="45" t="s">
        <v>28</v>
      </c>
      <c r="B72" s="34" t="s">
        <v>120</v>
      </c>
      <c r="C72" s="34" t="s">
        <v>121</v>
      </c>
      <c r="H72" s="18"/>
      <c r="K72" s="18"/>
    </row>
    <row r="73" spans="1:102" ht="12.75" customHeight="1">
      <c r="A73" s="54" t="s">
        <v>137</v>
      </c>
      <c r="B73" s="52">
        <v>5</v>
      </c>
      <c r="C73" s="52">
        <v>5</v>
      </c>
      <c r="H73" s="18"/>
      <c r="K73" s="18"/>
    </row>
    <row r="74" spans="1:102" ht="12.75" customHeight="1">
      <c r="A74" s="166" t="s">
        <v>100</v>
      </c>
      <c r="B74" s="167">
        <v>0.5</v>
      </c>
      <c r="C74" s="167">
        <v>0.5</v>
      </c>
      <c r="H74" s="50"/>
      <c r="I74" s="23"/>
      <c r="J74" s="23"/>
      <c r="K74" s="26"/>
      <c r="L74" s="24"/>
    </row>
    <row r="75" spans="1:102" ht="12.75" customHeight="1">
      <c r="A75" s="127" t="s">
        <v>35</v>
      </c>
      <c r="B75" s="128">
        <v>0</v>
      </c>
      <c r="C75" s="128">
        <v>1</v>
      </c>
      <c r="D75" s="128">
        <v>2</v>
      </c>
      <c r="E75" s="128">
        <v>3</v>
      </c>
      <c r="F75" s="128">
        <v>4</v>
      </c>
      <c r="G75" s="128">
        <v>5</v>
      </c>
      <c r="H75" s="128">
        <v>6</v>
      </c>
      <c r="I75" s="128">
        <v>7</v>
      </c>
      <c r="J75" s="128">
        <v>8</v>
      </c>
      <c r="K75" s="128">
        <v>9</v>
      </c>
      <c r="L75" s="128">
        <v>10</v>
      </c>
      <c r="M75" s="128">
        <v>11</v>
      </c>
      <c r="N75" s="128">
        <v>12</v>
      </c>
      <c r="O75" s="128">
        <v>13</v>
      </c>
      <c r="P75" s="128">
        <v>14</v>
      </c>
      <c r="Q75" s="128">
        <v>15</v>
      </c>
      <c r="R75" s="128">
        <v>16</v>
      </c>
      <c r="S75" s="128">
        <v>17</v>
      </c>
      <c r="T75" s="128">
        <v>18</v>
      </c>
      <c r="U75" s="128">
        <v>19</v>
      </c>
      <c r="V75" s="128">
        <v>20</v>
      </c>
      <c r="W75" s="128">
        <v>21</v>
      </c>
      <c r="X75" s="128">
        <v>22</v>
      </c>
      <c r="Y75" s="128">
        <v>23</v>
      </c>
      <c r="Z75" s="128">
        <v>24</v>
      </c>
      <c r="AA75" s="128">
        <v>25</v>
      </c>
      <c r="AB75" s="128">
        <v>26</v>
      </c>
      <c r="AC75" s="128">
        <v>27</v>
      </c>
      <c r="AD75" s="128">
        <v>28</v>
      </c>
      <c r="AE75" s="128">
        <v>29</v>
      </c>
      <c r="AF75" s="128">
        <v>30</v>
      </c>
      <c r="AG75" s="128">
        <v>31</v>
      </c>
      <c r="AH75" s="128">
        <v>32</v>
      </c>
      <c r="AI75" s="128">
        <v>33</v>
      </c>
      <c r="AJ75" s="128">
        <v>34</v>
      </c>
      <c r="AK75" s="128">
        <v>35</v>
      </c>
      <c r="AL75" s="128">
        <v>36</v>
      </c>
      <c r="AM75" s="128">
        <v>37</v>
      </c>
      <c r="AN75" s="128">
        <v>38</v>
      </c>
      <c r="AO75" s="128">
        <v>39</v>
      </c>
      <c r="AP75" s="128">
        <v>40</v>
      </c>
      <c r="AQ75" s="128">
        <v>41</v>
      </c>
      <c r="AR75" s="128">
        <v>42</v>
      </c>
      <c r="AS75" s="128">
        <v>43</v>
      </c>
      <c r="AT75" s="128">
        <v>44</v>
      </c>
      <c r="AU75" s="128">
        <v>45</v>
      </c>
      <c r="AV75" s="128">
        <v>46</v>
      </c>
      <c r="AW75" s="128">
        <v>47</v>
      </c>
      <c r="AX75" s="128">
        <v>48</v>
      </c>
      <c r="AY75" s="128">
        <v>49</v>
      </c>
      <c r="AZ75" s="128">
        <v>50</v>
      </c>
      <c r="BA75" s="128">
        <v>51</v>
      </c>
      <c r="BB75" s="128">
        <v>52</v>
      </c>
      <c r="BC75" s="128">
        <v>53</v>
      </c>
      <c r="BD75" s="128">
        <v>54</v>
      </c>
      <c r="BE75" s="128">
        <v>55</v>
      </c>
      <c r="BF75" s="128">
        <v>56</v>
      </c>
      <c r="BG75" s="128">
        <v>57</v>
      </c>
      <c r="BH75" s="128">
        <v>58</v>
      </c>
      <c r="BI75" s="128">
        <v>59</v>
      </c>
      <c r="BJ75" s="128">
        <v>60</v>
      </c>
      <c r="BK75" s="128">
        <v>61</v>
      </c>
      <c r="BL75" s="128">
        <v>62</v>
      </c>
      <c r="BM75" s="128">
        <v>63</v>
      </c>
      <c r="BN75" s="128">
        <v>64</v>
      </c>
      <c r="BO75" s="128">
        <v>65</v>
      </c>
      <c r="BP75" s="128">
        <v>66</v>
      </c>
      <c r="BQ75" s="128">
        <v>67</v>
      </c>
      <c r="BR75" s="128">
        <v>68</v>
      </c>
      <c r="BS75" s="128">
        <v>69</v>
      </c>
      <c r="BT75" s="128">
        <v>70</v>
      </c>
      <c r="BU75" s="128">
        <v>71</v>
      </c>
      <c r="BV75" s="128">
        <v>72</v>
      </c>
      <c r="BW75" s="128">
        <v>73</v>
      </c>
      <c r="BX75" s="128">
        <v>74</v>
      </c>
      <c r="BY75" s="128">
        <v>75</v>
      </c>
      <c r="BZ75" s="128">
        <v>76</v>
      </c>
      <c r="CA75" s="128">
        <v>77</v>
      </c>
      <c r="CB75" s="128">
        <v>78</v>
      </c>
      <c r="CC75" s="128">
        <v>79</v>
      </c>
      <c r="CD75" s="128">
        <v>80</v>
      </c>
      <c r="CE75" s="128">
        <v>81</v>
      </c>
      <c r="CF75" s="128">
        <v>82</v>
      </c>
      <c r="CG75" s="128">
        <v>83</v>
      </c>
      <c r="CH75" s="128">
        <v>84</v>
      </c>
      <c r="CI75" s="128">
        <v>85</v>
      </c>
      <c r="CJ75" s="128">
        <v>86</v>
      </c>
      <c r="CK75" s="128">
        <v>87</v>
      </c>
      <c r="CL75" s="128">
        <v>88</v>
      </c>
      <c r="CM75" s="128">
        <v>89</v>
      </c>
      <c r="CN75" s="128">
        <v>90</v>
      </c>
      <c r="CO75" s="128">
        <v>91</v>
      </c>
      <c r="CP75" s="128">
        <v>92</v>
      </c>
      <c r="CQ75" s="128">
        <v>93</v>
      </c>
      <c r="CR75" s="128">
        <v>94</v>
      </c>
      <c r="CS75" s="128">
        <v>95</v>
      </c>
      <c r="CT75" s="128">
        <v>96</v>
      </c>
      <c r="CU75" s="128">
        <v>97</v>
      </c>
      <c r="CV75" s="128">
        <v>98</v>
      </c>
      <c r="CW75" s="128">
        <v>99</v>
      </c>
      <c r="CX75" s="128">
        <v>100</v>
      </c>
    </row>
    <row r="76" spans="1:102" ht="12.75" customHeight="1">
      <c r="A76" s="126" t="s">
        <v>49</v>
      </c>
      <c r="B76" s="129">
        <v>0</v>
      </c>
      <c r="C76" s="156">
        <f>B13</f>
        <v>411626</v>
      </c>
      <c r="D76" s="164">
        <f>IF(ISNUMBER(outYear),C76*(1-pv_degradation_rate/100),"")</f>
        <v>409567.87</v>
      </c>
      <c r="E76" s="164">
        <f t="shared" ref="E76:AI76" si="0">IF(ISNUMBER(outYear),D76*(1-pv_degradation_rate/100),"")</f>
        <v>407520.03064999997</v>
      </c>
      <c r="F76" s="164">
        <f t="shared" si="0"/>
        <v>405482.43049674999</v>
      </c>
      <c r="G76" s="164">
        <f>IF(ISNUMBER(outYear),F76*(1-pv_degradation_rate/100),"")</f>
        <v>403455.01834426622</v>
      </c>
      <c r="H76" s="164">
        <f t="shared" si="0"/>
        <v>401437.7432525449</v>
      </c>
      <c r="I76" s="164">
        <f t="shared" si="0"/>
        <v>399430.55453628214</v>
      </c>
      <c r="J76" s="164">
        <f t="shared" si="0"/>
        <v>397433.4017636007</v>
      </c>
      <c r="K76" s="164">
        <f t="shared" si="0"/>
        <v>395446.23475478269</v>
      </c>
      <c r="L76" s="164">
        <f t="shared" si="0"/>
        <v>393469.00358100876</v>
      </c>
      <c r="M76" s="164">
        <f t="shared" si="0"/>
        <v>391501.6585631037</v>
      </c>
      <c r="N76" s="164">
        <f t="shared" si="0"/>
        <v>389544.15027028817</v>
      </c>
      <c r="O76" s="164">
        <f t="shared" si="0"/>
        <v>387596.42951893673</v>
      </c>
      <c r="P76" s="164">
        <f t="shared" si="0"/>
        <v>385658.44737134204</v>
      </c>
      <c r="Q76" s="164">
        <f t="shared" si="0"/>
        <v>383730.15513448534</v>
      </c>
      <c r="R76" s="164">
        <f t="shared" si="0"/>
        <v>381811.50435881293</v>
      </c>
      <c r="S76" s="164">
        <f t="shared" si="0"/>
        <v>379902.44683701888</v>
      </c>
      <c r="T76" s="164">
        <f t="shared" si="0"/>
        <v>378002.93460283376</v>
      </c>
      <c r="U76" s="164">
        <f t="shared" si="0"/>
        <v>376112.91992981959</v>
      </c>
      <c r="V76" s="164">
        <f t="shared" si="0"/>
        <v>374232.35533017048</v>
      </c>
      <c r="W76" s="164">
        <f t="shared" si="0"/>
        <v>372361.19355351961</v>
      </c>
      <c r="X76" s="164">
        <f t="shared" si="0"/>
        <v>370499.387585752</v>
      </c>
      <c r="Y76" s="164">
        <f t="shared" si="0"/>
        <v>368646.89064782322</v>
      </c>
      <c r="Z76" s="164">
        <f t="shared" si="0"/>
        <v>366803.65619458409</v>
      </c>
      <c r="AA76" s="164">
        <f t="shared" si="0"/>
        <v>364969.63791361119</v>
      </c>
      <c r="AB76" s="164" t="str">
        <f t="shared" si="0"/>
        <v/>
      </c>
      <c r="AC76" s="164" t="str">
        <f t="shared" si="0"/>
        <v/>
      </c>
      <c r="AD76" s="164" t="str">
        <f t="shared" si="0"/>
        <v/>
      </c>
      <c r="AE76" s="164" t="str">
        <f t="shared" si="0"/>
        <v/>
      </c>
      <c r="AF76" s="164" t="str">
        <f t="shared" si="0"/>
        <v/>
      </c>
      <c r="AG76" s="164" t="str">
        <f t="shared" si="0"/>
        <v/>
      </c>
      <c r="AH76" s="164" t="str">
        <f t="shared" si="0"/>
        <v/>
      </c>
      <c r="AI76" s="164" t="str">
        <f t="shared" si="0"/>
        <v/>
      </c>
      <c r="AJ76" s="164" t="str">
        <f t="shared" ref="AJ76:BO76" si="1">IF(ISNUMBER(outYear),AI76*(1-pv_degradation_rate/100),"")</f>
        <v/>
      </c>
      <c r="AK76" s="164" t="str">
        <f t="shared" si="1"/>
        <v/>
      </c>
      <c r="AL76" s="164" t="str">
        <f t="shared" si="1"/>
        <v/>
      </c>
      <c r="AM76" s="164" t="str">
        <f t="shared" si="1"/>
        <v/>
      </c>
      <c r="AN76" s="164" t="str">
        <f t="shared" si="1"/>
        <v/>
      </c>
      <c r="AO76" s="164" t="str">
        <f t="shared" si="1"/>
        <v/>
      </c>
      <c r="AP76" s="164" t="str">
        <f t="shared" si="1"/>
        <v/>
      </c>
      <c r="AQ76" s="164" t="str">
        <f t="shared" si="1"/>
        <v/>
      </c>
      <c r="AR76" s="164" t="str">
        <f t="shared" si="1"/>
        <v/>
      </c>
      <c r="AS76" s="164" t="str">
        <f t="shared" si="1"/>
        <v/>
      </c>
      <c r="AT76" s="164" t="str">
        <f t="shared" si="1"/>
        <v/>
      </c>
      <c r="AU76" s="164" t="str">
        <f t="shared" si="1"/>
        <v/>
      </c>
      <c r="AV76" s="164" t="str">
        <f t="shared" si="1"/>
        <v/>
      </c>
      <c r="AW76" s="164" t="str">
        <f t="shared" si="1"/>
        <v/>
      </c>
      <c r="AX76" s="164" t="str">
        <f t="shared" si="1"/>
        <v/>
      </c>
      <c r="AY76" s="164" t="str">
        <f t="shared" si="1"/>
        <v/>
      </c>
      <c r="AZ76" s="164" t="str">
        <f t="shared" si="1"/>
        <v/>
      </c>
      <c r="BA76" s="164" t="str">
        <f t="shared" si="1"/>
        <v/>
      </c>
      <c r="BB76" s="164" t="str">
        <f t="shared" si="1"/>
        <v/>
      </c>
      <c r="BC76" s="164" t="str">
        <f t="shared" si="1"/>
        <v/>
      </c>
      <c r="BD76" s="164" t="str">
        <f t="shared" si="1"/>
        <v/>
      </c>
      <c r="BE76" s="164" t="str">
        <f t="shared" si="1"/>
        <v/>
      </c>
      <c r="BF76" s="164" t="str">
        <f t="shared" si="1"/>
        <v/>
      </c>
      <c r="BG76" s="164" t="str">
        <f t="shared" si="1"/>
        <v/>
      </c>
      <c r="BH76" s="164" t="str">
        <f t="shared" si="1"/>
        <v/>
      </c>
      <c r="BI76" s="164" t="str">
        <f t="shared" si="1"/>
        <v/>
      </c>
      <c r="BJ76" s="164" t="str">
        <f t="shared" si="1"/>
        <v/>
      </c>
      <c r="BK76" s="164" t="str">
        <f t="shared" si="1"/>
        <v/>
      </c>
      <c r="BL76" s="164" t="str">
        <f t="shared" si="1"/>
        <v/>
      </c>
      <c r="BM76" s="164" t="str">
        <f t="shared" si="1"/>
        <v/>
      </c>
      <c r="BN76" s="164" t="str">
        <f t="shared" si="1"/>
        <v/>
      </c>
      <c r="BO76" s="164" t="str">
        <f t="shared" si="1"/>
        <v/>
      </c>
      <c r="BP76" s="164" t="str">
        <f t="shared" ref="BP76:CX76" si="2">IF(ISNUMBER(outYear),BO76*(1-pv_degradation_rate/100),"")</f>
        <v/>
      </c>
      <c r="BQ76" s="164" t="str">
        <f t="shared" si="2"/>
        <v/>
      </c>
      <c r="BR76" s="164" t="str">
        <f t="shared" si="2"/>
        <v/>
      </c>
      <c r="BS76" s="164" t="str">
        <f t="shared" si="2"/>
        <v/>
      </c>
      <c r="BT76" s="164" t="str">
        <f t="shared" si="2"/>
        <v/>
      </c>
      <c r="BU76" s="164" t="str">
        <f t="shared" si="2"/>
        <v/>
      </c>
      <c r="BV76" s="164" t="str">
        <f t="shared" si="2"/>
        <v/>
      </c>
      <c r="BW76" s="164" t="str">
        <f t="shared" si="2"/>
        <v/>
      </c>
      <c r="BX76" s="164" t="str">
        <f t="shared" si="2"/>
        <v/>
      </c>
      <c r="BY76" s="164" t="str">
        <f t="shared" si="2"/>
        <v/>
      </c>
      <c r="BZ76" s="164" t="str">
        <f t="shared" si="2"/>
        <v/>
      </c>
      <c r="CA76" s="164" t="str">
        <f t="shared" si="2"/>
        <v/>
      </c>
      <c r="CB76" s="164" t="str">
        <f t="shared" si="2"/>
        <v/>
      </c>
      <c r="CC76" s="164" t="str">
        <f t="shared" si="2"/>
        <v/>
      </c>
      <c r="CD76" s="164" t="str">
        <f t="shared" si="2"/>
        <v/>
      </c>
      <c r="CE76" s="164" t="str">
        <f t="shared" si="2"/>
        <v/>
      </c>
      <c r="CF76" s="164" t="str">
        <f t="shared" si="2"/>
        <v/>
      </c>
      <c r="CG76" s="164" t="str">
        <f t="shared" si="2"/>
        <v/>
      </c>
      <c r="CH76" s="164" t="str">
        <f t="shared" si="2"/>
        <v/>
      </c>
      <c r="CI76" s="164" t="str">
        <f t="shared" si="2"/>
        <v/>
      </c>
      <c r="CJ76" s="164" t="str">
        <f t="shared" si="2"/>
        <v/>
      </c>
      <c r="CK76" s="164" t="str">
        <f t="shared" si="2"/>
        <v/>
      </c>
      <c r="CL76" s="164" t="str">
        <f t="shared" si="2"/>
        <v/>
      </c>
      <c r="CM76" s="164" t="str">
        <f t="shared" si="2"/>
        <v/>
      </c>
      <c r="CN76" s="164" t="str">
        <f t="shared" si="2"/>
        <v/>
      </c>
      <c r="CO76" s="164" t="str">
        <f t="shared" si="2"/>
        <v/>
      </c>
      <c r="CP76" s="164" t="str">
        <f t="shared" si="2"/>
        <v/>
      </c>
      <c r="CQ76" s="164" t="str">
        <f t="shared" si="2"/>
        <v/>
      </c>
      <c r="CR76" s="164" t="str">
        <f t="shared" si="2"/>
        <v/>
      </c>
      <c r="CS76" s="164" t="str">
        <f t="shared" si="2"/>
        <v/>
      </c>
      <c r="CT76" s="164" t="str">
        <f t="shared" si="2"/>
        <v/>
      </c>
      <c r="CU76" s="164" t="str">
        <f t="shared" si="2"/>
        <v/>
      </c>
      <c r="CV76" s="164" t="str">
        <f t="shared" si="2"/>
        <v/>
      </c>
      <c r="CW76" s="164" t="str">
        <f t="shared" si="2"/>
        <v/>
      </c>
      <c r="CX76" s="164" t="str">
        <f t="shared" si="2"/>
        <v/>
      </c>
    </row>
    <row r="77" spans="1:102" ht="12.75" customHeight="1">
      <c r="A77" s="126" t="s">
        <v>95</v>
      </c>
      <c r="B77" s="129"/>
      <c r="C77" s="156">
        <f t="shared" ref="C77:AH77" si="3">IF(ISNUMBER(outYear),$B$10*(1+escalation_rate_nominal/100)^C75,"")</f>
        <v>850914.15374999994</v>
      </c>
      <c r="D77" s="164">
        <f t="shared" si="3"/>
        <v>876547.9426317187</v>
      </c>
      <c r="E77" s="164">
        <f t="shared" si="3"/>
        <v>902953.94940349914</v>
      </c>
      <c r="F77" s="164">
        <f t="shared" si="3"/>
        <v>930155.4371292796</v>
      </c>
      <c r="G77" s="164">
        <f t="shared" si="3"/>
        <v>958176.36967279925</v>
      </c>
      <c r="H77" s="164">
        <f t="shared" si="3"/>
        <v>987041.43280919222</v>
      </c>
      <c r="I77" s="164">
        <f t="shared" si="3"/>
        <v>1016776.055972569</v>
      </c>
      <c r="J77" s="164">
        <f t="shared" si="3"/>
        <v>1047406.4346587427</v>
      </c>
      <c r="K77" s="164">
        <f t="shared" si="3"/>
        <v>1078959.5535028374</v>
      </c>
      <c r="L77" s="164">
        <f t="shared" si="3"/>
        <v>1111463.2100521103</v>
      </c>
      <c r="M77" s="164">
        <f t="shared" si="3"/>
        <v>1144946.0392549301</v>
      </c>
      <c r="N77" s="164">
        <f t="shared" si="3"/>
        <v>1179437.5386874848</v>
      </c>
      <c r="O77" s="164">
        <f t="shared" si="3"/>
        <v>1214968.0945404454</v>
      </c>
      <c r="P77" s="164">
        <f t="shared" si="3"/>
        <v>1251569.0083884762</v>
      </c>
      <c r="Q77" s="164">
        <f t="shared" si="3"/>
        <v>1289272.5247661788</v>
      </c>
      <c r="R77" s="164">
        <f t="shared" si="3"/>
        <v>1328111.8595747603</v>
      </c>
      <c r="S77" s="164">
        <f t="shared" si="3"/>
        <v>1368121.2293444497</v>
      </c>
      <c r="T77" s="164">
        <f t="shared" si="3"/>
        <v>1409335.8813784514</v>
      </c>
      <c r="U77" s="164">
        <f t="shared" si="3"/>
        <v>1451792.1248049771</v>
      </c>
      <c r="V77" s="164">
        <f t="shared" si="3"/>
        <v>1495527.3625647272</v>
      </c>
      <c r="W77" s="164">
        <f t="shared" si="3"/>
        <v>1540580.1243619896</v>
      </c>
      <c r="X77" s="164">
        <f t="shared" si="3"/>
        <v>1586990.1006083945</v>
      </c>
      <c r="Y77" s="164">
        <f t="shared" si="3"/>
        <v>1634798.177389222</v>
      </c>
      <c r="Z77" s="164">
        <f t="shared" si="3"/>
        <v>1684046.4724830724</v>
      </c>
      <c r="AA77" s="164">
        <f t="shared" si="3"/>
        <v>1734778.3724666254</v>
      </c>
      <c r="AB77" s="164" t="str">
        <f t="shared" si="3"/>
        <v/>
      </c>
      <c r="AC77" s="164" t="str">
        <f t="shared" si="3"/>
        <v/>
      </c>
      <c r="AD77" s="164" t="str">
        <f t="shared" si="3"/>
        <v/>
      </c>
      <c r="AE77" s="164" t="str">
        <f t="shared" si="3"/>
        <v/>
      </c>
      <c r="AF77" s="164" t="str">
        <f t="shared" si="3"/>
        <v/>
      </c>
      <c r="AG77" s="164" t="str">
        <f t="shared" si="3"/>
        <v/>
      </c>
      <c r="AH77" s="164" t="str">
        <f t="shared" si="3"/>
        <v/>
      </c>
      <c r="AI77" s="164" t="str">
        <f t="shared" ref="AI77:BN77" si="4">IF(ISNUMBER(outYear),$B$10*(1+escalation_rate_nominal/100)^AI75,"")</f>
        <v/>
      </c>
      <c r="AJ77" s="164" t="str">
        <f t="shared" si="4"/>
        <v/>
      </c>
      <c r="AK77" s="164" t="str">
        <f t="shared" si="4"/>
        <v/>
      </c>
      <c r="AL77" s="164" t="str">
        <f t="shared" si="4"/>
        <v/>
      </c>
      <c r="AM77" s="164" t="str">
        <f t="shared" si="4"/>
        <v/>
      </c>
      <c r="AN77" s="164" t="str">
        <f t="shared" si="4"/>
        <v/>
      </c>
      <c r="AO77" s="164" t="str">
        <f t="shared" si="4"/>
        <v/>
      </c>
      <c r="AP77" s="164" t="str">
        <f t="shared" si="4"/>
        <v/>
      </c>
      <c r="AQ77" s="164" t="str">
        <f t="shared" si="4"/>
        <v/>
      </c>
      <c r="AR77" s="164" t="str">
        <f t="shared" si="4"/>
        <v/>
      </c>
      <c r="AS77" s="164" t="str">
        <f t="shared" si="4"/>
        <v/>
      </c>
      <c r="AT77" s="164" t="str">
        <f t="shared" si="4"/>
        <v/>
      </c>
      <c r="AU77" s="164" t="str">
        <f t="shared" si="4"/>
        <v/>
      </c>
      <c r="AV77" s="164" t="str">
        <f t="shared" si="4"/>
        <v/>
      </c>
      <c r="AW77" s="164" t="str">
        <f t="shared" si="4"/>
        <v/>
      </c>
      <c r="AX77" s="164" t="str">
        <f t="shared" si="4"/>
        <v/>
      </c>
      <c r="AY77" s="164" t="str">
        <f t="shared" si="4"/>
        <v/>
      </c>
      <c r="AZ77" s="164" t="str">
        <f t="shared" si="4"/>
        <v/>
      </c>
      <c r="BA77" s="164" t="str">
        <f t="shared" si="4"/>
        <v/>
      </c>
      <c r="BB77" s="164" t="str">
        <f t="shared" si="4"/>
        <v/>
      </c>
      <c r="BC77" s="164" t="str">
        <f t="shared" si="4"/>
        <v/>
      </c>
      <c r="BD77" s="164" t="str">
        <f t="shared" si="4"/>
        <v/>
      </c>
      <c r="BE77" s="164" t="str">
        <f t="shared" si="4"/>
        <v/>
      </c>
      <c r="BF77" s="164" t="str">
        <f t="shared" si="4"/>
        <v/>
      </c>
      <c r="BG77" s="164" t="str">
        <f t="shared" si="4"/>
        <v/>
      </c>
      <c r="BH77" s="164" t="str">
        <f t="shared" si="4"/>
        <v/>
      </c>
      <c r="BI77" s="164" t="str">
        <f t="shared" si="4"/>
        <v/>
      </c>
      <c r="BJ77" s="164" t="str">
        <f t="shared" si="4"/>
        <v/>
      </c>
      <c r="BK77" s="164" t="str">
        <f t="shared" si="4"/>
        <v/>
      </c>
      <c r="BL77" s="164" t="str">
        <f t="shared" si="4"/>
        <v/>
      </c>
      <c r="BM77" s="164" t="str">
        <f t="shared" si="4"/>
        <v/>
      </c>
      <c r="BN77" s="164" t="str">
        <f t="shared" si="4"/>
        <v/>
      </c>
      <c r="BO77" s="164" t="str">
        <f t="shared" ref="BO77:CX77" si="5">IF(ISNUMBER(outYear),$B$10*(1+escalation_rate_nominal/100)^BO75,"")</f>
        <v/>
      </c>
      <c r="BP77" s="164" t="str">
        <f t="shared" si="5"/>
        <v/>
      </c>
      <c r="BQ77" s="164" t="str">
        <f t="shared" si="5"/>
        <v/>
      </c>
      <c r="BR77" s="164" t="str">
        <f t="shared" si="5"/>
        <v/>
      </c>
      <c r="BS77" s="164" t="str">
        <f t="shared" si="5"/>
        <v/>
      </c>
      <c r="BT77" s="164" t="str">
        <f t="shared" si="5"/>
        <v/>
      </c>
      <c r="BU77" s="164" t="str">
        <f t="shared" si="5"/>
        <v/>
      </c>
      <c r="BV77" s="164" t="str">
        <f t="shared" si="5"/>
        <v/>
      </c>
      <c r="BW77" s="164" t="str">
        <f t="shared" si="5"/>
        <v/>
      </c>
      <c r="BX77" s="164" t="str">
        <f t="shared" si="5"/>
        <v/>
      </c>
      <c r="BY77" s="164" t="str">
        <f t="shared" si="5"/>
        <v/>
      </c>
      <c r="BZ77" s="164" t="str">
        <f t="shared" si="5"/>
        <v/>
      </c>
      <c r="CA77" s="164" t="str">
        <f t="shared" si="5"/>
        <v/>
      </c>
      <c r="CB77" s="164" t="str">
        <f t="shared" si="5"/>
        <v/>
      </c>
      <c r="CC77" s="164" t="str">
        <f t="shared" si="5"/>
        <v/>
      </c>
      <c r="CD77" s="164" t="str">
        <f t="shared" si="5"/>
        <v/>
      </c>
      <c r="CE77" s="164" t="str">
        <f t="shared" si="5"/>
        <v/>
      </c>
      <c r="CF77" s="164" t="str">
        <f t="shared" si="5"/>
        <v/>
      </c>
      <c r="CG77" s="164" t="str">
        <f t="shared" si="5"/>
        <v/>
      </c>
      <c r="CH77" s="164" t="str">
        <f t="shared" si="5"/>
        <v/>
      </c>
      <c r="CI77" s="164" t="str">
        <f t="shared" si="5"/>
        <v/>
      </c>
      <c r="CJ77" s="164" t="str">
        <f t="shared" si="5"/>
        <v/>
      </c>
      <c r="CK77" s="164" t="str">
        <f t="shared" si="5"/>
        <v/>
      </c>
      <c r="CL77" s="164" t="str">
        <f t="shared" si="5"/>
        <v/>
      </c>
      <c r="CM77" s="164" t="str">
        <f t="shared" si="5"/>
        <v/>
      </c>
      <c r="CN77" s="164" t="str">
        <f t="shared" si="5"/>
        <v/>
      </c>
      <c r="CO77" s="164" t="str">
        <f t="shared" si="5"/>
        <v/>
      </c>
      <c r="CP77" s="164" t="str">
        <f t="shared" si="5"/>
        <v/>
      </c>
      <c r="CQ77" s="164" t="str">
        <f t="shared" si="5"/>
        <v/>
      </c>
      <c r="CR77" s="164" t="str">
        <f t="shared" si="5"/>
        <v/>
      </c>
      <c r="CS77" s="164" t="str">
        <f t="shared" si="5"/>
        <v/>
      </c>
      <c r="CT77" s="164" t="str">
        <f t="shared" si="5"/>
        <v/>
      </c>
      <c r="CU77" s="164" t="str">
        <f t="shared" si="5"/>
        <v/>
      </c>
      <c r="CV77" s="164" t="str">
        <f t="shared" si="5"/>
        <v/>
      </c>
      <c r="CW77" s="164" t="str">
        <f t="shared" si="5"/>
        <v/>
      </c>
      <c r="CX77" s="164" t="str">
        <f t="shared" si="5"/>
        <v/>
      </c>
    </row>
    <row r="78" spans="1:102" ht="12.75" customHeight="1">
      <c r="A78" s="126" t="s">
        <v>110</v>
      </c>
      <c r="B78" s="129"/>
      <c r="C78" s="156">
        <f t="shared" ref="C78:AH78" si="6">IF(ISNUMBER(outYear),$B$11*(1+escalation_rate_nominal/100)^C75,"")</f>
        <v>806809.35187499993</v>
      </c>
      <c r="D78" s="164">
        <f t="shared" si="6"/>
        <v>831114.48360023438</v>
      </c>
      <c r="E78" s="164">
        <f t="shared" si="6"/>
        <v>856151.80741869134</v>
      </c>
      <c r="F78" s="164">
        <f t="shared" si="6"/>
        <v>881943.38061717944</v>
      </c>
      <c r="G78" s="164">
        <f t="shared" si="6"/>
        <v>908511.92495827202</v>
      </c>
      <c r="H78" s="164">
        <f t="shared" si="6"/>
        <v>935880.84669763991</v>
      </c>
      <c r="I78" s="164">
        <f t="shared" si="6"/>
        <v>964074.2572044062</v>
      </c>
      <c r="J78" s="164">
        <f t="shared" si="6"/>
        <v>993116.99420268903</v>
      </c>
      <c r="K78" s="164">
        <f t="shared" si="6"/>
        <v>1023034.6436530451</v>
      </c>
      <c r="L78" s="164">
        <f t="shared" si="6"/>
        <v>1053853.562293093</v>
      </c>
      <c r="M78" s="164">
        <f t="shared" si="6"/>
        <v>1085600.9008571724</v>
      </c>
      <c r="N78" s="164">
        <f t="shared" si="6"/>
        <v>1118304.6279954945</v>
      </c>
      <c r="O78" s="164">
        <f t="shared" si="6"/>
        <v>1151993.5549138591</v>
      </c>
      <c r="P78" s="164">
        <f t="shared" si="6"/>
        <v>1186697.3607556389</v>
      </c>
      <c r="Q78" s="164">
        <f t="shared" si="6"/>
        <v>1222446.6187484025</v>
      </c>
      <c r="R78" s="164">
        <f t="shared" si="6"/>
        <v>1259272.8231381981</v>
      </c>
      <c r="S78" s="164">
        <f t="shared" si="6"/>
        <v>1297208.4169352364</v>
      </c>
      <c r="T78" s="164">
        <f t="shared" si="6"/>
        <v>1336286.8204954104</v>
      </c>
      <c r="U78" s="164">
        <f t="shared" si="6"/>
        <v>1376542.4609628345</v>
      </c>
      <c r="V78" s="164">
        <f t="shared" si="6"/>
        <v>1418010.80259934</v>
      </c>
      <c r="W78" s="164">
        <f t="shared" si="6"/>
        <v>1460728.3780276452</v>
      </c>
      <c r="X78" s="164">
        <f t="shared" si="6"/>
        <v>1504732.8204157278</v>
      </c>
      <c r="Y78" s="164">
        <f t="shared" si="6"/>
        <v>1550062.8966307514</v>
      </c>
      <c r="Z78" s="164">
        <f t="shared" si="6"/>
        <v>1596758.5413917529</v>
      </c>
      <c r="AA78" s="164">
        <f t="shared" si="6"/>
        <v>1644860.8924511797</v>
      </c>
      <c r="AB78" s="164" t="str">
        <f t="shared" si="6"/>
        <v/>
      </c>
      <c r="AC78" s="164" t="str">
        <f t="shared" si="6"/>
        <v/>
      </c>
      <c r="AD78" s="164" t="str">
        <f t="shared" si="6"/>
        <v/>
      </c>
      <c r="AE78" s="164" t="str">
        <f t="shared" si="6"/>
        <v/>
      </c>
      <c r="AF78" s="164" t="str">
        <f t="shared" si="6"/>
        <v/>
      </c>
      <c r="AG78" s="164" t="str">
        <f t="shared" si="6"/>
        <v/>
      </c>
      <c r="AH78" s="164" t="str">
        <f t="shared" si="6"/>
        <v/>
      </c>
      <c r="AI78" s="164" t="str">
        <f t="shared" ref="AI78:BN78" si="7">IF(ISNUMBER(outYear),$B$11*(1+escalation_rate_nominal/100)^AI75,"")</f>
        <v/>
      </c>
      <c r="AJ78" s="164" t="str">
        <f t="shared" si="7"/>
        <v/>
      </c>
      <c r="AK78" s="164" t="str">
        <f t="shared" si="7"/>
        <v/>
      </c>
      <c r="AL78" s="164" t="str">
        <f t="shared" si="7"/>
        <v/>
      </c>
      <c r="AM78" s="164" t="str">
        <f t="shared" si="7"/>
        <v/>
      </c>
      <c r="AN78" s="164" t="str">
        <f t="shared" si="7"/>
        <v/>
      </c>
      <c r="AO78" s="164" t="str">
        <f t="shared" si="7"/>
        <v/>
      </c>
      <c r="AP78" s="164" t="str">
        <f t="shared" si="7"/>
        <v/>
      </c>
      <c r="AQ78" s="164" t="str">
        <f t="shared" si="7"/>
        <v/>
      </c>
      <c r="AR78" s="164" t="str">
        <f t="shared" si="7"/>
        <v/>
      </c>
      <c r="AS78" s="164" t="str">
        <f t="shared" si="7"/>
        <v/>
      </c>
      <c r="AT78" s="164" t="str">
        <f t="shared" si="7"/>
        <v/>
      </c>
      <c r="AU78" s="164" t="str">
        <f t="shared" si="7"/>
        <v/>
      </c>
      <c r="AV78" s="164" t="str">
        <f t="shared" si="7"/>
        <v/>
      </c>
      <c r="AW78" s="164" t="str">
        <f t="shared" si="7"/>
        <v/>
      </c>
      <c r="AX78" s="164" t="str">
        <f t="shared" si="7"/>
        <v/>
      </c>
      <c r="AY78" s="164" t="str">
        <f t="shared" si="7"/>
        <v/>
      </c>
      <c r="AZ78" s="164" t="str">
        <f t="shared" si="7"/>
        <v/>
      </c>
      <c r="BA78" s="164" t="str">
        <f t="shared" si="7"/>
        <v/>
      </c>
      <c r="BB78" s="164" t="str">
        <f t="shared" si="7"/>
        <v/>
      </c>
      <c r="BC78" s="164" t="str">
        <f t="shared" si="7"/>
        <v/>
      </c>
      <c r="BD78" s="164" t="str">
        <f t="shared" si="7"/>
        <v/>
      </c>
      <c r="BE78" s="164" t="str">
        <f t="shared" si="7"/>
        <v/>
      </c>
      <c r="BF78" s="164" t="str">
        <f t="shared" si="7"/>
        <v/>
      </c>
      <c r="BG78" s="164" t="str">
        <f t="shared" si="7"/>
        <v/>
      </c>
      <c r="BH78" s="164" t="str">
        <f t="shared" si="7"/>
        <v/>
      </c>
      <c r="BI78" s="164" t="str">
        <f t="shared" si="7"/>
        <v/>
      </c>
      <c r="BJ78" s="164" t="str">
        <f t="shared" si="7"/>
        <v/>
      </c>
      <c r="BK78" s="164" t="str">
        <f t="shared" si="7"/>
        <v/>
      </c>
      <c r="BL78" s="164" t="str">
        <f t="shared" si="7"/>
        <v/>
      </c>
      <c r="BM78" s="164" t="str">
        <f t="shared" si="7"/>
        <v/>
      </c>
      <c r="BN78" s="164" t="str">
        <f t="shared" si="7"/>
        <v/>
      </c>
      <c r="BO78" s="164" t="str">
        <f t="shared" ref="BO78:CX78" si="8">IF(ISNUMBER(outYear),$B$11*(1+escalation_rate_nominal/100)^BO75,"")</f>
        <v/>
      </c>
      <c r="BP78" s="164" t="str">
        <f t="shared" si="8"/>
        <v/>
      </c>
      <c r="BQ78" s="164" t="str">
        <f t="shared" si="8"/>
        <v/>
      </c>
      <c r="BR78" s="164" t="str">
        <f t="shared" si="8"/>
        <v/>
      </c>
      <c r="BS78" s="164" t="str">
        <f t="shared" si="8"/>
        <v/>
      </c>
      <c r="BT78" s="164" t="str">
        <f t="shared" si="8"/>
        <v/>
      </c>
      <c r="BU78" s="164" t="str">
        <f t="shared" si="8"/>
        <v/>
      </c>
      <c r="BV78" s="164" t="str">
        <f t="shared" si="8"/>
        <v/>
      </c>
      <c r="BW78" s="164" t="str">
        <f t="shared" si="8"/>
        <v/>
      </c>
      <c r="BX78" s="164" t="str">
        <f t="shared" si="8"/>
        <v/>
      </c>
      <c r="BY78" s="164" t="str">
        <f t="shared" si="8"/>
        <v/>
      </c>
      <c r="BZ78" s="164" t="str">
        <f t="shared" si="8"/>
        <v/>
      </c>
      <c r="CA78" s="164" t="str">
        <f t="shared" si="8"/>
        <v/>
      </c>
      <c r="CB78" s="164" t="str">
        <f t="shared" si="8"/>
        <v/>
      </c>
      <c r="CC78" s="164" t="str">
        <f t="shared" si="8"/>
        <v/>
      </c>
      <c r="CD78" s="164" t="str">
        <f t="shared" si="8"/>
        <v/>
      </c>
      <c r="CE78" s="164" t="str">
        <f t="shared" si="8"/>
        <v/>
      </c>
      <c r="CF78" s="164" t="str">
        <f t="shared" si="8"/>
        <v/>
      </c>
      <c r="CG78" s="164" t="str">
        <f t="shared" si="8"/>
        <v/>
      </c>
      <c r="CH78" s="164" t="str">
        <f t="shared" si="8"/>
        <v/>
      </c>
      <c r="CI78" s="164" t="str">
        <f t="shared" si="8"/>
        <v/>
      </c>
      <c r="CJ78" s="164" t="str">
        <f t="shared" si="8"/>
        <v/>
      </c>
      <c r="CK78" s="164" t="str">
        <f t="shared" si="8"/>
        <v/>
      </c>
      <c r="CL78" s="164" t="str">
        <f t="shared" si="8"/>
        <v/>
      </c>
      <c r="CM78" s="164" t="str">
        <f t="shared" si="8"/>
        <v/>
      </c>
      <c r="CN78" s="164" t="str">
        <f t="shared" si="8"/>
        <v/>
      </c>
      <c r="CO78" s="164" t="str">
        <f t="shared" si="8"/>
        <v/>
      </c>
      <c r="CP78" s="164" t="str">
        <f t="shared" si="8"/>
        <v/>
      </c>
      <c r="CQ78" s="164" t="str">
        <f t="shared" si="8"/>
        <v/>
      </c>
      <c r="CR78" s="164" t="str">
        <f t="shared" si="8"/>
        <v/>
      </c>
      <c r="CS78" s="164" t="str">
        <f t="shared" si="8"/>
        <v/>
      </c>
      <c r="CT78" s="164" t="str">
        <f t="shared" si="8"/>
        <v/>
      </c>
      <c r="CU78" s="164" t="str">
        <f t="shared" si="8"/>
        <v/>
      </c>
      <c r="CV78" s="164" t="str">
        <f t="shared" si="8"/>
        <v/>
      </c>
      <c r="CW78" s="164" t="str">
        <f t="shared" si="8"/>
        <v/>
      </c>
      <c r="CX78" s="164" t="str">
        <f t="shared" si="8"/>
        <v/>
      </c>
    </row>
    <row r="79" spans="1:102" ht="12.75" customHeight="1">
      <c r="A79" s="126" t="s">
        <v>111</v>
      </c>
      <c r="B79" s="129"/>
      <c r="C79" s="156">
        <f t="shared" ref="C79:AH79" si="9">IF(ISNUMBER(outYear),$B$12*((1+escalation_rate_nominal/100)^C75)*(1-pv_degradation/100)^C75,"")</f>
        <v>-10762.2309375</v>
      </c>
      <c r="D79" s="164">
        <f t="shared" si="9"/>
        <v>-11031.010928769727</v>
      </c>
      <c r="E79" s="164">
        <f t="shared" si="9"/>
        <v>-11306.50353233392</v>
      </c>
      <c r="F79" s="164">
        <f t="shared" si="9"/>
        <v>-11588.876391489253</v>
      </c>
      <c r="G79" s="164">
        <f t="shared" si="9"/>
        <v>-11878.301336318951</v>
      </c>
      <c r="H79" s="164">
        <f t="shared" si="9"/>
        <v>-12174.954488255182</v>
      </c>
      <c r="I79" s="164">
        <f t="shared" si="9"/>
        <v>-12479.016367252798</v>
      </c>
      <c r="J79" s="164">
        <f t="shared" si="9"/>
        <v>-12790.672001639708</v>
      </c>
      <c r="K79" s="164">
        <f t="shared" si="9"/>
        <v>-13110.111040710659</v>
      </c>
      <c r="L79" s="164">
        <f t="shared" si="9"/>
        <v>-13437.527870133006</v>
      </c>
      <c r="M79" s="164">
        <f t="shared" si="9"/>
        <v>-13773.121730234658</v>
      </c>
      <c r="N79" s="164">
        <f t="shared" si="9"/>
        <v>-14117.096837246188</v>
      </c>
      <c r="O79" s="164">
        <f t="shared" si="9"/>
        <v>-14469.662507570891</v>
      </c>
      <c r="P79" s="164">
        <f t="shared" si="9"/>
        <v>-14831.033285158408</v>
      </c>
      <c r="Q79" s="164">
        <f t="shared" si="9"/>
        <v>-15201.429072059433</v>
      </c>
      <c r="R79" s="164">
        <f t="shared" si="9"/>
        <v>-15581.075262240947</v>
      </c>
      <c r="S79" s="164">
        <f t="shared" si="9"/>
        <v>-15970.202878743376</v>
      </c>
      <c r="T79" s="164">
        <f t="shared" si="9"/>
        <v>-16369.04871426319</v>
      </c>
      <c r="U79" s="164">
        <f t="shared" si="9"/>
        <v>-16777.85547524647</v>
      </c>
      <c r="V79" s="164">
        <f t="shared" si="9"/>
        <v>-17196.871929581077</v>
      </c>
      <c r="W79" s="164">
        <f t="shared" si="9"/>
        <v>-17626.353057977409</v>
      </c>
      <c r="X79" s="164">
        <f t="shared" si="9"/>
        <v>-18066.560209129733</v>
      </c>
      <c r="Y79" s="164">
        <f t="shared" si="9"/>
        <v>-18517.761258752616</v>
      </c>
      <c r="Z79" s="164">
        <f t="shared" si="9"/>
        <v>-18980.230772589177</v>
      </c>
      <c r="AA79" s="164">
        <f t="shared" si="9"/>
        <v>-19454.250173490364</v>
      </c>
      <c r="AB79" s="164" t="str">
        <f t="shared" si="9"/>
        <v/>
      </c>
      <c r="AC79" s="164" t="str">
        <f t="shared" si="9"/>
        <v/>
      </c>
      <c r="AD79" s="164" t="str">
        <f t="shared" si="9"/>
        <v/>
      </c>
      <c r="AE79" s="164" t="str">
        <f t="shared" si="9"/>
        <v/>
      </c>
      <c r="AF79" s="164" t="str">
        <f t="shared" si="9"/>
        <v/>
      </c>
      <c r="AG79" s="164" t="str">
        <f t="shared" si="9"/>
        <v/>
      </c>
      <c r="AH79" s="164" t="str">
        <f t="shared" si="9"/>
        <v/>
      </c>
      <c r="AI79" s="164" t="str">
        <f t="shared" ref="AI79:BN79" si="10">IF(ISNUMBER(outYear),$B$12*((1+escalation_rate_nominal/100)^AI75)*(1-pv_degradation/100)^AI75,"")</f>
        <v/>
      </c>
      <c r="AJ79" s="164" t="str">
        <f t="shared" si="10"/>
        <v/>
      </c>
      <c r="AK79" s="164" t="str">
        <f t="shared" si="10"/>
        <v/>
      </c>
      <c r="AL79" s="164" t="str">
        <f t="shared" si="10"/>
        <v/>
      </c>
      <c r="AM79" s="164" t="str">
        <f t="shared" si="10"/>
        <v/>
      </c>
      <c r="AN79" s="164" t="str">
        <f t="shared" si="10"/>
        <v/>
      </c>
      <c r="AO79" s="164" t="str">
        <f t="shared" si="10"/>
        <v/>
      </c>
      <c r="AP79" s="164" t="str">
        <f t="shared" si="10"/>
        <v/>
      </c>
      <c r="AQ79" s="164" t="str">
        <f t="shared" si="10"/>
        <v/>
      </c>
      <c r="AR79" s="164" t="str">
        <f t="shared" si="10"/>
        <v/>
      </c>
      <c r="AS79" s="164" t="str">
        <f t="shared" si="10"/>
        <v/>
      </c>
      <c r="AT79" s="164" t="str">
        <f t="shared" si="10"/>
        <v/>
      </c>
      <c r="AU79" s="164" t="str">
        <f t="shared" si="10"/>
        <v/>
      </c>
      <c r="AV79" s="164" t="str">
        <f t="shared" si="10"/>
        <v/>
      </c>
      <c r="AW79" s="164" t="str">
        <f t="shared" si="10"/>
        <v/>
      </c>
      <c r="AX79" s="164" t="str">
        <f t="shared" si="10"/>
        <v/>
      </c>
      <c r="AY79" s="164" t="str">
        <f t="shared" si="10"/>
        <v/>
      </c>
      <c r="AZ79" s="164" t="str">
        <f t="shared" si="10"/>
        <v/>
      </c>
      <c r="BA79" s="164" t="str">
        <f t="shared" si="10"/>
        <v/>
      </c>
      <c r="BB79" s="164" t="str">
        <f t="shared" si="10"/>
        <v/>
      </c>
      <c r="BC79" s="164" t="str">
        <f t="shared" si="10"/>
        <v/>
      </c>
      <c r="BD79" s="164" t="str">
        <f t="shared" si="10"/>
        <v/>
      </c>
      <c r="BE79" s="164" t="str">
        <f t="shared" si="10"/>
        <v/>
      </c>
      <c r="BF79" s="164" t="str">
        <f t="shared" si="10"/>
        <v/>
      </c>
      <c r="BG79" s="164" t="str">
        <f t="shared" si="10"/>
        <v/>
      </c>
      <c r="BH79" s="164" t="str">
        <f t="shared" si="10"/>
        <v/>
      </c>
      <c r="BI79" s="164" t="str">
        <f t="shared" si="10"/>
        <v/>
      </c>
      <c r="BJ79" s="164" t="str">
        <f t="shared" si="10"/>
        <v/>
      </c>
      <c r="BK79" s="164" t="str">
        <f t="shared" si="10"/>
        <v/>
      </c>
      <c r="BL79" s="164" t="str">
        <f t="shared" si="10"/>
        <v/>
      </c>
      <c r="BM79" s="164" t="str">
        <f t="shared" si="10"/>
        <v/>
      </c>
      <c r="BN79" s="164" t="str">
        <f t="shared" si="10"/>
        <v/>
      </c>
      <c r="BO79" s="164" t="str">
        <f t="shared" ref="BO79:CX79" si="11">IF(ISNUMBER(outYear),$B$12*((1+escalation_rate_nominal/100)^BO75)*(1-pv_degradation/100)^BO75,"")</f>
        <v/>
      </c>
      <c r="BP79" s="164" t="str">
        <f t="shared" si="11"/>
        <v/>
      </c>
      <c r="BQ79" s="164" t="str">
        <f t="shared" si="11"/>
        <v/>
      </c>
      <c r="BR79" s="164" t="str">
        <f t="shared" si="11"/>
        <v/>
      </c>
      <c r="BS79" s="164" t="str">
        <f t="shared" si="11"/>
        <v/>
      </c>
      <c r="BT79" s="164" t="str">
        <f t="shared" si="11"/>
        <v/>
      </c>
      <c r="BU79" s="164" t="str">
        <f t="shared" si="11"/>
        <v/>
      </c>
      <c r="BV79" s="164" t="str">
        <f t="shared" si="11"/>
        <v/>
      </c>
      <c r="BW79" s="164" t="str">
        <f t="shared" si="11"/>
        <v/>
      </c>
      <c r="BX79" s="164" t="str">
        <f t="shared" si="11"/>
        <v/>
      </c>
      <c r="BY79" s="164" t="str">
        <f t="shared" si="11"/>
        <v/>
      </c>
      <c r="BZ79" s="164" t="str">
        <f t="shared" si="11"/>
        <v/>
      </c>
      <c r="CA79" s="164" t="str">
        <f t="shared" si="11"/>
        <v/>
      </c>
      <c r="CB79" s="164" t="str">
        <f t="shared" si="11"/>
        <v/>
      </c>
      <c r="CC79" s="164" t="str">
        <f t="shared" si="11"/>
        <v/>
      </c>
      <c r="CD79" s="164" t="str">
        <f t="shared" si="11"/>
        <v/>
      </c>
      <c r="CE79" s="164" t="str">
        <f t="shared" si="11"/>
        <v/>
      </c>
      <c r="CF79" s="164" t="str">
        <f t="shared" si="11"/>
        <v/>
      </c>
      <c r="CG79" s="164" t="str">
        <f t="shared" si="11"/>
        <v/>
      </c>
      <c r="CH79" s="164" t="str">
        <f t="shared" si="11"/>
        <v/>
      </c>
      <c r="CI79" s="164" t="str">
        <f t="shared" si="11"/>
        <v/>
      </c>
      <c r="CJ79" s="164" t="str">
        <f t="shared" si="11"/>
        <v/>
      </c>
      <c r="CK79" s="164" t="str">
        <f t="shared" si="11"/>
        <v/>
      </c>
      <c r="CL79" s="164" t="str">
        <f t="shared" si="11"/>
        <v/>
      </c>
      <c r="CM79" s="164" t="str">
        <f t="shared" si="11"/>
        <v/>
      </c>
      <c r="CN79" s="164" t="str">
        <f t="shared" si="11"/>
        <v/>
      </c>
      <c r="CO79" s="164" t="str">
        <f t="shared" si="11"/>
        <v/>
      </c>
      <c r="CP79" s="164" t="str">
        <f t="shared" si="11"/>
        <v/>
      </c>
      <c r="CQ79" s="164" t="str">
        <f t="shared" si="11"/>
        <v/>
      </c>
      <c r="CR79" s="164" t="str">
        <f t="shared" si="11"/>
        <v/>
      </c>
      <c r="CS79" s="164" t="str">
        <f t="shared" si="11"/>
        <v/>
      </c>
      <c r="CT79" s="164" t="str">
        <f t="shared" si="11"/>
        <v/>
      </c>
      <c r="CU79" s="164" t="str">
        <f t="shared" si="11"/>
        <v/>
      </c>
      <c r="CV79" s="164" t="str">
        <f t="shared" si="11"/>
        <v/>
      </c>
      <c r="CW79" s="164" t="str">
        <f t="shared" si="11"/>
        <v/>
      </c>
      <c r="CX79" s="164" t="str">
        <f t="shared" si="11"/>
        <v/>
      </c>
    </row>
    <row r="80" spans="1:102" ht="12.75" customHeight="1">
      <c r="A80" s="126" t="s">
        <v>34</v>
      </c>
      <c r="B80" s="129">
        <v>0</v>
      </c>
      <c r="C80" s="156">
        <f t="shared" ref="C80:AH80" si="12">IF(C75&lt;=analysis_period,C77-(C78 + C79),"")</f>
        <v>54867.032812500023</v>
      </c>
      <c r="D80" s="164">
        <f t="shared" si="12"/>
        <v>56464.469960254035</v>
      </c>
      <c r="E80" s="164">
        <f t="shared" si="12"/>
        <v>58108.645517141675</v>
      </c>
      <c r="F80" s="164">
        <f t="shared" si="12"/>
        <v>59800.932903589448</v>
      </c>
      <c r="G80" s="164">
        <f t="shared" si="12"/>
        <v>61542.746050846181</v>
      </c>
      <c r="H80" s="164">
        <f t="shared" si="12"/>
        <v>63335.540599807515</v>
      </c>
      <c r="I80" s="164">
        <f t="shared" si="12"/>
        <v>65180.815135415643</v>
      </c>
      <c r="J80" s="164">
        <f t="shared" si="12"/>
        <v>67080.112457693438</v>
      </c>
      <c r="K80" s="164">
        <f t="shared" si="12"/>
        <v>69035.020890503074</v>
      </c>
      <c r="L80" s="164">
        <f t="shared" si="12"/>
        <v>71047.175629150355</v>
      </c>
      <c r="M80" s="164">
        <f t="shared" si="12"/>
        <v>73118.260127992369</v>
      </c>
      <c r="N80" s="164">
        <f t="shared" si="12"/>
        <v>75250.007529236376</v>
      </c>
      <c r="O80" s="164">
        <f t="shared" si="12"/>
        <v>77444.202134157065</v>
      </c>
      <c r="P80" s="164">
        <f t="shared" si="12"/>
        <v>79702.680917995749</v>
      </c>
      <c r="Q80" s="164">
        <f t="shared" si="12"/>
        <v>82027.335089835804</v>
      </c>
      <c r="R80" s="164">
        <f t="shared" si="12"/>
        <v>84420.111698803026</v>
      </c>
      <c r="S80" s="164">
        <f t="shared" si="12"/>
        <v>86883.015287956689</v>
      </c>
      <c r="T80" s="164">
        <f t="shared" si="12"/>
        <v>89418.109597304137</v>
      </c>
      <c r="U80" s="164">
        <f t="shared" si="12"/>
        <v>92027.519317389</v>
      </c>
      <c r="V80" s="164">
        <f t="shared" si="12"/>
        <v>94713.431894968264</v>
      </c>
      <c r="W80" s="164">
        <f t="shared" si="12"/>
        <v>97478.099392321892</v>
      </c>
      <c r="X80" s="164">
        <f t="shared" si="12"/>
        <v>100323.84040179639</v>
      </c>
      <c r="Y80" s="164">
        <f t="shared" si="12"/>
        <v>103253.04201722308</v>
      </c>
      <c r="Z80" s="164">
        <f t="shared" si="12"/>
        <v>106268.16186390864</v>
      </c>
      <c r="AA80" s="164">
        <f t="shared" si="12"/>
        <v>109371.730188936</v>
      </c>
      <c r="AB80" s="164" t="str">
        <f t="shared" si="12"/>
        <v/>
      </c>
      <c r="AC80" s="164" t="str">
        <f t="shared" si="12"/>
        <v/>
      </c>
      <c r="AD80" s="164" t="str">
        <f t="shared" si="12"/>
        <v/>
      </c>
      <c r="AE80" s="164" t="str">
        <f t="shared" si="12"/>
        <v/>
      </c>
      <c r="AF80" s="164" t="str">
        <f t="shared" si="12"/>
        <v/>
      </c>
      <c r="AG80" s="164" t="str">
        <f t="shared" si="12"/>
        <v/>
      </c>
      <c r="AH80" s="164" t="str">
        <f t="shared" si="12"/>
        <v/>
      </c>
      <c r="AI80" s="164" t="str">
        <f t="shared" ref="AI80:BN80" si="13">IF(AI75&lt;=analysis_period,AI77-(AI78 + AI79),"")</f>
        <v/>
      </c>
      <c r="AJ80" s="164" t="str">
        <f t="shared" si="13"/>
        <v/>
      </c>
      <c r="AK80" s="164" t="str">
        <f t="shared" si="13"/>
        <v/>
      </c>
      <c r="AL80" s="164" t="str">
        <f t="shared" si="13"/>
        <v/>
      </c>
      <c r="AM80" s="164" t="str">
        <f t="shared" si="13"/>
        <v/>
      </c>
      <c r="AN80" s="164" t="str">
        <f t="shared" si="13"/>
        <v/>
      </c>
      <c r="AO80" s="164" t="str">
        <f t="shared" si="13"/>
        <v/>
      </c>
      <c r="AP80" s="164" t="str">
        <f t="shared" si="13"/>
        <v/>
      </c>
      <c r="AQ80" s="164" t="str">
        <f t="shared" si="13"/>
        <v/>
      </c>
      <c r="AR80" s="164" t="str">
        <f t="shared" si="13"/>
        <v/>
      </c>
      <c r="AS80" s="164" t="str">
        <f t="shared" si="13"/>
        <v/>
      </c>
      <c r="AT80" s="164" t="str">
        <f t="shared" si="13"/>
        <v/>
      </c>
      <c r="AU80" s="164" t="str">
        <f t="shared" si="13"/>
        <v/>
      </c>
      <c r="AV80" s="164" t="str">
        <f t="shared" si="13"/>
        <v/>
      </c>
      <c r="AW80" s="164" t="str">
        <f t="shared" si="13"/>
        <v/>
      </c>
      <c r="AX80" s="164" t="str">
        <f t="shared" si="13"/>
        <v/>
      </c>
      <c r="AY80" s="164" t="str">
        <f t="shared" si="13"/>
        <v/>
      </c>
      <c r="AZ80" s="164" t="str">
        <f t="shared" si="13"/>
        <v/>
      </c>
      <c r="BA80" s="164" t="str">
        <f t="shared" si="13"/>
        <v/>
      </c>
      <c r="BB80" s="164" t="str">
        <f t="shared" si="13"/>
        <v/>
      </c>
      <c r="BC80" s="164" t="str">
        <f t="shared" si="13"/>
        <v/>
      </c>
      <c r="BD80" s="164" t="str">
        <f t="shared" si="13"/>
        <v/>
      </c>
      <c r="BE80" s="164" t="str">
        <f t="shared" si="13"/>
        <v/>
      </c>
      <c r="BF80" s="164" t="str">
        <f t="shared" si="13"/>
        <v/>
      </c>
      <c r="BG80" s="164" t="str">
        <f t="shared" si="13"/>
        <v/>
      </c>
      <c r="BH80" s="164" t="str">
        <f t="shared" si="13"/>
        <v/>
      </c>
      <c r="BI80" s="164" t="str">
        <f t="shared" si="13"/>
        <v/>
      </c>
      <c r="BJ80" s="164" t="str">
        <f t="shared" si="13"/>
        <v/>
      </c>
      <c r="BK80" s="164" t="str">
        <f t="shared" si="13"/>
        <v/>
      </c>
      <c r="BL80" s="164" t="str">
        <f t="shared" si="13"/>
        <v/>
      </c>
      <c r="BM80" s="164" t="str">
        <f t="shared" si="13"/>
        <v/>
      </c>
      <c r="BN80" s="164" t="str">
        <f t="shared" si="13"/>
        <v/>
      </c>
      <c r="BO80" s="164" t="str">
        <f t="shared" ref="BO80:CT80" si="14">IF(BO75&lt;=analysis_period,BO77-(BO78 + BO79),"")</f>
        <v/>
      </c>
      <c r="BP80" s="164" t="str">
        <f t="shared" si="14"/>
        <v/>
      </c>
      <c r="BQ80" s="164" t="str">
        <f t="shared" si="14"/>
        <v/>
      </c>
      <c r="BR80" s="164" t="str">
        <f t="shared" si="14"/>
        <v/>
      </c>
      <c r="BS80" s="164" t="str">
        <f t="shared" si="14"/>
        <v/>
      </c>
      <c r="BT80" s="164" t="str">
        <f t="shared" si="14"/>
        <v/>
      </c>
      <c r="BU80" s="164" t="str">
        <f t="shared" si="14"/>
        <v/>
      </c>
      <c r="BV80" s="164" t="str">
        <f t="shared" si="14"/>
        <v/>
      </c>
      <c r="BW80" s="164" t="str">
        <f t="shared" si="14"/>
        <v/>
      </c>
      <c r="BX80" s="164" t="str">
        <f t="shared" si="14"/>
        <v/>
      </c>
      <c r="BY80" s="164" t="str">
        <f t="shared" si="14"/>
        <v/>
      </c>
      <c r="BZ80" s="164" t="str">
        <f t="shared" si="14"/>
        <v/>
      </c>
      <c r="CA80" s="164" t="str">
        <f t="shared" si="14"/>
        <v/>
      </c>
      <c r="CB80" s="164" t="str">
        <f t="shared" si="14"/>
        <v/>
      </c>
      <c r="CC80" s="164" t="str">
        <f t="shared" si="14"/>
        <v/>
      </c>
      <c r="CD80" s="164" t="str">
        <f t="shared" si="14"/>
        <v/>
      </c>
      <c r="CE80" s="164" t="str">
        <f t="shared" si="14"/>
        <v/>
      </c>
      <c r="CF80" s="164" t="str">
        <f t="shared" si="14"/>
        <v/>
      </c>
      <c r="CG80" s="164" t="str">
        <f t="shared" si="14"/>
        <v/>
      </c>
      <c r="CH80" s="164" t="str">
        <f t="shared" si="14"/>
        <v/>
      </c>
      <c r="CI80" s="164" t="str">
        <f t="shared" si="14"/>
        <v/>
      </c>
      <c r="CJ80" s="164" t="str">
        <f t="shared" si="14"/>
        <v/>
      </c>
      <c r="CK80" s="164" t="str">
        <f t="shared" si="14"/>
        <v/>
      </c>
      <c r="CL80" s="164" t="str">
        <f t="shared" si="14"/>
        <v/>
      </c>
      <c r="CM80" s="164" t="str">
        <f t="shared" si="14"/>
        <v/>
      </c>
      <c r="CN80" s="164" t="str">
        <f t="shared" si="14"/>
        <v/>
      </c>
      <c r="CO80" s="164" t="str">
        <f t="shared" si="14"/>
        <v/>
      </c>
      <c r="CP80" s="164" t="str">
        <f t="shared" si="14"/>
        <v/>
      </c>
      <c r="CQ80" s="164" t="str">
        <f t="shared" si="14"/>
        <v/>
      </c>
      <c r="CR80" s="164" t="str">
        <f t="shared" si="14"/>
        <v/>
      </c>
      <c r="CS80" s="164" t="str">
        <f t="shared" si="14"/>
        <v/>
      </c>
      <c r="CT80" s="164" t="str">
        <f t="shared" si="14"/>
        <v/>
      </c>
      <c r="CU80" s="164" t="str">
        <f t="shared" ref="CU80:CX80" si="15">IF(CU75&lt;=analysis_period,CU77-(CU78 + CU79),"")</f>
        <v/>
      </c>
      <c r="CV80" s="164" t="str">
        <f t="shared" si="15"/>
        <v/>
      </c>
      <c r="CW80" s="164" t="str">
        <f t="shared" si="15"/>
        <v/>
      </c>
      <c r="CX80" s="164" t="str">
        <f t="shared" si="15"/>
        <v/>
      </c>
    </row>
    <row r="81" spans="1:102" ht="12.75" customHeight="1">
      <c r="A81" s="126" t="s">
        <v>142</v>
      </c>
      <c r="B81" s="130">
        <v>0</v>
      </c>
      <c r="C81" s="157">
        <f>IF(ISNUMBER(outYear),IF(FederalDepreciation=5,H63,IF(FederalDepreciation=7,H64,0)),"")</f>
        <v>0.2</v>
      </c>
      <c r="D81" s="157">
        <f>IF(ISNUMBER(outYear),IF(FederalDepreciation=5,I63,IF(FederalDepreciation=7,I64,0)),"")</f>
        <v>0.32</v>
      </c>
      <c r="E81" s="157">
        <f>IF(ISNUMBER(outYear),IF(FederalDepreciation=5,J63,IF(FederalDepreciation=7,J64,0)),"")</f>
        <v>0.192</v>
      </c>
      <c r="F81" s="157">
        <f>IF(ISNUMBER(outYear),IF(FederalDepreciation=5,K63,IF(FederalDepreciation=7,K64,0)),"")</f>
        <v>0.1152</v>
      </c>
      <c r="G81" s="157">
        <f t="shared" ref="G81:AH81" si="16">IF(ISNUMBER(outYear),IF(FederalDepreciation=5,L63,IF(FederalDepreciation=7,L64,0)),"")</f>
        <v>0.1152</v>
      </c>
      <c r="H81" s="157">
        <f t="shared" si="16"/>
        <v>5.7599999999999998E-2</v>
      </c>
      <c r="I81" s="157">
        <f t="shared" si="16"/>
        <v>0</v>
      </c>
      <c r="J81" s="157">
        <f t="shared" si="16"/>
        <v>0</v>
      </c>
      <c r="K81" s="157">
        <f t="shared" si="16"/>
        <v>0</v>
      </c>
      <c r="L81" s="157">
        <f t="shared" si="16"/>
        <v>0</v>
      </c>
      <c r="M81" s="157">
        <f t="shared" si="16"/>
        <v>0</v>
      </c>
      <c r="N81" s="157">
        <f t="shared" si="16"/>
        <v>0</v>
      </c>
      <c r="O81" s="157">
        <f t="shared" si="16"/>
        <v>0</v>
      </c>
      <c r="P81" s="157">
        <f t="shared" si="16"/>
        <v>0</v>
      </c>
      <c r="Q81" s="157">
        <f t="shared" si="16"/>
        <v>0</v>
      </c>
      <c r="R81" s="157">
        <f t="shared" si="16"/>
        <v>0</v>
      </c>
      <c r="S81" s="157">
        <f t="shared" si="16"/>
        <v>0</v>
      </c>
      <c r="T81" s="157">
        <f t="shared" si="16"/>
        <v>0</v>
      </c>
      <c r="U81" s="157">
        <f t="shared" si="16"/>
        <v>0</v>
      </c>
      <c r="V81" s="157">
        <f t="shared" si="16"/>
        <v>0</v>
      </c>
      <c r="W81" s="157">
        <f t="shared" si="16"/>
        <v>0</v>
      </c>
      <c r="X81" s="157">
        <f t="shared" si="16"/>
        <v>0</v>
      </c>
      <c r="Y81" s="157">
        <f t="shared" si="16"/>
        <v>0</v>
      </c>
      <c r="Z81" s="157">
        <f t="shared" si="16"/>
        <v>0</v>
      </c>
      <c r="AA81" s="157">
        <f t="shared" si="16"/>
        <v>0</v>
      </c>
      <c r="AB81" s="157" t="str">
        <f t="shared" si="16"/>
        <v/>
      </c>
      <c r="AC81" s="157" t="str">
        <f t="shared" si="16"/>
        <v/>
      </c>
      <c r="AD81" s="157" t="str">
        <f t="shared" si="16"/>
        <v/>
      </c>
      <c r="AE81" s="157" t="str">
        <f t="shared" si="16"/>
        <v/>
      </c>
      <c r="AF81" s="157" t="str">
        <f t="shared" si="16"/>
        <v/>
      </c>
      <c r="AG81" s="157" t="str">
        <f t="shared" si="16"/>
        <v/>
      </c>
      <c r="AH81" s="157" t="str">
        <f t="shared" si="16"/>
        <v/>
      </c>
      <c r="AI81" s="157" t="str">
        <f t="shared" ref="AI81:BN81" si="17">IF(ISNUMBER(outYear),IF(FederalDepreciation=5,AN63,IF(FederalDepreciation=7,AN64,0)),"")</f>
        <v/>
      </c>
      <c r="AJ81" s="157" t="str">
        <f t="shared" si="17"/>
        <v/>
      </c>
      <c r="AK81" s="157" t="str">
        <f t="shared" si="17"/>
        <v/>
      </c>
      <c r="AL81" s="157" t="str">
        <f t="shared" si="17"/>
        <v/>
      </c>
      <c r="AM81" s="157" t="str">
        <f t="shared" si="17"/>
        <v/>
      </c>
      <c r="AN81" s="157" t="str">
        <f t="shared" si="17"/>
        <v/>
      </c>
      <c r="AO81" s="157" t="str">
        <f t="shared" si="17"/>
        <v/>
      </c>
      <c r="AP81" s="157" t="str">
        <f t="shared" si="17"/>
        <v/>
      </c>
      <c r="AQ81" s="157" t="str">
        <f t="shared" si="17"/>
        <v/>
      </c>
      <c r="AR81" s="157" t="str">
        <f t="shared" si="17"/>
        <v/>
      </c>
      <c r="AS81" s="157" t="str">
        <f t="shared" si="17"/>
        <v/>
      </c>
      <c r="AT81" s="157" t="str">
        <f t="shared" si="17"/>
        <v/>
      </c>
      <c r="AU81" s="157" t="str">
        <f t="shared" si="17"/>
        <v/>
      </c>
      <c r="AV81" s="157" t="str">
        <f t="shared" si="17"/>
        <v/>
      </c>
      <c r="AW81" s="157" t="str">
        <f t="shared" si="17"/>
        <v/>
      </c>
      <c r="AX81" s="157" t="str">
        <f t="shared" si="17"/>
        <v/>
      </c>
      <c r="AY81" s="157" t="str">
        <f t="shared" si="17"/>
        <v/>
      </c>
      <c r="AZ81" s="157" t="str">
        <f t="shared" si="17"/>
        <v/>
      </c>
      <c r="BA81" s="157" t="str">
        <f t="shared" si="17"/>
        <v/>
      </c>
      <c r="BB81" s="157" t="str">
        <f t="shared" si="17"/>
        <v/>
      </c>
      <c r="BC81" s="157" t="str">
        <f t="shared" si="17"/>
        <v/>
      </c>
      <c r="BD81" s="157" t="str">
        <f t="shared" si="17"/>
        <v/>
      </c>
      <c r="BE81" s="157" t="str">
        <f t="shared" si="17"/>
        <v/>
      </c>
      <c r="BF81" s="157" t="str">
        <f t="shared" si="17"/>
        <v/>
      </c>
      <c r="BG81" s="157" t="str">
        <f t="shared" si="17"/>
        <v/>
      </c>
      <c r="BH81" s="157" t="str">
        <f t="shared" si="17"/>
        <v/>
      </c>
      <c r="BI81" s="157" t="str">
        <f t="shared" si="17"/>
        <v/>
      </c>
      <c r="BJ81" s="157" t="str">
        <f t="shared" si="17"/>
        <v/>
      </c>
      <c r="BK81" s="157" t="str">
        <f t="shared" si="17"/>
        <v/>
      </c>
      <c r="BL81" s="157" t="str">
        <f t="shared" si="17"/>
        <v/>
      </c>
      <c r="BM81" s="157" t="str">
        <f t="shared" si="17"/>
        <v/>
      </c>
      <c r="BN81" s="157" t="str">
        <f t="shared" si="17"/>
        <v/>
      </c>
      <c r="BO81" s="157" t="str">
        <f t="shared" ref="BO81:CT81" si="18">IF(ISNUMBER(outYear),IF(FederalDepreciation=5,BT63,IF(FederalDepreciation=7,BT64,0)),"")</f>
        <v/>
      </c>
      <c r="BP81" s="157" t="str">
        <f t="shared" si="18"/>
        <v/>
      </c>
      <c r="BQ81" s="157" t="str">
        <f t="shared" si="18"/>
        <v/>
      </c>
      <c r="BR81" s="157" t="str">
        <f t="shared" si="18"/>
        <v/>
      </c>
      <c r="BS81" s="157" t="str">
        <f t="shared" si="18"/>
        <v/>
      </c>
      <c r="BT81" s="157" t="str">
        <f t="shared" si="18"/>
        <v/>
      </c>
      <c r="BU81" s="157" t="str">
        <f t="shared" si="18"/>
        <v/>
      </c>
      <c r="BV81" s="157" t="str">
        <f t="shared" si="18"/>
        <v/>
      </c>
      <c r="BW81" s="157" t="str">
        <f t="shared" si="18"/>
        <v/>
      </c>
      <c r="BX81" s="157" t="str">
        <f t="shared" si="18"/>
        <v/>
      </c>
      <c r="BY81" s="157" t="str">
        <f t="shared" si="18"/>
        <v/>
      </c>
      <c r="BZ81" s="157" t="str">
        <f t="shared" si="18"/>
        <v/>
      </c>
      <c r="CA81" s="157" t="str">
        <f t="shared" si="18"/>
        <v/>
      </c>
      <c r="CB81" s="157" t="str">
        <f t="shared" si="18"/>
        <v/>
      </c>
      <c r="CC81" s="157" t="str">
        <f t="shared" si="18"/>
        <v/>
      </c>
      <c r="CD81" s="157" t="str">
        <f t="shared" si="18"/>
        <v/>
      </c>
      <c r="CE81" s="157" t="str">
        <f t="shared" si="18"/>
        <v/>
      </c>
      <c r="CF81" s="157" t="str">
        <f t="shared" si="18"/>
        <v/>
      </c>
      <c r="CG81" s="157" t="str">
        <f t="shared" si="18"/>
        <v/>
      </c>
      <c r="CH81" s="157" t="str">
        <f t="shared" si="18"/>
        <v/>
      </c>
      <c r="CI81" s="157" t="str">
        <f t="shared" si="18"/>
        <v/>
      </c>
      <c r="CJ81" s="157" t="str">
        <f t="shared" si="18"/>
        <v/>
      </c>
      <c r="CK81" s="157" t="str">
        <f t="shared" si="18"/>
        <v/>
      </c>
      <c r="CL81" s="157" t="str">
        <f t="shared" si="18"/>
        <v/>
      </c>
      <c r="CM81" s="157" t="str">
        <f t="shared" si="18"/>
        <v/>
      </c>
      <c r="CN81" s="157" t="str">
        <f t="shared" si="18"/>
        <v/>
      </c>
      <c r="CO81" s="157" t="str">
        <f t="shared" si="18"/>
        <v/>
      </c>
      <c r="CP81" s="157" t="str">
        <f t="shared" si="18"/>
        <v/>
      </c>
      <c r="CQ81" s="157" t="str">
        <f t="shared" si="18"/>
        <v/>
      </c>
      <c r="CR81" s="157" t="str">
        <f t="shared" si="18"/>
        <v/>
      </c>
      <c r="CS81" s="157" t="str">
        <f t="shared" si="18"/>
        <v/>
      </c>
      <c r="CT81" s="157" t="str">
        <f t="shared" si="18"/>
        <v/>
      </c>
      <c r="CU81" s="157" t="str">
        <f t="shared" ref="CU81:CX81" si="19">IF(ISNUMBER(outYear),IF(FederalDepreciation=5,CZ63,IF(FederalDepreciation=7,CZ64,0)),"")</f>
        <v/>
      </c>
      <c r="CV81" s="157" t="str">
        <f t="shared" si="19"/>
        <v/>
      </c>
      <c r="CW81" s="157" t="str">
        <f t="shared" si="19"/>
        <v/>
      </c>
      <c r="CX81" s="157" t="str">
        <f t="shared" si="19"/>
        <v/>
      </c>
    </row>
    <row r="82" spans="1:102" ht="12.75" customHeight="1">
      <c r="A82" s="126" t="s">
        <v>123</v>
      </c>
      <c r="B82" s="130">
        <v>0</v>
      </c>
      <c r="C82" s="157">
        <f>IF(ISNUMBER(outYear),IF(BatteryFederalDepreciation=5,H63,IF(BatteryFederalDepreciation=7,H64,0)),"")</f>
        <v>0.2</v>
      </c>
      <c r="D82" s="157">
        <f>IF(ISNUMBER(outYear),IF(BatteryFederalDepreciation=5,I63,IF(BatteryFederalDepreciation=7,I64,0)),"")</f>
        <v>0.32</v>
      </c>
      <c r="E82" s="157">
        <f>IF(ISNUMBER(outYear),IF(BatteryFederalDepreciation=5,J63,IF(BatteryFederalDepreciation=7,J64,0)),"")</f>
        <v>0.192</v>
      </c>
      <c r="F82" s="157">
        <f>IF(ISNUMBER(outYear),IF(BatteryFederalDepreciation=5,K63,IF(BatteryFederalDepreciation=7,K64,0)),"")</f>
        <v>0.1152</v>
      </c>
      <c r="G82" s="157">
        <f t="shared" ref="G82:AH82" si="20">IF(ISNUMBER(outYear),IF(BatteryFederalDepreciation=5,L63,IF(BatteryFederalDepreciation=7,L64,0)),"")</f>
        <v>0.1152</v>
      </c>
      <c r="H82" s="157">
        <f t="shared" si="20"/>
        <v>5.7599999999999998E-2</v>
      </c>
      <c r="I82" s="157">
        <f t="shared" si="20"/>
        <v>0</v>
      </c>
      <c r="J82" s="157">
        <f t="shared" si="20"/>
        <v>0</v>
      </c>
      <c r="K82" s="157">
        <f t="shared" si="20"/>
        <v>0</v>
      </c>
      <c r="L82" s="157">
        <f t="shared" si="20"/>
        <v>0</v>
      </c>
      <c r="M82" s="157">
        <f t="shared" si="20"/>
        <v>0</v>
      </c>
      <c r="N82" s="157">
        <f t="shared" si="20"/>
        <v>0</v>
      </c>
      <c r="O82" s="157">
        <f t="shared" si="20"/>
        <v>0</v>
      </c>
      <c r="P82" s="157">
        <f t="shared" si="20"/>
        <v>0</v>
      </c>
      <c r="Q82" s="157">
        <f t="shared" si="20"/>
        <v>0</v>
      </c>
      <c r="R82" s="157">
        <f t="shared" si="20"/>
        <v>0</v>
      </c>
      <c r="S82" s="157">
        <f t="shared" si="20"/>
        <v>0</v>
      </c>
      <c r="T82" s="157">
        <f t="shared" si="20"/>
        <v>0</v>
      </c>
      <c r="U82" s="157">
        <f t="shared" si="20"/>
        <v>0</v>
      </c>
      <c r="V82" s="157">
        <f t="shared" si="20"/>
        <v>0</v>
      </c>
      <c r="W82" s="157">
        <f t="shared" si="20"/>
        <v>0</v>
      </c>
      <c r="X82" s="157">
        <f t="shared" si="20"/>
        <v>0</v>
      </c>
      <c r="Y82" s="157">
        <f t="shared" si="20"/>
        <v>0</v>
      </c>
      <c r="Z82" s="157">
        <f t="shared" si="20"/>
        <v>0</v>
      </c>
      <c r="AA82" s="157">
        <f t="shared" si="20"/>
        <v>0</v>
      </c>
      <c r="AB82" s="157" t="str">
        <f t="shared" si="20"/>
        <v/>
      </c>
      <c r="AC82" s="157" t="str">
        <f t="shared" si="20"/>
        <v/>
      </c>
      <c r="AD82" s="157" t="str">
        <f t="shared" si="20"/>
        <v/>
      </c>
      <c r="AE82" s="157" t="str">
        <f t="shared" si="20"/>
        <v/>
      </c>
      <c r="AF82" s="157" t="str">
        <f t="shared" si="20"/>
        <v/>
      </c>
      <c r="AG82" s="157" t="str">
        <f t="shared" si="20"/>
        <v/>
      </c>
      <c r="AH82" s="157" t="str">
        <f t="shared" si="20"/>
        <v/>
      </c>
      <c r="AI82" s="157" t="str">
        <f t="shared" ref="AI82:BN82" si="21">IF(ISNUMBER(outYear),IF(BatteryFederalDepreciation=5,AN63,IF(BatteryFederalDepreciation=7,AN64,0)),"")</f>
        <v/>
      </c>
      <c r="AJ82" s="157" t="str">
        <f t="shared" si="21"/>
        <v/>
      </c>
      <c r="AK82" s="157" t="str">
        <f t="shared" si="21"/>
        <v/>
      </c>
      <c r="AL82" s="157" t="str">
        <f t="shared" si="21"/>
        <v/>
      </c>
      <c r="AM82" s="157" t="str">
        <f t="shared" si="21"/>
        <v/>
      </c>
      <c r="AN82" s="157" t="str">
        <f t="shared" si="21"/>
        <v/>
      </c>
      <c r="AO82" s="157" t="str">
        <f t="shared" si="21"/>
        <v/>
      </c>
      <c r="AP82" s="157" t="str">
        <f t="shared" si="21"/>
        <v/>
      </c>
      <c r="AQ82" s="157" t="str">
        <f t="shared" si="21"/>
        <v/>
      </c>
      <c r="AR82" s="157" t="str">
        <f t="shared" si="21"/>
        <v/>
      </c>
      <c r="AS82" s="157" t="str">
        <f t="shared" si="21"/>
        <v/>
      </c>
      <c r="AT82" s="157" t="str">
        <f t="shared" si="21"/>
        <v/>
      </c>
      <c r="AU82" s="157" t="str">
        <f t="shared" si="21"/>
        <v/>
      </c>
      <c r="AV82" s="157" t="str">
        <f t="shared" si="21"/>
        <v/>
      </c>
      <c r="AW82" s="157" t="str">
        <f t="shared" si="21"/>
        <v/>
      </c>
      <c r="AX82" s="157" t="str">
        <f t="shared" si="21"/>
        <v/>
      </c>
      <c r="AY82" s="157" t="str">
        <f t="shared" si="21"/>
        <v/>
      </c>
      <c r="AZ82" s="157" t="str">
        <f t="shared" si="21"/>
        <v/>
      </c>
      <c r="BA82" s="157" t="str">
        <f t="shared" si="21"/>
        <v/>
      </c>
      <c r="BB82" s="157" t="str">
        <f t="shared" si="21"/>
        <v/>
      </c>
      <c r="BC82" s="157" t="str">
        <f t="shared" si="21"/>
        <v/>
      </c>
      <c r="BD82" s="157" t="str">
        <f t="shared" si="21"/>
        <v/>
      </c>
      <c r="BE82" s="157" t="str">
        <f t="shared" si="21"/>
        <v/>
      </c>
      <c r="BF82" s="157" t="str">
        <f t="shared" si="21"/>
        <v/>
      </c>
      <c r="BG82" s="157" t="str">
        <f t="shared" si="21"/>
        <v/>
      </c>
      <c r="BH82" s="157" t="str">
        <f t="shared" si="21"/>
        <v/>
      </c>
      <c r="BI82" s="157" t="str">
        <f t="shared" si="21"/>
        <v/>
      </c>
      <c r="BJ82" s="157" t="str">
        <f t="shared" si="21"/>
        <v/>
      </c>
      <c r="BK82" s="157" t="str">
        <f t="shared" si="21"/>
        <v/>
      </c>
      <c r="BL82" s="157" t="str">
        <f t="shared" si="21"/>
        <v/>
      </c>
      <c r="BM82" s="157" t="str">
        <f t="shared" si="21"/>
        <v/>
      </c>
      <c r="BN82" s="157" t="str">
        <f t="shared" si="21"/>
        <v/>
      </c>
      <c r="BO82" s="157" t="str">
        <f t="shared" ref="BO82:CT82" si="22">IF(ISNUMBER(outYear),IF(BatteryFederalDepreciation=5,BT63,IF(BatteryFederalDepreciation=7,BT64,0)),"")</f>
        <v/>
      </c>
      <c r="BP82" s="157" t="str">
        <f t="shared" si="22"/>
        <v/>
      </c>
      <c r="BQ82" s="157" t="str">
        <f t="shared" si="22"/>
        <v/>
      </c>
      <c r="BR82" s="157" t="str">
        <f t="shared" si="22"/>
        <v/>
      </c>
      <c r="BS82" s="157" t="str">
        <f t="shared" si="22"/>
        <v/>
      </c>
      <c r="BT82" s="157" t="str">
        <f t="shared" si="22"/>
        <v/>
      </c>
      <c r="BU82" s="157" t="str">
        <f t="shared" si="22"/>
        <v/>
      </c>
      <c r="BV82" s="157" t="str">
        <f t="shared" si="22"/>
        <v/>
      </c>
      <c r="BW82" s="157" t="str">
        <f t="shared" si="22"/>
        <v/>
      </c>
      <c r="BX82" s="157" t="str">
        <f t="shared" si="22"/>
        <v/>
      </c>
      <c r="BY82" s="157" t="str">
        <f t="shared" si="22"/>
        <v/>
      </c>
      <c r="BZ82" s="157" t="str">
        <f t="shared" si="22"/>
        <v/>
      </c>
      <c r="CA82" s="157" t="str">
        <f t="shared" si="22"/>
        <v/>
      </c>
      <c r="CB82" s="157" t="str">
        <f t="shared" si="22"/>
        <v/>
      </c>
      <c r="CC82" s="157" t="str">
        <f t="shared" si="22"/>
        <v/>
      </c>
      <c r="CD82" s="157" t="str">
        <f t="shared" si="22"/>
        <v/>
      </c>
      <c r="CE82" s="157" t="str">
        <f t="shared" si="22"/>
        <v/>
      </c>
      <c r="CF82" s="157" t="str">
        <f t="shared" si="22"/>
        <v/>
      </c>
      <c r="CG82" s="157" t="str">
        <f t="shared" si="22"/>
        <v/>
      </c>
      <c r="CH82" s="157" t="str">
        <f t="shared" si="22"/>
        <v/>
      </c>
      <c r="CI82" s="157" t="str">
        <f t="shared" si="22"/>
        <v/>
      </c>
      <c r="CJ82" s="157" t="str">
        <f t="shared" si="22"/>
        <v/>
      </c>
      <c r="CK82" s="157" t="str">
        <f t="shared" si="22"/>
        <v/>
      </c>
      <c r="CL82" s="157" t="str">
        <f t="shared" si="22"/>
        <v/>
      </c>
      <c r="CM82" s="157" t="str">
        <f t="shared" si="22"/>
        <v/>
      </c>
      <c r="CN82" s="157" t="str">
        <f t="shared" si="22"/>
        <v/>
      </c>
      <c r="CO82" s="157" t="str">
        <f t="shared" si="22"/>
        <v/>
      </c>
      <c r="CP82" s="157" t="str">
        <f t="shared" si="22"/>
        <v/>
      </c>
      <c r="CQ82" s="157" t="str">
        <f t="shared" si="22"/>
        <v/>
      </c>
      <c r="CR82" s="157" t="str">
        <f t="shared" si="22"/>
        <v/>
      </c>
      <c r="CS82" s="157" t="str">
        <f t="shared" si="22"/>
        <v/>
      </c>
      <c r="CT82" s="157" t="str">
        <f t="shared" si="22"/>
        <v/>
      </c>
      <c r="CU82" s="157" t="str">
        <f t="shared" ref="CU82:CX82" si="23">IF(ISNUMBER(outYear),IF(BatteryFederalDepreciation=5,CZ63,IF(BatteryFederalDepreciation=7,CZ64,0)),"")</f>
        <v/>
      </c>
      <c r="CV82" s="157" t="str">
        <f t="shared" si="23"/>
        <v/>
      </c>
      <c r="CW82" s="157" t="str">
        <f t="shared" si="23"/>
        <v/>
      </c>
      <c r="CX82" s="157" t="str">
        <f t="shared" si="23"/>
        <v/>
      </c>
    </row>
    <row r="92" spans="1:102">
      <c r="C92" s="154"/>
    </row>
    <row r="93" spans="1:102">
      <c r="C93" s="154"/>
    </row>
    <row r="94" spans="1:102">
      <c r="C94" s="155"/>
      <c r="D94" s="155"/>
      <c r="E94" s="20"/>
      <c r="F94" s="20"/>
    </row>
    <row r="95" spans="1:102">
      <c r="C95" s="155"/>
      <c r="D95" s="155"/>
      <c r="E95" s="20"/>
      <c r="F95" s="20"/>
    </row>
    <row r="96" spans="1:102">
      <c r="C96" s="155"/>
      <c r="D96" s="155"/>
      <c r="E96" s="20"/>
      <c r="F96" s="20"/>
    </row>
    <row r="97" spans="3:33">
      <c r="C97" s="155"/>
      <c r="D97" s="155"/>
      <c r="E97" s="20"/>
      <c r="F97" s="20"/>
    </row>
    <row r="98" spans="3:33">
      <c r="C98" s="155"/>
      <c r="D98" s="155"/>
      <c r="E98" s="20"/>
      <c r="F98" s="20"/>
    </row>
    <row r="99" spans="3:33">
      <c r="C99" s="155"/>
      <c r="D99" s="155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>
      <c r="C100" s="155"/>
      <c r="D100" s="155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>
      <c r="C101" s="155"/>
      <c r="D101" s="155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>
      <c r="C102" s="155"/>
      <c r="D102" s="155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>
      <c r="C103" s="155"/>
      <c r="D103" s="155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>
      <c r="C104" s="155"/>
      <c r="D104" s="155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>
      <c r="C105" s="155"/>
      <c r="D105" s="155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>
      <c r="C106" s="155"/>
      <c r="D106" s="155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>
      <c r="C107" s="155"/>
      <c r="D107" s="155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>
      <c r="C108" s="155"/>
      <c r="D108" s="155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</sheetData>
  <phoneticPr fontId="0" type="noConversion"/>
  <conditionalFormatting sqref="B43">
    <cfRule type="expression" dxfId="5" priority="31" stopIfTrue="1">
      <formula>#REF!="Fixed"</formula>
    </cfRule>
  </conditionalFormatting>
  <conditionalFormatting sqref="B48">
    <cfRule type="expression" dxfId="4" priority="32" stopIfTrue="1">
      <formula>#REF!="Fixed"</formula>
    </cfRule>
  </conditionalFormatting>
  <conditionalFormatting sqref="B49">
    <cfRule type="expression" dxfId="3" priority="33" stopIfTrue="1">
      <formula>#REF!="Fixed"</formula>
    </cfRule>
  </conditionalFormatting>
  <conditionalFormatting sqref="B60">
    <cfRule type="expression" dxfId="2" priority="1" stopIfTrue="1">
      <formula>#REF!="Fixed"</formula>
    </cfRule>
  </conditionalFormatting>
  <conditionalFormatting sqref="B65">
    <cfRule type="expression" dxfId="1" priority="2" stopIfTrue="1">
      <formula>#REF!="Fixed"</formula>
    </cfRule>
  </conditionalFormatting>
  <conditionalFormatting sqref="B66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C73 B73" xr:uid="{00000000-0002-0000-0000-000000000000}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workbookViewId="0">
      <pane xSplit="1" ySplit="2" topLeftCell="B21" activePane="bottomRight" state="frozen"/>
      <selection activeCell="B6" sqref="B6"/>
      <selection pane="topRight" activeCell="B6" sqref="B6"/>
      <selection pane="bottomLeft" activeCell="B6" sqref="B6"/>
      <selection pane="bottomRight" activeCell="D48" sqref="D48"/>
    </sheetView>
  </sheetViews>
  <sheetFormatPr baseColWidth="10" defaultColWidth="8.83203125" defaultRowHeight="13"/>
  <cols>
    <col min="1" max="1" width="54.5" customWidth="1"/>
    <col min="2" max="2" width="15.6640625" customWidth="1"/>
    <col min="3" max="3" width="13.33203125" customWidth="1"/>
    <col min="4" max="102" width="15.6640625" customWidth="1"/>
  </cols>
  <sheetData>
    <row r="1" spans="1:102" ht="21">
      <c r="A1" s="116" t="s">
        <v>91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ht="14">
      <c r="A2" s="99" t="s">
        <v>68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ht="14">
      <c r="A4" s="99" t="s">
        <v>70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>
      <c r="A5" s="57" t="s">
        <v>71</v>
      </c>
      <c r="B5" s="93">
        <f t="array" ref="B5:CX5">'Inputs and Outputs'!B76:CX76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ht="14">
      <c r="A7" s="99" t="s">
        <v>69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>
      <c r="A8" s="58" t="s">
        <v>34</v>
      </c>
      <c r="B8" s="77">
        <f t="array" ref="B8:CX8">'Inputs and Outputs'!B80:CX80</f>
        <v>0</v>
      </c>
      <c r="C8" s="77">
        <v>54867.032812500023</v>
      </c>
      <c r="D8" s="77">
        <v>56464.469960254035</v>
      </c>
      <c r="E8" s="77">
        <v>58108.645517141675</v>
      </c>
      <c r="F8" s="77">
        <v>59800.932903589448</v>
      </c>
      <c r="G8" s="77">
        <v>61542.746050846181</v>
      </c>
      <c r="H8" s="77">
        <v>63335.540599807515</v>
      </c>
      <c r="I8" s="77">
        <v>65180.815135415643</v>
      </c>
      <c r="J8" s="77">
        <v>67080.112457693438</v>
      </c>
      <c r="K8" s="77">
        <v>69035.020890503074</v>
      </c>
      <c r="L8" s="77">
        <v>71047.175629150355</v>
      </c>
      <c r="M8" s="77">
        <v>73118.260127992369</v>
      </c>
      <c r="N8" s="77">
        <v>75250.007529236376</v>
      </c>
      <c r="O8" s="77">
        <v>77444.202134157065</v>
      </c>
      <c r="P8" s="77">
        <v>79702.680917995749</v>
      </c>
      <c r="Q8" s="77">
        <v>82027.335089835804</v>
      </c>
      <c r="R8" s="77">
        <v>84420.111698803026</v>
      </c>
      <c r="S8" s="77">
        <v>86883.015287956689</v>
      </c>
      <c r="T8" s="77">
        <v>89418.109597304137</v>
      </c>
      <c r="U8" s="77">
        <v>92027.519317389</v>
      </c>
      <c r="V8" s="77">
        <v>94713.431894968264</v>
      </c>
      <c r="W8" s="77">
        <v>97478.099392321892</v>
      </c>
      <c r="X8" s="77">
        <v>100323.84040179639</v>
      </c>
      <c r="Y8" s="77">
        <v>103253.04201722308</v>
      </c>
      <c r="Z8" s="77">
        <v>106268.16186390864</v>
      </c>
      <c r="AA8" s="77">
        <v>109371.730188936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ht="14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>
      <c r="A10" s="62" t="s">
        <v>72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>
      <c r="A13" s="63" t="s">
        <v>86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>
      <c r="A14" s="63" t="s">
        <v>87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>
      <c r="A17" s="62" t="s">
        <v>73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>
      <c r="A20" s="134" t="s">
        <v>74</v>
      </c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8"/>
    </row>
    <row r="21" spans="1:102" s="2" customFormat="1">
      <c r="A21" s="131" t="s">
        <v>61</v>
      </c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3"/>
    </row>
    <row r="22" spans="1:102" s="2" customFormat="1">
      <c r="A22" s="135" t="s">
        <v>57</v>
      </c>
      <c r="B22" s="140">
        <f>total_installed_cost-B37-B42</f>
        <v>542718</v>
      </c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3"/>
    </row>
    <row r="23" spans="1:102" s="2" customFormat="1">
      <c r="A23" s="135" t="s">
        <v>60</v>
      </c>
      <c r="B23" s="142">
        <f>B22*debt_fraction/100</f>
        <v>0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3"/>
    </row>
    <row r="24" spans="1:102" s="2" customFormat="1">
      <c r="A24" s="135" t="s">
        <v>33</v>
      </c>
      <c r="B24" s="140">
        <f>B22-B23</f>
        <v>542718</v>
      </c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32"/>
      <c r="CC24" s="132"/>
      <c r="CD24" s="132"/>
      <c r="CE24" s="132"/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32"/>
      <c r="CS24" s="132"/>
      <c r="CT24" s="132"/>
      <c r="CU24" s="132"/>
      <c r="CV24" s="132"/>
      <c r="CW24" s="132"/>
      <c r="CX24" s="133"/>
    </row>
    <row r="25" spans="1:102" s="2" customFormat="1">
      <c r="A25" s="131" t="s">
        <v>62</v>
      </c>
      <c r="B25" s="140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  <c r="CC25" s="132"/>
      <c r="CD25" s="132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2"/>
      <c r="CP25" s="132"/>
      <c r="CQ25" s="132"/>
      <c r="CR25" s="132"/>
      <c r="CS25" s="132"/>
      <c r="CT25" s="132"/>
      <c r="CU25" s="132"/>
      <c r="CV25" s="132"/>
      <c r="CW25" s="132"/>
      <c r="CX25" s="133"/>
    </row>
    <row r="26" spans="1:102" s="2" customFormat="1">
      <c r="A26" s="135" t="s">
        <v>63</v>
      </c>
      <c r="B26" s="140"/>
      <c r="C26" s="140">
        <f>IF(loan_term=0, 0, B23)</f>
        <v>0</v>
      </c>
      <c r="D26" s="140">
        <f t="shared" ref="D26:AA26" si="15">IF(ISNUMBER(outYear),C26-C28,"")</f>
        <v>0</v>
      </c>
      <c r="E26" s="149">
        <f t="shared" si="15"/>
        <v>0</v>
      </c>
      <c r="F26" s="149">
        <f t="shared" si="15"/>
        <v>0</v>
      </c>
      <c r="G26" s="149">
        <f t="shared" si="15"/>
        <v>0</v>
      </c>
      <c r="H26" s="149">
        <f t="shared" si="15"/>
        <v>0</v>
      </c>
      <c r="I26" s="149">
        <f t="shared" si="15"/>
        <v>0</v>
      </c>
      <c r="J26" s="149">
        <f t="shared" si="15"/>
        <v>0</v>
      </c>
      <c r="K26" s="149">
        <f t="shared" si="15"/>
        <v>0</v>
      </c>
      <c r="L26" s="149">
        <f t="shared" si="15"/>
        <v>0</v>
      </c>
      <c r="M26" s="149">
        <f t="shared" si="15"/>
        <v>0</v>
      </c>
      <c r="N26" s="149">
        <f t="shared" si="15"/>
        <v>0</v>
      </c>
      <c r="O26" s="149">
        <f t="shared" si="15"/>
        <v>0</v>
      </c>
      <c r="P26" s="149">
        <f t="shared" si="15"/>
        <v>0</v>
      </c>
      <c r="Q26" s="149">
        <f t="shared" si="15"/>
        <v>0</v>
      </c>
      <c r="R26" s="149">
        <f t="shared" si="15"/>
        <v>0</v>
      </c>
      <c r="S26" s="149">
        <f t="shared" si="15"/>
        <v>0</v>
      </c>
      <c r="T26" s="149">
        <f t="shared" si="15"/>
        <v>0</v>
      </c>
      <c r="U26" s="149">
        <f t="shared" si="15"/>
        <v>0</v>
      </c>
      <c r="V26" s="149">
        <f t="shared" si="15"/>
        <v>0</v>
      </c>
      <c r="W26" s="149">
        <f t="shared" si="15"/>
        <v>0</v>
      </c>
      <c r="X26" s="149">
        <f t="shared" si="15"/>
        <v>0</v>
      </c>
      <c r="Y26" s="149">
        <f t="shared" si="15"/>
        <v>0</v>
      </c>
      <c r="Z26" s="149">
        <f t="shared" si="15"/>
        <v>0</v>
      </c>
      <c r="AA26" s="149">
        <f t="shared" si="15"/>
        <v>0</v>
      </c>
      <c r="AB26" s="140" t="s">
        <v>92</v>
      </c>
      <c r="AC26" s="140" t="s">
        <v>92</v>
      </c>
      <c r="AD26" s="140" t="s">
        <v>92</v>
      </c>
      <c r="AE26" s="140" t="s">
        <v>92</v>
      </c>
      <c r="AF26" s="140" t="s">
        <v>92</v>
      </c>
      <c r="AG26" s="140" t="s">
        <v>92</v>
      </c>
      <c r="AH26" s="140" t="s">
        <v>92</v>
      </c>
      <c r="AI26" s="140" t="s">
        <v>92</v>
      </c>
      <c r="AJ26" s="140" t="s">
        <v>92</v>
      </c>
      <c r="AK26" s="140" t="s">
        <v>92</v>
      </c>
      <c r="AL26" s="140" t="s">
        <v>92</v>
      </c>
      <c r="AM26" s="140" t="s">
        <v>92</v>
      </c>
      <c r="AN26" s="140" t="s">
        <v>92</v>
      </c>
      <c r="AO26" s="140" t="s">
        <v>92</v>
      </c>
      <c r="AP26" s="140" t="s">
        <v>92</v>
      </c>
      <c r="AQ26" s="140" t="s">
        <v>92</v>
      </c>
      <c r="AR26" s="140" t="s">
        <v>92</v>
      </c>
      <c r="AS26" s="140" t="s">
        <v>92</v>
      </c>
      <c r="AT26" s="140" t="s">
        <v>92</v>
      </c>
      <c r="AU26" s="140" t="s">
        <v>92</v>
      </c>
      <c r="AV26" s="140" t="s">
        <v>92</v>
      </c>
      <c r="AW26" s="140" t="s">
        <v>92</v>
      </c>
      <c r="AX26" s="140" t="s">
        <v>92</v>
      </c>
      <c r="AY26" s="140" t="s">
        <v>92</v>
      </c>
      <c r="AZ26" s="140" t="s">
        <v>92</v>
      </c>
      <c r="BA26" s="140" t="s">
        <v>92</v>
      </c>
      <c r="BB26" s="140" t="s">
        <v>92</v>
      </c>
      <c r="BC26" s="140" t="s">
        <v>92</v>
      </c>
      <c r="BD26" s="140" t="s">
        <v>92</v>
      </c>
      <c r="BE26" s="140" t="s">
        <v>92</v>
      </c>
      <c r="BF26" s="140" t="s">
        <v>92</v>
      </c>
      <c r="BG26" s="140" t="s">
        <v>92</v>
      </c>
      <c r="BH26" s="140" t="s">
        <v>92</v>
      </c>
      <c r="BI26" s="140" t="s">
        <v>92</v>
      </c>
      <c r="BJ26" s="140" t="s">
        <v>92</v>
      </c>
      <c r="BK26" s="140" t="s">
        <v>92</v>
      </c>
      <c r="BL26" s="140" t="s">
        <v>92</v>
      </c>
      <c r="BM26" s="140" t="s">
        <v>92</v>
      </c>
      <c r="BN26" s="140" t="s">
        <v>92</v>
      </c>
      <c r="BO26" s="140" t="s">
        <v>92</v>
      </c>
      <c r="BP26" s="140" t="s">
        <v>92</v>
      </c>
      <c r="BQ26" s="140" t="s">
        <v>92</v>
      </c>
      <c r="BR26" s="140" t="s">
        <v>92</v>
      </c>
      <c r="BS26" s="140" t="s">
        <v>92</v>
      </c>
      <c r="BT26" s="140" t="s">
        <v>92</v>
      </c>
      <c r="BU26" s="140" t="s">
        <v>92</v>
      </c>
      <c r="BV26" s="140" t="s">
        <v>92</v>
      </c>
      <c r="BW26" s="140" t="s">
        <v>92</v>
      </c>
      <c r="BX26" s="140" t="s">
        <v>92</v>
      </c>
      <c r="BY26" s="140" t="s">
        <v>92</v>
      </c>
      <c r="BZ26" s="140" t="s">
        <v>92</v>
      </c>
      <c r="CA26" s="140" t="s">
        <v>92</v>
      </c>
      <c r="CB26" s="140" t="s">
        <v>92</v>
      </c>
      <c r="CC26" s="140" t="s">
        <v>92</v>
      </c>
      <c r="CD26" s="140" t="s">
        <v>92</v>
      </c>
      <c r="CE26" s="140" t="s">
        <v>92</v>
      </c>
      <c r="CF26" s="140" t="s">
        <v>92</v>
      </c>
      <c r="CG26" s="140" t="s">
        <v>92</v>
      </c>
      <c r="CH26" s="140" t="s">
        <v>92</v>
      </c>
      <c r="CI26" s="140" t="s">
        <v>92</v>
      </c>
      <c r="CJ26" s="140" t="s">
        <v>92</v>
      </c>
      <c r="CK26" s="140" t="s">
        <v>92</v>
      </c>
      <c r="CL26" s="140" t="s">
        <v>92</v>
      </c>
      <c r="CM26" s="140" t="s">
        <v>92</v>
      </c>
      <c r="CN26" s="140" t="s">
        <v>92</v>
      </c>
      <c r="CO26" s="140" t="s">
        <v>92</v>
      </c>
      <c r="CP26" s="140" t="s">
        <v>92</v>
      </c>
      <c r="CQ26" s="140" t="s">
        <v>92</v>
      </c>
      <c r="CR26" s="140" t="s">
        <v>92</v>
      </c>
      <c r="CS26" s="140" t="s">
        <v>92</v>
      </c>
      <c r="CT26" s="140" t="s">
        <v>92</v>
      </c>
      <c r="CU26" s="140" t="s">
        <v>92</v>
      </c>
      <c r="CV26" s="140" t="s">
        <v>92</v>
      </c>
      <c r="CW26" s="140" t="s">
        <v>92</v>
      </c>
      <c r="CX26" s="140" t="s">
        <v>92</v>
      </c>
    </row>
    <row r="27" spans="1:102" s="2" customFormat="1">
      <c r="A27" s="135" t="s">
        <v>64</v>
      </c>
      <c r="B27" s="132"/>
      <c r="C27" s="140">
        <f t="shared" ref="C27:AA27" si="16">IF(ISNUMBER(outYear),IF(outYear&gt;loan_term,0,C26*loan_rate/100),"")</f>
        <v>0</v>
      </c>
      <c r="D27" s="149">
        <f t="shared" si="16"/>
        <v>0</v>
      </c>
      <c r="E27" s="149">
        <f t="shared" si="16"/>
        <v>0</v>
      </c>
      <c r="F27" s="149">
        <f t="shared" si="16"/>
        <v>0</v>
      </c>
      <c r="G27" s="149">
        <f t="shared" si="16"/>
        <v>0</v>
      </c>
      <c r="H27" s="149">
        <f t="shared" si="16"/>
        <v>0</v>
      </c>
      <c r="I27" s="149">
        <f t="shared" si="16"/>
        <v>0</v>
      </c>
      <c r="J27" s="149">
        <f t="shared" si="16"/>
        <v>0</v>
      </c>
      <c r="K27" s="149">
        <f t="shared" si="16"/>
        <v>0</v>
      </c>
      <c r="L27" s="149">
        <f t="shared" si="16"/>
        <v>0</v>
      </c>
      <c r="M27" s="149">
        <f t="shared" si="16"/>
        <v>0</v>
      </c>
      <c r="N27" s="149">
        <f t="shared" si="16"/>
        <v>0</v>
      </c>
      <c r="O27" s="149">
        <f t="shared" si="16"/>
        <v>0</v>
      </c>
      <c r="P27" s="149">
        <f t="shared" si="16"/>
        <v>0</v>
      </c>
      <c r="Q27" s="149">
        <f t="shared" si="16"/>
        <v>0</v>
      </c>
      <c r="R27" s="149">
        <f t="shared" si="16"/>
        <v>0</v>
      </c>
      <c r="S27" s="149">
        <f t="shared" si="16"/>
        <v>0</v>
      </c>
      <c r="T27" s="149">
        <f t="shared" si="16"/>
        <v>0</v>
      </c>
      <c r="U27" s="149">
        <f t="shared" si="16"/>
        <v>0</v>
      </c>
      <c r="V27" s="149">
        <f t="shared" si="16"/>
        <v>0</v>
      </c>
      <c r="W27" s="149">
        <f t="shared" si="16"/>
        <v>0</v>
      </c>
      <c r="X27" s="149">
        <f t="shared" si="16"/>
        <v>0</v>
      </c>
      <c r="Y27" s="149">
        <f t="shared" si="16"/>
        <v>0</v>
      </c>
      <c r="Z27" s="149">
        <f t="shared" si="16"/>
        <v>0</v>
      </c>
      <c r="AA27" s="149">
        <f t="shared" si="16"/>
        <v>0</v>
      </c>
      <c r="AB27" s="140" t="s">
        <v>92</v>
      </c>
      <c r="AC27" s="140" t="s">
        <v>92</v>
      </c>
      <c r="AD27" s="140" t="s">
        <v>92</v>
      </c>
      <c r="AE27" s="140" t="s">
        <v>92</v>
      </c>
      <c r="AF27" s="140" t="s">
        <v>92</v>
      </c>
      <c r="AG27" s="140" t="s">
        <v>92</v>
      </c>
      <c r="AH27" s="140" t="s">
        <v>92</v>
      </c>
      <c r="AI27" s="140" t="s">
        <v>92</v>
      </c>
      <c r="AJ27" s="140" t="s">
        <v>92</v>
      </c>
      <c r="AK27" s="140" t="s">
        <v>92</v>
      </c>
      <c r="AL27" s="140" t="s">
        <v>92</v>
      </c>
      <c r="AM27" s="140" t="s">
        <v>92</v>
      </c>
      <c r="AN27" s="140" t="s">
        <v>92</v>
      </c>
      <c r="AO27" s="140" t="s">
        <v>92</v>
      </c>
      <c r="AP27" s="140" t="s">
        <v>92</v>
      </c>
      <c r="AQ27" s="140" t="s">
        <v>92</v>
      </c>
      <c r="AR27" s="140" t="s">
        <v>92</v>
      </c>
      <c r="AS27" s="140" t="s">
        <v>92</v>
      </c>
      <c r="AT27" s="140" t="s">
        <v>92</v>
      </c>
      <c r="AU27" s="140" t="s">
        <v>92</v>
      </c>
      <c r="AV27" s="140" t="s">
        <v>92</v>
      </c>
      <c r="AW27" s="140" t="s">
        <v>92</v>
      </c>
      <c r="AX27" s="140" t="s">
        <v>92</v>
      </c>
      <c r="AY27" s="140" t="s">
        <v>92</v>
      </c>
      <c r="AZ27" s="140" t="s">
        <v>92</v>
      </c>
      <c r="BA27" s="140" t="s">
        <v>92</v>
      </c>
      <c r="BB27" s="140" t="s">
        <v>92</v>
      </c>
      <c r="BC27" s="140" t="s">
        <v>92</v>
      </c>
      <c r="BD27" s="140" t="s">
        <v>92</v>
      </c>
      <c r="BE27" s="140" t="s">
        <v>92</v>
      </c>
      <c r="BF27" s="140" t="s">
        <v>92</v>
      </c>
      <c r="BG27" s="140" t="s">
        <v>92</v>
      </c>
      <c r="BH27" s="140" t="s">
        <v>92</v>
      </c>
      <c r="BI27" s="140" t="s">
        <v>92</v>
      </c>
      <c r="BJ27" s="140" t="s">
        <v>92</v>
      </c>
      <c r="BK27" s="140" t="s">
        <v>92</v>
      </c>
      <c r="BL27" s="140" t="s">
        <v>92</v>
      </c>
      <c r="BM27" s="140" t="s">
        <v>92</v>
      </c>
      <c r="BN27" s="140" t="s">
        <v>92</v>
      </c>
      <c r="BO27" s="140" t="s">
        <v>92</v>
      </c>
      <c r="BP27" s="140" t="s">
        <v>92</v>
      </c>
      <c r="BQ27" s="140" t="s">
        <v>92</v>
      </c>
      <c r="BR27" s="140" t="s">
        <v>92</v>
      </c>
      <c r="BS27" s="140" t="s">
        <v>92</v>
      </c>
      <c r="BT27" s="140" t="s">
        <v>92</v>
      </c>
      <c r="BU27" s="140" t="s">
        <v>92</v>
      </c>
      <c r="BV27" s="140" t="s">
        <v>92</v>
      </c>
      <c r="BW27" s="140" t="s">
        <v>92</v>
      </c>
      <c r="BX27" s="140" t="s">
        <v>92</v>
      </c>
      <c r="BY27" s="140" t="s">
        <v>92</v>
      </c>
      <c r="BZ27" s="140" t="s">
        <v>92</v>
      </c>
      <c r="CA27" s="140" t="s">
        <v>92</v>
      </c>
      <c r="CB27" s="140" t="s">
        <v>92</v>
      </c>
      <c r="CC27" s="140" t="s">
        <v>92</v>
      </c>
      <c r="CD27" s="140" t="s">
        <v>92</v>
      </c>
      <c r="CE27" s="140" t="s">
        <v>92</v>
      </c>
      <c r="CF27" s="140" t="s">
        <v>92</v>
      </c>
      <c r="CG27" s="140" t="s">
        <v>92</v>
      </c>
      <c r="CH27" s="140" t="s">
        <v>92</v>
      </c>
      <c r="CI27" s="140" t="s">
        <v>92</v>
      </c>
      <c r="CJ27" s="140" t="s">
        <v>92</v>
      </c>
      <c r="CK27" s="140" t="s">
        <v>92</v>
      </c>
      <c r="CL27" s="140" t="s">
        <v>92</v>
      </c>
      <c r="CM27" s="140" t="s">
        <v>92</v>
      </c>
      <c r="CN27" s="140" t="s">
        <v>92</v>
      </c>
      <c r="CO27" s="140" t="s">
        <v>92</v>
      </c>
      <c r="CP27" s="140" t="s">
        <v>92</v>
      </c>
      <c r="CQ27" s="140" t="s">
        <v>92</v>
      </c>
      <c r="CR27" s="140" t="s">
        <v>92</v>
      </c>
      <c r="CS27" s="140" t="s">
        <v>92</v>
      </c>
      <c r="CT27" s="140" t="s">
        <v>92</v>
      </c>
      <c r="CU27" s="140" t="s">
        <v>92</v>
      </c>
      <c r="CV27" s="140" t="s">
        <v>92</v>
      </c>
      <c r="CW27" s="140" t="s">
        <v>92</v>
      </c>
      <c r="CX27" s="140" t="s">
        <v>92</v>
      </c>
    </row>
    <row r="28" spans="1:102" s="2" customFormat="1">
      <c r="A28" s="135" t="s">
        <v>66</v>
      </c>
      <c r="B28" s="132"/>
      <c r="C28" s="140">
        <f t="shared" ref="C28:AA28" si="17">IF(ISNUMBER(outYear),IF(outYear&gt;loan_term,0,-PPMT(loan_rate/100,outYear,loan_term,$B$23,0,0)),"")</f>
        <v>0</v>
      </c>
      <c r="D28" s="149">
        <f t="shared" si="17"/>
        <v>0</v>
      </c>
      <c r="E28" s="149">
        <f t="shared" si="17"/>
        <v>0</v>
      </c>
      <c r="F28" s="149">
        <f t="shared" si="17"/>
        <v>0</v>
      </c>
      <c r="G28" s="149">
        <f t="shared" si="17"/>
        <v>0</v>
      </c>
      <c r="H28" s="149">
        <f t="shared" si="17"/>
        <v>0</v>
      </c>
      <c r="I28" s="149">
        <f t="shared" si="17"/>
        <v>0</v>
      </c>
      <c r="J28" s="149">
        <f t="shared" si="17"/>
        <v>0</v>
      </c>
      <c r="K28" s="149">
        <f t="shared" si="17"/>
        <v>0</v>
      </c>
      <c r="L28" s="149">
        <f t="shared" si="17"/>
        <v>0</v>
      </c>
      <c r="M28" s="149">
        <f t="shared" si="17"/>
        <v>0</v>
      </c>
      <c r="N28" s="149">
        <f t="shared" si="17"/>
        <v>0</v>
      </c>
      <c r="O28" s="149">
        <f t="shared" si="17"/>
        <v>0</v>
      </c>
      <c r="P28" s="149">
        <f t="shared" si="17"/>
        <v>0</v>
      </c>
      <c r="Q28" s="149">
        <f t="shared" si="17"/>
        <v>0</v>
      </c>
      <c r="R28" s="149">
        <f t="shared" si="17"/>
        <v>0</v>
      </c>
      <c r="S28" s="149">
        <f t="shared" si="17"/>
        <v>0</v>
      </c>
      <c r="T28" s="149">
        <f t="shared" si="17"/>
        <v>0</v>
      </c>
      <c r="U28" s="149">
        <f t="shared" si="17"/>
        <v>0</v>
      </c>
      <c r="V28" s="149">
        <f t="shared" si="17"/>
        <v>0</v>
      </c>
      <c r="W28" s="149">
        <f t="shared" si="17"/>
        <v>0</v>
      </c>
      <c r="X28" s="149">
        <f t="shared" si="17"/>
        <v>0</v>
      </c>
      <c r="Y28" s="149">
        <f t="shared" si="17"/>
        <v>0</v>
      </c>
      <c r="Z28" s="149">
        <f t="shared" si="17"/>
        <v>0</v>
      </c>
      <c r="AA28" s="149">
        <f t="shared" si="17"/>
        <v>0</v>
      </c>
      <c r="AB28" s="140" t="s">
        <v>92</v>
      </c>
      <c r="AC28" s="140" t="s">
        <v>92</v>
      </c>
      <c r="AD28" s="140" t="s">
        <v>92</v>
      </c>
      <c r="AE28" s="140" t="s">
        <v>92</v>
      </c>
      <c r="AF28" s="140" t="s">
        <v>92</v>
      </c>
      <c r="AG28" s="140" t="s">
        <v>92</v>
      </c>
      <c r="AH28" s="140" t="s">
        <v>92</v>
      </c>
      <c r="AI28" s="140" t="s">
        <v>92</v>
      </c>
      <c r="AJ28" s="140" t="s">
        <v>92</v>
      </c>
      <c r="AK28" s="140" t="s">
        <v>92</v>
      </c>
      <c r="AL28" s="140" t="s">
        <v>92</v>
      </c>
      <c r="AM28" s="140" t="s">
        <v>92</v>
      </c>
      <c r="AN28" s="140" t="s">
        <v>92</v>
      </c>
      <c r="AO28" s="140" t="s">
        <v>92</v>
      </c>
      <c r="AP28" s="140" t="s">
        <v>92</v>
      </c>
      <c r="AQ28" s="140" t="s">
        <v>92</v>
      </c>
      <c r="AR28" s="140" t="s">
        <v>92</v>
      </c>
      <c r="AS28" s="140" t="s">
        <v>92</v>
      </c>
      <c r="AT28" s="140" t="s">
        <v>92</v>
      </c>
      <c r="AU28" s="140" t="s">
        <v>92</v>
      </c>
      <c r="AV28" s="140" t="s">
        <v>92</v>
      </c>
      <c r="AW28" s="140" t="s">
        <v>92</v>
      </c>
      <c r="AX28" s="140" t="s">
        <v>92</v>
      </c>
      <c r="AY28" s="140" t="s">
        <v>92</v>
      </c>
      <c r="AZ28" s="140" t="s">
        <v>92</v>
      </c>
      <c r="BA28" s="140" t="s">
        <v>92</v>
      </c>
      <c r="BB28" s="140" t="s">
        <v>92</v>
      </c>
      <c r="BC28" s="140" t="s">
        <v>92</v>
      </c>
      <c r="BD28" s="140" t="s">
        <v>92</v>
      </c>
      <c r="BE28" s="140" t="s">
        <v>92</v>
      </c>
      <c r="BF28" s="140" t="s">
        <v>92</v>
      </c>
      <c r="BG28" s="140" t="s">
        <v>92</v>
      </c>
      <c r="BH28" s="140" t="s">
        <v>92</v>
      </c>
      <c r="BI28" s="140" t="s">
        <v>92</v>
      </c>
      <c r="BJ28" s="140" t="s">
        <v>92</v>
      </c>
      <c r="BK28" s="140" t="s">
        <v>92</v>
      </c>
      <c r="BL28" s="140" t="s">
        <v>92</v>
      </c>
      <c r="BM28" s="140" t="s">
        <v>92</v>
      </c>
      <c r="BN28" s="140" t="s">
        <v>92</v>
      </c>
      <c r="BO28" s="140" t="s">
        <v>92</v>
      </c>
      <c r="BP28" s="140" t="s">
        <v>92</v>
      </c>
      <c r="BQ28" s="140" t="s">
        <v>92</v>
      </c>
      <c r="BR28" s="140" t="s">
        <v>92</v>
      </c>
      <c r="BS28" s="140" t="s">
        <v>92</v>
      </c>
      <c r="BT28" s="140" t="s">
        <v>92</v>
      </c>
      <c r="BU28" s="140" t="s">
        <v>92</v>
      </c>
      <c r="BV28" s="140" t="s">
        <v>92</v>
      </c>
      <c r="BW28" s="140" t="s">
        <v>92</v>
      </c>
      <c r="BX28" s="140" t="s">
        <v>92</v>
      </c>
      <c r="BY28" s="140" t="s">
        <v>92</v>
      </c>
      <c r="BZ28" s="140" t="s">
        <v>92</v>
      </c>
      <c r="CA28" s="140" t="s">
        <v>92</v>
      </c>
      <c r="CB28" s="140" t="s">
        <v>92</v>
      </c>
      <c r="CC28" s="140" t="s">
        <v>92</v>
      </c>
      <c r="CD28" s="140" t="s">
        <v>92</v>
      </c>
      <c r="CE28" s="140" t="s">
        <v>92</v>
      </c>
      <c r="CF28" s="140" t="s">
        <v>92</v>
      </c>
      <c r="CG28" s="140" t="s">
        <v>92</v>
      </c>
      <c r="CH28" s="140" t="s">
        <v>92</v>
      </c>
      <c r="CI28" s="140" t="s">
        <v>92</v>
      </c>
      <c r="CJ28" s="140" t="s">
        <v>92</v>
      </c>
      <c r="CK28" s="140" t="s">
        <v>92</v>
      </c>
      <c r="CL28" s="140" t="s">
        <v>92</v>
      </c>
      <c r="CM28" s="140" t="s">
        <v>92</v>
      </c>
      <c r="CN28" s="140" t="s">
        <v>92</v>
      </c>
      <c r="CO28" s="140" t="s">
        <v>92</v>
      </c>
      <c r="CP28" s="140" t="s">
        <v>92</v>
      </c>
      <c r="CQ28" s="140" t="s">
        <v>92</v>
      </c>
      <c r="CR28" s="140" t="s">
        <v>92</v>
      </c>
      <c r="CS28" s="140" t="s">
        <v>92</v>
      </c>
      <c r="CT28" s="140" t="s">
        <v>92</v>
      </c>
      <c r="CU28" s="140" t="s">
        <v>92</v>
      </c>
      <c r="CV28" s="140" t="s">
        <v>92</v>
      </c>
      <c r="CW28" s="140" t="s">
        <v>92</v>
      </c>
      <c r="CX28" s="140" t="s">
        <v>92</v>
      </c>
    </row>
    <row r="29" spans="1:102" s="2" customFormat="1">
      <c r="A29" s="139" t="s">
        <v>65</v>
      </c>
      <c r="B29" s="136"/>
      <c r="C29" s="141">
        <f t="shared" ref="C29:AA29" si="18">IF(ISNUMBER(outYear),+C27+C28,"")</f>
        <v>0</v>
      </c>
      <c r="D29" s="150">
        <f t="shared" si="18"/>
        <v>0</v>
      </c>
      <c r="E29" s="150">
        <f t="shared" si="18"/>
        <v>0</v>
      </c>
      <c r="F29" s="150">
        <f t="shared" si="18"/>
        <v>0</v>
      </c>
      <c r="G29" s="150">
        <f t="shared" si="18"/>
        <v>0</v>
      </c>
      <c r="H29" s="150">
        <f t="shared" si="18"/>
        <v>0</v>
      </c>
      <c r="I29" s="150">
        <f t="shared" si="18"/>
        <v>0</v>
      </c>
      <c r="J29" s="150">
        <f t="shared" si="18"/>
        <v>0</v>
      </c>
      <c r="K29" s="150">
        <f t="shared" si="18"/>
        <v>0</v>
      </c>
      <c r="L29" s="150">
        <f t="shared" si="18"/>
        <v>0</v>
      </c>
      <c r="M29" s="150">
        <f t="shared" si="18"/>
        <v>0</v>
      </c>
      <c r="N29" s="150">
        <f t="shared" si="18"/>
        <v>0</v>
      </c>
      <c r="O29" s="150">
        <f t="shared" si="18"/>
        <v>0</v>
      </c>
      <c r="P29" s="150">
        <f t="shared" si="18"/>
        <v>0</v>
      </c>
      <c r="Q29" s="150">
        <f t="shared" si="18"/>
        <v>0</v>
      </c>
      <c r="R29" s="150">
        <f t="shared" si="18"/>
        <v>0</v>
      </c>
      <c r="S29" s="150">
        <f t="shared" si="18"/>
        <v>0</v>
      </c>
      <c r="T29" s="150">
        <f t="shared" si="18"/>
        <v>0</v>
      </c>
      <c r="U29" s="150">
        <f t="shared" si="18"/>
        <v>0</v>
      </c>
      <c r="V29" s="150">
        <f t="shared" si="18"/>
        <v>0</v>
      </c>
      <c r="W29" s="150">
        <f t="shared" si="18"/>
        <v>0</v>
      </c>
      <c r="X29" s="150">
        <f t="shared" si="18"/>
        <v>0</v>
      </c>
      <c r="Y29" s="150">
        <f t="shared" si="18"/>
        <v>0</v>
      </c>
      <c r="Z29" s="150">
        <f t="shared" si="18"/>
        <v>0</v>
      </c>
      <c r="AA29" s="150">
        <f t="shared" si="18"/>
        <v>0</v>
      </c>
      <c r="AB29" s="141" t="s">
        <v>92</v>
      </c>
      <c r="AC29" s="141" t="s">
        <v>92</v>
      </c>
      <c r="AD29" s="141" t="s">
        <v>92</v>
      </c>
      <c r="AE29" s="141" t="s">
        <v>92</v>
      </c>
      <c r="AF29" s="141" t="s">
        <v>92</v>
      </c>
      <c r="AG29" s="141" t="s">
        <v>92</v>
      </c>
      <c r="AH29" s="141" t="s">
        <v>92</v>
      </c>
      <c r="AI29" s="141" t="s">
        <v>92</v>
      </c>
      <c r="AJ29" s="141" t="s">
        <v>92</v>
      </c>
      <c r="AK29" s="141" t="s">
        <v>92</v>
      </c>
      <c r="AL29" s="141" t="s">
        <v>92</v>
      </c>
      <c r="AM29" s="141" t="s">
        <v>92</v>
      </c>
      <c r="AN29" s="141" t="s">
        <v>92</v>
      </c>
      <c r="AO29" s="141" t="s">
        <v>92</v>
      </c>
      <c r="AP29" s="141" t="s">
        <v>92</v>
      </c>
      <c r="AQ29" s="141" t="s">
        <v>92</v>
      </c>
      <c r="AR29" s="141" t="s">
        <v>92</v>
      </c>
      <c r="AS29" s="141" t="s">
        <v>92</v>
      </c>
      <c r="AT29" s="141" t="s">
        <v>92</v>
      </c>
      <c r="AU29" s="141" t="s">
        <v>92</v>
      </c>
      <c r="AV29" s="141" t="s">
        <v>92</v>
      </c>
      <c r="AW29" s="141" t="s">
        <v>92</v>
      </c>
      <c r="AX29" s="141" t="s">
        <v>92</v>
      </c>
      <c r="AY29" s="141" t="s">
        <v>92</v>
      </c>
      <c r="AZ29" s="141" t="s">
        <v>92</v>
      </c>
      <c r="BA29" s="141" t="s">
        <v>92</v>
      </c>
      <c r="BB29" s="141" t="s">
        <v>92</v>
      </c>
      <c r="BC29" s="141" t="s">
        <v>92</v>
      </c>
      <c r="BD29" s="141" t="s">
        <v>92</v>
      </c>
      <c r="BE29" s="141" t="s">
        <v>92</v>
      </c>
      <c r="BF29" s="141" t="s">
        <v>92</v>
      </c>
      <c r="BG29" s="141" t="s">
        <v>92</v>
      </c>
      <c r="BH29" s="141" t="s">
        <v>92</v>
      </c>
      <c r="BI29" s="141" t="s">
        <v>92</v>
      </c>
      <c r="BJ29" s="141" t="s">
        <v>92</v>
      </c>
      <c r="BK29" s="141" t="s">
        <v>92</v>
      </c>
      <c r="BL29" s="141" t="s">
        <v>92</v>
      </c>
      <c r="BM29" s="141" t="s">
        <v>92</v>
      </c>
      <c r="BN29" s="141" t="s">
        <v>92</v>
      </c>
      <c r="BO29" s="141" t="s">
        <v>92</v>
      </c>
      <c r="BP29" s="141" t="s">
        <v>92</v>
      </c>
      <c r="BQ29" s="141" t="s">
        <v>92</v>
      </c>
      <c r="BR29" s="141" t="s">
        <v>92</v>
      </c>
      <c r="BS29" s="141" t="s">
        <v>92</v>
      </c>
      <c r="BT29" s="141" t="s">
        <v>92</v>
      </c>
      <c r="BU29" s="141" t="s">
        <v>92</v>
      </c>
      <c r="BV29" s="141" t="s">
        <v>92</v>
      </c>
      <c r="BW29" s="141" t="s">
        <v>92</v>
      </c>
      <c r="BX29" s="141" t="s">
        <v>92</v>
      </c>
      <c r="BY29" s="141" t="s">
        <v>92</v>
      </c>
      <c r="BZ29" s="141" t="s">
        <v>92</v>
      </c>
      <c r="CA29" s="141" t="s">
        <v>92</v>
      </c>
      <c r="CB29" s="141" t="s">
        <v>92</v>
      </c>
      <c r="CC29" s="141" t="s">
        <v>92</v>
      </c>
      <c r="CD29" s="141" t="s">
        <v>92</v>
      </c>
      <c r="CE29" s="141" t="s">
        <v>92</v>
      </c>
      <c r="CF29" s="141" t="s">
        <v>92</v>
      </c>
      <c r="CG29" s="141" t="s">
        <v>92</v>
      </c>
      <c r="CH29" s="141" t="s">
        <v>92</v>
      </c>
      <c r="CI29" s="141" t="s">
        <v>92</v>
      </c>
      <c r="CJ29" s="141" t="s">
        <v>92</v>
      </c>
      <c r="CK29" s="141" t="s">
        <v>92</v>
      </c>
      <c r="CL29" s="141" t="s">
        <v>92</v>
      </c>
      <c r="CM29" s="141" t="s">
        <v>92</v>
      </c>
      <c r="CN29" s="141" t="s">
        <v>92</v>
      </c>
      <c r="CO29" s="141" t="s">
        <v>92</v>
      </c>
      <c r="CP29" s="141" t="s">
        <v>92</v>
      </c>
      <c r="CQ29" s="141" t="s">
        <v>92</v>
      </c>
      <c r="CR29" s="141" t="s">
        <v>92</v>
      </c>
      <c r="CS29" s="141" t="s">
        <v>92</v>
      </c>
      <c r="CT29" s="141" t="s">
        <v>92</v>
      </c>
      <c r="CU29" s="141" t="s">
        <v>92</v>
      </c>
      <c r="CV29" s="141" t="s">
        <v>92</v>
      </c>
      <c r="CW29" s="141" t="s">
        <v>92</v>
      </c>
      <c r="CX29" s="141" t="s">
        <v>92</v>
      </c>
    </row>
    <row r="30" spans="1:102" s="2" customFormat="1">
      <c r="A30" s="143"/>
      <c r="B30" s="144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/>
      <c r="BQ30" s="149"/>
      <c r="BR30" s="149"/>
      <c r="BS30" s="149"/>
      <c r="BT30" s="149"/>
      <c r="BU30" s="149"/>
      <c r="BV30" s="149"/>
      <c r="BW30" s="149"/>
      <c r="BX30" s="149"/>
      <c r="BY30" s="149"/>
      <c r="BZ30" s="149"/>
      <c r="CA30" s="149"/>
      <c r="CB30" s="149"/>
      <c r="CC30" s="149"/>
      <c r="CD30" s="149"/>
      <c r="CE30" s="149"/>
      <c r="CF30" s="149"/>
      <c r="CG30" s="149"/>
      <c r="CH30" s="149"/>
      <c r="CI30" s="149"/>
      <c r="CJ30" s="149"/>
      <c r="CK30" s="149"/>
      <c r="CL30" s="149"/>
      <c r="CM30" s="149"/>
      <c r="CN30" s="149"/>
      <c r="CO30" s="149"/>
      <c r="CP30" s="149"/>
      <c r="CQ30" s="149"/>
      <c r="CR30" s="149"/>
      <c r="CS30" s="149"/>
      <c r="CT30" s="149"/>
      <c r="CU30" s="149"/>
      <c r="CV30" s="149"/>
      <c r="CW30" s="149"/>
      <c r="CX30" s="149"/>
    </row>
    <row r="31" spans="1:102">
      <c r="A31" s="80" t="s">
        <v>67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>
      <c r="A33" s="62" t="s">
        <v>75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>
      <c r="A34" s="58" t="s">
        <v>132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>
      <c r="A35" s="65" t="s">
        <v>9</v>
      </c>
      <c r="B35" s="77">
        <f>MIN(ibi_sta_percent/100*(pv_installed_cost-B36-B41),ibi_sta_percent_maxvalue)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>
      <c r="A38" s="58" t="s">
        <v>133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>
      <c r="A43" s="58" t="s">
        <v>134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>
      <c r="A47" s="58" t="s">
        <v>135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>
      <c r="A49" s="65" t="s">
        <v>4</v>
      </c>
      <c r="B49" s="77">
        <f>MIN(batt_cbi_sta_amount*batt_kw*1000,batt_cbi_sta_maxvalue)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>
      <c r="A50" s="65" t="s">
        <v>5</v>
      </c>
      <c r="B50" s="77">
        <f>MIN(batt_cbi_uti_amount*batt_kw*1000,batt_cbi_uti_maxvalue)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>
      <c r="A52" s="58" t="s">
        <v>136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>
      <c r="A53" s="63" t="s">
        <v>108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>
      <c r="A54" s="58" t="s">
        <v>145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>
      <c r="A56" s="62" t="s">
        <v>76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>
      <c r="A60" s="63" t="s">
        <v>126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>
      <c r="A61" s="64" t="s">
        <v>37</v>
      </c>
      <c r="B61" s="76"/>
      <c r="C61" s="76">
        <f>'Inputs and Outputs'!C81</f>
        <v>0.2</v>
      </c>
      <c r="D61" s="76">
        <f>'Inputs and Outputs'!D81</f>
        <v>0.32</v>
      </c>
      <c r="E61" s="76">
        <f>'Inputs and Outputs'!E81</f>
        <v>0.192</v>
      </c>
      <c r="F61" s="76">
        <f>'Inputs and Outputs'!F81</f>
        <v>0.1152</v>
      </c>
      <c r="G61" s="76">
        <f>'Inputs and Outputs'!G81</f>
        <v>0.1152</v>
      </c>
      <c r="H61" s="76">
        <f>'Inputs and Outputs'!H81</f>
        <v>5.7599999999999998E-2</v>
      </c>
      <c r="I61" s="76">
        <f>'Inputs and Outputs'!I81</f>
        <v>0</v>
      </c>
      <c r="J61" s="76">
        <f>'Inputs and Outputs'!J81</f>
        <v>0</v>
      </c>
      <c r="K61" s="76">
        <f>'Inputs and Outputs'!K81</f>
        <v>0</v>
      </c>
      <c r="L61" s="76">
        <f>'Inputs and Outputs'!L81</f>
        <v>0</v>
      </c>
      <c r="M61" s="76">
        <f>'Inputs and Outputs'!M81</f>
        <v>0</v>
      </c>
      <c r="N61" s="76">
        <f>'Inputs and Outputs'!N81</f>
        <v>0</v>
      </c>
      <c r="O61" s="76">
        <f>'Inputs and Outputs'!O81</f>
        <v>0</v>
      </c>
      <c r="P61" s="76">
        <f>'Inputs and Outputs'!P81</f>
        <v>0</v>
      </c>
      <c r="Q61" s="76">
        <f>'Inputs and Outputs'!Q81</f>
        <v>0</v>
      </c>
      <c r="R61" s="76">
        <f>'Inputs and Outputs'!R81</f>
        <v>0</v>
      </c>
      <c r="S61" s="76">
        <f>'Inputs and Outputs'!S81</f>
        <v>0</v>
      </c>
      <c r="T61" s="76">
        <f>'Inputs and Outputs'!T81</f>
        <v>0</v>
      </c>
      <c r="U61" s="76">
        <f>'Inputs and Outputs'!U81</f>
        <v>0</v>
      </c>
      <c r="V61" s="76">
        <f>'Inputs and Outputs'!V81</f>
        <v>0</v>
      </c>
      <c r="W61" s="76">
        <f>'Inputs and Outputs'!W81</f>
        <v>0</v>
      </c>
      <c r="X61" s="76">
        <f>'Inputs and Outputs'!X81</f>
        <v>0</v>
      </c>
      <c r="Y61" s="76">
        <f>'Inputs and Outputs'!Y81</f>
        <v>0</v>
      </c>
      <c r="Z61" s="76">
        <f>'Inputs and Outputs'!Z81</f>
        <v>0</v>
      </c>
      <c r="AA61" s="76">
        <f>'Inputs and Outputs'!AA81</f>
        <v>0</v>
      </c>
      <c r="AB61" s="76" t="str">
        <f>'Inputs and Outputs'!AB81</f>
        <v/>
      </c>
      <c r="AC61" s="76" t="str">
        <f>'Inputs and Outputs'!AC81</f>
        <v/>
      </c>
      <c r="AD61" s="76" t="str">
        <f>'Inputs and Outputs'!AD81</f>
        <v/>
      </c>
      <c r="AE61" s="76" t="str">
        <f>'Inputs and Outputs'!AE81</f>
        <v/>
      </c>
      <c r="AF61" s="76" t="str">
        <f>'Inputs and Outputs'!AF81</f>
        <v/>
      </c>
      <c r="AG61" s="76" t="str">
        <f>'Inputs and Outputs'!AG81</f>
        <v/>
      </c>
      <c r="AH61" s="76" t="str">
        <f>'Inputs and Outputs'!AH81</f>
        <v/>
      </c>
      <c r="AI61" s="76" t="str">
        <f>'Inputs and Outputs'!AI81</f>
        <v/>
      </c>
      <c r="AJ61" s="76" t="str">
        <f>'Inputs and Outputs'!AJ81</f>
        <v/>
      </c>
      <c r="AK61" s="76" t="str">
        <f>'Inputs and Outputs'!AK81</f>
        <v/>
      </c>
      <c r="AL61" s="76" t="str">
        <f>'Inputs and Outputs'!AL81</f>
        <v/>
      </c>
      <c r="AM61" s="76" t="str">
        <f>'Inputs and Outputs'!AM81</f>
        <v/>
      </c>
      <c r="AN61" s="76" t="str">
        <f>'Inputs and Outputs'!AN81</f>
        <v/>
      </c>
      <c r="AO61" s="76" t="str">
        <f>'Inputs and Outputs'!AO81</f>
        <v/>
      </c>
      <c r="AP61" s="76" t="str">
        <f>'Inputs and Outputs'!AP81</f>
        <v/>
      </c>
      <c r="AQ61" s="76" t="str">
        <f>'Inputs and Outputs'!AQ81</f>
        <v/>
      </c>
      <c r="AR61" s="76" t="str">
        <f>'Inputs and Outputs'!AR81</f>
        <v/>
      </c>
      <c r="AS61" s="76" t="str">
        <f>'Inputs and Outputs'!AS81</f>
        <v/>
      </c>
      <c r="AT61" s="76" t="str">
        <f>'Inputs and Outputs'!AT81</f>
        <v/>
      </c>
      <c r="AU61" s="76" t="str">
        <f>'Inputs and Outputs'!AU81</f>
        <v/>
      </c>
      <c r="AV61" s="76" t="str">
        <f>'Inputs and Outputs'!AV81</f>
        <v/>
      </c>
      <c r="AW61" s="76" t="str">
        <f>'Inputs and Outputs'!AW81</f>
        <v/>
      </c>
      <c r="AX61" s="76" t="str">
        <f>'Inputs and Outputs'!AX81</f>
        <v/>
      </c>
      <c r="AY61" s="76" t="str">
        <f>'Inputs and Outputs'!AY81</f>
        <v/>
      </c>
      <c r="AZ61" s="76" t="str">
        <f>'Inputs and Outputs'!AZ81</f>
        <v/>
      </c>
      <c r="BA61" s="76" t="str">
        <f>'Inputs and Outputs'!BA81</f>
        <v/>
      </c>
      <c r="BB61" s="76" t="str">
        <f>'Inputs and Outputs'!BB81</f>
        <v/>
      </c>
      <c r="BC61" s="76" t="str">
        <f>'Inputs and Outputs'!BC81</f>
        <v/>
      </c>
      <c r="BD61" s="76" t="str">
        <f>'Inputs and Outputs'!BD81</f>
        <v/>
      </c>
      <c r="BE61" s="76" t="str">
        <f>'Inputs and Outputs'!BE81</f>
        <v/>
      </c>
      <c r="BF61" s="76" t="str">
        <f>'Inputs and Outputs'!BF81</f>
        <v/>
      </c>
      <c r="BG61" s="76" t="str">
        <f>'Inputs and Outputs'!BG81</f>
        <v/>
      </c>
      <c r="BH61" s="76" t="str">
        <f>'Inputs and Outputs'!BH81</f>
        <v/>
      </c>
      <c r="BI61" s="76" t="str">
        <f>'Inputs and Outputs'!BI81</f>
        <v/>
      </c>
      <c r="BJ61" s="76" t="str">
        <f>'Inputs and Outputs'!BJ81</f>
        <v/>
      </c>
      <c r="BK61" s="76" t="str">
        <f>'Inputs and Outputs'!BK81</f>
        <v/>
      </c>
      <c r="BL61" s="76" t="str">
        <f>'Inputs and Outputs'!BL81</f>
        <v/>
      </c>
      <c r="BM61" s="76" t="str">
        <f>'Inputs and Outputs'!BM81</f>
        <v/>
      </c>
      <c r="BN61" s="76" t="str">
        <f>'Inputs and Outputs'!BN81</f>
        <v/>
      </c>
      <c r="BO61" s="76" t="str">
        <f>'Inputs and Outputs'!BO81</f>
        <v/>
      </c>
      <c r="BP61" s="76" t="str">
        <f>'Inputs and Outputs'!BP81</f>
        <v/>
      </c>
      <c r="BQ61" s="76" t="str">
        <f>'Inputs and Outputs'!BQ81</f>
        <v/>
      </c>
      <c r="BR61" s="76" t="str">
        <f>'Inputs and Outputs'!BR81</f>
        <v/>
      </c>
      <c r="BS61" s="76" t="str">
        <f>'Inputs and Outputs'!BS81</f>
        <v/>
      </c>
      <c r="BT61" s="76" t="str">
        <f>'Inputs and Outputs'!BT81</f>
        <v/>
      </c>
      <c r="BU61" s="76" t="str">
        <f>'Inputs and Outputs'!BU81</f>
        <v/>
      </c>
      <c r="BV61" s="76" t="str">
        <f>'Inputs and Outputs'!BV81</f>
        <v/>
      </c>
      <c r="BW61" s="76" t="str">
        <f>'Inputs and Outputs'!BW81</f>
        <v/>
      </c>
      <c r="BX61" s="76" t="str">
        <f>'Inputs and Outputs'!BX81</f>
        <v/>
      </c>
      <c r="BY61" s="76" t="str">
        <f>'Inputs and Outputs'!BY81</f>
        <v/>
      </c>
      <c r="BZ61" s="76" t="str">
        <f>'Inputs and Outputs'!BZ81</f>
        <v/>
      </c>
      <c r="CA61" s="76" t="str">
        <f>'Inputs and Outputs'!CA81</f>
        <v/>
      </c>
      <c r="CB61" s="76" t="str">
        <f>'Inputs and Outputs'!CB81</f>
        <v/>
      </c>
      <c r="CC61" s="76" t="str">
        <f>'Inputs and Outputs'!CC81</f>
        <v/>
      </c>
      <c r="CD61" s="76" t="str">
        <f>'Inputs and Outputs'!CD81</f>
        <v/>
      </c>
      <c r="CE61" s="76" t="str">
        <f>'Inputs and Outputs'!CE81</f>
        <v/>
      </c>
      <c r="CF61" s="76" t="str">
        <f>'Inputs and Outputs'!CF81</f>
        <v/>
      </c>
      <c r="CG61" s="76" t="str">
        <f>'Inputs and Outputs'!CG81</f>
        <v/>
      </c>
      <c r="CH61" s="76" t="str">
        <f>'Inputs and Outputs'!CH81</f>
        <v/>
      </c>
      <c r="CI61" s="76" t="str">
        <f>'Inputs and Outputs'!CI81</f>
        <v/>
      </c>
      <c r="CJ61" s="76" t="str">
        <f>'Inputs and Outputs'!CJ81</f>
        <v/>
      </c>
      <c r="CK61" s="76" t="str">
        <f>'Inputs and Outputs'!CK81</f>
        <v/>
      </c>
      <c r="CL61" s="76" t="str">
        <f>'Inputs and Outputs'!CL81</f>
        <v/>
      </c>
      <c r="CM61" s="76" t="str">
        <f>'Inputs and Outputs'!CM81</f>
        <v/>
      </c>
      <c r="CN61" s="76" t="str">
        <f>'Inputs and Outputs'!CN81</f>
        <v/>
      </c>
      <c r="CO61" s="76" t="str">
        <f>'Inputs and Outputs'!CO81</f>
        <v/>
      </c>
      <c r="CP61" s="76" t="str">
        <f>'Inputs and Outputs'!CP81</f>
        <v/>
      </c>
      <c r="CQ61" s="76" t="str">
        <f>'Inputs and Outputs'!CQ81</f>
        <v/>
      </c>
      <c r="CR61" s="76" t="str">
        <f>'Inputs and Outputs'!CR81</f>
        <v/>
      </c>
      <c r="CS61" s="76" t="str">
        <f>'Inputs and Outputs'!CS81</f>
        <v/>
      </c>
      <c r="CT61" s="76" t="str">
        <f>'Inputs and Outputs'!CT81</f>
        <v/>
      </c>
      <c r="CU61" s="76" t="str">
        <f>'Inputs and Outputs'!CU81</f>
        <v/>
      </c>
      <c r="CV61" s="76" t="str">
        <f>'Inputs and Outputs'!CV81</f>
        <v/>
      </c>
      <c r="CW61" s="76" t="str">
        <f>'Inputs and Outputs'!CW81</f>
        <v/>
      </c>
      <c r="CX61" s="76" t="str">
        <f>'Inputs and Outputs'!CX81</f>
        <v/>
      </c>
    </row>
    <row r="62" spans="1:16384" s="84" customFormat="1">
      <c r="A62" s="64" t="s">
        <v>146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>
      <c r="A65" s="63" t="s">
        <v>127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>
      <c r="A66" s="64" t="s">
        <v>37</v>
      </c>
      <c r="B66" s="81"/>
      <c r="C66" s="76">
        <f>'Inputs and Outputs'!C82</f>
        <v>0.2</v>
      </c>
      <c r="D66" s="76">
        <f>'Inputs and Outputs'!D82</f>
        <v>0.32</v>
      </c>
      <c r="E66" s="76">
        <f>'Inputs and Outputs'!E82</f>
        <v>0.192</v>
      </c>
      <c r="F66" s="76">
        <f>'Inputs and Outputs'!F82</f>
        <v>0.1152</v>
      </c>
      <c r="G66" s="76">
        <f>'Inputs and Outputs'!G82</f>
        <v>0.1152</v>
      </c>
      <c r="H66" s="76">
        <f>'Inputs and Outputs'!H82</f>
        <v>5.7599999999999998E-2</v>
      </c>
      <c r="I66" s="76">
        <f>'Inputs and Outputs'!I82</f>
        <v>0</v>
      </c>
      <c r="J66" s="76">
        <f>'Inputs and Outputs'!J82</f>
        <v>0</v>
      </c>
      <c r="K66" s="76">
        <f>'Inputs and Outputs'!K82</f>
        <v>0</v>
      </c>
      <c r="L66" s="76">
        <f>'Inputs and Outputs'!L82</f>
        <v>0</v>
      </c>
      <c r="M66" s="76">
        <f>'Inputs and Outputs'!M82</f>
        <v>0</v>
      </c>
      <c r="N66" s="76">
        <f>'Inputs and Outputs'!N82</f>
        <v>0</v>
      </c>
      <c r="O66" s="76">
        <f>'Inputs and Outputs'!O82</f>
        <v>0</v>
      </c>
      <c r="P66" s="76">
        <f>'Inputs and Outputs'!P82</f>
        <v>0</v>
      </c>
      <c r="Q66" s="76">
        <f>'Inputs and Outputs'!Q82</f>
        <v>0</v>
      </c>
      <c r="R66" s="76">
        <f>'Inputs and Outputs'!R82</f>
        <v>0</v>
      </c>
      <c r="S66" s="76">
        <f>'Inputs and Outputs'!S82</f>
        <v>0</v>
      </c>
      <c r="T66" s="76">
        <f>'Inputs and Outputs'!T82</f>
        <v>0</v>
      </c>
      <c r="U66" s="76">
        <f>'Inputs and Outputs'!U82</f>
        <v>0</v>
      </c>
      <c r="V66" s="76">
        <f>'Inputs and Outputs'!V82</f>
        <v>0</v>
      </c>
      <c r="W66" s="76">
        <f>'Inputs and Outputs'!W82</f>
        <v>0</v>
      </c>
      <c r="X66" s="76">
        <f>'Inputs and Outputs'!X82</f>
        <v>0</v>
      </c>
      <c r="Y66" s="76">
        <f>'Inputs and Outputs'!Y82</f>
        <v>0</v>
      </c>
      <c r="Z66" s="76">
        <f>'Inputs and Outputs'!Z82</f>
        <v>0</v>
      </c>
      <c r="AA66" s="76">
        <f>'Inputs and Outputs'!AA82</f>
        <v>0</v>
      </c>
      <c r="AB66" s="76" t="str">
        <f>'Inputs and Outputs'!AB82</f>
        <v/>
      </c>
      <c r="AC66" s="76" t="str">
        <f>'Inputs and Outputs'!AC82</f>
        <v/>
      </c>
      <c r="AD66" s="76" t="str">
        <f>'Inputs and Outputs'!AD82</f>
        <v/>
      </c>
      <c r="AE66" s="76" t="str">
        <f>'Inputs and Outputs'!AE82</f>
        <v/>
      </c>
      <c r="AF66" s="76" t="str">
        <f>'Inputs and Outputs'!AF82</f>
        <v/>
      </c>
      <c r="AG66" s="76" t="str">
        <f>'Inputs and Outputs'!AG82</f>
        <v/>
      </c>
      <c r="AH66" s="76" t="str">
        <f>'Inputs and Outputs'!AH82</f>
        <v/>
      </c>
      <c r="AI66" s="76" t="str">
        <f>'Inputs and Outputs'!AI82</f>
        <v/>
      </c>
      <c r="AJ66" s="76" t="str">
        <f>'Inputs and Outputs'!AJ82</f>
        <v/>
      </c>
      <c r="AK66" s="76" t="str">
        <f>'Inputs and Outputs'!AK82</f>
        <v/>
      </c>
      <c r="AL66" s="76" t="str">
        <f>'Inputs and Outputs'!AL82</f>
        <v/>
      </c>
      <c r="AM66" s="76" t="str">
        <f>'Inputs and Outputs'!AM82</f>
        <v/>
      </c>
      <c r="AN66" s="76" t="str">
        <f>'Inputs and Outputs'!AN82</f>
        <v/>
      </c>
      <c r="AO66" s="76" t="str">
        <f>'Inputs and Outputs'!AO82</f>
        <v/>
      </c>
      <c r="AP66" s="76" t="str">
        <f>'Inputs and Outputs'!AP82</f>
        <v/>
      </c>
      <c r="AQ66" s="76" t="str">
        <f>'Inputs and Outputs'!AQ82</f>
        <v/>
      </c>
      <c r="AR66" s="76" t="str">
        <f>'Inputs and Outputs'!AR82</f>
        <v/>
      </c>
      <c r="AS66" s="76" t="str">
        <f>'Inputs and Outputs'!AS82</f>
        <v/>
      </c>
      <c r="AT66" s="76" t="str">
        <f>'Inputs and Outputs'!AT82</f>
        <v/>
      </c>
      <c r="AU66" s="76" t="str">
        <f>'Inputs and Outputs'!AU82</f>
        <v/>
      </c>
      <c r="AV66" s="76" t="str">
        <f>'Inputs and Outputs'!AV82</f>
        <v/>
      </c>
      <c r="AW66" s="76" t="str">
        <f>'Inputs and Outputs'!AW82</f>
        <v/>
      </c>
      <c r="AX66" s="76" t="str">
        <f>'Inputs and Outputs'!AX82</f>
        <v/>
      </c>
      <c r="AY66" s="76" t="str">
        <f>'Inputs and Outputs'!AY82</f>
        <v/>
      </c>
      <c r="AZ66" s="76" t="str">
        <f>'Inputs and Outputs'!AZ82</f>
        <v/>
      </c>
      <c r="BA66" s="76" t="str">
        <f>'Inputs and Outputs'!BA82</f>
        <v/>
      </c>
      <c r="BB66" s="76" t="str">
        <f>'Inputs and Outputs'!BB82</f>
        <v/>
      </c>
      <c r="BC66" s="76" t="str">
        <f>'Inputs and Outputs'!BC82</f>
        <v/>
      </c>
      <c r="BD66" s="76" t="str">
        <f>'Inputs and Outputs'!BD82</f>
        <v/>
      </c>
      <c r="BE66" s="76" t="str">
        <f>'Inputs and Outputs'!BE82</f>
        <v/>
      </c>
      <c r="BF66" s="76" t="str">
        <f>'Inputs and Outputs'!BF82</f>
        <v/>
      </c>
      <c r="BG66" s="76" t="str">
        <f>'Inputs and Outputs'!BG82</f>
        <v/>
      </c>
      <c r="BH66" s="76" t="str">
        <f>'Inputs and Outputs'!BH82</f>
        <v/>
      </c>
      <c r="BI66" s="76" t="str">
        <f>'Inputs and Outputs'!BI82</f>
        <v/>
      </c>
      <c r="BJ66" s="76" t="str">
        <f>'Inputs and Outputs'!BJ82</f>
        <v/>
      </c>
      <c r="BK66" s="76" t="str">
        <f>'Inputs and Outputs'!BK82</f>
        <v/>
      </c>
      <c r="BL66" s="76" t="str">
        <f>'Inputs and Outputs'!BL82</f>
        <v/>
      </c>
      <c r="BM66" s="76" t="str">
        <f>'Inputs and Outputs'!BM82</f>
        <v/>
      </c>
      <c r="BN66" s="76" t="str">
        <f>'Inputs and Outputs'!BN82</f>
        <v/>
      </c>
      <c r="BO66" s="76" t="str">
        <f>'Inputs and Outputs'!BO82</f>
        <v/>
      </c>
      <c r="BP66" s="76" t="str">
        <f>'Inputs and Outputs'!BP82</f>
        <v/>
      </c>
      <c r="BQ66" s="76" t="str">
        <f>'Inputs and Outputs'!BQ82</f>
        <v/>
      </c>
      <c r="BR66" s="76" t="str">
        <f>'Inputs and Outputs'!BR82</f>
        <v/>
      </c>
      <c r="BS66" s="76" t="str">
        <f>'Inputs and Outputs'!BS82</f>
        <v/>
      </c>
      <c r="BT66" s="76" t="str">
        <f>'Inputs and Outputs'!BT82</f>
        <v/>
      </c>
      <c r="BU66" s="76" t="str">
        <f>'Inputs and Outputs'!BU82</f>
        <v/>
      </c>
      <c r="BV66" s="76" t="str">
        <f>'Inputs and Outputs'!BV82</f>
        <v/>
      </c>
      <c r="BW66" s="76" t="str">
        <f>'Inputs and Outputs'!BW82</f>
        <v/>
      </c>
      <c r="BX66" s="76" t="str">
        <f>'Inputs and Outputs'!BX82</f>
        <v/>
      </c>
      <c r="BY66" s="76" t="str">
        <f>'Inputs and Outputs'!BY82</f>
        <v/>
      </c>
      <c r="BZ66" s="76" t="str">
        <f>'Inputs and Outputs'!BZ82</f>
        <v/>
      </c>
      <c r="CA66" s="76" t="str">
        <f>'Inputs and Outputs'!CA82</f>
        <v/>
      </c>
      <c r="CB66" s="76" t="str">
        <f>'Inputs and Outputs'!CB82</f>
        <v/>
      </c>
      <c r="CC66" s="76" t="str">
        <f>'Inputs and Outputs'!CC82</f>
        <v/>
      </c>
      <c r="CD66" s="76" t="str">
        <f>'Inputs and Outputs'!CD82</f>
        <v/>
      </c>
      <c r="CE66" s="76" t="str">
        <f>'Inputs and Outputs'!CE82</f>
        <v/>
      </c>
      <c r="CF66" s="76" t="str">
        <f>'Inputs and Outputs'!CF82</f>
        <v/>
      </c>
      <c r="CG66" s="76" t="str">
        <f>'Inputs and Outputs'!CG82</f>
        <v/>
      </c>
      <c r="CH66" s="76" t="str">
        <f>'Inputs and Outputs'!CH82</f>
        <v/>
      </c>
      <c r="CI66" s="76" t="str">
        <f>'Inputs and Outputs'!CI82</f>
        <v/>
      </c>
      <c r="CJ66" s="76" t="str">
        <f>'Inputs and Outputs'!CJ82</f>
        <v/>
      </c>
      <c r="CK66" s="76" t="str">
        <f>'Inputs and Outputs'!CK82</f>
        <v/>
      </c>
      <c r="CL66" s="76" t="str">
        <f>'Inputs and Outputs'!CL82</f>
        <v/>
      </c>
      <c r="CM66" s="76" t="str">
        <f>'Inputs and Outputs'!CM82</f>
        <v/>
      </c>
      <c r="CN66" s="76" t="str">
        <f>'Inputs and Outputs'!CN82</f>
        <v/>
      </c>
      <c r="CO66" s="76" t="str">
        <f>'Inputs and Outputs'!CO82</f>
        <v/>
      </c>
      <c r="CP66" s="76" t="str">
        <f>'Inputs and Outputs'!CP82</f>
        <v/>
      </c>
      <c r="CQ66" s="76" t="str">
        <f>'Inputs and Outputs'!CQ82</f>
        <v/>
      </c>
      <c r="CR66" s="76" t="str">
        <f>'Inputs and Outputs'!CR82</f>
        <v/>
      </c>
      <c r="CS66" s="76" t="str">
        <f>'Inputs and Outputs'!CS82</f>
        <v/>
      </c>
      <c r="CT66" s="76" t="str">
        <f>'Inputs and Outputs'!CT82</f>
        <v/>
      </c>
      <c r="CU66" s="76" t="str">
        <f>'Inputs and Outputs'!CU82</f>
        <v/>
      </c>
      <c r="CV66" s="76" t="str">
        <f>'Inputs and Outputs'!CV82</f>
        <v/>
      </c>
      <c r="CW66" s="76" t="str">
        <f>'Inputs and Outputs'!CW82</f>
        <v/>
      </c>
      <c r="CX66" s="76" t="str">
        <f>'Inputs and Outputs'!CX82</f>
        <v/>
      </c>
    </row>
    <row r="67" spans="1:102" s="75" customFormat="1">
      <c r="A67" s="64" t="s">
        <v>146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CX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>
      <c r="A71" s="58" t="s">
        <v>77</v>
      </c>
      <c r="B71" s="16"/>
      <c r="C71" s="77">
        <f t="shared" ref="C71:AH71" si="41">IF(ISNUMBER(outYear),C57-C70,"")</f>
        <v>-281287.69299999997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CX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>
      <c r="A72" s="66" t="s">
        <v>8</v>
      </c>
      <c r="B72" s="16"/>
      <c r="C72" s="77">
        <f t="shared" ref="C72:AH72" si="45">IF(ISNUMBER(outYear),+C71*federal_tax_rate/100,"")</f>
        <v>-104076.44640999999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>
      <c r="A73" s="58" t="s">
        <v>128</v>
      </c>
      <c r="B73" s="77">
        <f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>
      <c r="A74" s="58" t="s">
        <v>129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>
      <c r="A75" s="58" t="s">
        <v>130</v>
      </c>
      <c r="B75" s="16">
        <f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>
      <c r="A76" s="58" t="s">
        <v>131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>
      <c r="A77" s="68" t="s">
        <v>36</v>
      </c>
      <c r="B77" s="67"/>
      <c r="C77" s="78">
        <f t="shared" ref="C77:AH77" si="49">IF(ISNUMBER(outYear),-C72+C74+C76,"")</f>
        <v>266891.84641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262390.33341000002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>
      <c r="A81" s="57" t="s">
        <v>78</v>
      </c>
      <c r="B81" s="79">
        <v>0</v>
      </c>
      <c r="C81" s="79">
        <f>IF(ISNUMBER(outYear),IF(FederalDepreciation="N/A",'Cash Flow'!C8,'Cash Flow'!C8*(1-federal_tax_rate/100)),"")</f>
        <v>34566.230671875011</v>
      </c>
      <c r="D81" s="79">
        <f>IF(ISNUMBER(outYear),IF(FederalDepreciation="N/A",'Cash Flow'!D8,'Cash Flow'!D8*(1-federal_tax_rate/100)),"")</f>
        <v>35572.616074960046</v>
      </c>
      <c r="E81" s="79">
        <f>IF(ISNUMBER(outYear),IF(FederalDepreciation="N/A",'Cash Flow'!E8,'Cash Flow'!E8*(1-federal_tax_rate/100)),"")</f>
        <v>36608.446675799256</v>
      </c>
      <c r="F81" s="79">
        <f>IF(ISNUMBER(outYear),IF(FederalDepreciation="N/A",'Cash Flow'!F8,'Cash Flow'!F8*(1-federal_tax_rate/100)),"")</f>
        <v>37674.587729261351</v>
      </c>
      <c r="G81" s="79">
        <f>IF(ISNUMBER(outYear),IF(FederalDepreciation="N/A",'Cash Flow'!G8,'Cash Flow'!G8*(1-federal_tax_rate/100)),"")</f>
        <v>38771.930012033095</v>
      </c>
      <c r="H81" s="79">
        <f>IF(ISNUMBER(outYear),IF(FederalDepreciation="N/A",'Cash Flow'!H8,'Cash Flow'!H8*(1-federal_tax_rate/100)),"")</f>
        <v>39901.390577878738</v>
      </c>
      <c r="I81" s="79">
        <f>IF(ISNUMBER(outYear),IF(FederalDepreciation="N/A",'Cash Flow'!I8,'Cash Flow'!I8*(1-federal_tax_rate/100)),"")</f>
        <v>41063.913535311855</v>
      </c>
      <c r="J81" s="79">
        <f>IF(ISNUMBER(outYear),IF(FederalDepreciation="N/A",'Cash Flow'!J8,'Cash Flow'!J8*(1-federal_tax_rate/100)),"")</f>
        <v>42260.470848346864</v>
      </c>
      <c r="K81" s="79">
        <f>IF(ISNUMBER(outYear),IF(FederalDepreciation="N/A",'Cash Flow'!K8,'Cash Flow'!K8*(1-federal_tax_rate/100)),"")</f>
        <v>43492.063161016937</v>
      </c>
      <c r="L81" s="79">
        <f>IF(ISNUMBER(outYear),IF(FederalDepreciation="N/A",'Cash Flow'!L8,'Cash Flow'!L8*(1-federal_tax_rate/100)),"")</f>
        <v>44759.720646364724</v>
      </c>
      <c r="M81" s="79">
        <f>IF(ISNUMBER(outYear),IF(FederalDepreciation="N/A",'Cash Flow'!M8,'Cash Flow'!M8*(1-federal_tax_rate/100)),"")</f>
        <v>46064.503880635195</v>
      </c>
      <c r="N81" s="79">
        <f>IF(ISNUMBER(outYear),IF(FederalDepreciation="N/A",'Cash Flow'!N8,'Cash Flow'!N8*(1-federal_tax_rate/100)),"")</f>
        <v>47407.504743418918</v>
      </c>
      <c r="O81" s="79">
        <f>IF(ISNUMBER(outYear),IF(FederalDepreciation="N/A",'Cash Flow'!O8,'Cash Flow'!O8*(1-federal_tax_rate/100)),"")</f>
        <v>48789.847344518952</v>
      </c>
      <c r="P81" s="79">
        <f>IF(ISNUMBER(outYear),IF(FederalDepreciation="N/A",'Cash Flow'!P8,'Cash Flow'!P8*(1-federal_tax_rate/100)),"")</f>
        <v>50212.688978337319</v>
      </c>
      <c r="Q81" s="79">
        <f>IF(ISNUMBER(outYear),IF(FederalDepreciation="N/A",'Cash Flow'!Q8,'Cash Flow'!Q8*(1-federal_tax_rate/100)),"")</f>
        <v>51677.22110659656</v>
      </c>
      <c r="R81" s="79">
        <f>IF(ISNUMBER(outYear),IF(FederalDepreciation="N/A",'Cash Flow'!R8,'Cash Flow'!R8*(1-federal_tax_rate/100)),"")</f>
        <v>53184.670370245905</v>
      </c>
      <c r="S81" s="79">
        <f>IF(ISNUMBER(outYear),IF(FederalDepreciation="N/A",'Cash Flow'!S8,'Cash Flow'!S8*(1-federal_tax_rate/100)),"")</f>
        <v>54736.299631412716</v>
      </c>
      <c r="T81" s="79">
        <f>IF(ISNUMBER(outYear),IF(FederalDepreciation="N/A",'Cash Flow'!T8,'Cash Flow'!T8*(1-federal_tax_rate/100)),"")</f>
        <v>56333.409046301604</v>
      </c>
      <c r="U81" s="79">
        <f>IF(ISNUMBER(outYear),IF(FederalDepreciation="N/A",'Cash Flow'!U8,'Cash Flow'!U8*(1-federal_tax_rate/100)),"")</f>
        <v>57977.33716995507</v>
      </c>
      <c r="V81" s="79">
        <f>IF(ISNUMBER(outYear),IF(FederalDepreciation="N/A",'Cash Flow'!V8,'Cash Flow'!V8*(1-federal_tax_rate/100)),"")</f>
        <v>59669.462093830007</v>
      </c>
      <c r="W81" s="79">
        <f>IF(ISNUMBER(outYear),IF(FederalDepreciation="N/A",'Cash Flow'!W8,'Cash Flow'!W8*(1-federal_tax_rate/100)),"")</f>
        <v>61411.202617162795</v>
      </c>
      <c r="X81" s="79">
        <f>IF(ISNUMBER(outYear),IF(FederalDepreciation="N/A",'Cash Flow'!X8,'Cash Flow'!X8*(1-federal_tax_rate/100)),"")</f>
        <v>63204.019453131725</v>
      </c>
      <c r="Y81" s="79">
        <f>IF(ISNUMBER(outYear),IF(FederalDepreciation="N/A",'Cash Flow'!Y8,'Cash Flow'!Y8*(1-federal_tax_rate/100)),"")</f>
        <v>65049.416470850541</v>
      </c>
      <c r="Z81" s="79">
        <f>IF(ISNUMBER(outYear),IF(FederalDepreciation="N/A",'Cash Flow'!Z8,'Cash Flow'!Z8*(1-federal_tax_rate/100)),"")</f>
        <v>66948.941974262445</v>
      </c>
      <c r="AA81" s="79">
        <f>IF(ISNUMBER(outYear),IF(FederalDepreciation="N/A",'Cash Flow'!AA8,'Cash Flow'!AA8*(1-federal_tax_rate/100)),"")</f>
        <v>68904.190019029673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296956.56408187503</v>
      </c>
      <c r="D82" s="91">
        <f t="shared" si="56"/>
        <v>59975.333815210048</v>
      </c>
      <c r="E82" s="91">
        <f t="shared" si="56"/>
        <v>50014.665211555504</v>
      </c>
      <c r="F82" s="91">
        <f t="shared" si="56"/>
        <v>44452.021439611504</v>
      </c>
      <c r="G82" s="91">
        <f t="shared" si="56"/>
        <v>45473.013437302005</v>
      </c>
      <c r="H82" s="91">
        <f t="shared" si="56"/>
        <v>41608.492404139368</v>
      </c>
      <c r="I82" s="91">
        <f t="shared" si="56"/>
        <v>37775.077286509004</v>
      </c>
      <c r="J82" s="91">
        <f t="shared" si="56"/>
        <v>38889.413693323942</v>
      </c>
      <c r="K82" s="91">
        <f t="shared" si="56"/>
        <v>40036.729577118444</v>
      </c>
      <c r="L82" s="91">
        <f t="shared" si="56"/>
        <v>-6031.9962771312348</v>
      </c>
      <c r="M82" s="91">
        <f t="shared" si="56"/>
        <v>42434.244034051837</v>
      </c>
      <c r="N82" s="91">
        <f t="shared" si="56"/>
        <v>43686.488400670976</v>
      </c>
      <c r="O82" s="91">
        <f t="shared" si="56"/>
        <v>44975.805593202313</v>
      </c>
      <c r="P82" s="91">
        <f t="shared" si="56"/>
        <v>46303.296183237762</v>
      </c>
      <c r="Q82" s="91">
        <f t="shared" si="56"/>
        <v>47670.093491619518</v>
      </c>
      <c r="R82" s="91">
        <f t="shared" si="56"/>
        <v>49077.364564894437</v>
      </c>
      <c r="S82" s="91">
        <f t="shared" si="56"/>
        <v>50526.311180927463</v>
      </c>
      <c r="T82" s="91">
        <f t="shared" si="56"/>
        <v>52018.170884554216</v>
      </c>
      <c r="U82" s="91">
        <f t="shared" si="56"/>
        <v>53554.218054163997</v>
      </c>
      <c r="V82" s="91">
        <f t="shared" si="56"/>
        <v>55135.765000144165</v>
      </c>
      <c r="W82" s="91">
        <f t="shared" si="56"/>
        <v>56764.163096134806</v>
      </c>
      <c r="X82" s="91">
        <f t="shared" si="56"/>
        <v>58440.803944078034</v>
      </c>
      <c r="Y82" s="91">
        <f t="shared" si="56"/>
        <v>60167.120574070505</v>
      </c>
      <c r="Z82" s="91">
        <f t="shared" si="56"/>
        <v>61944.588680062909</v>
      </c>
      <c r="AA82" s="91">
        <f t="shared" si="56"/>
        <v>63774.727892475152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>
      <c r="A84" s="62" t="s">
        <v>96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>
      <c r="A85" t="s">
        <v>98</v>
      </c>
      <c r="B85" s="153">
        <f>IF(ISNUMBER(outYear),-'Inputs and Outputs'!B77,"")</f>
        <v>0</v>
      </c>
      <c r="C85" s="153">
        <f>IF(ISNUMBER(outYear),-'Inputs and Outputs'!C77*(1-federal_tax_rate/100),"")</f>
        <v>-536075.91686250002</v>
      </c>
      <c r="D85" s="153">
        <f>IF(ISNUMBER(outYear),-'Inputs and Outputs'!D77*(1-federal_tax_rate/100),"")</f>
        <v>-552225.20385798276</v>
      </c>
      <c r="E85" s="153">
        <f>IF(ISNUMBER(outYear),-'Inputs and Outputs'!E77*(1-federal_tax_rate/100),"")</f>
        <v>-568860.98812420445</v>
      </c>
      <c r="F85" s="153">
        <f>IF(ISNUMBER(outYear),-'Inputs and Outputs'!F77*(1-federal_tax_rate/100),"")</f>
        <v>-585997.9253914461</v>
      </c>
      <c r="G85" s="153">
        <f>IF(ISNUMBER(outYear),-'Inputs and Outputs'!G77*(1-federal_tax_rate/100),"")</f>
        <v>-603651.11289386358</v>
      </c>
      <c r="H85" s="153">
        <f>IF(ISNUMBER(outYear),-'Inputs and Outputs'!H77*(1-federal_tax_rate/100),"")</f>
        <v>-621836.10266979109</v>
      </c>
      <c r="I85" s="153">
        <f>IF(ISNUMBER(outYear),-'Inputs and Outputs'!I77*(1-federal_tax_rate/100),"")</f>
        <v>-640568.91526271845</v>
      </c>
      <c r="J85" s="153">
        <f>IF(ISNUMBER(outYear),-'Inputs and Outputs'!J77*(1-federal_tax_rate/100),"")</f>
        <v>-659866.05383500794</v>
      </c>
      <c r="K85" s="153">
        <f>IF(ISNUMBER(outYear),-'Inputs and Outputs'!K77*(1-federal_tax_rate/100),"")</f>
        <v>-679744.51870678761</v>
      </c>
      <c r="L85" s="153">
        <f>IF(ISNUMBER(outYear),-'Inputs and Outputs'!L77*(1-federal_tax_rate/100),"")</f>
        <v>-700221.82233282947</v>
      </c>
      <c r="M85" s="153">
        <f>IF(ISNUMBER(outYear),-'Inputs and Outputs'!M77*(1-federal_tax_rate/100),"")</f>
        <v>-721316.00473060599</v>
      </c>
      <c r="N85" s="153">
        <f>IF(ISNUMBER(outYear),-'Inputs and Outputs'!N77*(1-federal_tax_rate/100),"")</f>
        <v>-743045.64937311539</v>
      </c>
      <c r="O85" s="153">
        <f>IF(ISNUMBER(outYear),-'Inputs and Outputs'!O77*(1-federal_tax_rate/100),"")</f>
        <v>-765429.89956048061</v>
      </c>
      <c r="P85" s="153">
        <f>IF(ISNUMBER(outYear),-'Inputs and Outputs'!P77*(1-federal_tax_rate/100),"")</f>
        <v>-788488.47528473998</v>
      </c>
      <c r="Q85" s="153">
        <f>IF(ISNUMBER(outYear),-'Inputs and Outputs'!Q77*(1-federal_tax_rate/100),"")</f>
        <v>-812241.69060269266</v>
      </c>
      <c r="R85" s="153">
        <f>IF(ISNUMBER(outYear),-'Inputs and Outputs'!R77*(1-federal_tax_rate/100),"")</f>
        <v>-836710.47153209895</v>
      </c>
      <c r="S85" s="153">
        <f>IF(ISNUMBER(outYear),-'Inputs and Outputs'!S77*(1-federal_tax_rate/100),"")</f>
        <v>-861916.37448700331</v>
      </c>
      <c r="T85" s="153">
        <f>IF(ISNUMBER(outYear),-'Inputs and Outputs'!T77*(1-federal_tax_rate/100),"")</f>
        <v>-887881.60526842438</v>
      </c>
      <c r="U85" s="153">
        <f>IF(ISNUMBER(outYear),-'Inputs and Outputs'!U77*(1-federal_tax_rate/100),"")</f>
        <v>-914629.03862713557</v>
      </c>
      <c r="V85" s="153">
        <f>IF(ISNUMBER(outYear),-'Inputs and Outputs'!V77*(1-federal_tax_rate/100),"")</f>
        <v>-942182.23841577815</v>
      </c>
      <c r="W85" s="153">
        <f>IF(ISNUMBER(outYear),-'Inputs and Outputs'!W77*(1-federal_tax_rate/100),"")</f>
        <v>-970565.47834805341</v>
      </c>
      <c r="X85" s="153">
        <f>IF(ISNUMBER(outYear),-'Inputs and Outputs'!X77*(1-federal_tax_rate/100),"")</f>
        <v>-999803.76338328852</v>
      </c>
      <c r="Y85" s="153">
        <f>IF(ISNUMBER(outYear),-'Inputs and Outputs'!Y77*(1-federal_tax_rate/100),"")</f>
        <v>-1029922.8517552098</v>
      </c>
      <c r="Z85" s="153">
        <f>IF(ISNUMBER(outYear),-'Inputs and Outputs'!Z77*(1-federal_tax_rate/100),"")</f>
        <v>-1060949.2776643357</v>
      </c>
      <c r="AA85" s="153">
        <f>IF(ISNUMBER(outYear),-'Inputs and Outputs'!AA77*(1-federal_tax_rate/100),"")</f>
        <v>-1092910.3746539741</v>
      </c>
      <c r="AB85" s="153" t="str">
        <f>IF(ISNUMBER(outYear),-'Inputs and Outputs'!AB77*(1-federal_tax_rate/100),"")</f>
        <v/>
      </c>
      <c r="AC85" s="153" t="str">
        <f>IF(ISNUMBER(outYear),-'Inputs and Outputs'!AC77*(1-federal_tax_rate/100),"")</f>
        <v/>
      </c>
      <c r="AD85" s="153" t="str">
        <f>IF(ISNUMBER(outYear),-'Inputs and Outputs'!AD77*(1-federal_tax_rate/100),"")</f>
        <v/>
      </c>
      <c r="AE85" s="153" t="str">
        <f>IF(ISNUMBER(outYear),-'Inputs and Outputs'!AE77*(1-federal_tax_rate/100),"")</f>
        <v/>
      </c>
      <c r="AF85" s="153" t="str">
        <f>IF(ISNUMBER(outYear),-'Inputs and Outputs'!AF77*(1-federal_tax_rate/100),"")</f>
        <v/>
      </c>
      <c r="AG85" s="153" t="str">
        <f>IF(ISNUMBER(outYear),-'Inputs and Outputs'!AG77*(1-federal_tax_rate/100),"")</f>
        <v/>
      </c>
      <c r="AH85" s="153" t="str">
        <f>IF(ISNUMBER(outYear),-'Inputs and Outputs'!AH77*(1-federal_tax_rate/100),"")</f>
        <v/>
      </c>
      <c r="AI85" s="153" t="str">
        <f>IF(ISNUMBER(outYear),-'Inputs and Outputs'!AI77*(1-federal_tax_rate/100),"")</f>
        <v/>
      </c>
      <c r="AJ85" s="153" t="str">
        <f>IF(ISNUMBER(outYear),-'Inputs and Outputs'!AJ77*(1-federal_tax_rate/100),"")</f>
        <v/>
      </c>
      <c r="AK85" s="153" t="str">
        <f>IF(ISNUMBER(outYear),-'Inputs and Outputs'!AK77*(1-federal_tax_rate/100),"")</f>
        <v/>
      </c>
      <c r="AL85" s="153" t="str">
        <f>IF(ISNUMBER(outYear),-'Inputs and Outputs'!AL77*(1-federal_tax_rate/100),"")</f>
        <v/>
      </c>
      <c r="AM85" s="153" t="str">
        <f>IF(ISNUMBER(outYear),-'Inputs and Outputs'!AM77*(1-federal_tax_rate/100),"")</f>
        <v/>
      </c>
      <c r="AN85" s="153" t="str">
        <f>IF(ISNUMBER(outYear),-'Inputs and Outputs'!AN77*(1-federal_tax_rate/100),"")</f>
        <v/>
      </c>
      <c r="AO85" s="153" t="str">
        <f>IF(ISNUMBER(outYear),-'Inputs and Outputs'!AO77*(1-federal_tax_rate/100),"")</f>
        <v/>
      </c>
      <c r="AP85" s="153" t="str">
        <f>IF(ISNUMBER(outYear),-'Inputs and Outputs'!AP77*(1-federal_tax_rate/100),"")</f>
        <v/>
      </c>
      <c r="AQ85" s="153" t="str">
        <f>IF(ISNUMBER(outYear),-'Inputs and Outputs'!AQ77*(1-federal_tax_rate/100),"")</f>
        <v/>
      </c>
      <c r="AR85" s="153" t="str">
        <f>IF(ISNUMBER(outYear),-'Inputs and Outputs'!AR77*(1-federal_tax_rate/100),"")</f>
        <v/>
      </c>
      <c r="AS85" s="153" t="str">
        <f>IF(ISNUMBER(outYear),-'Inputs and Outputs'!AS77*(1-federal_tax_rate/100),"")</f>
        <v/>
      </c>
      <c r="AT85" s="153" t="str">
        <f>IF(ISNUMBER(outYear),-'Inputs and Outputs'!AT77*(1-federal_tax_rate/100),"")</f>
        <v/>
      </c>
      <c r="AU85" s="153" t="str">
        <f>IF(ISNUMBER(outYear),-'Inputs and Outputs'!AU77*(1-federal_tax_rate/100),"")</f>
        <v/>
      </c>
      <c r="AV85" s="153" t="str">
        <f>IF(ISNUMBER(outYear),-'Inputs and Outputs'!AV77*(1-federal_tax_rate/100),"")</f>
        <v/>
      </c>
      <c r="AW85" s="153" t="str">
        <f>IF(ISNUMBER(outYear),-'Inputs and Outputs'!AW77*(1-federal_tax_rate/100),"")</f>
        <v/>
      </c>
      <c r="AX85" s="153" t="str">
        <f>IF(ISNUMBER(outYear),-'Inputs and Outputs'!AX77*(1-federal_tax_rate/100),"")</f>
        <v/>
      </c>
      <c r="AY85" s="153" t="str">
        <f>IF(ISNUMBER(outYear),-'Inputs and Outputs'!AY77*(1-federal_tax_rate/100),"")</f>
        <v/>
      </c>
      <c r="AZ85" s="153" t="str">
        <f>IF(ISNUMBER(outYear),-'Inputs and Outputs'!AZ77*(1-federal_tax_rate/100),"")</f>
        <v/>
      </c>
      <c r="BA85" s="153" t="str">
        <f>IF(ISNUMBER(outYear),-'Inputs and Outputs'!BA77*(1-federal_tax_rate/100),"")</f>
        <v/>
      </c>
      <c r="BB85" s="153" t="str">
        <f>IF(ISNUMBER(outYear),-'Inputs and Outputs'!BB77*(1-federal_tax_rate/100),"")</f>
        <v/>
      </c>
      <c r="BC85" s="153" t="str">
        <f>IF(ISNUMBER(outYear),-'Inputs and Outputs'!BC77*(1-federal_tax_rate/100),"")</f>
        <v/>
      </c>
      <c r="BD85" s="153" t="str">
        <f>IF(ISNUMBER(outYear),-'Inputs and Outputs'!BD77*(1-federal_tax_rate/100),"")</f>
        <v/>
      </c>
      <c r="BE85" s="153" t="str">
        <f>IF(ISNUMBER(outYear),-'Inputs and Outputs'!BE77*(1-federal_tax_rate/100),"")</f>
        <v/>
      </c>
      <c r="BF85" s="153" t="str">
        <f>IF(ISNUMBER(outYear),-'Inputs and Outputs'!BF77*(1-federal_tax_rate/100),"")</f>
        <v/>
      </c>
      <c r="BG85" s="153" t="str">
        <f>IF(ISNUMBER(outYear),-'Inputs and Outputs'!BG77*(1-federal_tax_rate/100),"")</f>
        <v/>
      </c>
      <c r="BH85" s="153" t="str">
        <f>IF(ISNUMBER(outYear),-'Inputs and Outputs'!BH77*(1-federal_tax_rate/100),"")</f>
        <v/>
      </c>
      <c r="BI85" s="153" t="str">
        <f>IF(ISNUMBER(outYear),-'Inputs and Outputs'!BI77*(1-federal_tax_rate/100),"")</f>
        <v/>
      </c>
      <c r="BJ85" s="153" t="str">
        <f>IF(ISNUMBER(outYear),-'Inputs and Outputs'!BJ77*(1-federal_tax_rate/100),"")</f>
        <v/>
      </c>
      <c r="BK85" s="153" t="str">
        <f>IF(ISNUMBER(outYear),-'Inputs and Outputs'!BK77*(1-federal_tax_rate/100),"")</f>
        <v/>
      </c>
      <c r="BL85" s="153" t="str">
        <f>IF(ISNUMBER(outYear),-'Inputs and Outputs'!BL77*(1-federal_tax_rate/100),"")</f>
        <v/>
      </c>
      <c r="BM85" s="153" t="str">
        <f>IF(ISNUMBER(outYear),-'Inputs and Outputs'!BM77*(1-federal_tax_rate/100),"")</f>
        <v/>
      </c>
      <c r="BN85" s="153" t="str">
        <f>IF(ISNUMBER(outYear),-'Inputs and Outputs'!BN77*(1-federal_tax_rate/100),"")</f>
        <v/>
      </c>
      <c r="BO85" s="153" t="str">
        <f>IF(ISNUMBER(outYear),-'Inputs and Outputs'!BO77*(1-federal_tax_rate/100),"")</f>
        <v/>
      </c>
      <c r="BP85" s="153" t="str">
        <f>IF(ISNUMBER(outYear),-'Inputs and Outputs'!BP77*(1-federal_tax_rate/100),"")</f>
        <v/>
      </c>
      <c r="BQ85" s="153" t="str">
        <f>IF(ISNUMBER(outYear),-'Inputs and Outputs'!BQ77*(1-federal_tax_rate/100),"")</f>
        <v/>
      </c>
      <c r="BR85" s="153" t="str">
        <f>IF(ISNUMBER(outYear),-'Inputs and Outputs'!BR77*(1-federal_tax_rate/100),"")</f>
        <v/>
      </c>
      <c r="BS85" s="153" t="str">
        <f>IF(ISNUMBER(outYear),-'Inputs and Outputs'!BS77*(1-federal_tax_rate/100),"")</f>
        <v/>
      </c>
      <c r="BT85" s="153" t="str">
        <f>IF(ISNUMBER(outYear),-'Inputs and Outputs'!BT77*(1-federal_tax_rate/100),"")</f>
        <v/>
      </c>
      <c r="BU85" s="153" t="str">
        <f>IF(ISNUMBER(outYear),-'Inputs and Outputs'!BU77*(1-federal_tax_rate/100),"")</f>
        <v/>
      </c>
      <c r="BV85" s="153" t="str">
        <f>IF(ISNUMBER(outYear),-'Inputs and Outputs'!BV77*(1-federal_tax_rate/100),"")</f>
        <v/>
      </c>
      <c r="BW85" s="153" t="str">
        <f>IF(ISNUMBER(outYear),-'Inputs and Outputs'!BW77*(1-federal_tax_rate/100),"")</f>
        <v/>
      </c>
      <c r="BX85" s="153" t="str">
        <f>IF(ISNUMBER(outYear),-'Inputs and Outputs'!BX77*(1-federal_tax_rate/100),"")</f>
        <v/>
      </c>
      <c r="BY85" s="153" t="str">
        <f>IF(ISNUMBER(outYear),-'Inputs and Outputs'!BY77*(1-federal_tax_rate/100),"")</f>
        <v/>
      </c>
      <c r="BZ85" s="153" t="str">
        <f>IF(ISNUMBER(outYear),-'Inputs and Outputs'!BZ77*(1-federal_tax_rate/100),"")</f>
        <v/>
      </c>
      <c r="CA85" s="153" t="str">
        <f>IF(ISNUMBER(outYear),-'Inputs and Outputs'!CA77*(1-federal_tax_rate/100),"")</f>
        <v/>
      </c>
      <c r="CB85" s="153" t="str">
        <f>IF(ISNUMBER(outYear),-'Inputs and Outputs'!CB77*(1-federal_tax_rate/100),"")</f>
        <v/>
      </c>
      <c r="CC85" s="153" t="str">
        <f>IF(ISNUMBER(outYear),-'Inputs and Outputs'!CC77*(1-federal_tax_rate/100),"")</f>
        <v/>
      </c>
      <c r="CD85" s="153" t="str">
        <f>IF(ISNUMBER(outYear),-'Inputs and Outputs'!CD77*(1-federal_tax_rate/100),"")</f>
        <v/>
      </c>
      <c r="CE85" s="153" t="str">
        <f>IF(ISNUMBER(outYear),-'Inputs and Outputs'!CE77*(1-federal_tax_rate/100),"")</f>
        <v/>
      </c>
      <c r="CF85" s="153" t="str">
        <f>IF(ISNUMBER(outYear),-'Inputs and Outputs'!CF77*(1-federal_tax_rate/100),"")</f>
        <v/>
      </c>
      <c r="CG85" s="153" t="str">
        <f>IF(ISNUMBER(outYear),-'Inputs and Outputs'!CG77*(1-federal_tax_rate/100),"")</f>
        <v/>
      </c>
      <c r="CH85" s="153" t="str">
        <f>IF(ISNUMBER(outYear),-'Inputs and Outputs'!CH77*(1-federal_tax_rate/100),"")</f>
        <v/>
      </c>
      <c r="CI85" s="153" t="str">
        <f>IF(ISNUMBER(outYear),-'Inputs and Outputs'!CI77*(1-federal_tax_rate/100),"")</f>
        <v/>
      </c>
      <c r="CJ85" s="153" t="str">
        <f>IF(ISNUMBER(outYear),-'Inputs and Outputs'!CJ77*(1-federal_tax_rate/100),"")</f>
        <v/>
      </c>
      <c r="CK85" s="153" t="str">
        <f>IF(ISNUMBER(outYear),-'Inputs and Outputs'!CK77*(1-federal_tax_rate/100),"")</f>
        <v/>
      </c>
      <c r="CL85" s="153" t="str">
        <f>IF(ISNUMBER(outYear),-'Inputs and Outputs'!CL77*(1-federal_tax_rate/100),"")</f>
        <v/>
      </c>
      <c r="CM85" s="153" t="str">
        <f>IF(ISNUMBER(outYear),-'Inputs and Outputs'!CM77*(1-federal_tax_rate/100),"")</f>
        <v/>
      </c>
      <c r="CN85" s="153" t="str">
        <f>IF(ISNUMBER(outYear),-'Inputs and Outputs'!CN77*(1-federal_tax_rate/100),"")</f>
        <v/>
      </c>
      <c r="CO85" s="153" t="str">
        <f>IF(ISNUMBER(outYear),-'Inputs and Outputs'!CO77*(1-federal_tax_rate/100),"")</f>
        <v/>
      </c>
      <c r="CP85" s="153" t="str">
        <f>IF(ISNUMBER(outYear),-'Inputs and Outputs'!CP77*(1-federal_tax_rate/100),"")</f>
        <v/>
      </c>
      <c r="CQ85" s="153" t="str">
        <f>IF(ISNUMBER(outYear),-'Inputs and Outputs'!CQ77*(1-federal_tax_rate/100),"")</f>
        <v/>
      </c>
      <c r="CR85" s="153" t="str">
        <f>IF(ISNUMBER(outYear),-'Inputs and Outputs'!CR77*(1-federal_tax_rate/100),"")</f>
        <v/>
      </c>
      <c r="CS85" s="153" t="str">
        <f>IF(ISNUMBER(outYear),-'Inputs and Outputs'!CS77*(1-federal_tax_rate/100),"")</f>
        <v/>
      </c>
      <c r="CT85" s="153" t="str">
        <f>IF(ISNUMBER(outYear),-'Inputs and Outputs'!CT77*(1-federal_tax_rate/100),"")</f>
        <v/>
      </c>
      <c r="CU85" s="153" t="str">
        <f>IF(ISNUMBER(outYear),-'Inputs and Outputs'!CU77*(1-federal_tax_rate/100),"")</f>
        <v/>
      </c>
      <c r="CV85" s="153" t="str">
        <f>IF(ISNUMBER(outYear),-'Inputs and Outputs'!CV77*(1-federal_tax_rate/100),"")</f>
        <v/>
      </c>
      <c r="CW85" s="153" t="str">
        <f>IF(ISNUMBER(outYear),-'Inputs and Outputs'!CW77*(1-federal_tax_rate/100),"")</f>
        <v/>
      </c>
      <c r="CX85" s="153" t="str">
        <f>IF(ISNUMBER(outYear),-'Inputs and Outputs'!CX77*(1-federal_tax_rate/100),"")</f>
        <v/>
      </c>
    </row>
    <row r="86" spans="1:255">
      <c r="A86" t="s">
        <v>97</v>
      </c>
      <c r="B86" s="153">
        <f>IF(ISNUMBER(outYear),B80,"")</f>
        <v>-532718</v>
      </c>
      <c r="C86" s="153">
        <f>IF(ISNUMBER(outYear),C80-('Inputs and Outputs'!C78+'Inputs and Outputs'!C79)*(1-federal_tax_rate/100),"")</f>
        <v>-239119.35278062493</v>
      </c>
      <c r="D86" s="153">
        <f>IF(ISNUMBER(outYear),D80-('Inputs and Outputs'!D78+'Inputs and Outputs'!D79)*(1-federal_tax_rate/100),"")</f>
        <v>-492249.87004277273</v>
      </c>
      <c r="E86" s="153">
        <f>IF(ISNUMBER(outYear),E80-('Inputs and Outputs'!E78+'Inputs and Outputs'!E79)*(1-federal_tax_rate/100),"")</f>
        <v>-518846.32291264902</v>
      </c>
      <c r="F86" s="153">
        <f>IF(ISNUMBER(outYear),F80-('Inputs and Outputs'!F78+'Inputs and Outputs'!F79)*(1-federal_tax_rate/100),"")</f>
        <v>-541545.90395183465</v>
      </c>
      <c r="G86" s="153">
        <f>IF(ISNUMBER(outYear),G80-('Inputs and Outputs'!G78+'Inputs and Outputs'!G79)*(1-federal_tax_rate/100),"")</f>
        <v>-558178.09945656161</v>
      </c>
      <c r="H86" s="153">
        <f>IF(ISNUMBER(outYear),H80-('Inputs and Outputs'!H78+'Inputs and Outputs'!H79)*(1-federal_tax_rate/100),"")</f>
        <v>-580227.61026565172</v>
      </c>
      <c r="I86" s="153">
        <f>IF(ISNUMBER(outYear),I80-('Inputs and Outputs'!I78+'Inputs and Outputs'!I79)*(1-federal_tax_rate/100),"")</f>
        <v>-602793.83797620947</v>
      </c>
      <c r="J86" s="153">
        <f>IF(ISNUMBER(outYear),J80-('Inputs and Outputs'!J78+'Inputs and Outputs'!J79)*(1-federal_tax_rate/100),"")</f>
        <v>-620976.6401416841</v>
      </c>
      <c r="K86" s="153">
        <f>IF(ISNUMBER(outYear),K80-('Inputs and Outputs'!K78+'Inputs and Outputs'!K79)*(1-federal_tax_rate/100),"")</f>
        <v>-639707.7891296692</v>
      </c>
      <c r="L86" s="153">
        <f>IF(ISNUMBER(outYear),L80-('Inputs and Outputs'!L78+'Inputs and Outputs'!L79)*(1-federal_tax_rate/100),"")</f>
        <v>-706253.81860996073</v>
      </c>
      <c r="M86" s="153">
        <f>IF(ISNUMBER(outYear),M80-('Inputs and Outputs'!M78+'Inputs and Outputs'!M79)*(1-federal_tax_rate/100),"")</f>
        <v>-678881.76069655409</v>
      </c>
      <c r="N86" s="153">
        <f>IF(ISNUMBER(outYear),N80-('Inputs and Outputs'!N78+'Inputs and Outputs'!N79)*(1-federal_tax_rate/100),"")</f>
        <v>-699359.16097244446</v>
      </c>
      <c r="O86" s="153">
        <f>IF(ISNUMBER(outYear),O80-('Inputs and Outputs'!O78+'Inputs and Outputs'!O79)*(1-federal_tax_rate/100),"")</f>
        <v>-720454.09396727826</v>
      </c>
      <c r="P86" s="153">
        <f>IF(ISNUMBER(outYear),P80-('Inputs and Outputs'!P78+'Inputs and Outputs'!P79)*(1-federal_tax_rate/100),"")</f>
        <v>-742185.17910150217</v>
      </c>
      <c r="Q86" s="153">
        <f>IF(ISNUMBER(outYear),Q80-('Inputs and Outputs'!Q78+'Inputs and Outputs'!Q79)*(1-federal_tax_rate/100),"")</f>
        <v>-764571.59711107321</v>
      </c>
      <c r="R86" s="153">
        <f>IF(ISNUMBER(outYear),R80-('Inputs and Outputs'!R78+'Inputs and Outputs'!R79)*(1-federal_tax_rate/100),"")</f>
        <v>-787633.1069672046</v>
      </c>
      <c r="S86" s="153">
        <f>IF(ISNUMBER(outYear),S80-('Inputs and Outputs'!S78+'Inputs and Outputs'!S79)*(1-federal_tax_rate/100),"")</f>
        <v>-811390.06330607587</v>
      </c>
      <c r="T86" s="153">
        <f>IF(ISNUMBER(outYear),T80-('Inputs and Outputs'!T78+'Inputs and Outputs'!T79)*(1-federal_tax_rate/100),"")</f>
        <v>-835863.4343838701</v>
      </c>
      <c r="U86" s="153">
        <f>IF(ISNUMBER(outYear),U80-('Inputs and Outputs'!U78+'Inputs and Outputs'!U79)*(1-federal_tax_rate/100),"")</f>
        <v>-861074.8205729716</v>
      </c>
      <c r="V86" s="153">
        <f>IF(ISNUMBER(outYear),V80-('Inputs and Outputs'!V78+'Inputs and Outputs'!V79)*(1-federal_tax_rate/100),"")</f>
        <v>-887046.47341563401</v>
      </c>
      <c r="W86" s="153">
        <f>IF(ISNUMBER(outYear),W80-('Inputs and Outputs'!W78+'Inputs and Outputs'!W79)*(1-federal_tax_rate/100),"")</f>
        <v>-913801.31525191863</v>
      </c>
      <c r="X86" s="153">
        <f>IF(ISNUMBER(outYear),X80-('Inputs and Outputs'!X78+'Inputs and Outputs'!X79)*(1-federal_tax_rate/100),"")</f>
        <v>-941362.95943921048</v>
      </c>
      <c r="Y86" s="153">
        <f>IF(ISNUMBER(outYear),Y80-('Inputs and Outputs'!Y78+'Inputs and Outputs'!Y79)*(1-federal_tax_rate/100),"")</f>
        <v>-969755.73118113924</v>
      </c>
      <c r="Z86" s="153">
        <f>IF(ISNUMBER(outYear),Z80-('Inputs and Outputs'!Z78+'Inputs and Outputs'!Z79)*(1-federal_tax_rate/100),"")</f>
        <v>-999004.68898427277</v>
      </c>
      <c r="AA86" s="153">
        <f>IF(ISNUMBER(outYear),AA80-('Inputs and Outputs'!AA78+'Inputs and Outputs'!AA79)*(1-federal_tax_rate/100),"")</f>
        <v>-1029135.6467614989</v>
      </c>
      <c r="AB86" s="153" t="str">
        <f>IF(ISNUMBER(outYear),AB80-('Inputs and Outputs'!AB78+'Inputs and Outputs'!AB79)*(1-federal_tax_rate/100),"")</f>
        <v/>
      </c>
      <c r="AC86" s="153" t="str">
        <f>IF(ISNUMBER(outYear),AC80-('Inputs and Outputs'!AC78+'Inputs and Outputs'!AC79)*(1-federal_tax_rate/100),"")</f>
        <v/>
      </c>
      <c r="AD86" s="153" t="str">
        <f>IF(ISNUMBER(outYear),AD80-('Inputs and Outputs'!AD78+'Inputs and Outputs'!AD79)*(1-federal_tax_rate/100),"")</f>
        <v/>
      </c>
      <c r="AE86" s="153" t="str">
        <f>IF(ISNUMBER(outYear),AE80-('Inputs and Outputs'!AE78+'Inputs and Outputs'!AE79)*(1-federal_tax_rate/100),"")</f>
        <v/>
      </c>
      <c r="AF86" s="153" t="str">
        <f>IF(ISNUMBER(outYear),AF80-('Inputs and Outputs'!AF78+'Inputs and Outputs'!AF79)*(1-federal_tax_rate/100),"")</f>
        <v/>
      </c>
      <c r="AG86" s="153" t="str">
        <f>IF(ISNUMBER(outYear),AG80-('Inputs and Outputs'!AG78+'Inputs and Outputs'!AG79)*(1-federal_tax_rate/100),"")</f>
        <v/>
      </c>
      <c r="AH86" s="153" t="str">
        <f>IF(ISNUMBER(outYear),AH80-('Inputs and Outputs'!AH78+'Inputs and Outputs'!AH79)*(1-federal_tax_rate/100),"")</f>
        <v/>
      </c>
      <c r="AI86" s="153" t="str">
        <f>IF(ISNUMBER(outYear),AI80-('Inputs and Outputs'!AI78+'Inputs and Outputs'!AI79)*(1-federal_tax_rate/100),"")</f>
        <v/>
      </c>
      <c r="AJ86" s="153" t="str">
        <f>IF(ISNUMBER(outYear),AJ80-('Inputs and Outputs'!AJ78+'Inputs and Outputs'!AJ79)*(1-federal_tax_rate/100),"")</f>
        <v/>
      </c>
      <c r="AK86" s="153" t="str">
        <f>IF(ISNUMBER(outYear),AK80-('Inputs and Outputs'!AK78+'Inputs and Outputs'!AK79)*(1-federal_tax_rate/100),"")</f>
        <v/>
      </c>
      <c r="AL86" s="153" t="str">
        <f>IF(ISNUMBER(outYear),AL80-('Inputs and Outputs'!AL78+'Inputs and Outputs'!AL79)*(1-federal_tax_rate/100),"")</f>
        <v/>
      </c>
      <c r="AM86" s="153" t="str">
        <f>IF(ISNUMBER(outYear),AM80-('Inputs and Outputs'!AM78+'Inputs and Outputs'!AM79)*(1-federal_tax_rate/100),"")</f>
        <v/>
      </c>
      <c r="AN86" s="153" t="str">
        <f>IF(ISNUMBER(outYear),AN80-('Inputs and Outputs'!AN78+'Inputs and Outputs'!AN79)*(1-federal_tax_rate/100),"")</f>
        <v/>
      </c>
      <c r="AO86" s="153" t="str">
        <f>IF(ISNUMBER(outYear),AO80-('Inputs and Outputs'!AO78+'Inputs and Outputs'!AO79)*(1-federal_tax_rate/100),"")</f>
        <v/>
      </c>
      <c r="AP86" s="153" t="str">
        <f>IF(ISNUMBER(outYear),AP80-('Inputs and Outputs'!AP78+'Inputs and Outputs'!AP79)*(1-federal_tax_rate/100),"")</f>
        <v/>
      </c>
      <c r="AQ86" s="153" t="str">
        <f>IF(ISNUMBER(outYear),AQ80-('Inputs and Outputs'!AQ78+'Inputs and Outputs'!AQ79)*(1-federal_tax_rate/100),"")</f>
        <v/>
      </c>
      <c r="AR86" s="153" t="str">
        <f>IF(ISNUMBER(outYear),AR80-('Inputs and Outputs'!AR78+'Inputs and Outputs'!AR79)*(1-federal_tax_rate/100),"")</f>
        <v/>
      </c>
      <c r="AS86" s="153" t="str">
        <f>IF(ISNUMBER(outYear),AS80-('Inputs and Outputs'!AS78+'Inputs and Outputs'!AS79)*(1-federal_tax_rate/100),"")</f>
        <v/>
      </c>
      <c r="AT86" s="153" t="str">
        <f>IF(ISNUMBER(outYear),AT80-('Inputs and Outputs'!AT78+'Inputs and Outputs'!AT79)*(1-federal_tax_rate/100),"")</f>
        <v/>
      </c>
      <c r="AU86" s="153" t="str">
        <f>IF(ISNUMBER(outYear),AU80-('Inputs and Outputs'!AU78+'Inputs and Outputs'!AU79)*(1-federal_tax_rate/100),"")</f>
        <v/>
      </c>
      <c r="AV86" s="153" t="str">
        <f>IF(ISNUMBER(outYear),AV80-('Inputs and Outputs'!AV78+'Inputs and Outputs'!AV79)*(1-federal_tax_rate/100),"")</f>
        <v/>
      </c>
      <c r="AW86" s="153" t="str">
        <f>IF(ISNUMBER(outYear),AW80-('Inputs and Outputs'!AW78+'Inputs and Outputs'!AW79)*(1-federal_tax_rate/100),"")</f>
        <v/>
      </c>
      <c r="AX86" s="153" t="str">
        <f>IF(ISNUMBER(outYear),AX80-('Inputs and Outputs'!AX78+'Inputs and Outputs'!AX79)*(1-federal_tax_rate/100),"")</f>
        <v/>
      </c>
      <c r="AY86" s="153" t="str">
        <f>IF(ISNUMBER(outYear),AY80-('Inputs and Outputs'!AY78+'Inputs and Outputs'!AY79)*(1-federal_tax_rate/100),"")</f>
        <v/>
      </c>
      <c r="AZ86" s="153" t="str">
        <f>IF(ISNUMBER(outYear),AZ80-('Inputs and Outputs'!AZ78+'Inputs and Outputs'!AZ79)*(1-federal_tax_rate/100),"")</f>
        <v/>
      </c>
      <c r="BA86" s="153" t="str">
        <f>IF(ISNUMBER(outYear),BA80-('Inputs and Outputs'!BA78+'Inputs and Outputs'!BA79)*(1-federal_tax_rate/100),"")</f>
        <v/>
      </c>
      <c r="BB86" s="153" t="str">
        <f>IF(ISNUMBER(outYear),BB80-('Inputs and Outputs'!BB78+'Inputs and Outputs'!BB79)*(1-federal_tax_rate/100),"")</f>
        <v/>
      </c>
      <c r="BC86" s="153" t="str">
        <f>IF(ISNUMBER(outYear),BC80-('Inputs and Outputs'!BC78+'Inputs and Outputs'!BC79)*(1-federal_tax_rate/100),"")</f>
        <v/>
      </c>
      <c r="BD86" s="153" t="str">
        <f>IF(ISNUMBER(outYear),BD80-('Inputs and Outputs'!BD78+'Inputs and Outputs'!BD79)*(1-federal_tax_rate/100),"")</f>
        <v/>
      </c>
      <c r="BE86" s="153" t="str">
        <f>IF(ISNUMBER(outYear),BE80-('Inputs and Outputs'!BE78+'Inputs and Outputs'!BE79)*(1-federal_tax_rate/100),"")</f>
        <v/>
      </c>
      <c r="BF86" s="153" t="str">
        <f>IF(ISNUMBER(outYear),BF80-('Inputs and Outputs'!BF78+'Inputs and Outputs'!BF79)*(1-federal_tax_rate/100),"")</f>
        <v/>
      </c>
      <c r="BG86" s="153" t="str">
        <f>IF(ISNUMBER(outYear),BG80-('Inputs and Outputs'!BG78+'Inputs and Outputs'!BG79)*(1-federal_tax_rate/100),"")</f>
        <v/>
      </c>
      <c r="BH86" s="153" t="str">
        <f>IF(ISNUMBER(outYear),BH80-('Inputs and Outputs'!BH78+'Inputs and Outputs'!BH79)*(1-federal_tax_rate/100),"")</f>
        <v/>
      </c>
      <c r="BI86" s="153" t="str">
        <f>IF(ISNUMBER(outYear),BI80-('Inputs and Outputs'!BI78+'Inputs and Outputs'!BI79)*(1-federal_tax_rate/100),"")</f>
        <v/>
      </c>
      <c r="BJ86" s="153" t="str">
        <f>IF(ISNUMBER(outYear),BJ80-('Inputs and Outputs'!BJ78+'Inputs and Outputs'!BJ79)*(1-federal_tax_rate/100),"")</f>
        <v/>
      </c>
      <c r="BK86" s="153" t="str">
        <f>IF(ISNUMBER(outYear),BK80-('Inputs and Outputs'!BK78+'Inputs and Outputs'!BK79)*(1-federal_tax_rate/100),"")</f>
        <v/>
      </c>
      <c r="BL86" s="153" t="str">
        <f>IF(ISNUMBER(outYear),BL80-('Inputs and Outputs'!BL78+'Inputs and Outputs'!BL79)*(1-federal_tax_rate/100),"")</f>
        <v/>
      </c>
      <c r="BM86" s="153" t="str">
        <f>IF(ISNUMBER(outYear),BM80-('Inputs and Outputs'!BM78+'Inputs and Outputs'!BM79)*(1-federal_tax_rate/100),"")</f>
        <v/>
      </c>
      <c r="BN86" s="153" t="str">
        <f>IF(ISNUMBER(outYear),BN80-('Inputs and Outputs'!BN78+'Inputs and Outputs'!BN79)*(1-federal_tax_rate/100),"")</f>
        <v/>
      </c>
      <c r="BO86" s="153" t="str">
        <f>IF(ISNUMBER(outYear),BO80-('Inputs and Outputs'!BO78+'Inputs and Outputs'!BO79)*(1-federal_tax_rate/100),"")</f>
        <v/>
      </c>
      <c r="BP86" s="153" t="str">
        <f>IF(ISNUMBER(outYear),BP80-('Inputs and Outputs'!BP78+'Inputs and Outputs'!BP79)*(1-federal_tax_rate/100),"")</f>
        <v/>
      </c>
      <c r="BQ86" s="153" t="str">
        <f>IF(ISNUMBER(outYear),BQ80-('Inputs and Outputs'!BQ78+'Inputs and Outputs'!BQ79)*(1-federal_tax_rate/100),"")</f>
        <v/>
      </c>
      <c r="BR86" s="153" t="str">
        <f>IF(ISNUMBER(outYear),BR80-('Inputs and Outputs'!BR78+'Inputs and Outputs'!BR79)*(1-federal_tax_rate/100),"")</f>
        <v/>
      </c>
      <c r="BS86" s="153" t="str">
        <f>IF(ISNUMBER(outYear),BS80-('Inputs and Outputs'!BS78+'Inputs and Outputs'!BS79)*(1-federal_tax_rate/100),"")</f>
        <v/>
      </c>
      <c r="BT86" s="153" t="str">
        <f>IF(ISNUMBER(outYear),BT80-('Inputs and Outputs'!BT78+'Inputs and Outputs'!BT79)*(1-federal_tax_rate/100),"")</f>
        <v/>
      </c>
      <c r="BU86" s="153" t="str">
        <f>IF(ISNUMBER(outYear),BU80-('Inputs and Outputs'!BU78+'Inputs and Outputs'!BU79)*(1-federal_tax_rate/100),"")</f>
        <v/>
      </c>
      <c r="BV86" s="153" t="str">
        <f>IF(ISNUMBER(outYear),BV80-('Inputs and Outputs'!BV78+'Inputs and Outputs'!BV79)*(1-federal_tax_rate/100),"")</f>
        <v/>
      </c>
      <c r="BW86" s="153" t="str">
        <f>IF(ISNUMBER(outYear),BW80-('Inputs and Outputs'!BW78+'Inputs and Outputs'!BW79)*(1-federal_tax_rate/100),"")</f>
        <v/>
      </c>
      <c r="BX86" s="153" t="str">
        <f>IF(ISNUMBER(outYear),BX80-('Inputs and Outputs'!BX78+'Inputs and Outputs'!BX79)*(1-federal_tax_rate/100),"")</f>
        <v/>
      </c>
      <c r="BY86" s="153" t="str">
        <f>IF(ISNUMBER(outYear),BY80-('Inputs and Outputs'!BY78+'Inputs and Outputs'!BY79)*(1-federal_tax_rate/100),"")</f>
        <v/>
      </c>
      <c r="BZ86" s="153" t="str">
        <f>IF(ISNUMBER(outYear),BZ80-('Inputs and Outputs'!BZ78+'Inputs and Outputs'!BZ79)*(1-federal_tax_rate/100),"")</f>
        <v/>
      </c>
      <c r="CA86" s="153" t="str">
        <f>IF(ISNUMBER(outYear),CA80-('Inputs and Outputs'!CA78+'Inputs and Outputs'!CA79)*(1-federal_tax_rate/100),"")</f>
        <v/>
      </c>
      <c r="CB86" s="153" t="str">
        <f>IF(ISNUMBER(outYear),CB80-('Inputs and Outputs'!CB78+'Inputs and Outputs'!CB79)*(1-federal_tax_rate/100),"")</f>
        <v/>
      </c>
      <c r="CC86" s="153" t="str">
        <f>IF(ISNUMBER(outYear),CC80-('Inputs and Outputs'!CC78+'Inputs and Outputs'!CC79)*(1-federal_tax_rate/100),"")</f>
        <v/>
      </c>
      <c r="CD86" s="153" t="str">
        <f>IF(ISNUMBER(outYear),CD80-('Inputs and Outputs'!CD78+'Inputs and Outputs'!CD79)*(1-federal_tax_rate/100),"")</f>
        <v/>
      </c>
      <c r="CE86" s="153" t="str">
        <f>IF(ISNUMBER(outYear),CE80-('Inputs and Outputs'!CE78+'Inputs and Outputs'!CE79)*(1-federal_tax_rate/100),"")</f>
        <v/>
      </c>
      <c r="CF86" s="153" t="str">
        <f>IF(ISNUMBER(outYear),CF80-('Inputs and Outputs'!CF78+'Inputs and Outputs'!CF79)*(1-federal_tax_rate/100),"")</f>
        <v/>
      </c>
      <c r="CG86" s="153" t="str">
        <f>IF(ISNUMBER(outYear),CG80-('Inputs and Outputs'!CG78+'Inputs and Outputs'!CG79)*(1-federal_tax_rate/100),"")</f>
        <v/>
      </c>
      <c r="CH86" s="153" t="str">
        <f>IF(ISNUMBER(outYear),CH80-('Inputs and Outputs'!CH78+'Inputs and Outputs'!CH79)*(1-federal_tax_rate/100),"")</f>
        <v/>
      </c>
      <c r="CI86" s="153" t="str">
        <f>IF(ISNUMBER(outYear),CI80-('Inputs and Outputs'!CI78+'Inputs and Outputs'!CI79)*(1-federal_tax_rate/100),"")</f>
        <v/>
      </c>
      <c r="CJ86" s="153" t="str">
        <f>IF(ISNUMBER(outYear),CJ80-('Inputs and Outputs'!CJ78+'Inputs and Outputs'!CJ79)*(1-federal_tax_rate/100),"")</f>
        <v/>
      </c>
      <c r="CK86" s="153" t="str">
        <f>IF(ISNUMBER(outYear),CK80-('Inputs and Outputs'!CK78+'Inputs and Outputs'!CK79)*(1-federal_tax_rate/100),"")</f>
        <v/>
      </c>
      <c r="CL86" s="153" t="str">
        <f>IF(ISNUMBER(outYear),CL80-('Inputs and Outputs'!CL78+'Inputs and Outputs'!CL79)*(1-federal_tax_rate/100),"")</f>
        <v/>
      </c>
      <c r="CM86" s="153" t="str">
        <f>IF(ISNUMBER(outYear),CM80-('Inputs and Outputs'!CM78+'Inputs and Outputs'!CM79)*(1-federal_tax_rate/100),"")</f>
        <v/>
      </c>
      <c r="CN86" s="153" t="str">
        <f>IF(ISNUMBER(outYear),CN80-('Inputs and Outputs'!CN78+'Inputs and Outputs'!CN79)*(1-federal_tax_rate/100),"")</f>
        <v/>
      </c>
      <c r="CO86" s="153" t="str">
        <f>IF(ISNUMBER(outYear),CO80-('Inputs and Outputs'!CO78+'Inputs and Outputs'!CO79)*(1-federal_tax_rate/100),"")</f>
        <v/>
      </c>
      <c r="CP86" s="153" t="str">
        <f>IF(ISNUMBER(outYear),CP80-('Inputs and Outputs'!CP78+'Inputs and Outputs'!CP79)*(1-federal_tax_rate/100),"")</f>
        <v/>
      </c>
      <c r="CQ86" s="153" t="str">
        <f>IF(ISNUMBER(outYear),CQ80-('Inputs and Outputs'!CQ78+'Inputs and Outputs'!CQ79)*(1-federal_tax_rate/100),"")</f>
        <v/>
      </c>
      <c r="CR86" s="153" t="str">
        <f>IF(ISNUMBER(outYear),CR80-('Inputs and Outputs'!CR78+'Inputs and Outputs'!CR79)*(1-federal_tax_rate/100),"")</f>
        <v/>
      </c>
      <c r="CS86" s="153" t="str">
        <f>IF(ISNUMBER(outYear),CS80-('Inputs and Outputs'!CS78+'Inputs and Outputs'!CS79)*(1-federal_tax_rate/100),"")</f>
        <v/>
      </c>
      <c r="CT86" s="153" t="str">
        <f>IF(ISNUMBER(outYear),CT80-('Inputs and Outputs'!CT78+'Inputs and Outputs'!CT79)*(1-federal_tax_rate/100),"")</f>
        <v/>
      </c>
      <c r="CU86" s="153" t="str">
        <f>IF(ISNUMBER(outYear),CU80-('Inputs and Outputs'!CU78+'Inputs and Outputs'!CU79)*(1-federal_tax_rate/100),"")</f>
        <v/>
      </c>
      <c r="CV86" s="153" t="str">
        <f>IF(ISNUMBER(outYear),CV80-('Inputs and Outputs'!CV78+'Inputs and Outputs'!CV79)*(1-federal_tax_rate/100),"")</f>
        <v/>
      </c>
      <c r="CW86" s="153" t="str">
        <f>IF(ISNUMBER(outYear),CW80-('Inputs and Outputs'!CW78+'Inputs and Outputs'!CW79)*(1-federal_tax_rate/100),"")</f>
        <v/>
      </c>
      <c r="CX86" s="153" t="str">
        <f>IF(ISNUMBER(outYear),CX80-('Inputs and Outputs'!CX78+'Inputs and Outputs'!CX79)*(1-federal_tax_rate/100),"")</f>
        <v/>
      </c>
    </row>
    <row r="88" spans="1:255">
      <c r="C88" s="153"/>
    </row>
    <row r="89" spans="1:255">
      <c r="C89" s="153"/>
      <c r="D89" s="153"/>
    </row>
    <row r="91" spans="1:255">
      <c r="B91" s="153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cp:lastPrinted>2006-11-13T23:17:12Z</cp:lastPrinted>
  <dcterms:created xsi:type="dcterms:W3CDTF">2005-08-17T04:34:40Z</dcterms:created>
  <dcterms:modified xsi:type="dcterms:W3CDTF">2018-04-29T14:34:55Z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