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0" codeName="{51196F13-6AD0-C1B8-E2B4-A1F9AE17003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nlaws/projects/reopt/webtool/reopt_api/proforma/"/>
    </mc:Choice>
  </mc:AlternateContent>
  <xr:revisionPtr revIDLastSave="0" documentId="13_ncr:1_{6B976011-1C73-EB45-A13B-FD39A18EB20E}" xr6:coauthVersionLast="32" xr6:coauthVersionMax="32" xr10:uidLastSave="{00000000-0000-0000-0000-000000000000}"/>
  <bookViews>
    <workbookView xWindow="0" yWindow="460" windowWidth="25600" windowHeight="16060" tabRatio="591" xr2:uid="{00000000-000D-0000-FFFF-FFFF00000000}"/>
  </bookViews>
  <sheets>
    <sheet name="Inputs and Outputs" sheetId="7" r:id="rId1"/>
    <sheet name="Cash Flow" sheetId="8" r:id="rId2"/>
  </sheets>
  <definedNames>
    <definedName name="analysis_period">'Inputs and Outputs'!$B$32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cbi_fed_amount">'Inputs and Outputs'!$B$68</definedName>
    <definedName name="batt_cbi_fed_deprbas_fed">'Inputs and Outputs'!$E$68</definedName>
    <definedName name="batt_cbi_fed_maxvalue">'Inputs and Outputs'!$C$68</definedName>
    <definedName name="batt_cbi_fed_tax_fed">'Inputs and Outputs'!$D$68</definedName>
    <definedName name="batt_cbi_sta_amount">'Inputs and Outputs'!$B$69</definedName>
    <definedName name="batt_cbi_sta_deprbas_fed">'Inputs and Outputs'!$E$69</definedName>
    <definedName name="batt_cbi_sta_maxvalue">'Inputs and Outputs'!$C$69</definedName>
    <definedName name="batt_cbi_sta_tax_fed">'Inputs and Outputs'!$D$69</definedName>
    <definedName name="batt_cbi_uti_amount">'Inputs and Outputs'!$B$70</definedName>
    <definedName name="batt_cbi_uti_deprbas_fed">'Inputs and Outputs'!$E$70</definedName>
    <definedName name="batt_cbi_uti_maxvalue">'Inputs and Outputs'!$C$70</definedName>
    <definedName name="batt_cbi_uti_tax_fed">'Inputs and Outputs'!$D$70</definedName>
    <definedName name="batt_ibi_sta_percent">'Inputs and Outputs'!$B$65</definedName>
    <definedName name="batt_ibi_sta_percent_deprbas_fed">'Inputs and Outputs'!$E$65</definedName>
    <definedName name="batt_ibi_sta_percent_maxvalue">'Inputs and Outputs'!$C$65</definedName>
    <definedName name="batt_ibi_sta_percent_tax_fed">'Inputs and Outputs'!$D$65</definedName>
    <definedName name="batt_ibi_uti_percent">'Inputs and Outputs'!$B$66</definedName>
    <definedName name="batt_ibi_uti_percent_deprbas_fed">'Inputs and Outputs'!$E$66</definedName>
    <definedName name="batt_ibi_uti_percent_maxvalue">'Inputs and Outputs'!$C$66</definedName>
    <definedName name="batt_ibi_uti_percent_tax_fed">'Inputs and Outputs'!$D$66</definedName>
    <definedName name="batt_itc_fed_percent">'Inputs and Outputs'!$B$60</definedName>
    <definedName name="batt_itc_fed_percent_deprbas_fed">'Inputs and Outputs'!$D$60</definedName>
    <definedName name="batt_itc_fed_percent_maxvalue">'Inputs and Outputs'!$C$60</definedName>
    <definedName name="batt_kw">'Inputs and Outputs'!$B$6</definedName>
    <definedName name="batt_kwh">'Inputs and Outputs'!$B$7</definedName>
    <definedName name="batt_repl_cost_kw">'Inputs and Outputs'!$B$21</definedName>
    <definedName name="batt_repl_cost_kwh">'Inputs and Outputs'!$B$23</definedName>
    <definedName name="batt_repl_kw_year">'Inputs and Outputs'!$B$22</definedName>
    <definedName name="batt_repl_year_kw">'Inputs and Outputs'!$B$22</definedName>
    <definedName name="batt_repl_year_kwh">'Inputs and Outputs'!$B$24</definedName>
    <definedName name="battery_installed_cost">'Inputs and Outputs'!$B$18</definedName>
    <definedName name="BatteryBonusFraction">'Inputs and Outputs'!$C$74</definedName>
    <definedName name="BatteryFederalDepreciation">'Inputs and Outputs'!$C$73</definedName>
    <definedName name="BatteryMACRSBonusFraction">'Inputs and Outputs'!$C$74</definedName>
    <definedName name="BonusFraction">'Inputs and Outputs'!$B$74</definedName>
    <definedName name="CashFlow">'Cash Flow'!$C$82:$CX$82</definedName>
    <definedName name="cbi_fed_amount">'Inputs and Outputs'!$B$51</definedName>
    <definedName name="cbi_fed_deprbas_fed">'Inputs and Outputs'!$E$51</definedName>
    <definedName name="cbi_fed_deprbas_sta">'Inputs and Outputs'!#REF!</definedName>
    <definedName name="cbi_fed_maxvalue">'Inputs and Outputs'!$C$51</definedName>
    <definedName name="cbi_fed_tax_fed">'Inputs and Outputs'!$D$51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Outputs'!$B$52</definedName>
    <definedName name="cbi_sta_deprbas_fed">'Inputs and Outputs'!$E$52</definedName>
    <definedName name="cbi_sta_deprbas_sta">'Inputs and Outputs'!#REF!</definedName>
    <definedName name="cbi_sta_maxvalue">'Inputs and Outputs'!$C$52</definedName>
    <definedName name="cbi_sta_tax_fed">'Inputs and Outputs'!$D$52</definedName>
    <definedName name="cbi_sta_tax_sta">'Inputs and Outputs'!#REF!</definedName>
    <definedName name="cbi_uti_amount">'Inputs and Outputs'!$B$53</definedName>
    <definedName name="cbi_uti_deprbas_fed">'Inputs and Outputs'!$E$53</definedName>
    <definedName name="cbi_uti_deprbas_sta">'Inputs and Outputs'!#REF!</definedName>
    <definedName name="cbi_uti_maxvalue">'Inputs and Outputs'!$C$53</definedName>
    <definedName name="cbi_uti_tax_fed">'Inputs and Outputs'!$D$53</definedName>
    <definedName name="cbi_uti_tax_sta">'Inputs and Outputs'!#REF!</definedName>
    <definedName name="CostFlow">'Cash Flow'!$C$80:$CX$80</definedName>
    <definedName name="CumulativePaybackCashFlowWithExpenses">'Cash Flow'!#REF!</definedName>
    <definedName name="CumulativePaybackNoIncentives">'Cash Flow'!#REF!</definedName>
    <definedName name="debt_fraction">'Inputs and Outputs'!$B$27</definedName>
    <definedName name="EnergyValue">'Inputs and Outputs'!#REF!</definedName>
    <definedName name="escalation_rate">'Inputs and Outputs'!#REF!</definedName>
    <definedName name="escalation_rate_nominal">'Inputs and Outputs'!$B$34</definedName>
    <definedName name="federal_tax_rate">'Inputs and Outputs'!$B$38</definedName>
    <definedName name="FederalDepreciation">'Inputs and Outputs'!$B$73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Outputs'!$B$48</definedName>
    <definedName name="ibi_sta_percent_deprbas_fed">'Inputs and Outputs'!$E$48</definedName>
    <definedName name="ibi_sta_percent_deprbas_sta">'Inputs and Outputs'!#REF!</definedName>
    <definedName name="ibi_sta_percent_maxvalue">'Inputs and Outputs'!$C$48</definedName>
    <definedName name="ibi_sta_percent_tax_fed">'Inputs and Outputs'!$D$48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Outputs'!$B$49</definedName>
    <definedName name="ibi_uti_percent_deprbas_fed">'Inputs and Outputs'!$E$49</definedName>
    <definedName name="ibi_uti_percent_deprbas_sta">'Inputs and Outputs'!#REF!</definedName>
    <definedName name="ibi_uti_percent_maxvalue">'Inputs and Outputs'!$C$49</definedName>
    <definedName name="ibi_uti_percent_tax_fed">'Inputs and Outputs'!$D$49</definedName>
    <definedName name="ibi_uti_percent_tax_sta">'Inputs and Outputs'!#REF!</definedName>
    <definedName name="inflation_rate">'Inputs and Outputs'!$B$33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Outputs'!$B$43</definedName>
    <definedName name="itc_fed_percent_deprbas_fed">'Inputs and Outputs'!$D$43</definedName>
    <definedName name="itc_fed_percent_deprbas_sta">'Inputs and Outputs'!#REF!</definedName>
    <definedName name="itc_fed_percent_deprbas_state">'Inputs and Outputs'!#REF!</definedName>
    <definedName name="itc_fed_percent_maxvalue">'Inputs and Outputs'!$C$43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Outputs'!$B$29</definedName>
    <definedName name="loan_term">'Inputs and Outputs'!$B$28</definedName>
    <definedName name="MACRSBonusFraction">'Inputs and Outputs'!$B$74</definedName>
    <definedName name="NominalDiscountRate">'Inputs and Outputs'!$B$35</definedName>
    <definedName name="O_M_cost_escalation_rate__nominal_____year">'Inputs and Outputs'!$B$33</definedName>
    <definedName name="om_capacity">'Inputs and Outputs'!$B$20</definedName>
    <definedName name="om_capacity_escal">'Inputs and Outputs'!#REF!</definedName>
    <definedName name="om_cost_escalation_rate_nominal">'Inputs and Outputs'!$B$33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Outputs'!$H$20</definedName>
    <definedName name="outUtilityPBILineItem">'Cash Flow'!#REF!</definedName>
    <definedName name="outYear">'Cash Flow'!$B$2:$CX$2</definedName>
    <definedName name="outYearZeroCashFlow">'Cash Flow'!$B$82</definedName>
    <definedName name="outYearZeroCostFlow">'Cash Flow'!$B$80</definedName>
    <definedName name="pbi_combined_amount">'Inputs and Outputs'!$B$55</definedName>
    <definedName name="pbi_combined_maxvalue">'Inputs and Outputs'!$C$55</definedName>
    <definedName name="pbi_combined_tax_fed">'Inputs and Outputs'!$D$55</definedName>
    <definedName name="pbi_combined_tax_sta">'Inputs and Outputs'!#REF!</definedName>
    <definedName name="pbi_combined_term">'Inputs and Outputs'!$E$55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Outputs'!$B$5</definedName>
    <definedName name="pv_degradation_rate">'Inputs and Outputs'!$B$5</definedName>
    <definedName name="pv_installed_cost">'Inputs and Outputs'!$B$17</definedName>
    <definedName name="real_discount_rate">'Inputs and Outputs'!#REF!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Outputs'!$B$16</definedName>
    <definedName name="UseDepreciation">'Inputs and Outputs'!#REF!</definedName>
    <definedName name="UseTaxDeductibleInterest">'Inputs and Outputs'!#REF!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0" i="8" l="1"/>
  <c r="B49" i="8"/>
  <c r="B75" i="8" l="1"/>
  <c r="C2" i="8" l="1"/>
  <c r="B67" i="8"/>
  <c r="B68" i="8" s="1"/>
  <c r="B45" i="8"/>
  <c r="B44" i="8"/>
  <c r="B36" i="8"/>
  <c r="B48" i="8"/>
  <c r="B51" i="8" s="1"/>
  <c r="B41" i="8"/>
  <c r="B40" i="8"/>
  <c r="B39" i="8"/>
  <c r="AB80" i="7"/>
  <c r="AC80" i="7"/>
  <c r="AD80" i="7"/>
  <c r="AE80" i="7"/>
  <c r="AF80" i="7"/>
  <c r="AG80" i="7"/>
  <c r="AH80" i="7"/>
  <c r="AI80" i="7"/>
  <c r="AJ80" i="7"/>
  <c r="AK80" i="7"/>
  <c r="AL80" i="7"/>
  <c r="AM80" i="7"/>
  <c r="AN80" i="7"/>
  <c r="AO80" i="7"/>
  <c r="AP80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CB80" i="7"/>
  <c r="CC80" i="7"/>
  <c r="CD80" i="7"/>
  <c r="CE80" i="7"/>
  <c r="CF80" i="7"/>
  <c r="CG80" i="7"/>
  <c r="CH80" i="7"/>
  <c r="CI80" i="7"/>
  <c r="CJ80" i="7"/>
  <c r="CK80" i="7"/>
  <c r="CL80" i="7"/>
  <c r="CM80" i="7"/>
  <c r="CN80" i="7"/>
  <c r="CO80" i="7"/>
  <c r="CP80" i="7"/>
  <c r="CQ80" i="7"/>
  <c r="CR80" i="7"/>
  <c r="CS80" i="7"/>
  <c r="CT80" i="7"/>
  <c r="CU80" i="7"/>
  <c r="CV80" i="7"/>
  <c r="CW80" i="7"/>
  <c r="CX80" i="7"/>
  <c r="C76" i="7"/>
  <c r="C13" i="8"/>
  <c r="C77" i="7"/>
  <c r="C78" i="7"/>
  <c r="C82" i="7"/>
  <c r="C66" i="8" s="1"/>
  <c r="B85" i="8"/>
  <c r="XFD57" i="8"/>
  <c r="XFC57" i="8"/>
  <c r="XFB57" i="8"/>
  <c r="XFA57" i="8"/>
  <c r="XEZ57" i="8"/>
  <c r="XEY57" i="8"/>
  <c r="XEX57" i="8"/>
  <c r="XEW57" i="8"/>
  <c r="XEV57" i="8"/>
  <c r="XEU57" i="8"/>
  <c r="XET57" i="8"/>
  <c r="XES57" i="8"/>
  <c r="XER57" i="8"/>
  <c r="XEQ57" i="8"/>
  <c r="XEP57" i="8"/>
  <c r="XEO57" i="8"/>
  <c r="XEN57" i="8"/>
  <c r="XEM57" i="8"/>
  <c r="XEL57" i="8"/>
  <c r="XEK57" i="8"/>
  <c r="XEJ57" i="8"/>
  <c r="XEI57" i="8"/>
  <c r="XEH57" i="8"/>
  <c r="XEG57" i="8"/>
  <c r="XEF57" i="8"/>
  <c r="XEE57" i="8"/>
  <c r="XED57" i="8"/>
  <c r="XEC57" i="8"/>
  <c r="XEB57" i="8"/>
  <c r="XEA57" i="8"/>
  <c r="XDZ57" i="8"/>
  <c r="XDY57" i="8"/>
  <c r="XDX57" i="8"/>
  <c r="XDW57" i="8"/>
  <c r="XDV57" i="8"/>
  <c r="XDU57" i="8"/>
  <c r="XDT57" i="8"/>
  <c r="XDS57" i="8"/>
  <c r="XDR57" i="8"/>
  <c r="XDQ57" i="8"/>
  <c r="XDP57" i="8"/>
  <c r="XDO57" i="8"/>
  <c r="XDN57" i="8"/>
  <c r="XDM57" i="8"/>
  <c r="XDL57" i="8"/>
  <c r="XDK57" i="8"/>
  <c r="XDJ57" i="8"/>
  <c r="XDI57" i="8"/>
  <c r="XDH57" i="8"/>
  <c r="XDG57" i="8"/>
  <c r="XDF57" i="8"/>
  <c r="XDE57" i="8"/>
  <c r="XDD57" i="8"/>
  <c r="XDC57" i="8"/>
  <c r="XDB57" i="8"/>
  <c r="XDA57" i="8"/>
  <c r="XCZ57" i="8"/>
  <c r="XCY57" i="8"/>
  <c r="XCX57" i="8"/>
  <c r="XCW57" i="8"/>
  <c r="XCV57" i="8"/>
  <c r="XCU57" i="8"/>
  <c r="XCT57" i="8"/>
  <c r="XCS57" i="8"/>
  <c r="XCR57" i="8"/>
  <c r="XCQ57" i="8"/>
  <c r="XCP57" i="8"/>
  <c r="XCO57" i="8"/>
  <c r="XCN57" i="8"/>
  <c r="XCM57" i="8"/>
  <c r="XCL57" i="8"/>
  <c r="XCK57" i="8"/>
  <c r="XCJ57" i="8"/>
  <c r="XCI57" i="8"/>
  <c r="XCH57" i="8"/>
  <c r="XCG57" i="8"/>
  <c r="XCF57" i="8"/>
  <c r="XCE57" i="8"/>
  <c r="XCD57" i="8"/>
  <c r="XCC57" i="8"/>
  <c r="XCB57" i="8"/>
  <c r="XCA57" i="8"/>
  <c r="XBZ57" i="8"/>
  <c r="XBY57" i="8"/>
  <c r="XBX57" i="8"/>
  <c r="XBW57" i="8"/>
  <c r="XBV57" i="8"/>
  <c r="XBU57" i="8"/>
  <c r="XBT57" i="8"/>
  <c r="XBS57" i="8"/>
  <c r="XBR57" i="8"/>
  <c r="XBQ57" i="8"/>
  <c r="XBP57" i="8"/>
  <c r="XBO57" i="8"/>
  <c r="XBN57" i="8"/>
  <c r="XBM57" i="8"/>
  <c r="XBL57" i="8"/>
  <c r="XBK57" i="8"/>
  <c r="XBJ57" i="8"/>
  <c r="XBI57" i="8"/>
  <c r="XBH57" i="8"/>
  <c r="XBG57" i="8"/>
  <c r="XBF57" i="8"/>
  <c r="XBE57" i="8"/>
  <c r="XBD57" i="8"/>
  <c r="XBC57" i="8"/>
  <c r="XBB57" i="8"/>
  <c r="XBA57" i="8"/>
  <c r="XAZ57" i="8"/>
  <c r="XAY57" i="8"/>
  <c r="XAX57" i="8"/>
  <c r="XAW57" i="8"/>
  <c r="XAV57" i="8"/>
  <c r="XAU57" i="8"/>
  <c r="XAT57" i="8"/>
  <c r="XAS57" i="8"/>
  <c r="XAR57" i="8"/>
  <c r="XAQ57" i="8"/>
  <c r="XAP57" i="8"/>
  <c r="XAO57" i="8"/>
  <c r="XAN57" i="8"/>
  <c r="XAM57" i="8"/>
  <c r="XAL57" i="8"/>
  <c r="XAK57" i="8"/>
  <c r="XAJ57" i="8"/>
  <c r="XAI57" i="8"/>
  <c r="XAH57" i="8"/>
  <c r="XAG57" i="8"/>
  <c r="XAF57" i="8"/>
  <c r="XAE57" i="8"/>
  <c r="XAD57" i="8"/>
  <c r="XAC57" i="8"/>
  <c r="XAB57" i="8"/>
  <c r="XAA57" i="8"/>
  <c r="WZZ57" i="8"/>
  <c r="WZY57" i="8"/>
  <c r="WZX57" i="8"/>
  <c r="WZW57" i="8"/>
  <c r="WZV57" i="8"/>
  <c r="WZU57" i="8"/>
  <c r="WZT57" i="8"/>
  <c r="WZS57" i="8"/>
  <c r="WZR57" i="8"/>
  <c r="WZQ57" i="8"/>
  <c r="WZP57" i="8"/>
  <c r="WZO57" i="8"/>
  <c r="WZN57" i="8"/>
  <c r="WZM57" i="8"/>
  <c r="WZL57" i="8"/>
  <c r="WZK57" i="8"/>
  <c r="WZJ57" i="8"/>
  <c r="WZI57" i="8"/>
  <c r="WZH57" i="8"/>
  <c r="WZG57" i="8"/>
  <c r="WZF57" i="8"/>
  <c r="WZE57" i="8"/>
  <c r="WZD57" i="8"/>
  <c r="WZC57" i="8"/>
  <c r="WZB57" i="8"/>
  <c r="WZA57" i="8"/>
  <c r="WYZ57" i="8"/>
  <c r="WYY57" i="8"/>
  <c r="WYX57" i="8"/>
  <c r="WYW57" i="8"/>
  <c r="WYV57" i="8"/>
  <c r="WYU57" i="8"/>
  <c r="WYT57" i="8"/>
  <c r="WYS57" i="8"/>
  <c r="WYR57" i="8"/>
  <c r="WYQ57" i="8"/>
  <c r="WYP57" i="8"/>
  <c r="WYO57" i="8"/>
  <c r="WYN57" i="8"/>
  <c r="WYM57" i="8"/>
  <c r="WYL57" i="8"/>
  <c r="WYK57" i="8"/>
  <c r="WYJ57" i="8"/>
  <c r="WYI57" i="8"/>
  <c r="WYH57" i="8"/>
  <c r="WYG57" i="8"/>
  <c r="WYF57" i="8"/>
  <c r="WYE57" i="8"/>
  <c r="WYD57" i="8"/>
  <c r="WYC57" i="8"/>
  <c r="WYB57" i="8"/>
  <c r="WYA57" i="8"/>
  <c r="WXZ57" i="8"/>
  <c r="WXY57" i="8"/>
  <c r="WXX57" i="8"/>
  <c r="WXW57" i="8"/>
  <c r="WXV57" i="8"/>
  <c r="WXU57" i="8"/>
  <c r="WXT57" i="8"/>
  <c r="WXS57" i="8"/>
  <c r="WXR57" i="8"/>
  <c r="WXQ57" i="8"/>
  <c r="WXP57" i="8"/>
  <c r="WXO57" i="8"/>
  <c r="WXN57" i="8"/>
  <c r="WXM57" i="8"/>
  <c r="WXL57" i="8"/>
  <c r="WXK57" i="8"/>
  <c r="WXJ57" i="8"/>
  <c r="WXI57" i="8"/>
  <c r="WXH57" i="8"/>
  <c r="WXG57" i="8"/>
  <c r="WXF57" i="8"/>
  <c r="WXE57" i="8"/>
  <c r="WXD57" i="8"/>
  <c r="WXC57" i="8"/>
  <c r="WXB57" i="8"/>
  <c r="WXA57" i="8"/>
  <c r="WWZ57" i="8"/>
  <c r="WWY57" i="8"/>
  <c r="WWX57" i="8"/>
  <c r="WWW57" i="8"/>
  <c r="WWV57" i="8"/>
  <c r="WWU57" i="8"/>
  <c r="WWT57" i="8"/>
  <c r="WWS57" i="8"/>
  <c r="WWR57" i="8"/>
  <c r="WWQ57" i="8"/>
  <c r="WWP57" i="8"/>
  <c r="WWO57" i="8"/>
  <c r="WWN57" i="8"/>
  <c r="WWM57" i="8"/>
  <c r="WWL57" i="8"/>
  <c r="WWK57" i="8"/>
  <c r="WWJ57" i="8"/>
  <c r="WWI57" i="8"/>
  <c r="WWH57" i="8"/>
  <c r="WWG57" i="8"/>
  <c r="WWF57" i="8"/>
  <c r="WWE57" i="8"/>
  <c r="WWD57" i="8"/>
  <c r="WWC57" i="8"/>
  <c r="WWB57" i="8"/>
  <c r="WWA57" i="8"/>
  <c r="WVZ57" i="8"/>
  <c r="WVY57" i="8"/>
  <c r="WVX57" i="8"/>
  <c r="WVW57" i="8"/>
  <c r="WVV57" i="8"/>
  <c r="WVU57" i="8"/>
  <c r="WVT57" i="8"/>
  <c r="WVS57" i="8"/>
  <c r="WVR57" i="8"/>
  <c r="WVQ57" i="8"/>
  <c r="WVP57" i="8"/>
  <c r="WVO57" i="8"/>
  <c r="WVN57" i="8"/>
  <c r="WVM57" i="8"/>
  <c r="WVL57" i="8"/>
  <c r="WVK57" i="8"/>
  <c r="WVJ57" i="8"/>
  <c r="WVI57" i="8"/>
  <c r="WVH57" i="8"/>
  <c r="WVG57" i="8"/>
  <c r="WVF57" i="8"/>
  <c r="WVE57" i="8"/>
  <c r="WVD57" i="8"/>
  <c r="WVC57" i="8"/>
  <c r="WVB57" i="8"/>
  <c r="WVA57" i="8"/>
  <c r="WUZ57" i="8"/>
  <c r="WUY57" i="8"/>
  <c r="WUX57" i="8"/>
  <c r="WUW57" i="8"/>
  <c r="WUV57" i="8"/>
  <c r="WUU57" i="8"/>
  <c r="WUT57" i="8"/>
  <c r="WUS57" i="8"/>
  <c r="WUR57" i="8"/>
  <c r="WUQ57" i="8"/>
  <c r="WUP57" i="8"/>
  <c r="WUO57" i="8"/>
  <c r="WUN57" i="8"/>
  <c r="WUM57" i="8"/>
  <c r="WUL57" i="8"/>
  <c r="WUK57" i="8"/>
  <c r="WUJ57" i="8"/>
  <c r="WUI57" i="8"/>
  <c r="WUH57" i="8"/>
  <c r="WUG57" i="8"/>
  <c r="WUF57" i="8"/>
  <c r="WUE57" i="8"/>
  <c r="WUD57" i="8"/>
  <c r="WUC57" i="8"/>
  <c r="WUB57" i="8"/>
  <c r="WUA57" i="8"/>
  <c r="WTZ57" i="8"/>
  <c r="WTY57" i="8"/>
  <c r="WTX57" i="8"/>
  <c r="WTW57" i="8"/>
  <c r="WTV57" i="8"/>
  <c r="WTU57" i="8"/>
  <c r="WTT57" i="8"/>
  <c r="WTS57" i="8"/>
  <c r="WTR57" i="8"/>
  <c r="WTQ57" i="8"/>
  <c r="WTP57" i="8"/>
  <c r="WTO57" i="8"/>
  <c r="WTN57" i="8"/>
  <c r="WTM57" i="8"/>
  <c r="WTL57" i="8"/>
  <c r="WTK57" i="8"/>
  <c r="WTJ57" i="8"/>
  <c r="WTI57" i="8"/>
  <c r="WTH57" i="8"/>
  <c r="WTG57" i="8"/>
  <c r="WTF57" i="8"/>
  <c r="WTE57" i="8"/>
  <c r="WTD57" i="8"/>
  <c r="WTC57" i="8"/>
  <c r="WTB57" i="8"/>
  <c r="WTA57" i="8"/>
  <c r="WSZ57" i="8"/>
  <c r="WSY57" i="8"/>
  <c r="WSX57" i="8"/>
  <c r="WSW57" i="8"/>
  <c r="WSV57" i="8"/>
  <c r="WSU57" i="8"/>
  <c r="WST57" i="8"/>
  <c r="WSS57" i="8"/>
  <c r="WSR57" i="8"/>
  <c r="WSQ57" i="8"/>
  <c r="WSP57" i="8"/>
  <c r="WSO57" i="8"/>
  <c r="WSN57" i="8"/>
  <c r="WSM57" i="8"/>
  <c r="WSL57" i="8"/>
  <c r="WSK57" i="8"/>
  <c r="WSJ57" i="8"/>
  <c r="WSI57" i="8"/>
  <c r="WSH57" i="8"/>
  <c r="WSG57" i="8"/>
  <c r="WSF57" i="8"/>
  <c r="WSE57" i="8"/>
  <c r="WSD57" i="8"/>
  <c r="WSC57" i="8"/>
  <c r="WSB57" i="8"/>
  <c r="WSA57" i="8"/>
  <c r="WRZ57" i="8"/>
  <c r="WRY57" i="8"/>
  <c r="WRX57" i="8"/>
  <c r="WRW57" i="8"/>
  <c r="WRV57" i="8"/>
  <c r="WRU57" i="8"/>
  <c r="WRT57" i="8"/>
  <c r="WRS57" i="8"/>
  <c r="WRR57" i="8"/>
  <c r="WRQ57" i="8"/>
  <c r="WRP57" i="8"/>
  <c r="WRO57" i="8"/>
  <c r="WRN57" i="8"/>
  <c r="WRM57" i="8"/>
  <c r="WRL57" i="8"/>
  <c r="WRK57" i="8"/>
  <c r="WRJ57" i="8"/>
  <c r="WRI57" i="8"/>
  <c r="WRH57" i="8"/>
  <c r="WRG57" i="8"/>
  <c r="WRF57" i="8"/>
  <c r="WRE57" i="8"/>
  <c r="WRD57" i="8"/>
  <c r="WRC57" i="8"/>
  <c r="WRB57" i="8"/>
  <c r="WRA57" i="8"/>
  <c r="WQZ57" i="8"/>
  <c r="WQY57" i="8"/>
  <c r="WQX57" i="8"/>
  <c r="WQW57" i="8"/>
  <c r="WQV57" i="8"/>
  <c r="WQU57" i="8"/>
  <c r="WQT57" i="8"/>
  <c r="WQS57" i="8"/>
  <c r="WQR57" i="8"/>
  <c r="WQQ57" i="8"/>
  <c r="WQP57" i="8"/>
  <c r="WQO57" i="8"/>
  <c r="WQN57" i="8"/>
  <c r="WQM57" i="8"/>
  <c r="WQL57" i="8"/>
  <c r="WQK57" i="8"/>
  <c r="WQJ57" i="8"/>
  <c r="WQI57" i="8"/>
  <c r="WQH57" i="8"/>
  <c r="WQG57" i="8"/>
  <c r="WQF57" i="8"/>
  <c r="WQE57" i="8"/>
  <c r="WQD57" i="8"/>
  <c r="WQC57" i="8"/>
  <c r="WQB57" i="8"/>
  <c r="WQA57" i="8"/>
  <c r="WPZ57" i="8"/>
  <c r="WPY57" i="8"/>
  <c r="WPX57" i="8"/>
  <c r="WPW57" i="8"/>
  <c r="WPV57" i="8"/>
  <c r="WPU57" i="8"/>
  <c r="WPT57" i="8"/>
  <c r="WPS57" i="8"/>
  <c r="WPR57" i="8"/>
  <c r="WPQ57" i="8"/>
  <c r="WPP57" i="8"/>
  <c r="WPO57" i="8"/>
  <c r="WPN57" i="8"/>
  <c r="WPM57" i="8"/>
  <c r="WPL57" i="8"/>
  <c r="WPK57" i="8"/>
  <c r="WPJ57" i="8"/>
  <c r="WPI57" i="8"/>
  <c r="WPH57" i="8"/>
  <c r="WPG57" i="8"/>
  <c r="WPF57" i="8"/>
  <c r="WPE57" i="8"/>
  <c r="WPD57" i="8"/>
  <c r="WPC57" i="8"/>
  <c r="WPB57" i="8"/>
  <c r="WPA57" i="8"/>
  <c r="WOZ57" i="8"/>
  <c r="WOY57" i="8"/>
  <c r="WOX57" i="8"/>
  <c r="WOW57" i="8"/>
  <c r="WOV57" i="8"/>
  <c r="WOU57" i="8"/>
  <c r="WOT57" i="8"/>
  <c r="WOS57" i="8"/>
  <c r="WOR57" i="8"/>
  <c r="WOQ57" i="8"/>
  <c r="WOP57" i="8"/>
  <c r="WOO57" i="8"/>
  <c r="WON57" i="8"/>
  <c r="WOM57" i="8"/>
  <c r="WOL57" i="8"/>
  <c r="WOK57" i="8"/>
  <c r="WOJ57" i="8"/>
  <c r="WOI57" i="8"/>
  <c r="WOH57" i="8"/>
  <c r="WOG57" i="8"/>
  <c r="WOF57" i="8"/>
  <c r="WOE57" i="8"/>
  <c r="WOD57" i="8"/>
  <c r="WOC57" i="8"/>
  <c r="WOB57" i="8"/>
  <c r="WOA57" i="8"/>
  <c r="WNZ57" i="8"/>
  <c r="WNY57" i="8"/>
  <c r="WNX57" i="8"/>
  <c r="WNW57" i="8"/>
  <c r="WNV57" i="8"/>
  <c r="WNU57" i="8"/>
  <c r="WNT57" i="8"/>
  <c r="WNS57" i="8"/>
  <c r="WNR57" i="8"/>
  <c r="WNQ57" i="8"/>
  <c r="WNP57" i="8"/>
  <c r="WNO57" i="8"/>
  <c r="WNN57" i="8"/>
  <c r="WNM57" i="8"/>
  <c r="WNL57" i="8"/>
  <c r="WNK57" i="8"/>
  <c r="WNJ57" i="8"/>
  <c r="WNI57" i="8"/>
  <c r="WNH57" i="8"/>
  <c r="WNG57" i="8"/>
  <c r="WNF57" i="8"/>
  <c r="WNE57" i="8"/>
  <c r="WND57" i="8"/>
  <c r="WNC57" i="8"/>
  <c r="WNB57" i="8"/>
  <c r="WNA57" i="8"/>
  <c r="WMZ57" i="8"/>
  <c r="WMY57" i="8"/>
  <c r="WMX57" i="8"/>
  <c r="WMW57" i="8"/>
  <c r="WMV57" i="8"/>
  <c r="WMU57" i="8"/>
  <c r="WMT57" i="8"/>
  <c r="WMS57" i="8"/>
  <c r="WMR57" i="8"/>
  <c r="WMQ57" i="8"/>
  <c r="WMP57" i="8"/>
  <c r="WMO57" i="8"/>
  <c r="WMN57" i="8"/>
  <c r="WMM57" i="8"/>
  <c r="WML57" i="8"/>
  <c r="WMK57" i="8"/>
  <c r="WMJ57" i="8"/>
  <c r="WMI57" i="8"/>
  <c r="WMH57" i="8"/>
  <c r="WMG57" i="8"/>
  <c r="WMF57" i="8"/>
  <c r="WME57" i="8"/>
  <c r="WMD57" i="8"/>
  <c r="WMC57" i="8"/>
  <c r="WMB57" i="8"/>
  <c r="WMA57" i="8"/>
  <c r="WLZ57" i="8"/>
  <c r="WLY57" i="8"/>
  <c r="WLX57" i="8"/>
  <c r="WLW57" i="8"/>
  <c r="WLV57" i="8"/>
  <c r="WLU57" i="8"/>
  <c r="WLT57" i="8"/>
  <c r="WLS57" i="8"/>
  <c r="WLR57" i="8"/>
  <c r="WLQ57" i="8"/>
  <c r="WLP57" i="8"/>
  <c r="WLO57" i="8"/>
  <c r="WLN57" i="8"/>
  <c r="WLM57" i="8"/>
  <c r="WLL57" i="8"/>
  <c r="WLK57" i="8"/>
  <c r="WLJ57" i="8"/>
  <c r="WLI57" i="8"/>
  <c r="WLH57" i="8"/>
  <c r="WLG57" i="8"/>
  <c r="WLF57" i="8"/>
  <c r="WLE57" i="8"/>
  <c r="WLD57" i="8"/>
  <c r="WLC57" i="8"/>
  <c r="WLB57" i="8"/>
  <c r="WLA57" i="8"/>
  <c r="WKZ57" i="8"/>
  <c r="WKY57" i="8"/>
  <c r="WKX57" i="8"/>
  <c r="WKW57" i="8"/>
  <c r="WKV57" i="8"/>
  <c r="WKU57" i="8"/>
  <c r="WKT57" i="8"/>
  <c r="WKS57" i="8"/>
  <c r="WKR57" i="8"/>
  <c r="WKQ57" i="8"/>
  <c r="WKP57" i="8"/>
  <c r="WKO57" i="8"/>
  <c r="WKN57" i="8"/>
  <c r="WKM57" i="8"/>
  <c r="WKL57" i="8"/>
  <c r="WKK57" i="8"/>
  <c r="WKJ57" i="8"/>
  <c r="WKI57" i="8"/>
  <c r="WKH57" i="8"/>
  <c r="WKG57" i="8"/>
  <c r="WKF57" i="8"/>
  <c r="WKE57" i="8"/>
  <c r="WKD57" i="8"/>
  <c r="WKC57" i="8"/>
  <c r="WKB57" i="8"/>
  <c r="WKA57" i="8"/>
  <c r="WJZ57" i="8"/>
  <c r="WJY57" i="8"/>
  <c r="WJX57" i="8"/>
  <c r="WJW57" i="8"/>
  <c r="WJV57" i="8"/>
  <c r="WJU57" i="8"/>
  <c r="WJT57" i="8"/>
  <c r="WJS57" i="8"/>
  <c r="WJR57" i="8"/>
  <c r="WJQ57" i="8"/>
  <c r="WJP57" i="8"/>
  <c r="WJO57" i="8"/>
  <c r="WJN57" i="8"/>
  <c r="WJM57" i="8"/>
  <c r="WJL57" i="8"/>
  <c r="WJK57" i="8"/>
  <c r="WJJ57" i="8"/>
  <c r="WJI57" i="8"/>
  <c r="WJH57" i="8"/>
  <c r="WJG57" i="8"/>
  <c r="WJF57" i="8"/>
  <c r="WJE57" i="8"/>
  <c r="WJD57" i="8"/>
  <c r="WJC57" i="8"/>
  <c r="WJB57" i="8"/>
  <c r="WJA57" i="8"/>
  <c r="WIZ57" i="8"/>
  <c r="WIY57" i="8"/>
  <c r="WIX57" i="8"/>
  <c r="WIW57" i="8"/>
  <c r="WIV57" i="8"/>
  <c r="WIU57" i="8"/>
  <c r="WIT57" i="8"/>
  <c r="WIS57" i="8"/>
  <c r="WIR57" i="8"/>
  <c r="WIQ57" i="8"/>
  <c r="WIP57" i="8"/>
  <c r="WIO57" i="8"/>
  <c r="WIN57" i="8"/>
  <c r="WIM57" i="8"/>
  <c r="WIL57" i="8"/>
  <c r="WIK57" i="8"/>
  <c r="WIJ57" i="8"/>
  <c r="WII57" i="8"/>
  <c r="WIH57" i="8"/>
  <c r="WIG57" i="8"/>
  <c r="WIF57" i="8"/>
  <c r="WIE57" i="8"/>
  <c r="WID57" i="8"/>
  <c r="WIC57" i="8"/>
  <c r="WIB57" i="8"/>
  <c r="WIA57" i="8"/>
  <c r="WHZ57" i="8"/>
  <c r="WHY57" i="8"/>
  <c r="WHX57" i="8"/>
  <c r="WHW57" i="8"/>
  <c r="WHV57" i="8"/>
  <c r="WHU57" i="8"/>
  <c r="WHT57" i="8"/>
  <c r="WHS57" i="8"/>
  <c r="WHR57" i="8"/>
  <c r="WHQ57" i="8"/>
  <c r="WHP57" i="8"/>
  <c r="WHO57" i="8"/>
  <c r="WHN57" i="8"/>
  <c r="WHM57" i="8"/>
  <c r="WHL57" i="8"/>
  <c r="WHK57" i="8"/>
  <c r="WHJ57" i="8"/>
  <c r="WHI57" i="8"/>
  <c r="WHH57" i="8"/>
  <c r="WHG57" i="8"/>
  <c r="WHF57" i="8"/>
  <c r="WHE57" i="8"/>
  <c r="WHD57" i="8"/>
  <c r="WHC57" i="8"/>
  <c r="WHB57" i="8"/>
  <c r="WHA57" i="8"/>
  <c r="WGZ57" i="8"/>
  <c r="WGY57" i="8"/>
  <c r="WGX57" i="8"/>
  <c r="WGW57" i="8"/>
  <c r="WGV57" i="8"/>
  <c r="WGU57" i="8"/>
  <c r="WGT57" i="8"/>
  <c r="WGS57" i="8"/>
  <c r="WGR57" i="8"/>
  <c r="WGQ57" i="8"/>
  <c r="WGP57" i="8"/>
  <c r="WGO57" i="8"/>
  <c r="WGN57" i="8"/>
  <c r="WGM57" i="8"/>
  <c r="WGL57" i="8"/>
  <c r="WGK57" i="8"/>
  <c r="WGJ57" i="8"/>
  <c r="WGI57" i="8"/>
  <c r="WGH57" i="8"/>
  <c r="WGG57" i="8"/>
  <c r="WGF57" i="8"/>
  <c r="WGE57" i="8"/>
  <c r="WGD57" i="8"/>
  <c r="WGC57" i="8"/>
  <c r="WGB57" i="8"/>
  <c r="WGA57" i="8"/>
  <c r="WFZ57" i="8"/>
  <c r="WFY57" i="8"/>
  <c r="WFX57" i="8"/>
  <c r="WFW57" i="8"/>
  <c r="WFV57" i="8"/>
  <c r="WFU57" i="8"/>
  <c r="WFT57" i="8"/>
  <c r="WFS57" i="8"/>
  <c r="WFR57" i="8"/>
  <c r="WFQ57" i="8"/>
  <c r="WFP57" i="8"/>
  <c r="WFO57" i="8"/>
  <c r="WFN57" i="8"/>
  <c r="WFM57" i="8"/>
  <c r="WFL57" i="8"/>
  <c r="WFK57" i="8"/>
  <c r="WFJ57" i="8"/>
  <c r="WFI57" i="8"/>
  <c r="WFH57" i="8"/>
  <c r="WFG57" i="8"/>
  <c r="WFF57" i="8"/>
  <c r="WFE57" i="8"/>
  <c r="WFD57" i="8"/>
  <c r="WFC57" i="8"/>
  <c r="WFB57" i="8"/>
  <c r="WFA57" i="8"/>
  <c r="WEZ57" i="8"/>
  <c r="WEY57" i="8"/>
  <c r="WEX57" i="8"/>
  <c r="WEW57" i="8"/>
  <c r="WEV57" i="8"/>
  <c r="WEU57" i="8"/>
  <c r="WET57" i="8"/>
  <c r="WES57" i="8"/>
  <c r="WER57" i="8"/>
  <c r="WEQ57" i="8"/>
  <c r="WEP57" i="8"/>
  <c r="WEO57" i="8"/>
  <c r="WEN57" i="8"/>
  <c r="WEM57" i="8"/>
  <c r="WEL57" i="8"/>
  <c r="WEK57" i="8"/>
  <c r="WEJ57" i="8"/>
  <c r="WEI57" i="8"/>
  <c r="WEH57" i="8"/>
  <c r="WEG57" i="8"/>
  <c r="WEF57" i="8"/>
  <c r="WEE57" i="8"/>
  <c r="WED57" i="8"/>
  <c r="WEC57" i="8"/>
  <c r="WEB57" i="8"/>
  <c r="WEA57" i="8"/>
  <c r="WDZ57" i="8"/>
  <c r="WDY57" i="8"/>
  <c r="WDX57" i="8"/>
  <c r="WDW57" i="8"/>
  <c r="WDV57" i="8"/>
  <c r="WDU57" i="8"/>
  <c r="WDT57" i="8"/>
  <c r="WDS57" i="8"/>
  <c r="WDR57" i="8"/>
  <c r="WDQ57" i="8"/>
  <c r="WDP57" i="8"/>
  <c r="WDO57" i="8"/>
  <c r="WDN57" i="8"/>
  <c r="WDM57" i="8"/>
  <c r="WDL57" i="8"/>
  <c r="WDK57" i="8"/>
  <c r="WDJ57" i="8"/>
  <c r="WDI57" i="8"/>
  <c r="WDH57" i="8"/>
  <c r="WDG57" i="8"/>
  <c r="WDF57" i="8"/>
  <c r="WDE57" i="8"/>
  <c r="WDD57" i="8"/>
  <c r="WDC57" i="8"/>
  <c r="WDB57" i="8"/>
  <c r="WDA57" i="8"/>
  <c r="WCZ57" i="8"/>
  <c r="WCY57" i="8"/>
  <c r="WCX57" i="8"/>
  <c r="WCW57" i="8"/>
  <c r="WCV57" i="8"/>
  <c r="WCU57" i="8"/>
  <c r="WCT57" i="8"/>
  <c r="WCS57" i="8"/>
  <c r="WCR57" i="8"/>
  <c r="WCQ57" i="8"/>
  <c r="WCP57" i="8"/>
  <c r="WCO57" i="8"/>
  <c r="WCN57" i="8"/>
  <c r="WCM57" i="8"/>
  <c r="WCL57" i="8"/>
  <c r="WCK57" i="8"/>
  <c r="WCJ57" i="8"/>
  <c r="WCI57" i="8"/>
  <c r="WCH57" i="8"/>
  <c r="WCG57" i="8"/>
  <c r="WCF57" i="8"/>
  <c r="WCE57" i="8"/>
  <c r="WCD57" i="8"/>
  <c r="WCC57" i="8"/>
  <c r="WCB57" i="8"/>
  <c r="WCA57" i="8"/>
  <c r="WBZ57" i="8"/>
  <c r="WBY57" i="8"/>
  <c r="WBX57" i="8"/>
  <c r="WBW57" i="8"/>
  <c r="WBV57" i="8"/>
  <c r="WBU57" i="8"/>
  <c r="WBT57" i="8"/>
  <c r="WBS57" i="8"/>
  <c r="WBR57" i="8"/>
  <c r="WBQ57" i="8"/>
  <c r="WBP57" i="8"/>
  <c r="WBO57" i="8"/>
  <c r="WBN57" i="8"/>
  <c r="WBM57" i="8"/>
  <c r="WBL57" i="8"/>
  <c r="WBK57" i="8"/>
  <c r="WBJ57" i="8"/>
  <c r="WBI57" i="8"/>
  <c r="WBH57" i="8"/>
  <c r="WBG57" i="8"/>
  <c r="WBF57" i="8"/>
  <c r="WBE57" i="8"/>
  <c r="WBD57" i="8"/>
  <c r="WBC57" i="8"/>
  <c r="WBB57" i="8"/>
  <c r="WBA57" i="8"/>
  <c r="WAZ57" i="8"/>
  <c r="WAY57" i="8"/>
  <c r="WAX57" i="8"/>
  <c r="WAW57" i="8"/>
  <c r="WAV57" i="8"/>
  <c r="WAU57" i="8"/>
  <c r="WAT57" i="8"/>
  <c r="WAS57" i="8"/>
  <c r="WAR57" i="8"/>
  <c r="WAQ57" i="8"/>
  <c r="WAP57" i="8"/>
  <c r="WAO57" i="8"/>
  <c r="WAN57" i="8"/>
  <c r="WAM57" i="8"/>
  <c r="WAL57" i="8"/>
  <c r="WAK57" i="8"/>
  <c r="WAJ57" i="8"/>
  <c r="WAI57" i="8"/>
  <c r="WAH57" i="8"/>
  <c r="WAG57" i="8"/>
  <c r="WAF57" i="8"/>
  <c r="WAE57" i="8"/>
  <c r="WAD57" i="8"/>
  <c r="WAC57" i="8"/>
  <c r="WAB57" i="8"/>
  <c r="WAA57" i="8"/>
  <c r="VZZ57" i="8"/>
  <c r="VZY57" i="8"/>
  <c r="VZX57" i="8"/>
  <c r="VZW57" i="8"/>
  <c r="VZV57" i="8"/>
  <c r="VZU57" i="8"/>
  <c r="VZT57" i="8"/>
  <c r="VZS57" i="8"/>
  <c r="VZR57" i="8"/>
  <c r="VZQ57" i="8"/>
  <c r="VZP57" i="8"/>
  <c r="VZO57" i="8"/>
  <c r="VZN57" i="8"/>
  <c r="VZM57" i="8"/>
  <c r="VZL57" i="8"/>
  <c r="VZK57" i="8"/>
  <c r="VZJ57" i="8"/>
  <c r="VZI57" i="8"/>
  <c r="VZH57" i="8"/>
  <c r="VZG57" i="8"/>
  <c r="VZF57" i="8"/>
  <c r="VZE57" i="8"/>
  <c r="VZD57" i="8"/>
  <c r="VZC57" i="8"/>
  <c r="VZB57" i="8"/>
  <c r="VZA57" i="8"/>
  <c r="VYZ57" i="8"/>
  <c r="VYY57" i="8"/>
  <c r="VYX57" i="8"/>
  <c r="VYW57" i="8"/>
  <c r="VYV57" i="8"/>
  <c r="VYU57" i="8"/>
  <c r="VYT57" i="8"/>
  <c r="VYS57" i="8"/>
  <c r="VYR57" i="8"/>
  <c r="VYQ57" i="8"/>
  <c r="VYP57" i="8"/>
  <c r="VYO57" i="8"/>
  <c r="VYN57" i="8"/>
  <c r="VYM57" i="8"/>
  <c r="VYL57" i="8"/>
  <c r="VYK57" i="8"/>
  <c r="VYJ57" i="8"/>
  <c r="VYI57" i="8"/>
  <c r="VYH57" i="8"/>
  <c r="VYG57" i="8"/>
  <c r="VYF57" i="8"/>
  <c r="VYE57" i="8"/>
  <c r="VYD57" i="8"/>
  <c r="VYC57" i="8"/>
  <c r="VYB57" i="8"/>
  <c r="VYA57" i="8"/>
  <c r="VXZ57" i="8"/>
  <c r="VXY57" i="8"/>
  <c r="VXX57" i="8"/>
  <c r="VXW57" i="8"/>
  <c r="VXV57" i="8"/>
  <c r="VXU57" i="8"/>
  <c r="VXT57" i="8"/>
  <c r="VXS57" i="8"/>
  <c r="VXR57" i="8"/>
  <c r="VXQ57" i="8"/>
  <c r="VXP57" i="8"/>
  <c r="VXO57" i="8"/>
  <c r="VXN57" i="8"/>
  <c r="VXM57" i="8"/>
  <c r="VXL57" i="8"/>
  <c r="VXK57" i="8"/>
  <c r="VXJ57" i="8"/>
  <c r="VXI57" i="8"/>
  <c r="VXH57" i="8"/>
  <c r="VXG57" i="8"/>
  <c r="VXF57" i="8"/>
  <c r="VXE57" i="8"/>
  <c r="VXD57" i="8"/>
  <c r="VXC57" i="8"/>
  <c r="VXB57" i="8"/>
  <c r="VXA57" i="8"/>
  <c r="VWZ57" i="8"/>
  <c r="VWY57" i="8"/>
  <c r="VWX57" i="8"/>
  <c r="VWW57" i="8"/>
  <c r="VWV57" i="8"/>
  <c r="VWU57" i="8"/>
  <c r="VWT57" i="8"/>
  <c r="VWS57" i="8"/>
  <c r="VWR57" i="8"/>
  <c r="VWQ57" i="8"/>
  <c r="VWP57" i="8"/>
  <c r="VWO57" i="8"/>
  <c r="VWN57" i="8"/>
  <c r="VWM57" i="8"/>
  <c r="VWL57" i="8"/>
  <c r="VWK57" i="8"/>
  <c r="VWJ57" i="8"/>
  <c r="VWI57" i="8"/>
  <c r="VWH57" i="8"/>
  <c r="VWG57" i="8"/>
  <c r="VWF57" i="8"/>
  <c r="VWE57" i="8"/>
  <c r="VWD57" i="8"/>
  <c r="VWC57" i="8"/>
  <c r="VWB57" i="8"/>
  <c r="VWA57" i="8"/>
  <c r="VVZ57" i="8"/>
  <c r="VVY57" i="8"/>
  <c r="VVX57" i="8"/>
  <c r="VVW57" i="8"/>
  <c r="VVV57" i="8"/>
  <c r="VVU57" i="8"/>
  <c r="VVT57" i="8"/>
  <c r="VVS57" i="8"/>
  <c r="VVR57" i="8"/>
  <c r="VVQ57" i="8"/>
  <c r="VVP57" i="8"/>
  <c r="VVO57" i="8"/>
  <c r="VVN57" i="8"/>
  <c r="VVM57" i="8"/>
  <c r="VVL57" i="8"/>
  <c r="VVK57" i="8"/>
  <c r="VVJ57" i="8"/>
  <c r="VVI57" i="8"/>
  <c r="VVH57" i="8"/>
  <c r="VVG57" i="8"/>
  <c r="VVF57" i="8"/>
  <c r="VVE57" i="8"/>
  <c r="VVD57" i="8"/>
  <c r="VVC57" i="8"/>
  <c r="VVB57" i="8"/>
  <c r="VVA57" i="8"/>
  <c r="VUZ57" i="8"/>
  <c r="VUY57" i="8"/>
  <c r="VUX57" i="8"/>
  <c r="VUW57" i="8"/>
  <c r="VUV57" i="8"/>
  <c r="VUU57" i="8"/>
  <c r="VUT57" i="8"/>
  <c r="VUS57" i="8"/>
  <c r="VUR57" i="8"/>
  <c r="VUQ57" i="8"/>
  <c r="VUP57" i="8"/>
  <c r="VUO57" i="8"/>
  <c r="VUN57" i="8"/>
  <c r="VUM57" i="8"/>
  <c r="VUL57" i="8"/>
  <c r="VUK57" i="8"/>
  <c r="VUJ57" i="8"/>
  <c r="VUI57" i="8"/>
  <c r="VUH57" i="8"/>
  <c r="VUG57" i="8"/>
  <c r="VUF57" i="8"/>
  <c r="VUE57" i="8"/>
  <c r="VUD57" i="8"/>
  <c r="VUC57" i="8"/>
  <c r="VUB57" i="8"/>
  <c r="VUA57" i="8"/>
  <c r="VTZ57" i="8"/>
  <c r="VTY57" i="8"/>
  <c r="VTX57" i="8"/>
  <c r="VTW57" i="8"/>
  <c r="VTV57" i="8"/>
  <c r="VTU57" i="8"/>
  <c r="VTT57" i="8"/>
  <c r="VTS57" i="8"/>
  <c r="VTR57" i="8"/>
  <c r="VTQ57" i="8"/>
  <c r="VTP57" i="8"/>
  <c r="VTO57" i="8"/>
  <c r="VTN57" i="8"/>
  <c r="VTM57" i="8"/>
  <c r="VTL57" i="8"/>
  <c r="VTK57" i="8"/>
  <c r="VTJ57" i="8"/>
  <c r="VTI57" i="8"/>
  <c r="VTH57" i="8"/>
  <c r="VTG57" i="8"/>
  <c r="VTF57" i="8"/>
  <c r="VTE57" i="8"/>
  <c r="VTD57" i="8"/>
  <c r="VTC57" i="8"/>
  <c r="VTB57" i="8"/>
  <c r="VTA57" i="8"/>
  <c r="VSZ57" i="8"/>
  <c r="VSY57" i="8"/>
  <c r="VSX57" i="8"/>
  <c r="VSW57" i="8"/>
  <c r="VSV57" i="8"/>
  <c r="VSU57" i="8"/>
  <c r="VST57" i="8"/>
  <c r="VSS57" i="8"/>
  <c r="VSR57" i="8"/>
  <c r="VSQ57" i="8"/>
  <c r="VSP57" i="8"/>
  <c r="VSO57" i="8"/>
  <c r="VSN57" i="8"/>
  <c r="VSM57" i="8"/>
  <c r="VSL57" i="8"/>
  <c r="VSK57" i="8"/>
  <c r="VSJ57" i="8"/>
  <c r="VSI57" i="8"/>
  <c r="VSH57" i="8"/>
  <c r="VSG57" i="8"/>
  <c r="VSF57" i="8"/>
  <c r="VSE57" i="8"/>
  <c r="VSD57" i="8"/>
  <c r="VSC57" i="8"/>
  <c r="VSB57" i="8"/>
  <c r="VSA57" i="8"/>
  <c r="VRZ57" i="8"/>
  <c r="VRY57" i="8"/>
  <c r="VRX57" i="8"/>
  <c r="VRW57" i="8"/>
  <c r="VRV57" i="8"/>
  <c r="VRU57" i="8"/>
  <c r="VRT57" i="8"/>
  <c r="VRS57" i="8"/>
  <c r="VRR57" i="8"/>
  <c r="VRQ57" i="8"/>
  <c r="VRP57" i="8"/>
  <c r="VRO57" i="8"/>
  <c r="VRN57" i="8"/>
  <c r="VRM57" i="8"/>
  <c r="VRL57" i="8"/>
  <c r="VRK57" i="8"/>
  <c r="VRJ57" i="8"/>
  <c r="VRI57" i="8"/>
  <c r="VRH57" i="8"/>
  <c r="VRG57" i="8"/>
  <c r="VRF57" i="8"/>
  <c r="VRE57" i="8"/>
  <c r="VRD57" i="8"/>
  <c r="VRC57" i="8"/>
  <c r="VRB57" i="8"/>
  <c r="VRA57" i="8"/>
  <c r="VQZ57" i="8"/>
  <c r="VQY57" i="8"/>
  <c r="VQX57" i="8"/>
  <c r="VQW57" i="8"/>
  <c r="VQV57" i="8"/>
  <c r="VQU57" i="8"/>
  <c r="VQT57" i="8"/>
  <c r="VQS57" i="8"/>
  <c r="VQR57" i="8"/>
  <c r="VQQ57" i="8"/>
  <c r="VQP57" i="8"/>
  <c r="VQO57" i="8"/>
  <c r="VQN57" i="8"/>
  <c r="VQM57" i="8"/>
  <c r="VQL57" i="8"/>
  <c r="VQK57" i="8"/>
  <c r="VQJ57" i="8"/>
  <c r="VQI57" i="8"/>
  <c r="VQH57" i="8"/>
  <c r="VQG57" i="8"/>
  <c r="VQF57" i="8"/>
  <c r="VQE57" i="8"/>
  <c r="VQD57" i="8"/>
  <c r="VQC57" i="8"/>
  <c r="VQB57" i="8"/>
  <c r="VQA57" i="8"/>
  <c r="VPZ57" i="8"/>
  <c r="VPY57" i="8"/>
  <c r="VPX57" i="8"/>
  <c r="VPW57" i="8"/>
  <c r="VPV57" i="8"/>
  <c r="VPU57" i="8"/>
  <c r="VPT57" i="8"/>
  <c r="VPS57" i="8"/>
  <c r="VPR57" i="8"/>
  <c r="VPQ57" i="8"/>
  <c r="VPP57" i="8"/>
  <c r="VPO57" i="8"/>
  <c r="VPN57" i="8"/>
  <c r="VPM57" i="8"/>
  <c r="VPL57" i="8"/>
  <c r="VPK57" i="8"/>
  <c r="VPJ57" i="8"/>
  <c r="VPI57" i="8"/>
  <c r="VPH57" i="8"/>
  <c r="VPG57" i="8"/>
  <c r="VPF57" i="8"/>
  <c r="VPE57" i="8"/>
  <c r="VPD57" i="8"/>
  <c r="VPC57" i="8"/>
  <c r="VPB57" i="8"/>
  <c r="VPA57" i="8"/>
  <c r="VOZ57" i="8"/>
  <c r="VOY57" i="8"/>
  <c r="VOX57" i="8"/>
  <c r="VOW57" i="8"/>
  <c r="VOV57" i="8"/>
  <c r="VOU57" i="8"/>
  <c r="VOT57" i="8"/>
  <c r="VOS57" i="8"/>
  <c r="VOR57" i="8"/>
  <c r="VOQ57" i="8"/>
  <c r="VOP57" i="8"/>
  <c r="VOO57" i="8"/>
  <c r="VON57" i="8"/>
  <c r="VOM57" i="8"/>
  <c r="VOL57" i="8"/>
  <c r="VOK57" i="8"/>
  <c r="VOJ57" i="8"/>
  <c r="VOI57" i="8"/>
  <c r="VOH57" i="8"/>
  <c r="VOG57" i="8"/>
  <c r="VOF57" i="8"/>
  <c r="VOE57" i="8"/>
  <c r="VOD57" i="8"/>
  <c r="VOC57" i="8"/>
  <c r="VOB57" i="8"/>
  <c r="VOA57" i="8"/>
  <c r="VNZ57" i="8"/>
  <c r="VNY57" i="8"/>
  <c r="VNX57" i="8"/>
  <c r="VNW57" i="8"/>
  <c r="VNV57" i="8"/>
  <c r="VNU57" i="8"/>
  <c r="VNT57" i="8"/>
  <c r="VNS57" i="8"/>
  <c r="VNR57" i="8"/>
  <c r="VNQ57" i="8"/>
  <c r="VNP57" i="8"/>
  <c r="VNO57" i="8"/>
  <c r="VNN57" i="8"/>
  <c r="VNM57" i="8"/>
  <c r="VNL57" i="8"/>
  <c r="VNK57" i="8"/>
  <c r="VNJ57" i="8"/>
  <c r="VNI57" i="8"/>
  <c r="VNH57" i="8"/>
  <c r="VNG57" i="8"/>
  <c r="VNF57" i="8"/>
  <c r="VNE57" i="8"/>
  <c r="VND57" i="8"/>
  <c r="VNC57" i="8"/>
  <c r="VNB57" i="8"/>
  <c r="VNA57" i="8"/>
  <c r="VMZ57" i="8"/>
  <c r="VMY57" i="8"/>
  <c r="VMX57" i="8"/>
  <c r="VMW57" i="8"/>
  <c r="VMV57" i="8"/>
  <c r="VMU57" i="8"/>
  <c r="VMT57" i="8"/>
  <c r="VMS57" i="8"/>
  <c r="VMR57" i="8"/>
  <c r="VMQ57" i="8"/>
  <c r="VMP57" i="8"/>
  <c r="VMO57" i="8"/>
  <c r="VMN57" i="8"/>
  <c r="VMM57" i="8"/>
  <c r="VML57" i="8"/>
  <c r="VMK57" i="8"/>
  <c r="VMJ57" i="8"/>
  <c r="VMI57" i="8"/>
  <c r="VMH57" i="8"/>
  <c r="VMG57" i="8"/>
  <c r="VMF57" i="8"/>
  <c r="VME57" i="8"/>
  <c r="VMD57" i="8"/>
  <c r="VMC57" i="8"/>
  <c r="VMB57" i="8"/>
  <c r="VMA57" i="8"/>
  <c r="VLZ57" i="8"/>
  <c r="VLY57" i="8"/>
  <c r="VLX57" i="8"/>
  <c r="VLW57" i="8"/>
  <c r="VLV57" i="8"/>
  <c r="VLU57" i="8"/>
  <c r="VLT57" i="8"/>
  <c r="VLS57" i="8"/>
  <c r="VLR57" i="8"/>
  <c r="VLQ57" i="8"/>
  <c r="VLP57" i="8"/>
  <c r="VLO57" i="8"/>
  <c r="VLN57" i="8"/>
  <c r="VLM57" i="8"/>
  <c r="VLL57" i="8"/>
  <c r="VLK57" i="8"/>
  <c r="VLJ57" i="8"/>
  <c r="VLI57" i="8"/>
  <c r="VLH57" i="8"/>
  <c r="VLG57" i="8"/>
  <c r="VLF57" i="8"/>
  <c r="VLE57" i="8"/>
  <c r="VLD57" i="8"/>
  <c r="VLC57" i="8"/>
  <c r="VLB57" i="8"/>
  <c r="VLA57" i="8"/>
  <c r="VKZ57" i="8"/>
  <c r="VKY57" i="8"/>
  <c r="VKX57" i="8"/>
  <c r="VKW57" i="8"/>
  <c r="VKV57" i="8"/>
  <c r="VKU57" i="8"/>
  <c r="VKT57" i="8"/>
  <c r="VKS57" i="8"/>
  <c r="VKR57" i="8"/>
  <c r="VKQ57" i="8"/>
  <c r="VKP57" i="8"/>
  <c r="VKO57" i="8"/>
  <c r="VKN57" i="8"/>
  <c r="VKM57" i="8"/>
  <c r="VKL57" i="8"/>
  <c r="VKK57" i="8"/>
  <c r="VKJ57" i="8"/>
  <c r="VKI57" i="8"/>
  <c r="VKH57" i="8"/>
  <c r="VKG57" i="8"/>
  <c r="VKF57" i="8"/>
  <c r="VKE57" i="8"/>
  <c r="VKD57" i="8"/>
  <c r="VKC57" i="8"/>
  <c r="VKB57" i="8"/>
  <c r="VKA57" i="8"/>
  <c r="VJZ57" i="8"/>
  <c r="VJY57" i="8"/>
  <c r="VJX57" i="8"/>
  <c r="VJW57" i="8"/>
  <c r="VJV57" i="8"/>
  <c r="VJU57" i="8"/>
  <c r="VJT57" i="8"/>
  <c r="VJS57" i="8"/>
  <c r="VJR57" i="8"/>
  <c r="VJQ57" i="8"/>
  <c r="VJP57" i="8"/>
  <c r="VJO57" i="8"/>
  <c r="VJN57" i="8"/>
  <c r="VJM57" i="8"/>
  <c r="VJL57" i="8"/>
  <c r="VJK57" i="8"/>
  <c r="VJJ57" i="8"/>
  <c r="VJI57" i="8"/>
  <c r="VJH57" i="8"/>
  <c r="VJG57" i="8"/>
  <c r="VJF57" i="8"/>
  <c r="VJE57" i="8"/>
  <c r="VJD57" i="8"/>
  <c r="VJC57" i="8"/>
  <c r="VJB57" i="8"/>
  <c r="VJA57" i="8"/>
  <c r="VIZ57" i="8"/>
  <c r="VIY57" i="8"/>
  <c r="VIX57" i="8"/>
  <c r="VIW57" i="8"/>
  <c r="VIV57" i="8"/>
  <c r="VIU57" i="8"/>
  <c r="VIT57" i="8"/>
  <c r="VIS57" i="8"/>
  <c r="VIR57" i="8"/>
  <c r="VIQ57" i="8"/>
  <c r="VIP57" i="8"/>
  <c r="VIO57" i="8"/>
  <c r="VIN57" i="8"/>
  <c r="VIM57" i="8"/>
  <c r="VIL57" i="8"/>
  <c r="VIK57" i="8"/>
  <c r="VIJ57" i="8"/>
  <c r="VII57" i="8"/>
  <c r="VIH57" i="8"/>
  <c r="VIG57" i="8"/>
  <c r="VIF57" i="8"/>
  <c r="VIE57" i="8"/>
  <c r="VID57" i="8"/>
  <c r="VIC57" i="8"/>
  <c r="VIB57" i="8"/>
  <c r="VIA57" i="8"/>
  <c r="VHZ57" i="8"/>
  <c r="VHY57" i="8"/>
  <c r="VHX57" i="8"/>
  <c r="VHW57" i="8"/>
  <c r="VHV57" i="8"/>
  <c r="VHU57" i="8"/>
  <c r="VHT57" i="8"/>
  <c r="VHS57" i="8"/>
  <c r="VHR57" i="8"/>
  <c r="VHQ57" i="8"/>
  <c r="VHP57" i="8"/>
  <c r="VHO57" i="8"/>
  <c r="VHN57" i="8"/>
  <c r="VHM57" i="8"/>
  <c r="VHL57" i="8"/>
  <c r="VHK57" i="8"/>
  <c r="VHJ57" i="8"/>
  <c r="VHI57" i="8"/>
  <c r="VHH57" i="8"/>
  <c r="VHG57" i="8"/>
  <c r="VHF57" i="8"/>
  <c r="VHE57" i="8"/>
  <c r="VHD57" i="8"/>
  <c r="VHC57" i="8"/>
  <c r="VHB57" i="8"/>
  <c r="VHA57" i="8"/>
  <c r="VGZ57" i="8"/>
  <c r="VGY57" i="8"/>
  <c r="VGX57" i="8"/>
  <c r="VGW57" i="8"/>
  <c r="VGV57" i="8"/>
  <c r="VGU57" i="8"/>
  <c r="VGT57" i="8"/>
  <c r="VGS57" i="8"/>
  <c r="VGR57" i="8"/>
  <c r="VGQ57" i="8"/>
  <c r="VGP57" i="8"/>
  <c r="VGO57" i="8"/>
  <c r="VGN57" i="8"/>
  <c r="VGM57" i="8"/>
  <c r="VGL57" i="8"/>
  <c r="VGK57" i="8"/>
  <c r="VGJ57" i="8"/>
  <c r="VGI57" i="8"/>
  <c r="VGH57" i="8"/>
  <c r="VGG57" i="8"/>
  <c r="VGF57" i="8"/>
  <c r="VGE57" i="8"/>
  <c r="VGD57" i="8"/>
  <c r="VGC57" i="8"/>
  <c r="VGB57" i="8"/>
  <c r="VGA57" i="8"/>
  <c r="VFZ57" i="8"/>
  <c r="VFY57" i="8"/>
  <c r="VFX57" i="8"/>
  <c r="VFW57" i="8"/>
  <c r="VFV57" i="8"/>
  <c r="VFU57" i="8"/>
  <c r="VFT57" i="8"/>
  <c r="VFS57" i="8"/>
  <c r="VFR57" i="8"/>
  <c r="VFQ57" i="8"/>
  <c r="VFP57" i="8"/>
  <c r="VFO57" i="8"/>
  <c r="VFN57" i="8"/>
  <c r="VFM57" i="8"/>
  <c r="VFL57" i="8"/>
  <c r="VFK57" i="8"/>
  <c r="VFJ57" i="8"/>
  <c r="VFI57" i="8"/>
  <c r="VFH57" i="8"/>
  <c r="VFG57" i="8"/>
  <c r="VFF57" i="8"/>
  <c r="VFE57" i="8"/>
  <c r="VFD57" i="8"/>
  <c r="VFC57" i="8"/>
  <c r="VFB57" i="8"/>
  <c r="VFA57" i="8"/>
  <c r="VEZ57" i="8"/>
  <c r="VEY57" i="8"/>
  <c r="VEX57" i="8"/>
  <c r="VEW57" i="8"/>
  <c r="VEV57" i="8"/>
  <c r="VEU57" i="8"/>
  <c r="VET57" i="8"/>
  <c r="VES57" i="8"/>
  <c r="VER57" i="8"/>
  <c r="VEQ57" i="8"/>
  <c r="VEP57" i="8"/>
  <c r="VEO57" i="8"/>
  <c r="VEN57" i="8"/>
  <c r="VEM57" i="8"/>
  <c r="VEL57" i="8"/>
  <c r="VEK57" i="8"/>
  <c r="VEJ57" i="8"/>
  <c r="VEI57" i="8"/>
  <c r="VEH57" i="8"/>
  <c r="VEG57" i="8"/>
  <c r="VEF57" i="8"/>
  <c r="VEE57" i="8"/>
  <c r="VED57" i="8"/>
  <c r="VEC57" i="8"/>
  <c r="VEB57" i="8"/>
  <c r="VEA57" i="8"/>
  <c r="VDZ57" i="8"/>
  <c r="VDY57" i="8"/>
  <c r="VDX57" i="8"/>
  <c r="VDW57" i="8"/>
  <c r="VDV57" i="8"/>
  <c r="VDU57" i="8"/>
  <c r="VDT57" i="8"/>
  <c r="VDS57" i="8"/>
  <c r="VDR57" i="8"/>
  <c r="VDQ57" i="8"/>
  <c r="VDP57" i="8"/>
  <c r="VDO57" i="8"/>
  <c r="VDN57" i="8"/>
  <c r="VDM57" i="8"/>
  <c r="VDL57" i="8"/>
  <c r="VDK57" i="8"/>
  <c r="VDJ57" i="8"/>
  <c r="VDI57" i="8"/>
  <c r="VDH57" i="8"/>
  <c r="VDG57" i="8"/>
  <c r="VDF57" i="8"/>
  <c r="VDE57" i="8"/>
  <c r="VDD57" i="8"/>
  <c r="VDC57" i="8"/>
  <c r="VDB57" i="8"/>
  <c r="VDA57" i="8"/>
  <c r="VCZ57" i="8"/>
  <c r="VCY57" i="8"/>
  <c r="VCX57" i="8"/>
  <c r="VCW57" i="8"/>
  <c r="VCV57" i="8"/>
  <c r="VCU57" i="8"/>
  <c r="VCT57" i="8"/>
  <c r="VCS57" i="8"/>
  <c r="VCR57" i="8"/>
  <c r="VCQ57" i="8"/>
  <c r="VCP57" i="8"/>
  <c r="VCO57" i="8"/>
  <c r="VCN57" i="8"/>
  <c r="VCM57" i="8"/>
  <c r="VCL57" i="8"/>
  <c r="VCK57" i="8"/>
  <c r="VCJ57" i="8"/>
  <c r="VCI57" i="8"/>
  <c r="VCH57" i="8"/>
  <c r="VCG57" i="8"/>
  <c r="VCF57" i="8"/>
  <c r="VCE57" i="8"/>
  <c r="VCD57" i="8"/>
  <c r="VCC57" i="8"/>
  <c r="VCB57" i="8"/>
  <c r="VCA57" i="8"/>
  <c r="VBZ57" i="8"/>
  <c r="VBY57" i="8"/>
  <c r="VBX57" i="8"/>
  <c r="VBW57" i="8"/>
  <c r="VBV57" i="8"/>
  <c r="VBU57" i="8"/>
  <c r="VBT57" i="8"/>
  <c r="VBS57" i="8"/>
  <c r="VBR57" i="8"/>
  <c r="VBQ57" i="8"/>
  <c r="VBP57" i="8"/>
  <c r="VBO57" i="8"/>
  <c r="VBN57" i="8"/>
  <c r="VBM57" i="8"/>
  <c r="VBL57" i="8"/>
  <c r="VBK57" i="8"/>
  <c r="VBJ57" i="8"/>
  <c r="VBI57" i="8"/>
  <c r="VBH57" i="8"/>
  <c r="VBG57" i="8"/>
  <c r="VBF57" i="8"/>
  <c r="VBE57" i="8"/>
  <c r="VBD57" i="8"/>
  <c r="VBC57" i="8"/>
  <c r="VBB57" i="8"/>
  <c r="VBA57" i="8"/>
  <c r="VAZ57" i="8"/>
  <c r="VAY57" i="8"/>
  <c r="VAX57" i="8"/>
  <c r="VAW57" i="8"/>
  <c r="VAV57" i="8"/>
  <c r="VAU57" i="8"/>
  <c r="VAT57" i="8"/>
  <c r="VAS57" i="8"/>
  <c r="VAR57" i="8"/>
  <c r="VAQ57" i="8"/>
  <c r="VAP57" i="8"/>
  <c r="VAO57" i="8"/>
  <c r="VAN57" i="8"/>
  <c r="VAM57" i="8"/>
  <c r="VAL57" i="8"/>
  <c r="VAK57" i="8"/>
  <c r="VAJ57" i="8"/>
  <c r="VAI57" i="8"/>
  <c r="VAH57" i="8"/>
  <c r="VAG57" i="8"/>
  <c r="VAF57" i="8"/>
  <c r="VAE57" i="8"/>
  <c r="VAD57" i="8"/>
  <c r="VAC57" i="8"/>
  <c r="VAB57" i="8"/>
  <c r="VAA57" i="8"/>
  <c r="UZZ57" i="8"/>
  <c r="UZY57" i="8"/>
  <c r="UZX57" i="8"/>
  <c r="UZW57" i="8"/>
  <c r="UZV57" i="8"/>
  <c r="UZU57" i="8"/>
  <c r="UZT57" i="8"/>
  <c r="UZS57" i="8"/>
  <c r="UZR57" i="8"/>
  <c r="UZQ57" i="8"/>
  <c r="UZP57" i="8"/>
  <c r="UZO57" i="8"/>
  <c r="UZN57" i="8"/>
  <c r="UZM57" i="8"/>
  <c r="UZL57" i="8"/>
  <c r="UZK57" i="8"/>
  <c r="UZJ57" i="8"/>
  <c r="UZI57" i="8"/>
  <c r="UZH57" i="8"/>
  <c r="UZG57" i="8"/>
  <c r="UZF57" i="8"/>
  <c r="UZE57" i="8"/>
  <c r="UZD57" i="8"/>
  <c r="UZC57" i="8"/>
  <c r="UZB57" i="8"/>
  <c r="UZA57" i="8"/>
  <c r="UYZ57" i="8"/>
  <c r="UYY57" i="8"/>
  <c r="UYX57" i="8"/>
  <c r="UYW57" i="8"/>
  <c r="UYV57" i="8"/>
  <c r="UYU57" i="8"/>
  <c r="UYT57" i="8"/>
  <c r="UYS57" i="8"/>
  <c r="UYR57" i="8"/>
  <c r="UYQ57" i="8"/>
  <c r="UYP57" i="8"/>
  <c r="UYO57" i="8"/>
  <c r="UYN57" i="8"/>
  <c r="UYM57" i="8"/>
  <c r="UYL57" i="8"/>
  <c r="UYK57" i="8"/>
  <c r="UYJ57" i="8"/>
  <c r="UYI57" i="8"/>
  <c r="UYH57" i="8"/>
  <c r="UYG57" i="8"/>
  <c r="UYF57" i="8"/>
  <c r="UYE57" i="8"/>
  <c r="UYD57" i="8"/>
  <c r="UYC57" i="8"/>
  <c r="UYB57" i="8"/>
  <c r="UYA57" i="8"/>
  <c r="UXZ57" i="8"/>
  <c r="UXY57" i="8"/>
  <c r="UXX57" i="8"/>
  <c r="UXW57" i="8"/>
  <c r="UXV57" i="8"/>
  <c r="UXU57" i="8"/>
  <c r="UXT57" i="8"/>
  <c r="UXS57" i="8"/>
  <c r="UXR57" i="8"/>
  <c r="UXQ57" i="8"/>
  <c r="UXP57" i="8"/>
  <c r="UXO57" i="8"/>
  <c r="UXN57" i="8"/>
  <c r="UXM57" i="8"/>
  <c r="UXL57" i="8"/>
  <c r="UXK57" i="8"/>
  <c r="UXJ57" i="8"/>
  <c r="UXI57" i="8"/>
  <c r="UXH57" i="8"/>
  <c r="UXG57" i="8"/>
  <c r="UXF57" i="8"/>
  <c r="UXE57" i="8"/>
  <c r="UXD57" i="8"/>
  <c r="UXC57" i="8"/>
  <c r="UXB57" i="8"/>
  <c r="UXA57" i="8"/>
  <c r="UWZ57" i="8"/>
  <c r="UWY57" i="8"/>
  <c r="UWX57" i="8"/>
  <c r="UWW57" i="8"/>
  <c r="UWV57" i="8"/>
  <c r="UWU57" i="8"/>
  <c r="UWT57" i="8"/>
  <c r="UWS57" i="8"/>
  <c r="UWR57" i="8"/>
  <c r="UWQ57" i="8"/>
  <c r="UWP57" i="8"/>
  <c r="UWO57" i="8"/>
  <c r="UWN57" i="8"/>
  <c r="UWM57" i="8"/>
  <c r="UWL57" i="8"/>
  <c r="UWK57" i="8"/>
  <c r="UWJ57" i="8"/>
  <c r="UWI57" i="8"/>
  <c r="UWH57" i="8"/>
  <c r="UWG57" i="8"/>
  <c r="UWF57" i="8"/>
  <c r="UWE57" i="8"/>
  <c r="UWD57" i="8"/>
  <c r="UWC57" i="8"/>
  <c r="UWB57" i="8"/>
  <c r="UWA57" i="8"/>
  <c r="UVZ57" i="8"/>
  <c r="UVY57" i="8"/>
  <c r="UVX57" i="8"/>
  <c r="UVW57" i="8"/>
  <c r="UVV57" i="8"/>
  <c r="UVU57" i="8"/>
  <c r="UVT57" i="8"/>
  <c r="UVS57" i="8"/>
  <c r="UVR57" i="8"/>
  <c r="UVQ57" i="8"/>
  <c r="UVP57" i="8"/>
  <c r="UVO57" i="8"/>
  <c r="UVN57" i="8"/>
  <c r="UVM57" i="8"/>
  <c r="UVL57" i="8"/>
  <c r="UVK57" i="8"/>
  <c r="UVJ57" i="8"/>
  <c r="UVI57" i="8"/>
  <c r="UVH57" i="8"/>
  <c r="UVG57" i="8"/>
  <c r="UVF57" i="8"/>
  <c r="UVE57" i="8"/>
  <c r="UVD57" i="8"/>
  <c r="UVC57" i="8"/>
  <c r="UVB57" i="8"/>
  <c r="UVA57" i="8"/>
  <c r="UUZ57" i="8"/>
  <c r="UUY57" i="8"/>
  <c r="UUX57" i="8"/>
  <c r="UUW57" i="8"/>
  <c r="UUV57" i="8"/>
  <c r="UUU57" i="8"/>
  <c r="UUT57" i="8"/>
  <c r="UUS57" i="8"/>
  <c r="UUR57" i="8"/>
  <c r="UUQ57" i="8"/>
  <c r="UUP57" i="8"/>
  <c r="UUO57" i="8"/>
  <c r="UUN57" i="8"/>
  <c r="UUM57" i="8"/>
  <c r="UUL57" i="8"/>
  <c r="UUK57" i="8"/>
  <c r="UUJ57" i="8"/>
  <c r="UUI57" i="8"/>
  <c r="UUH57" i="8"/>
  <c r="UUG57" i="8"/>
  <c r="UUF57" i="8"/>
  <c r="UUE57" i="8"/>
  <c r="UUD57" i="8"/>
  <c r="UUC57" i="8"/>
  <c r="UUB57" i="8"/>
  <c r="UUA57" i="8"/>
  <c r="UTZ57" i="8"/>
  <c r="UTY57" i="8"/>
  <c r="UTX57" i="8"/>
  <c r="UTW57" i="8"/>
  <c r="UTV57" i="8"/>
  <c r="UTU57" i="8"/>
  <c r="UTT57" i="8"/>
  <c r="UTS57" i="8"/>
  <c r="UTR57" i="8"/>
  <c r="UTQ57" i="8"/>
  <c r="UTP57" i="8"/>
  <c r="UTO57" i="8"/>
  <c r="UTN57" i="8"/>
  <c r="UTM57" i="8"/>
  <c r="UTL57" i="8"/>
  <c r="UTK57" i="8"/>
  <c r="UTJ57" i="8"/>
  <c r="UTI57" i="8"/>
  <c r="UTH57" i="8"/>
  <c r="UTG57" i="8"/>
  <c r="UTF57" i="8"/>
  <c r="UTE57" i="8"/>
  <c r="UTD57" i="8"/>
  <c r="UTC57" i="8"/>
  <c r="UTB57" i="8"/>
  <c r="UTA57" i="8"/>
  <c r="USZ57" i="8"/>
  <c r="USY57" i="8"/>
  <c r="USX57" i="8"/>
  <c r="USW57" i="8"/>
  <c r="USV57" i="8"/>
  <c r="USU57" i="8"/>
  <c r="UST57" i="8"/>
  <c r="USS57" i="8"/>
  <c r="USR57" i="8"/>
  <c r="USQ57" i="8"/>
  <c r="USP57" i="8"/>
  <c r="USO57" i="8"/>
  <c r="USN57" i="8"/>
  <c r="USM57" i="8"/>
  <c r="USL57" i="8"/>
  <c r="USK57" i="8"/>
  <c r="USJ57" i="8"/>
  <c r="USI57" i="8"/>
  <c r="USH57" i="8"/>
  <c r="USG57" i="8"/>
  <c r="USF57" i="8"/>
  <c r="USE57" i="8"/>
  <c r="USD57" i="8"/>
  <c r="USC57" i="8"/>
  <c r="USB57" i="8"/>
  <c r="USA57" i="8"/>
  <c r="URZ57" i="8"/>
  <c r="URY57" i="8"/>
  <c r="URX57" i="8"/>
  <c r="URW57" i="8"/>
  <c r="URV57" i="8"/>
  <c r="URU57" i="8"/>
  <c r="URT57" i="8"/>
  <c r="URS57" i="8"/>
  <c r="URR57" i="8"/>
  <c r="URQ57" i="8"/>
  <c r="URP57" i="8"/>
  <c r="URO57" i="8"/>
  <c r="URN57" i="8"/>
  <c r="URM57" i="8"/>
  <c r="URL57" i="8"/>
  <c r="URK57" i="8"/>
  <c r="URJ57" i="8"/>
  <c r="URI57" i="8"/>
  <c r="URH57" i="8"/>
  <c r="URG57" i="8"/>
  <c r="URF57" i="8"/>
  <c r="URE57" i="8"/>
  <c r="URD57" i="8"/>
  <c r="URC57" i="8"/>
  <c r="URB57" i="8"/>
  <c r="URA57" i="8"/>
  <c r="UQZ57" i="8"/>
  <c r="UQY57" i="8"/>
  <c r="UQX57" i="8"/>
  <c r="UQW57" i="8"/>
  <c r="UQV57" i="8"/>
  <c r="UQU57" i="8"/>
  <c r="UQT57" i="8"/>
  <c r="UQS57" i="8"/>
  <c r="UQR57" i="8"/>
  <c r="UQQ57" i="8"/>
  <c r="UQP57" i="8"/>
  <c r="UQO57" i="8"/>
  <c r="UQN57" i="8"/>
  <c r="UQM57" i="8"/>
  <c r="UQL57" i="8"/>
  <c r="UQK57" i="8"/>
  <c r="UQJ57" i="8"/>
  <c r="UQI57" i="8"/>
  <c r="UQH57" i="8"/>
  <c r="UQG57" i="8"/>
  <c r="UQF57" i="8"/>
  <c r="UQE57" i="8"/>
  <c r="UQD57" i="8"/>
  <c r="UQC57" i="8"/>
  <c r="UQB57" i="8"/>
  <c r="UQA57" i="8"/>
  <c r="UPZ57" i="8"/>
  <c r="UPY57" i="8"/>
  <c r="UPX57" i="8"/>
  <c r="UPW57" i="8"/>
  <c r="UPV57" i="8"/>
  <c r="UPU57" i="8"/>
  <c r="UPT57" i="8"/>
  <c r="UPS57" i="8"/>
  <c r="UPR57" i="8"/>
  <c r="UPQ57" i="8"/>
  <c r="UPP57" i="8"/>
  <c r="UPO57" i="8"/>
  <c r="UPN57" i="8"/>
  <c r="UPM57" i="8"/>
  <c r="UPL57" i="8"/>
  <c r="UPK57" i="8"/>
  <c r="UPJ57" i="8"/>
  <c r="UPI57" i="8"/>
  <c r="UPH57" i="8"/>
  <c r="UPG57" i="8"/>
  <c r="UPF57" i="8"/>
  <c r="UPE57" i="8"/>
  <c r="UPD57" i="8"/>
  <c r="UPC57" i="8"/>
  <c r="UPB57" i="8"/>
  <c r="UPA57" i="8"/>
  <c r="UOZ57" i="8"/>
  <c r="UOY57" i="8"/>
  <c r="UOX57" i="8"/>
  <c r="UOW57" i="8"/>
  <c r="UOV57" i="8"/>
  <c r="UOU57" i="8"/>
  <c r="UOT57" i="8"/>
  <c r="UOS57" i="8"/>
  <c r="UOR57" i="8"/>
  <c r="UOQ57" i="8"/>
  <c r="UOP57" i="8"/>
  <c r="UOO57" i="8"/>
  <c r="UON57" i="8"/>
  <c r="UOM57" i="8"/>
  <c r="UOL57" i="8"/>
  <c r="UOK57" i="8"/>
  <c r="UOJ57" i="8"/>
  <c r="UOI57" i="8"/>
  <c r="UOH57" i="8"/>
  <c r="UOG57" i="8"/>
  <c r="UOF57" i="8"/>
  <c r="UOE57" i="8"/>
  <c r="UOD57" i="8"/>
  <c r="UOC57" i="8"/>
  <c r="UOB57" i="8"/>
  <c r="UOA57" i="8"/>
  <c r="UNZ57" i="8"/>
  <c r="UNY57" i="8"/>
  <c r="UNX57" i="8"/>
  <c r="UNW57" i="8"/>
  <c r="UNV57" i="8"/>
  <c r="UNU57" i="8"/>
  <c r="UNT57" i="8"/>
  <c r="UNS57" i="8"/>
  <c r="UNR57" i="8"/>
  <c r="UNQ57" i="8"/>
  <c r="UNP57" i="8"/>
  <c r="UNO57" i="8"/>
  <c r="UNN57" i="8"/>
  <c r="UNM57" i="8"/>
  <c r="UNL57" i="8"/>
  <c r="UNK57" i="8"/>
  <c r="UNJ57" i="8"/>
  <c r="UNI57" i="8"/>
  <c r="UNH57" i="8"/>
  <c r="UNG57" i="8"/>
  <c r="UNF57" i="8"/>
  <c r="UNE57" i="8"/>
  <c r="UND57" i="8"/>
  <c r="UNC57" i="8"/>
  <c r="UNB57" i="8"/>
  <c r="UNA57" i="8"/>
  <c r="UMZ57" i="8"/>
  <c r="UMY57" i="8"/>
  <c r="UMX57" i="8"/>
  <c r="UMW57" i="8"/>
  <c r="UMV57" i="8"/>
  <c r="UMU57" i="8"/>
  <c r="UMT57" i="8"/>
  <c r="UMS57" i="8"/>
  <c r="UMR57" i="8"/>
  <c r="UMQ57" i="8"/>
  <c r="UMP57" i="8"/>
  <c r="UMO57" i="8"/>
  <c r="UMN57" i="8"/>
  <c r="UMM57" i="8"/>
  <c r="UML57" i="8"/>
  <c r="UMK57" i="8"/>
  <c r="UMJ57" i="8"/>
  <c r="UMI57" i="8"/>
  <c r="UMH57" i="8"/>
  <c r="UMG57" i="8"/>
  <c r="UMF57" i="8"/>
  <c r="UME57" i="8"/>
  <c r="UMD57" i="8"/>
  <c r="UMC57" i="8"/>
  <c r="UMB57" i="8"/>
  <c r="UMA57" i="8"/>
  <c r="ULZ57" i="8"/>
  <c r="ULY57" i="8"/>
  <c r="ULX57" i="8"/>
  <c r="ULW57" i="8"/>
  <c r="ULV57" i="8"/>
  <c r="ULU57" i="8"/>
  <c r="ULT57" i="8"/>
  <c r="ULS57" i="8"/>
  <c r="ULR57" i="8"/>
  <c r="ULQ57" i="8"/>
  <c r="ULP57" i="8"/>
  <c r="ULO57" i="8"/>
  <c r="ULN57" i="8"/>
  <c r="ULM57" i="8"/>
  <c r="ULL57" i="8"/>
  <c r="ULK57" i="8"/>
  <c r="ULJ57" i="8"/>
  <c r="ULI57" i="8"/>
  <c r="ULH57" i="8"/>
  <c r="ULG57" i="8"/>
  <c r="ULF57" i="8"/>
  <c r="ULE57" i="8"/>
  <c r="ULD57" i="8"/>
  <c r="ULC57" i="8"/>
  <c r="ULB57" i="8"/>
  <c r="ULA57" i="8"/>
  <c r="UKZ57" i="8"/>
  <c r="UKY57" i="8"/>
  <c r="UKX57" i="8"/>
  <c r="UKW57" i="8"/>
  <c r="UKV57" i="8"/>
  <c r="UKU57" i="8"/>
  <c r="UKT57" i="8"/>
  <c r="UKS57" i="8"/>
  <c r="UKR57" i="8"/>
  <c r="UKQ57" i="8"/>
  <c r="UKP57" i="8"/>
  <c r="UKO57" i="8"/>
  <c r="UKN57" i="8"/>
  <c r="UKM57" i="8"/>
  <c r="UKL57" i="8"/>
  <c r="UKK57" i="8"/>
  <c r="UKJ57" i="8"/>
  <c r="UKI57" i="8"/>
  <c r="UKH57" i="8"/>
  <c r="UKG57" i="8"/>
  <c r="UKF57" i="8"/>
  <c r="UKE57" i="8"/>
  <c r="UKD57" i="8"/>
  <c r="UKC57" i="8"/>
  <c r="UKB57" i="8"/>
  <c r="UKA57" i="8"/>
  <c r="UJZ57" i="8"/>
  <c r="UJY57" i="8"/>
  <c r="UJX57" i="8"/>
  <c r="UJW57" i="8"/>
  <c r="UJV57" i="8"/>
  <c r="UJU57" i="8"/>
  <c r="UJT57" i="8"/>
  <c r="UJS57" i="8"/>
  <c r="UJR57" i="8"/>
  <c r="UJQ57" i="8"/>
  <c r="UJP57" i="8"/>
  <c r="UJO57" i="8"/>
  <c r="UJN57" i="8"/>
  <c r="UJM57" i="8"/>
  <c r="UJL57" i="8"/>
  <c r="UJK57" i="8"/>
  <c r="UJJ57" i="8"/>
  <c r="UJI57" i="8"/>
  <c r="UJH57" i="8"/>
  <c r="UJG57" i="8"/>
  <c r="UJF57" i="8"/>
  <c r="UJE57" i="8"/>
  <c r="UJD57" i="8"/>
  <c r="UJC57" i="8"/>
  <c r="UJB57" i="8"/>
  <c r="UJA57" i="8"/>
  <c r="UIZ57" i="8"/>
  <c r="UIY57" i="8"/>
  <c r="UIX57" i="8"/>
  <c r="UIW57" i="8"/>
  <c r="UIV57" i="8"/>
  <c r="UIU57" i="8"/>
  <c r="UIT57" i="8"/>
  <c r="UIS57" i="8"/>
  <c r="UIR57" i="8"/>
  <c r="UIQ57" i="8"/>
  <c r="UIP57" i="8"/>
  <c r="UIO57" i="8"/>
  <c r="UIN57" i="8"/>
  <c r="UIM57" i="8"/>
  <c r="UIL57" i="8"/>
  <c r="UIK57" i="8"/>
  <c r="UIJ57" i="8"/>
  <c r="UII57" i="8"/>
  <c r="UIH57" i="8"/>
  <c r="UIG57" i="8"/>
  <c r="UIF57" i="8"/>
  <c r="UIE57" i="8"/>
  <c r="UID57" i="8"/>
  <c r="UIC57" i="8"/>
  <c r="UIB57" i="8"/>
  <c r="UIA57" i="8"/>
  <c r="UHZ57" i="8"/>
  <c r="UHY57" i="8"/>
  <c r="UHX57" i="8"/>
  <c r="UHW57" i="8"/>
  <c r="UHV57" i="8"/>
  <c r="UHU57" i="8"/>
  <c r="UHT57" i="8"/>
  <c r="UHS57" i="8"/>
  <c r="UHR57" i="8"/>
  <c r="UHQ57" i="8"/>
  <c r="UHP57" i="8"/>
  <c r="UHO57" i="8"/>
  <c r="UHN57" i="8"/>
  <c r="UHM57" i="8"/>
  <c r="UHL57" i="8"/>
  <c r="UHK57" i="8"/>
  <c r="UHJ57" i="8"/>
  <c r="UHI57" i="8"/>
  <c r="UHH57" i="8"/>
  <c r="UHG57" i="8"/>
  <c r="UHF57" i="8"/>
  <c r="UHE57" i="8"/>
  <c r="UHD57" i="8"/>
  <c r="UHC57" i="8"/>
  <c r="UHB57" i="8"/>
  <c r="UHA57" i="8"/>
  <c r="UGZ57" i="8"/>
  <c r="UGY57" i="8"/>
  <c r="UGX57" i="8"/>
  <c r="UGW57" i="8"/>
  <c r="UGV57" i="8"/>
  <c r="UGU57" i="8"/>
  <c r="UGT57" i="8"/>
  <c r="UGS57" i="8"/>
  <c r="UGR57" i="8"/>
  <c r="UGQ57" i="8"/>
  <c r="UGP57" i="8"/>
  <c r="UGO57" i="8"/>
  <c r="UGN57" i="8"/>
  <c r="UGM57" i="8"/>
  <c r="UGL57" i="8"/>
  <c r="UGK57" i="8"/>
  <c r="UGJ57" i="8"/>
  <c r="UGI57" i="8"/>
  <c r="UGH57" i="8"/>
  <c r="UGG57" i="8"/>
  <c r="UGF57" i="8"/>
  <c r="UGE57" i="8"/>
  <c r="UGD57" i="8"/>
  <c r="UGC57" i="8"/>
  <c r="UGB57" i="8"/>
  <c r="UGA57" i="8"/>
  <c r="UFZ57" i="8"/>
  <c r="UFY57" i="8"/>
  <c r="UFX57" i="8"/>
  <c r="UFW57" i="8"/>
  <c r="UFV57" i="8"/>
  <c r="UFU57" i="8"/>
  <c r="UFT57" i="8"/>
  <c r="UFS57" i="8"/>
  <c r="UFR57" i="8"/>
  <c r="UFQ57" i="8"/>
  <c r="UFP57" i="8"/>
  <c r="UFO57" i="8"/>
  <c r="UFN57" i="8"/>
  <c r="UFM57" i="8"/>
  <c r="UFL57" i="8"/>
  <c r="UFK57" i="8"/>
  <c r="UFJ57" i="8"/>
  <c r="UFI57" i="8"/>
  <c r="UFH57" i="8"/>
  <c r="UFG57" i="8"/>
  <c r="UFF57" i="8"/>
  <c r="UFE57" i="8"/>
  <c r="UFD57" i="8"/>
  <c r="UFC57" i="8"/>
  <c r="UFB57" i="8"/>
  <c r="UFA57" i="8"/>
  <c r="UEZ57" i="8"/>
  <c r="UEY57" i="8"/>
  <c r="UEX57" i="8"/>
  <c r="UEW57" i="8"/>
  <c r="UEV57" i="8"/>
  <c r="UEU57" i="8"/>
  <c r="UET57" i="8"/>
  <c r="UES57" i="8"/>
  <c r="UER57" i="8"/>
  <c r="UEQ57" i="8"/>
  <c r="UEP57" i="8"/>
  <c r="UEO57" i="8"/>
  <c r="UEN57" i="8"/>
  <c r="UEM57" i="8"/>
  <c r="UEL57" i="8"/>
  <c r="UEK57" i="8"/>
  <c r="UEJ57" i="8"/>
  <c r="UEI57" i="8"/>
  <c r="UEH57" i="8"/>
  <c r="UEG57" i="8"/>
  <c r="UEF57" i="8"/>
  <c r="UEE57" i="8"/>
  <c r="UED57" i="8"/>
  <c r="UEC57" i="8"/>
  <c r="UEB57" i="8"/>
  <c r="UEA57" i="8"/>
  <c r="UDZ57" i="8"/>
  <c r="UDY57" i="8"/>
  <c r="UDX57" i="8"/>
  <c r="UDW57" i="8"/>
  <c r="UDV57" i="8"/>
  <c r="UDU57" i="8"/>
  <c r="UDT57" i="8"/>
  <c r="UDS57" i="8"/>
  <c r="UDR57" i="8"/>
  <c r="UDQ57" i="8"/>
  <c r="UDP57" i="8"/>
  <c r="UDO57" i="8"/>
  <c r="UDN57" i="8"/>
  <c r="UDM57" i="8"/>
  <c r="UDL57" i="8"/>
  <c r="UDK57" i="8"/>
  <c r="UDJ57" i="8"/>
  <c r="UDI57" i="8"/>
  <c r="UDH57" i="8"/>
  <c r="UDG57" i="8"/>
  <c r="UDF57" i="8"/>
  <c r="UDE57" i="8"/>
  <c r="UDD57" i="8"/>
  <c r="UDC57" i="8"/>
  <c r="UDB57" i="8"/>
  <c r="UDA57" i="8"/>
  <c r="UCZ57" i="8"/>
  <c r="UCY57" i="8"/>
  <c r="UCX57" i="8"/>
  <c r="UCW57" i="8"/>
  <c r="UCV57" i="8"/>
  <c r="UCU57" i="8"/>
  <c r="UCT57" i="8"/>
  <c r="UCS57" i="8"/>
  <c r="UCR57" i="8"/>
  <c r="UCQ57" i="8"/>
  <c r="UCP57" i="8"/>
  <c r="UCO57" i="8"/>
  <c r="UCN57" i="8"/>
  <c r="UCM57" i="8"/>
  <c r="UCL57" i="8"/>
  <c r="UCK57" i="8"/>
  <c r="UCJ57" i="8"/>
  <c r="UCI57" i="8"/>
  <c r="UCH57" i="8"/>
  <c r="UCG57" i="8"/>
  <c r="UCF57" i="8"/>
  <c r="UCE57" i="8"/>
  <c r="UCD57" i="8"/>
  <c r="UCC57" i="8"/>
  <c r="UCB57" i="8"/>
  <c r="UCA57" i="8"/>
  <c r="UBZ57" i="8"/>
  <c r="UBY57" i="8"/>
  <c r="UBX57" i="8"/>
  <c r="UBW57" i="8"/>
  <c r="UBV57" i="8"/>
  <c r="UBU57" i="8"/>
  <c r="UBT57" i="8"/>
  <c r="UBS57" i="8"/>
  <c r="UBR57" i="8"/>
  <c r="UBQ57" i="8"/>
  <c r="UBP57" i="8"/>
  <c r="UBO57" i="8"/>
  <c r="UBN57" i="8"/>
  <c r="UBM57" i="8"/>
  <c r="UBL57" i="8"/>
  <c r="UBK57" i="8"/>
  <c r="UBJ57" i="8"/>
  <c r="UBI57" i="8"/>
  <c r="UBH57" i="8"/>
  <c r="UBG57" i="8"/>
  <c r="UBF57" i="8"/>
  <c r="UBE57" i="8"/>
  <c r="UBD57" i="8"/>
  <c r="UBC57" i="8"/>
  <c r="UBB57" i="8"/>
  <c r="UBA57" i="8"/>
  <c r="UAZ57" i="8"/>
  <c r="UAY57" i="8"/>
  <c r="UAX57" i="8"/>
  <c r="UAW57" i="8"/>
  <c r="UAV57" i="8"/>
  <c r="UAU57" i="8"/>
  <c r="UAT57" i="8"/>
  <c r="UAS57" i="8"/>
  <c r="UAR57" i="8"/>
  <c r="UAQ57" i="8"/>
  <c r="UAP57" i="8"/>
  <c r="UAO57" i="8"/>
  <c r="UAN57" i="8"/>
  <c r="UAM57" i="8"/>
  <c r="UAL57" i="8"/>
  <c r="UAK57" i="8"/>
  <c r="UAJ57" i="8"/>
  <c r="UAI57" i="8"/>
  <c r="UAH57" i="8"/>
  <c r="UAG57" i="8"/>
  <c r="UAF57" i="8"/>
  <c r="UAE57" i="8"/>
  <c r="UAD57" i="8"/>
  <c r="UAC57" i="8"/>
  <c r="UAB57" i="8"/>
  <c r="UAA57" i="8"/>
  <c r="TZZ57" i="8"/>
  <c r="TZY57" i="8"/>
  <c r="TZX57" i="8"/>
  <c r="TZW57" i="8"/>
  <c r="TZV57" i="8"/>
  <c r="TZU57" i="8"/>
  <c r="TZT57" i="8"/>
  <c r="TZS57" i="8"/>
  <c r="TZR57" i="8"/>
  <c r="TZQ57" i="8"/>
  <c r="TZP57" i="8"/>
  <c r="TZO57" i="8"/>
  <c r="TZN57" i="8"/>
  <c r="TZM57" i="8"/>
  <c r="TZL57" i="8"/>
  <c r="TZK57" i="8"/>
  <c r="TZJ57" i="8"/>
  <c r="TZI57" i="8"/>
  <c r="TZH57" i="8"/>
  <c r="TZG57" i="8"/>
  <c r="TZF57" i="8"/>
  <c r="TZE57" i="8"/>
  <c r="TZD57" i="8"/>
  <c r="TZC57" i="8"/>
  <c r="TZB57" i="8"/>
  <c r="TZA57" i="8"/>
  <c r="TYZ57" i="8"/>
  <c r="TYY57" i="8"/>
  <c r="TYX57" i="8"/>
  <c r="TYW57" i="8"/>
  <c r="TYV57" i="8"/>
  <c r="TYU57" i="8"/>
  <c r="TYT57" i="8"/>
  <c r="TYS57" i="8"/>
  <c r="TYR57" i="8"/>
  <c r="TYQ57" i="8"/>
  <c r="TYP57" i="8"/>
  <c r="TYO57" i="8"/>
  <c r="TYN57" i="8"/>
  <c r="TYM57" i="8"/>
  <c r="TYL57" i="8"/>
  <c r="TYK57" i="8"/>
  <c r="TYJ57" i="8"/>
  <c r="TYI57" i="8"/>
  <c r="TYH57" i="8"/>
  <c r="TYG57" i="8"/>
  <c r="TYF57" i="8"/>
  <c r="TYE57" i="8"/>
  <c r="TYD57" i="8"/>
  <c r="TYC57" i="8"/>
  <c r="TYB57" i="8"/>
  <c r="TYA57" i="8"/>
  <c r="TXZ57" i="8"/>
  <c r="TXY57" i="8"/>
  <c r="TXX57" i="8"/>
  <c r="TXW57" i="8"/>
  <c r="TXV57" i="8"/>
  <c r="TXU57" i="8"/>
  <c r="TXT57" i="8"/>
  <c r="TXS57" i="8"/>
  <c r="TXR57" i="8"/>
  <c r="TXQ57" i="8"/>
  <c r="TXP57" i="8"/>
  <c r="TXO57" i="8"/>
  <c r="TXN57" i="8"/>
  <c r="TXM57" i="8"/>
  <c r="TXL57" i="8"/>
  <c r="TXK57" i="8"/>
  <c r="TXJ57" i="8"/>
  <c r="TXI57" i="8"/>
  <c r="TXH57" i="8"/>
  <c r="TXG57" i="8"/>
  <c r="TXF57" i="8"/>
  <c r="TXE57" i="8"/>
  <c r="TXD57" i="8"/>
  <c r="TXC57" i="8"/>
  <c r="TXB57" i="8"/>
  <c r="TXA57" i="8"/>
  <c r="TWZ57" i="8"/>
  <c r="TWY57" i="8"/>
  <c r="TWX57" i="8"/>
  <c r="TWW57" i="8"/>
  <c r="TWV57" i="8"/>
  <c r="TWU57" i="8"/>
  <c r="TWT57" i="8"/>
  <c r="TWS57" i="8"/>
  <c r="TWR57" i="8"/>
  <c r="TWQ57" i="8"/>
  <c r="TWP57" i="8"/>
  <c r="TWO57" i="8"/>
  <c r="TWN57" i="8"/>
  <c r="TWM57" i="8"/>
  <c r="TWL57" i="8"/>
  <c r="TWK57" i="8"/>
  <c r="TWJ57" i="8"/>
  <c r="TWI57" i="8"/>
  <c r="TWH57" i="8"/>
  <c r="TWG57" i="8"/>
  <c r="TWF57" i="8"/>
  <c r="TWE57" i="8"/>
  <c r="TWD57" i="8"/>
  <c r="TWC57" i="8"/>
  <c r="TWB57" i="8"/>
  <c r="TWA57" i="8"/>
  <c r="TVZ57" i="8"/>
  <c r="TVY57" i="8"/>
  <c r="TVX57" i="8"/>
  <c r="TVW57" i="8"/>
  <c r="TVV57" i="8"/>
  <c r="TVU57" i="8"/>
  <c r="TVT57" i="8"/>
  <c r="TVS57" i="8"/>
  <c r="TVR57" i="8"/>
  <c r="TVQ57" i="8"/>
  <c r="TVP57" i="8"/>
  <c r="TVO57" i="8"/>
  <c r="TVN57" i="8"/>
  <c r="TVM57" i="8"/>
  <c r="TVL57" i="8"/>
  <c r="TVK57" i="8"/>
  <c r="TVJ57" i="8"/>
  <c r="TVI57" i="8"/>
  <c r="TVH57" i="8"/>
  <c r="TVG57" i="8"/>
  <c r="TVF57" i="8"/>
  <c r="TVE57" i="8"/>
  <c r="TVD57" i="8"/>
  <c r="TVC57" i="8"/>
  <c r="TVB57" i="8"/>
  <c r="TVA57" i="8"/>
  <c r="TUZ57" i="8"/>
  <c r="TUY57" i="8"/>
  <c r="TUX57" i="8"/>
  <c r="TUW57" i="8"/>
  <c r="TUV57" i="8"/>
  <c r="TUU57" i="8"/>
  <c r="TUT57" i="8"/>
  <c r="TUS57" i="8"/>
  <c r="TUR57" i="8"/>
  <c r="TUQ57" i="8"/>
  <c r="TUP57" i="8"/>
  <c r="TUO57" i="8"/>
  <c r="TUN57" i="8"/>
  <c r="TUM57" i="8"/>
  <c r="TUL57" i="8"/>
  <c r="TUK57" i="8"/>
  <c r="TUJ57" i="8"/>
  <c r="TUI57" i="8"/>
  <c r="TUH57" i="8"/>
  <c r="TUG57" i="8"/>
  <c r="TUF57" i="8"/>
  <c r="TUE57" i="8"/>
  <c r="TUD57" i="8"/>
  <c r="TUC57" i="8"/>
  <c r="TUB57" i="8"/>
  <c r="TUA57" i="8"/>
  <c r="TTZ57" i="8"/>
  <c r="TTY57" i="8"/>
  <c r="TTX57" i="8"/>
  <c r="TTW57" i="8"/>
  <c r="TTV57" i="8"/>
  <c r="TTU57" i="8"/>
  <c r="TTT57" i="8"/>
  <c r="TTS57" i="8"/>
  <c r="TTR57" i="8"/>
  <c r="TTQ57" i="8"/>
  <c r="TTP57" i="8"/>
  <c r="TTO57" i="8"/>
  <c r="TTN57" i="8"/>
  <c r="TTM57" i="8"/>
  <c r="TTL57" i="8"/>
  <c r="TTK57" i="8"/>
  <c r="TTJ57" i="8"/>
  <c r="TTI57" i="8"/>
  <c r="TTH57" i="8"/>
  <c r="TTG57" i="8"/>
  <c r="TTF57" i="8"/>
  <c r="TTE57" i="8"/>
  <c r="TTD57" i="8"/>
  <c r="TTC57" i="8"/>
  <c r="TTB57" i="8"/>
  <c r="TTA57" i="8"/>
  <c r="TSZ57" i="8"/>
  <c r="TSY57" i="8"/>
  <c r="TSX57" i="8"/>
  <c r="TSW57" i="8"/>
  <c r="TSV57" i="8"/>
  <c r="TSU57" i="8"/>
  <c r="TST57" i="8"/>
  <c r="TSS57" i="8"/>
  <c r="TSR57" i="8"/>
  <c r="TSQ57" i="8"/>
  <c r="TSP57" i="8"/>
  <c r="TSO57" i="8"/>
  <c r="TSN57" i="8"/>
  <c r="TSM57" i="8"/>
  <c r="TSL57" i="8"/>
  <c r="TSK57" i="8"/>
  <c r="TSJ57" i="8"/>
  <c r="TSI57" i="8"/>
  <c r="TSH57" i="8"/>
  <c r="TSG57" i="8"/>
  <c r="TSF57" i="8"/>
  <c r="TSE57" i="8"/>
  <c r="TSD57" i="8"/>
  <c r="TSC57" i="8"/>
  <c r="TSB57" i="8"/>
  <c r="TSA57" i="8"/>
  <c r="TRZ57" i="8"/>
  <c r="TRY57" i="8"/>
  <c r="TRX57" i="8"/>
  <c r="TRW57" i="8"/>
  <c r="TRV57" i="8"/>
  <c r="TRU57" i="8"/>
  <c r="TRT57" i="8"/>
  <c r="TRS57" i="8"/>
  <c r="TRR57" i="8"/>
  <c r="TRQ57" i="8"/>
  <c r="TRP57" i="8"/>
  <c r="TRO57" i="8"/>
  <c r="TRN57" i="8"/>
  <c r="TRM57" i="8"/>
  <c r="TRL57" i="8"/>
  <c r="TRK57" i="8"/>
  <c r="TRJ57" i="8"/>
  <c r="TRI57" i="8"/>
  <c r="TRH57" i="8"/>
  <c r="TRG57" i="8"/>
  <c r="TRF57" i="8"/>
  <c r="TRE57" i="8"/>
  <c r="TRD57" i="8"/>
  <c r="TRC57" i="8"/>
  <c r="TRB57" i="8"/>
  <c r="TRA57" i="8"/>
  <c r="TQZ57" i="8"/>
  <c r="TQY57" i="8"/>
  <c r="TQX57" i="8"/>
  <c r="TQW57" i="8"/>
  <c r="TQV57" i="8"/>
  <c r="TQU57" i="8"/>
  <c r="TQT57" i="8"/>
  <c r="TQS57" i="8"/>
  <c r="TQR57" i="8"/>
  <c r="TQQ57" i="8"/>
  <c r="TQP57" i="8"/>
  <c r="TQO57" i="8"/>
  <c r="TQN57" i="8"/>
  <c r="TQM57" i="8"/>
  <c r="TQL57" i="8"/>
  <c r="TQK57" i="8"/>
  <c r="TQJ57" i="8"/>
  <c r="TQI57" i="8"/>
  <c r="TQH57" i="8"/>
  <c r="TQG57" i="8"/>
  <c r="TQF57" i="8"/>
  <c r="TQE57" i="8"/>
  <c r="TQD57" i="8"/>
  <c r="TQC57" i="8"/>
  <c r="TQB57" i="8"/>
  <c r="TQA57" i="8"/>
  <c r="TPZ57" i="8"/>
  <c r="TPY57" i="8"/>
  <c r="TPX57" i="8"/>
  <c r="TPW57" i="8"/>
  <c r="TPV57" i="8"/>
  <c r="TPU57" i="8"/>
  <c r="TPT57" i="8"/>
  <c r="TPS57" i="8"/>
  <c r="TPR57" i="8"/>
  <c r="TPQ57" i="8"/>
  <c r="TPP57" i="8"/>
  <c r="TPO57" i="8"/>
  <c r="TPN57" i="8"/>
  <c r="TPM57" i="8"/>
  <c r="TPL57" i="8"/>
  <c r="TPK57" i="8"/>
  <c r="TPJ57" i="8"/>
  <c r="TPI57" i="8"/>
  <c r="TPH57" i="8"/>
  <c r="TPG57" i="8"/>
  <c r="TPF57" i="8"/>
  <c r="TPE57" i="8"/>
  <c r="TPD57" i="8"/>
  <c r="TPC57" i="8"/>
  <c r="TPB57" i="8"/>
  <c r="TPA57" i="8"/>
  <c r="TOZ57" i="8"/>
  <c r="TOY57" i="8"/>
  <c r="TOX57" i="8"/>
  <c r="TOW57" i="8"/>
  <c r="TOV57" i="8"/>
  <c r="TOU57" i="8"/>
  <c r="TOT57" i="8"/>
  <c r="TOS57" i="8"/>
  <c r="TOR57" i="8"/>
  <c r="TOQ57" i="8"/>
  <c r="TOP57" i="8"/>
  <c r="TOO57" i="8"/>
  <c r="TON57" i="8"/>
  <c r="TOM57" i="8"/>
  <c r="TOL57" i="8"/>
  <c r="TOK57" i="8"/>
  <c r="TOJ57" i="8"/>
  <c r="TOI57" i="8"/>
  <c r="TOH57" i="8"/>
  <c r="TOG57" i="8"/>
  <c r="TOF57" i="8"/>
  <c r="TOE57" i="8"/>
  <c r="TOD57" i="8"/>
  <c r="TOC57" i="8"/>
  <c r="TOB57" i="8"/>
  <c r="TOA57" i="8"/>
  <c r="TNZ57" i="8"/>
  <c r="TNY57" i="8"/>
  <c r="TNX57" i="8"/>
  <c r="TNW57" i="8"/>
  <c r="TNV57" i="8"/>
  <c r="TNU57" i="8"/>
  <c r="TNT57" i="8"/>
  <c r="TNS57" i="8"/>
  <c r="TNR57" i="8"/>
  <c r="TNQ57" i="8"/>
  <c r="TNP57" i="8"/>
  <c r="TNO57" i="8"/>
  <c r="TNN57" i="8"/>
  <c r="TNM57" i="8"/>
  <c r="TNL57" i="8"/>
  <c r="TNK57" i="8"/>
  <c r="TNJ57" i="8"/>
  <c r="TNI57" i="8"/>
  <c r="TNH57" i="8"/>
  <c r="TNG57" i="8"/>
  <c r="TNF57" i="8"/>
  <c r="TNE57" i="8"/>
  <c r="TND57" i="8"/>
  <c r="TNC57" i="8"/>
  <c r="TNB57" i="8"/>
  <c r="TNA57" i="8"/>
  <c r="TMZ57" i="8"/>
  <c r="TMY57" i="8"/>
  <c r="TMX57" i="8"/>
  <c r="TMW57" i="8"/>
  <c r="TMV57" i="8"/>
  <c r="TMU57" i="8"/>
  <c r="TMT57" i="8"/>
  <c r="TMS57" i="8"/>
  <c r="TMR57" i="8"/>
  <c r="TMQ57" i="8"/>
  <c r="TMP57" i="8"/>
  <c r="TMO57" i="8"/>
  <c r="TMN57" i="8"/>
  <c r="TMM57" i="8"/>
  <c r="TML57" i="8"/>
  <c r="TMK57" i="8"/>
  <c r="TMJ57" i="8"/>
  <c r="TMI57" i="8"/>
  <c r="TMH57" i="8"/>
  <c r="TMG57" i="8"/>
  <c r="TMF57" i="8"/>
  <c r="TME57" i="8"/>
  <c r="TMD57" i="8"/>
  <c r="TMC57" i="8"/>
  <c r="TMB57" i="8"/>
  <c r="TMA57" i="8"/>
  <c r="TLZ57" i="8"/>
  <c r="TLY57" i="8"/>
  <c r="TLX57" i="8"/>
  <c r="TLW57" i="8"/>
  <c r="TLV57" i="8"/>
  <c r="TLU57" i="8"/>
  <c r="TLT57" i="8"/>
  <c r="TLS57" i="8"/>
  <c r="TLR57" i="8"/>
  <c r="TLQ57" i="8"/>
  <c r="TLP57" i="8"/>
  <c r="TLO57" i="8"/>
  <c r="TLN57" i="8"/>
  <c r="TLM57" i="8"/>
  <c r="TLL57" i="8"/>
  <c r="TLK57" i="8"/>
  <c r="TLJ57" i="8"/>
  <c r="TLI57" i="8"/>
  <c r="TLH57" i="8"/>
  <c r="TLG57" i="8"/>
  <c r="TLF57" i="8"/>
  <c r="TLE57" i="8"/>
  <c r="TLD57" i="8"/>
  <c r="TLC57" i="8"/>
  <c r="TLB57" i="8"/>
  <c r="TLA57" i="8"/>
  <c r="TKZ57" i="8"/>
  <c r="TKY57" i="8"/>
  <c r="TKX57" i="8"/>
  <c r="TKW57" i="8"/>
  <c r="TKV57" i="8"/>
  <c r="TKU57" i="8"/>
  <c r="TKT57" i="8"/>
  <c r="TKS57" i="8"/>
  <c r="TKR57" i="8"/>
  <c r="TKQ57" i="8"/>
  <c r="TKP57" i="8"/>
  <c r="TKO57" i="8"/>
  <c r="TKN57" i="8"/>
  <c r="TKM57" i="8"/>
  <c r="TKL57" i="8"/>
  <c r="TKK57" i="8"/>
  <c r="TKJ57" i="8"/>
  <c r="TKI57" i="8"/>
  <c r="TKH57" i="8"/>
  <c r="TKG57" i="8"/>
  <c r="TKF57" i="8"/>
  <c r="TKE57" i="8"/>
  <c r="TKD57" i="8"/>
  <c r="TKC57" i="8"/>
  <c r="TKB57" i="8"/>
  <c r="TKA57" i="8"/>
  <c r="TJZ57" i="8"/>
  <c r="TJY57" i="8"/>
  <c r="TJX57" i="8"/>
  <c r="TJW57" i="8"/>
  <c r="TJV57" i="8"/>
  <c r="TJU57" i="8"/>
  <c r="TJT57" i="8"/>
  <c r="TJS57" i="8"/>
  <c r="TJR57" i="8"/>
  <c r="TJQ57" i="8"/>
  <c r="TJP57" i="8"/>
  <c r="TJO57" i="8"/>
  <c r="TJN57" i="8"/>
  <c r="TJM57" i="8"/>
  <c r="TJL57" i="8"/>
  <c r="TJK57" i="8"/>
  <c r="TJJ57" i="8"/>
  <c r="TJI57" i="8"/>
  <c r="TJH57" i="8"/>
  <c r="TJG57" i="8"/>
  <c r="TJF57" i="8"/>
  <c r="TJE57" i="8"/>
  <c r="TJD57" i="8"/>
  <c r="TJC57" i="8"/>
  <c r="TJB57" i="8"/>
  <c r="TJA57" i="8"/>
  <c r="TIZ57" i="8"/>
  <c r="TIY57" i="8"/>
  <c r="TIX57" i="8"/>
  <c r="TIW57" i="8"/>
  <c r="TIV57" i="8"/>
  <c r="TIU57" i="8"/>
  <c r="TIT57" i="8"/>
  <c r="TIS57" i="8"/>
  <c r="TIR57" i="8"/>
  <c r="TIQ57" i="8"/>
  <c r="TIP57" i="8"/>
  <c r="TIO57" i="8"/>
  <c r="TIN57" i="8"/>
  <c r="TIM57" i="8"/>
  <c r="TIL57" i="8"/>
  <c r="TIK57" i="8"/>
  <c r="TIJ57" i="8"/>
  <c r="TII57" i="8"/>
  <c r="TIH57" i="8"/>
  <c r="TIG57" i="8"/>
  <c r="TIF57" i="8"/>
  <c r="TIE57" i="8"/>
  <c r="TID57" i="8"/>
  <c r="TIC57" i="8"/>
  <c r="TIB57" i="8"/>
  <c r="TIA57" i="8"/>
  <c r="THZ57" i="8"/>
  <c r="THY57" i="8"/>
  <c r="THX57" i="8"/>
  <c r="THW57" i="8"/>
  <c r="THV57" i="8"/>
  <c r="THU57" i="8"/>
  <c r="THT57" i="8"/>
  <c r="THS57" i="8"/>
  <c r="THR57" i="8"/>
  <c r="THQ57" i="8"/>
  <c r="THP57" i="8"/>
  <c r="THO57" i="8"/>
  <c r="THN57" i="8"/>
  <c r="THM57" i="8"/>
  <c r="THL57" i="8"/>
  <c r="THK57" i="8"/>
  <c r="THJ57" i="8"/>
  <c r="THI57" i="8"/>
  <c r="THH57" i="8"/>
  <c r="THG57" i="8"/>
  <c r="THF57" i="8"/>
  <c r="THE57" i="8"/>
  <c r="THD57" i="8"/>
  <c r="THC57" i="8"/>
  <c r="THB57" i="8"/>
  <c r="THA57" i="8"/>
  <c r="TGZ57" i="8"/>
  <c r="TGY57" i="8"/>
  <c r="TGX57" i="8"/>
  <c r="TGW57" i="8"/>
  <c r="TGV57" i="8"/>
  <c r="TGU57" i="8"/>
  <c r="TGT57" i="8"/>
  <c r="TGS57" i="8"/>
  <c r="TGR57" i="8"/>
  <c r="TGQ57" i="8"/>
  <c r="TGP57" i="8"/>
  <c r="TGO57" i="8"/>
  <c r="TGN57" i="8"/>
  <c r="TGM57" i="8"/>
  <c r="TGL57" i="8"/>
  <c r="TGK57" i="8"/>
  <c r="TGJ57" i="8"/>
  <c r="TGI57" i="8"/>
  <c r="TGH57" i="8"/>
  <c r="TGG57" i="8"/>
  <c r="TGF57" i="8"/>
  <c r="TGE57" i="8"/>
  <c r="TGD57" i="8"/>
  <c r="TGC57" i="8"/>
  <c r="TGB57" i="8"/>
  <c r="TGA57" i="8"/>
  <c r="TFZ57" i="8"/>
  <c r="TFY57" i="8"/>
  <c r="TFX57" i="8"/>
  <c r="TFW57" i="8"/>
  <c r="TFV57" i="8"/>
  <c r="TFU57" i="8"/>
  <c r="TFT57" i="8"/>
  <c r="TFS57" i="8"/>
  <c r="TFR57" i="8"/>
  <c r="TFQ57" i="8"/>
  <c r="TFP57" i="8"/>
  <c r="TFO57" i="8"/>
  <c r="TFN57" i="8"/>
  <c r="TFM57" i="8"/>
  <c r="TFL57" i="8"/>
  <c r="TFK57" i="8"/>
  <c r="TFJ57" i="8"/>
  <c r="TFI57" i="8"/>
  <c r="TFH57" i="8"/>
  <c r="TFG57" i="8"/>
  <c r="TFF57" i="8"/>
  <c r="TFE57" i="8"/>
  <c r="TFD57" i="8"/>
  <c r="TFC57" i="8"/>
  <c r="TFB57" i="8"/>
  <c r="TFA57" i="8"/>
  <c r="TEZ57" i="8"/>
  <c r="TEY57" i="8"/>
  <c r="TEX57" i="8"/>
  <c r="TEW57" i="8"/>
  <c r="TEV57" i="8"/>
  <c r="TEU57" i="8"/>
  <c r="TET57" i="8"/>
  <c r="TES57" i="8"/>
  <c r="TER57" i="8"/>
  <c r="TEQ57" i="8"/>
  <c r="TEP57" i="8"/>
  <c r="TEO57" i="8"/>
  <c r="TEN57" i="8"/>
  <c r="TEM57" i="8"/>
  <c r="TEL57" i="8"/>
  <c r="TEK57" i="8"/>
  <c r="TEJ57" i="8"/>
  <c r="TEI57" i="8"/>
  <c r="TEH57" i="8"/>
  <c r="TEG57" i="8"/>
  <c r="TEF57" i="8"/>
  <c r="TEE57" i="8"/>
  <c r="TED57" i="8"/>
  <c r="TEC57" i="8"/>
  <c r="TEB57" i="8"/>
  <c r="TEA57" i="8"/>
  <c r="TDZ57" i="8"/>
  <c r="TDY57" i="8"/>
  <c r="TDX57" i="8"/>
  <c r="TDW57" i="8"/>
  <c r="TDV57" i="8"/>
  <c r="TDU57" i="8"/>
  <c r="TDT57" i="8"/>
  <c r="TDS57" i="8"/>
  <c r="TDR57" i="8"/>
  <c r="TDQ57" i="8"/>
  <c r="TDP57" i="8"/>
  <c r="TDO57" i="8"/>
  <c r="TDN57" i="8"/>
  <c r="TDM57" i="8"/>
  <c r="TDL57" i="8"/>
  <c r="TDK57" i="8"/>
  <c r="TDJ57" i="8"/>
  <c r="TDI57" i="8"/>
  <c r="TDH57" i="8"/>
  <c r="TDG57" i="8"/>
  <c r="TDF57" i="8"/>
  <c r="TDE57" i="8"/>
  <c r="TDD57" i="8"/>
  <c r="TDC57" i="8"/>
  <c r="TDB57" i="8"/>
  <c r="TDA57" i="8"/>
  <c r="TCZ57" i="8"/>
  <c r="TCY57" i="8"/>
  <c r="TCX57" i="8"/>
  <c r="TCW57" i="8"/>
  <c r="TCV57" i="8"/>
  <c r="TCU57" i="8"/>
  <c r="TCT57" i="8"/>
  <c r="TCS57" i="8"/>
  <c r="TCR57" i="8"/>
  <c r="TCQ57" i="8"/>
  <c r="TCP57" i="8"/>
  <c r="TCO57" i="8"/>
  <c r="TCN57" i="8"/>
  <c r="TCM57" i="8"/>
  <c r="TCL57" i="8"/>
  <c r="TCK57" i="8"/>
  <c r="TCJ57" i="8"/>
  <c r="TCI57" i="8"/>
  <c r="TCH57" i="8"/>
  <c r="TCG57" i="8"/>
  <c r="TCF57" i="8"/>
  <c r="TCE57" i="8"/>
  <c r="TCD57" i="8"/>
  <c r="TCC57" i="8"/>
  <c r="TCB57" i="8"/>
  <c r="TCA57" i="8"/>
  <c r="TBZ57" i="8"/>
  <c r="TBY57" i="8"/>
  <c r="TBX57" i="8"/>
  <c r="TBW57" i="8"/>
  <c r="TBV57" i="8"/>
  <c r="TBU57" i="8"/>
  <c r="TBT57" i="8"/>
  <c r="TBS57" i="8"/>
  <c r="TBR57" i="8"/>
  <c r="TBQ57" i="8"/>
  <c r="TBP57" i="8"/>
  <c r="TBO57" i="8"/>
  <c r="TBN57" i="8"/>
  <c r="TBM57" i="8"/>
  <c r="TBL57" i="8"/>
  <c r="TBK57" i="8"/>
  <c r="TBJ57" i="8"/>
  <c r="TBI57" i="8"/>
  <c r="TBH57" i="8"/>
  <c r="TBG57" i="8"/>
  <c r="TBF57" i="8"/>
  <c r="TBE57" i="8"/>
  <c r="TBD57" i="8"/>
  <c r="TBC57" i="8"/>
  <c r="TBB57" i="8"/>
  <c r="TBA57" i="8"/>
  <c r="TAZ57" i="8"/>
  <c r="TAY57" i="8"/>
  <c r="TAX57" i="8"/>
  <c r="TAW57" i="8"/>
  <c r="TAV57" i="8"/>
  <c r="TAU57" i="8"/>
  <c r="TAT57" i="8"/>
  <c r="TAS57" i="8"/>
  <c r="TAR57" i="8"/>
  <c r="TAQ57" i="8"/>
  <c r="TAP57" i="8"/>
  <c r="TAO57" i="8"/>
  <c r="TAN57" i="8"/>
  <c r="TAM57" i="8"/>
  <c r="TAL57" i="8"/>
  <c r="TAK57" i="8"/>
  <c r="TAJ57" i="8"/>
  <c r="TAI57" i="8"/>
  <c r="TAH57" i="8"/>
  <c r="TAG57" i="8"/>
  <c r="TAF57" i="8"/>
  <c r="TAE57" i="8"/>
  <c r="TAD57" i="8"/>
  <c r="TAC57" i="8"/>
  <c r="TAB57" i="8"/>
  <c r="TAA57" i="8"/>
  <c r="SZZ57" i="8"/>
  <c r="SZY57" i="8"/>
  <c r="SZX57" i="8"/>
  <c r="SZW57" i="8"/>
  <c r="SZV57" i="8"/>
  <c r="SZU57" i="8"/>
  <c r="SZT57" i="8"/>
  <c r="SZS57" i="8"/>
  <c r="SZR57" i="8"/>
  <c r="SZQ57" i="8"/>
  <c r="SZP57" i="8"/>
  <c r="SZO57" i="8"/>
  <c r="SZN57" i="8"/>
  <c r="SZM57" i="8"/>
  <c r="SZL57" i="8"/>
  <c r="SZK57" i="8"/>
  <c r="SZJ57" i="8"/>
  <c r="SZI57" i="8"/>
  <c r="SZH57" i="8"/>
  <c r="SZG57" i="8"/>
  <c r="SZF57" i="8"/>
  <c r="SZE57" i="8"/>
  <c r="SZD57" i="8"/>
  <c r="SZC57" i="8"/>
  <c r="SZB57" i="8"/>
  <c r="SZA57" i="8"/>
  <c r="SYZ57" i="8"/>
  <c r="SYY57" i="8"/>
  <c r="SYX57" i="8"/>
  <c r="SYW57" i="8"/>
  <c r="SYV57" i="8"/>
  <c r="SYU57" i="8"/>
  <c r="SYT57" i="8"/>
  <c r="SYS57" i="8"/>
  <c r="SYR57" i="8"/>
  <c r="SYQ57" i="8"/>
  <c r="SYP57" i="8"/>
  <c r="SYO57" i="8"/>
  <c r="SYN57" i="8"/>
  <c r="SYM57" i="8"/>
  <c r="SYL57" i="8"/>
  <c r="SYK57" i="8"/>
  <c r="SYJ57" i="8"/>
  <c r="SYI57" i="8"/>
  <c r="SYH57" i="8"/>
  <c r="SYG57" i="8"/>
  <c r="SYF57" i="8"/>
  <c r="SYE57" i="8"/>
  <c r="SYD57" i="8"/>
  <c r="SYC57" i="8"/>
  <c r="SYB57" i="8"/>
  <c r="SYA57" i="8"/>
  <c r="SXZ57" i="8"/>
  <c r="SXY57" i="8"/>
  <c r="SXX57" i="8"/>
  <c r="SXW57" i="8"/>
  <c r="SXV57" i="8"/>
  <c r="SXU57" i="8"/>
  <c r="SXT57" i="8"/>
  <c r="SXS57" i="8"/>
  <c r="SXR57" i="8"/>
  <c r="SXQ57" i="8"/>
  <c r="SXP57" i="8"/>
  <c r="SXO57" i="8"/>
  <c r="SXN57" i="8"/>
  <c r="SXM57" i="8"/>
  <c r="SXL57" i="8"/>
  <c r="SXK57" i="8"/>
  <c r="SXJ57" i="8"/>
  <c r="SXI57" i="8"/>
  <c r="SXH57" i="8"/>
  <c r="SXG57" i="8"/>
  <c r="SXF57" i="8"/>
  <c r="SXE57" i="8"/>
  <c r="SXD57" i="8"/>
  <c r="SXC57" i="8"/>
  <c r="SXB57" i="8"/>
  <c r="SXA57" i="8"/>
  <c r="SWZ57" i="8"/>
  <c r="SWY57" i="8"/>
  <c r="SWX57" i="8"/>
  <c r="SWW57" i="8"/>
  <c r="SWV57" i="8"/>
  <c r="SWU57" i="8"/>
  <c r="SWT57" i="8"/>
  <c r="SWS57" i="8"/>
  <c r="SWR57" i="8"/>
  <c r="SWQ57" i="8"/>
  <c r="SWP57" i="8"/>
  <c r="SWO57" i="8"/>
  <c r="SWN57" i="8"/>
  <c r="SWM57" i="8"/>
  <c r="SWL57" i="8"/>
  <c r="SWK57" i="8"/>
  <c r="SWJ57" i="8"/>
  <c r="SWI57" i="8"/>
  <c r="SWH57" i="8"/>
  <c r="SWG57" i="8"/>
  <c r="SWF57" i="8"/>
  <c r="SWE57" i="8"/>
  <c r="SWD57" i="8"/>
  <c r="SWC57" i="8"/>
  <c r="SWB57" i="8"/>
  <c r="SWA57" i="8"/>
  <c r="SVZ57" i="8"/>
  <c r="SVY57" i="8"/>
  <c r="SVX57" i="8"/>
  <c r="SVW57" i="8"/>
  <c r="SVV57" i="8"/>
  <c r="SVU57" i="8"/>
  <c r="SVT57" i="8"/>
  <c r="SVS57" i="8"/>
  <c r="SVR57" i="8"/>
  <c r="SVQ57" i="8"/>
  <c r="SVP57" i="8"/>
  <c r="SVO57" i="8"/>
  <c r="SVN57" i="8"/>
  <c r="SVM57" i="8"/>
  <c r="SVL57" i="8"/>
  <c r="SVK57" i="8"/>
  <c r="SVJ57" i="8"/>
  <c r="SVI57" i="8"/>
  <c r="SVH57" i="8"/>
  <c r="SVG57" i="8"/>
  <c r="SVF57" i="8"/>
  <c r="SVE57" i="8"/>
  <c r="SVD57" i="8"/>
  <c r="SVC57" i="8"/>
  <c r="SVB57" i="8"/>
  <c r="SVA57" i="8"/>
  <c r="SUZ57" i="8"/>
  <c r="SUY57" i="8"/>
  <c r="SUX57" i="8"/>
  <c r="SUW57" i="8"/>
  <c r="SUV57" i="8"/>
  <c r="SUU57" i="8"/>
  <c r="SUT57" i="8"/>
  <c r="SUS57" i="8"/>
  <c r="SUR57" i="8"/>
  <c r="SUQ57" i="8"/>
  <c r="SUP57" i="8"/>
  <c r="SUO57" i="8"/>
  <c r="SUN57" i="8"/>
  <c r="SUM57" i="8"/>
  <c r="SUL57" i="8"/>
  <c r="SUK57" i="8"/>
  <c r="SUJ57" i="8"/>
  <c r="SUI57" i="8"/>
  <c r="SUH57" i="8"/>
  <c r="SUG57" i="8"/>
  <c r="SUF57" i="8"/>
  <c r="SUE57" i="8"/>
  <c r="SUD57" i="8"/>
  <c r="SUC57" i="8"/>
  <c r="SUB57" i="8"/>
  <c r="SUA57" i="8"/>
  <c r="STZ57" i="8"/>
  <c r="STY57" i="8"/>
  <c r="STX57" i="8"/>
  <c r="STW57" i="8"/>
  <c r="STV57" i="8"/>
  <c r="STU57" i="8"/>
  <c r="STT57" i="8"/>
  <c r="STS57" i="8"/>
  <c r="STR57" i="8"/>
  <c r="STQ57" i="8"/>
  <c r="STP57" i="8"/>
  <c r="STO57" i="8"/>
  <c r="STN57" i="8"/>
  <c r="STM57" i="8"/>
  <c r="STL57" i="8"/>
  <c r="STK57" i="8"/>
  <c r="STJ57" i="8"/>
  <c r="STI57" i="8"/>
  <c r="STH57" i="8"/>
  <c r="STG57" i="8"/>
  <c r="STF57" i="8"/>
  <c r="STE57" i="8"/>
  <c r="STD57" i="8"/>
  <c r="STC57" i="8"/>
  <c r="STB57" i="8"/>
  <c r="STA57" i="8"/>
  <c r="SSZ57" i="8"/>
  <c r="SSY57" i="8"/>
  <c r="SSX57" i="8"/>
  <c r="SSW57" i="8"/>
  <c r="SSV57" i="8"/>
  <c r="SSU57" i="8"/>
  <c r="SST57" i="8"/>
  <c r="SSS57" i="8"/>
  <c r="SSR57" i="8"/>
  <c r="SSQ57" i="8"/>
  <c r="SSP57" i="8"/>
  <c r="SSO57" i="8"/>
  <c r="SSN57" i="8"/>
  <c r="SSM57" i="8"/>
  <c r="SSL57" i="8"/>
  <c r="SSK57" i="8"/>
  <c r="SSJ57" i="8"/>
  <c r="SSI57" i="8"/>
  <c r="SSH57" i="8"/>
  <c r="SSG57" i="8"/>
  <c r="SSF57" i="8"/>
  <c r="SSE57" i="8"/>
  <c r="SSD57" i="8"/>
  <c r="SSC57" i="8"/>
  <c r="SSB57" i="8"/>
  <c r="SSA57" i="8"/>
  <c r="SRZ57" i="8"/>
  <c r="SRY57" i="8"/>
  <c r="SRX57" i="8"/>
  <c r="SRW57" i="8"/>
  <c r="SRV57" i="8"/>
  <c r="SRU57" i="8"/>
  <c r="SRT57" i="8"/>
  <c r="SRS57" i="8"/>
  <c r="SRR57" i="8"/>
  <c r="SRQ57" i="8"/>
  <c r="SRP57" i="8"/>
  <c r="SRO57" i="8"/>
  <c r="SRN57" i="8"/>
  <c r="SRM57" i="8"/>
  <c r="SRL57" i="8"/>
  <c r="SRK57" i="8"/>
  <c r="SRJ57" i="8"/>
  <c r="SRI57" i="8"/>
  <c r="SRH57" i="8"/>
  <c r="SRG57" i="8"/>
  <c r="SRF57" i="8"/>
  <c r="SRE57" i="8"/>
  <c r="SRD57" i="8"/>
  <c r="SRC57" i="8"/>
  <c r="SRB57" i="8"/>
  <c r="SRA57" i="8"/>
  <c r="SQZ57" i="8"/>
  <c r="SQY57" i="8"/>
  <c r="SQX57" i="8"/>
  <c r="SQW57" i="8"/>
  <c r="SQV57" i="8"/>
  <c r="SQU57" i="8"/>
  <c r="SQT57" i="8"/>
  <c r="SQS57" i="8"/>
  <c r="SQR57" i="8"/>
  <c r="SQQ57" i="8"/>
  <c r="SQP57" i="8"/>
  <c r="SQO57" i="8"/>
  <c r="SQN57" i="8"/>
  <c r="SQM57" i="8"/>
  <c r="SQL57" i="8"/>
  <c r="SQK57" i="8"/>
  <c r="SQJ57" i="8"/>
  <c r="SQI57" i="8"/>
  <c r="SQH57" i="8"/>
  <c r="SQG57" i="8"/>
  <c r="SQF57" i="8"/>
  <c r="SQE57" i="8"/>
  <c r="SQD57" i="8"/>
  <c r="SQC57" i="8"/>
  <c r="SQB57" i="8"/>
  <c r="SQA57" i="8"/>
  <c r="SPZ57" i="8"/>
  <c r="SPY57" i="8"/>
  <c r="SPX57" i="8"/>
  <c r="SPW57" i="8"/>
  <c r="SPV57" i="8"/>
  <c r="SPU57" i="8"/>
  <c r="SPT57" i="8"/>
  <c r="SPS57" i="8"/>
  <c r="SPR57" i="8"/>
  <c r="SPQ57" i="8"/>
  <c r="SPP57" i="8"/>
  <c r="SPO57" i="8"/>
  <c r="SPN57" i="8"/>
  <c r="SPM57" i="8"/>
  <c r="SPL57" i="8"/>
  <c r="SPK57" i="8"/>
  <c r="SPJ57" i="8"/>
  <c r="SPI57" i="8"/>
  <c r="SPH57" i="8"/>
  <c r="SPG57" i="8"/>
  <c r="SPF57" i="8"/>
  <c r="SPE57" i="8"/>
  <c r="SPD57" i="8"/>
  <c r="SPC57" i="8"/>
  <c r="SPB57" i="8"/>
  <c r="SPA57" i="8"/>
  <c r="SOZ57" i="8"/>
  <c r="SOY57" i="8"/>
  <c r="SOX57" i="8"/>
  <c r="SOW57" i="8"/>
  <c r="SOV57" i="8"/>
  <c r="SOU57" i="8"/>
  <c r="SOT57" i="8"/>
  <c r="SOS57" i="8"/>
  <c r="SOR57" i="8"/>
  <c r="SOQ57" i="8"/>
  <c r="SOP57" i="8"/>
  <c r="SOO57" i="8"/>
  <c r="SON57" i="8"/>
  <c r="SOM57" i="8"/>
  <c r="SOL57" i="8"/>
  <c r="SOK57" i="8"/>
  <c r="SOJ57" i="8"/>
  <c r="SOI57" i="8"/>
  <c r="SOH57" i="8"/>
  <c r="SOG57" i="8"/>
  <c r="SOF57" i="8"/>
  <c r="SOE57" i="8"/>
  <c r="SOD57" i="8"/>
  <c r="SOC57" i="8"/>
  <c r="SOB57" i="8"/>
  <c r="SOA57" i="8"/>
  <c r="SNZ57" i="8"/>
  <c r="SNY57" i="8"/>
  <c r="SNX57" i="8"/>
  <c r="SNW57" i="8"/>
  <c r="SNV57" i="8"/>
  <c r="SNU57" i="8"/>
  <c r="SNT57" i="8"/>
  <c r="SNS57" i="8"/>
  <c r="SNR57" i="8"/>
  <c r="SNQ57" i="8"/>
  <c r="SNP57" i="8"/>
  <c r="SNO57" i="8"/>
  <c r="SNN57" i="8"/>
  <c r="SNM57" i="8"/>
  <c r="SNL57" i="8"/>
  <c r="SNK57" i="8"/>
  <c r="SNJ57" i="8"/>
  <c r="SNI57" i="8"/>
  <c r="SNH57" i="8"/>
  <c r="SNG57" i="8"/>
  <c r="SNF57" i="8"/>
  <c r="SNE57" i="8"/>
  <c r="SND57" i="8"/>
  <c r="SNC57" i="8"/>
  <c r="SNB57" i="8"/>
  <c r="SNA57" i="8"/>
  <c r="SMZ57" i="8"/>
  <c r="SMY57" i="8"/>
  <c r="SMX57" i="8"/>
  <c r="SMW57" i="8"/>
  <c r="SMV57" i="8"/>
  <c r="SMU57" i="8"/>
  <c r="SMT57" i="8"/>
  <c r="SMS57" i="8"/>
  <c r="SMR57" i="8"/>
  <c r="SMQ57" i="8"/>
  <c r="SMP57" i="8"/>
  <c r="SMO57" i="8"/>
  <c r="SMN57" i="8"/>
  <c r="SMM57" i="8"/>
  <c r="SML57" i="8"/>
  <c r="SMK57" i="8"/>
  <c r="SMJ57" i="8"/>
  <c r="SMI57" i="8"/>
  <c r="SMH57" i="8"/>
  <c r="SMG57" i="8"/>
  <c r="SMF57" i="8"/>
  <c r="SME57" i="8"/>
  <c r="SMD57" i="8"/>
  <c r="SMC57" i="8"/>
  <c r="SMB57" i="8"/>
  <c r="SMA57" i="8"/>
  <c r="SLZ57" i="8"/>
  <c r="SLY57" i="8"/>
  <c r="SLX57" i="8"/>
  <c r="SLW57" i="8"/>
  <c r="SLV57" i="8"/>
  <c r="SLU57" i="8"/>
  <c r="SLT57" i="8"/>
  <c r="SLS57" i="8"/>
  <c r="SLR57" i="8"/>
  <c r="SLQ57" i="8"/>
  <c r="SLP57" i="8"/>
  <c r="SLO57" i="8"/>
  <c r="SLN57" i="8"/>
  <c r="SLM57" i="8"/>
  <c r="SLL57" i="8"/>
  <c r="SLK57" i="8"/>
  <c r="SLJ57" i="8"/>
  <c r="SLI57" i="8"/>
  <c r="SLH57" i="8"/>
  <c r="SLG57" i="8"/>
  <c r="SLF57" i="8"/>
  <c r="SLE57" i="8"/>
  <c r="SLD57" i="8"/>
  <c r="SLC57" i="8"/>
  <c r="SLB57" i="8"/>
  <c r="SLA57" i="8"/>
  <c r="SKZ57" i="8"/>
  <c r="SKY57" i="8"/>
  <c r="SKX57" i="8"/>
  <c r="SKW57" i="8"/>
  <c r="SKV57" i="8"/>
  <c r="SKU57" i="8"/>
  <c r="SKT57" i="8"/>
  <c r="SKS57" i="8"/>
  <c r="SKR57" i="8"/>
  <c r="SKQ57" i="8"/>
  <c r="SKP57" i="8"/>
  <c r="SKO57" i="8"/>
  <c r="SKN57" i="8"/>
  <c r="SKM57" i="8"/>
  <c r="SKL57" i="8"/>
  <c r="SKK57" i="8"/>
  <c r="SKJ57" i="8"/>
  <c r="SKI57" i="8"/>
  <c r="SKH57" i="8"/>
  <c r="SKG57" i="8"/>
  <c r="SKF57" i="8"/>
  <c r="SKE57" i="8"/>
  <c r="SKD57" i="8"/>
  <c r="SKC57" i="8"/>
  <c r="SKB57" i="8"/>
  <c r="SKA57" i="8"/>
  <c r="SJZ57" i="8"/>
  <c r="SJY57" i="8"/>
  <c r="SJX57" i="8"/>
  <c r="SJW57" i="8"/>
  <c r="SJV57" i="8"/>
  <c r="SJU57" i="8"/>
  <c r="SJT57" i="8"/>
  <c r="SJS57" i="8"/>
  <c r="SJR57" i="8"/>
  <c r="SJQ57" i="8"/>
  <c r="SJP57" i="8"/>
  <c r="SJO57" i="8"/>
  <c r="SJN57" i="8"/>
  <c r="SJM57" i="8"/>
  <c r="SJL57" i="8"/>
  <c r="SJK57" i="8"/>
  <c r="SJJ57" i="8"/>
  <c r="SJI57" i="8"/>
  <c r="SJH57" i="8"/>
  <c r="SJG57" i="8"/>
  <c r="SJF57" i="8"/>
  <c r="SJE57" i="8"/>
  <c r="SJD57" i="8"/>
  <c r="SJC57" i="8"/>
  <c r="SJB57" i="8"/>
  <c r="SJA57" i="8"/>
  <c r="SIZ57" i="8"/>
  <c r="SIY57" i="8"/>
  <c r="SIX57" i="8"/>
  <c r="SIW57" i="8"/>
  <c r="SIV57" i="8"/>
  <c r="SIU57" i="8"/>
  <c r="SIT57" i="8"/>
  <c r="SIS57" i="8"/>
  <c r="SIR57" i="8"/>
  <c r="SIQ57" i="8"/>
  <c r="SIP57" i="8"/>
  <c r="SIO57" i="8"/>
  <c r="SIN57" i="8"/>
  <c r="SIM57" i="8"/>
  <c r="SIL57" i="8"/>
  <c r="SIK57" i="8"/>
  <c r="SIJ57" i="8"/>
  <c r="SII57" i="8"/>
  <c r="SIH57" i="8"/>
  <c r="SIG57" i="8"/>
  <c r="SIF57" i="8"/>
  <c r="SIE57" i="8"/>
  <c r="SID57" i="8"/>
  <c r="SIC57" i="8"/>
  <c r="SIB57" i="8"/>
  <c r="SIA57" i="8"/>
  <c r="SHZ57" i="8"/>
  <c r="SHY57" i="8"/>
  <c r="SHX57" i="8"/>
  <c r="SHW57" i="8"/>
  <c r="SHV57" i="8"/>
  <c r="SHU57" i="8"/>
  <c r="SHT57" i="8"/>
  <c r="SHS57" i="8"/>
  <c r="SHR57" i="8"/>
  <c r="SHQ57" i="8"/>
  <c r="SHP57" i="8"/>
  <c r="SHO57" i="8"/>
  <c r="SHN57" i="8"/>
  <c r="SHM57" i="8"/>
  <c r="SHL57" i="8"/>
  <c r="SHK57" i="8"/>
  <c r="SHJ57" i="8"/>
  <c r="SHI57" i="8"/>
  <c r="SHH57" i="8"/>
  <c r="SHG57" i="8"/>
  <c r="SHF57" i="8"/>
  <c r="SHE57" i="8"/>
  <c r="SHD57" i="8"/>
  <c r="SHC57" i="8"/>
  <c r="SHB57" i="8"/>
  <c r="SHA57" i="8"/>
  <c r="SGZ57" i="8"/>
  <c r="SGY57" i="8"/>
  <c r="SGX57" i="8"/>
  <c r="SGW57" i="8"/>
  <c r="SGV57" i="8"/>
  <c r="SGU57" i="8"/>
  <c r="SGT57" i="8"/>
  <c r="SGS57" i="8"/>
  <c r="SGR57" i="8"/>
  <c r="SGQ57" i="8"/>
  <c r="SGP57" i="8"/>
  <c r="SGO57" i="8"/>
  <c r="SGN57" i="8"/>
  <c r="SGM57" i="8"/>
  <c r="SGL57" i="8"/>
  <c r="SGK57" i="8"/>
  <c r="SGJ57" i="8"/>
  <c r="SGI57" i="8"/>
  <c r="SGH57" i="8"/>
  <c r="SGG57" i="8"/>
  <c r="SGF57" i="8"/>
  <c r="SGE57" i="8"/>
  <c r="SGD57" i="8"/>
  <c r="SGC57" i="8"/>
  <c r="SGB57" i="8"/>
  <c r="SGA57" i="8"/>
  <c r="SFZ57" i="8"/>
  <c r="SFY57" i="8"/>
  <c r="SFX57" i="8"/>
  <c r="SFW57" i="8"/>
  <c r="SFV57" i="8"/>
  <c r="SFU57" i="8"/>
  <c r="SFT57" i="8"/>
  <c r="SFS57" i="8"/>
  <c r="SFR57" i="8"/>
  <c r="SFQ57" i="8"/>
  <c r="SFP57" i="8"/>
  <c r="SFO57" i="8"/>
  <c r="SFN57" i="8"/>
  <c r="SFM57" i="8"/>
  <c r="SFL57" i="8"/>
  <c r="SFK57" i="8"/>
  <c r="SFJ57" i="8"/>
  <c r="SFI57" i="8"/>
  <c r="SFH57" i="8"/>
  <c r="SFG57" i="8"/>
  <c r="SFF57" i="8"/>
  <c r="SFE57" i="8"/>
  <c r="SFD57" i="8"/>
  <c r="SFC57" i="8"/>
  <c r="SFB57" i="8"/>
  <c r="SFA57" i="8"/>
  <c r="SEZ57" i="8"/>
  <c r="SEY57" i="8"/>
  <c r="SEX57" i="8"/>
  <c r="SEW57" i="8"/>
  <c r="SEV57" i="8"/>
  <c r="SEU57" i="8"/>
  <c r="SET57" i="8"/>
  <c r="SES57" i="8"/>
  <c r="SER57" i="8"/>
  <c r="SEQ57" i="8"/>
  <c r="SEP57" i="8"/>
  <c r="SEO57" i="8"/>
  <c r="SEN57" i="8"/>
  <c r="SEM57" i="8"/>
  <c r="SEL57" i="8"/>
  <c r="SEK57" i="8"/>
  <c r="SEJ57" i="8"/>
  <c r="SEI57" i="8"/>
  <c r="SEH57" i="8"/>
  <c r="SEG57" i="8"/>
  <c r="SEF57" i="8"/>
  <c r="SEE57" i="8"/>
  <c r="SED57" i="8"/>
  <c r="SEC57" i="8"/>
  <c r="SEB57" i="8"/>
  <c r="SEA57" i="8"/>
  <c r="SDZ57" i="8"/>
  <c r="SDY57" i="8"/>
  <c r="SDX57" i="8"/>
  <c r="SDW57" i="8"/>
  <c r="SDV57" i="8"/>
  <c r="SDU57" i="8"/>
  <c r="SDT57" i="8"/>
  <c r="SDS57" i="8"/>
  <c r="SDR57" i="8"/>
  <c r="SDQ57" i="8"/>
  <c r="SDP57" i="8"/>
  <c r="SDO57" i="8"/>
  <c r="SDN57" i="8"/>
  <c r="SDM57" i="8"/>
  <c r="SDL57" i="8"/>
  <c r="SDK57" i="8"/>
  <c r="SDJ57" i="8"/>
  <c r="SDI57" i="8"/>
  <c r="SDH57" i="8"/>
  <c r="SDG57" i="8"/>
  <c r="SDF57" i="8"/>
  <c r="SDE57" i="8"/>
  <c r="SDD57" i="8"/>
  <c r="SDC57" i="8"/>
  <c r="SDB57" i="8"/>
  <c r="SDA57" i="8"/>
  <c r="SCZ57" i="8"/>
  <c r="SCY57" i="8"/>
  <c r="SCX57" i="8"/>
  <c r="SCW57" i="8"/>
  <c r="SCV57" i="8"/>
  <c r="SCU57" i="8"/>
  <c r="SCT57" i="8"/>
  <c r="SCS57" i="8"/>
  <c r="SCR57" i="8"/>
  <c r="SCQ57" i="8"/>
  <c r="SCP57" i="8"/>
  <c r="SCO57" i="8"/>
  <c r="SCN57" i="8"/>
  <c r="SCM57" i="8"/>
  <c r="SCL57" i="8"/>
  <c r="SCK57" i="8"/>
  <c r="SCJ57" i="8"/>
  <c r="SCI57" i="8"/>
  <c r="SCH57" i="8"/>
  <c r="SCG57" i="8"/>
  <c r="SCF57" i="8"/>
  <c r="SCE57" i="8"/>
  <c r="SCD57" i="8"/>
  <c r="SCC57" i="8"/>
  <c r="SCB57" i="8"/>
  <c r="SCA57" i="8"/>
  <c r="SBZ57" i="8"/>
  <c r="SBY57" i="8"/>
  <c r="SBX57" i="8"/>
  <c r="SBW57" i="8"/>
  <c r="SBV57" i="8"/>
  <c r="SBU57" i="8"/>
  <c r="SBT57" i="8"/>
  <c r="SBS57" i="8"/>
  <c r="SBR57" i="8"/>
  <c r="SBQ57" i="8"/>
  <c r="SBP57" i="8"/>
  <c r="SBO57" i="8"/>
  <c r="SBN57" i="8"/>
  <c r="SBM57" i="8"/>
  <c r="SBL57" i="8"/>
  <c r="SBK57" i="8"/>
  <c r="SBJ57" i="8"/>
  <c r="SBI57" i="8"/>
  <c r="SBH57" i="8"/>
  <c r="SBG57" i="8"/>
  <c r="SBF57" i="8"/>
  <c r="SBE57" i="8"/>
  <c r="SBD57" i="8"/>
  <c r="SBC57" i="8"/>
  <c r="SBB57" i="8"/>
  <c r="SBA57" i="8"/>
  <c r="SAZ57" i="8"/>
  <c r="SAY57" i="8"/>
  <c r="SAX57" i="8"/>
  <c r="SAW57" i="8"/>
  <c r="SAV57" i="8"/>
  <c r="SAU57" i="8"/>
  <c r="SAT57" i="8"/>
  <c r="SAS57" i="8"/>
  <c r="SAR57" i="8"/>
  <c r="SAQ57" i="8"/>
  <c r="SAP57" i="8"/>
  <c r="SAO57" i="8"/>
  <c r="SAN57" i="8"/>
  <c r="SAM57" i="8"/>
  <c r="SAL57" i="8"/>
  <c r="SAK57" i="8"/>
  <c r="SAJ57" i="8"/>
  <c r="SAI57" i="8"/>
  <c r="SAH57" i="8"/>
  <c r="SAG57" i="8"/>
  <c r="SAF57" i="8"/>
  <c r="SAE57" i="8"/>
  <c r="SAD57" i="8"/>
  <c r="SAC57" i="8"/>
  <c r="SAB57" i="8"/>
  <c r="SAA57" i="8"/>
  <c r="RZZ57" i="8"/>
  <c r="RZY57" i="8"/>
  <c r="RZX57" i="8"/>
  <c r="RZW57" i="8"/>
  <c r="RZV57" i="8"/>
  <c r="RZU57" i="8"/>
  <c r="RZT57" i="8"/>
  <c r="RZS57" i="8"/>
  <c r="RZR57" i="8"/>
  <c r="RZQ57" i="8"/>
  <c r="RZP57" i="8"/>
  <c r="RZO57" i="8"/>
  <c r="RZN57" i="8"/>
  <c r="RZM57" i="8"/>
  <c r="RZL57" i="8"/>
  <c r="RZK57" i="8"/>
  <c r="RZJ57" i="8"/>
  <c r="RZI57" i="8"/>
  <c r="RZH57" i="8"/>
  <c r="RZG57" i="8"/>
  <c r="RZF57" i="8"/>
  <c r="RZE57" i="8"/>
  <c r="RZD57" i="8"/>
  <c r="RZC57" i="8"/>
  <c r="RZB57" i="8"/>
  <c r="RZA57" i="8"/>
  <c r="RYZ57" i="8"/>
  <c r="RYY57" i="8"/>
  <c r="RYX57" i="8"/>
  <c r="RYW57" i="8"/>
  <c r="RYV57" i="8"/>
  <c r="RYU57" i="8"/>
  <c r="RYT57" i="8"/>
  <c r="RYS57" i="8"/>
  <c r="RYR57" i="8"/>
  <c r="RYQ57" i="8"/>
  <c r="RYP57" i="8"/>
  <c r="RYO57" i="8"/>
  <c r="RYN57" i="8"/>
  <c r="RYM57" i="8"/>
  <c r="RYL57" i="8"/>
  <c r="RYK57" i="8"/>
  <c r="RYJ57" i="8"/>
  <c r="RYI57" i="8"/>
  <c r="RYH57" i="8"/>
  <c r="RYG57" i="8"/>
  <c r="RYF57" i="8"/>
  <c r="RYE57" i="8"/>
  <c r="RYD57" i="8"/>
  <c r="RYC57" i="8"/>
  <c r="RYB57" i="8"/>
  <c r="RYA57" i="8"/>
  <c r="RXZ57" i="8"/>
  <c r="RXY57" i="8"/>
  <c r="RXX57" i="8"/>
  <c r="RXW57" i="8"/>
  <c r="RXV57" i="8"/>
  <c r="RXU57" i="8"/>
  <c r="RXT57" i="8"/>
  <c r="RXS57" i="8"/>
  <c r="RXR57" i="8"/>
  <c r="RXQ57" i="8"/>
  <c r="RXP57" i="8"/>
  <c r="RXO57" i="8"/>
  <c r="RXN57" i="8"/>
  <c r="RXM57" i="8"/>
  <c r="RXL57" i="8"/>
  <c r="RXK57" i="8"/>
  <c r="RXJ57" i="8"/>
  <c r="RXI57" i="8"/>
  <c r="RXH57" i="8"/>
  <c r="RXG57" i="8"/>
  <c r="RXF57" i="8"/>
  <c r="RXE57" i="8"/>
  <c r="RXD57" i="8"/>
  <c r="RXC57" i="8"/>
  <c r="RXB57" i="8"/>
  <c r="RXA57" i="8"/>
  <c r="RWZ57" i="8"/>
  <c r="RWY57" i="8"/>
  <c r="RWX57" i="8"/>
  <c r="RWW57" i="8"/>
  <c r="RWV57" i="8"/>
  <c r="RWU57" i="8"/>
  <c r="RWT57" i="8"/>
  <c r="RWS57" i="8"/>
  <c r="RWR57" i="8"/>
  <c r="RWQ57" i="8"/>
  <c r="RWP57" i="8"/>
  <c r="RWO57" i="8"/>
  <c r="RWN57" i="8"/>
  <c r="RWM57" i="8"/>
  <c r="RWL57" i="8"/>
  <c r="RWK57" i="8"/>
  <c r="RWJ57" i="8"/>
  <c r="RWI57" i="8"/>
  <c r="RWH57" i="8"/>
  <c r="RWG57" i="8"/>
  <c r="RWF57" i="8"/>
  <c r="RWE57" i="8"/>
  <c r="RWD57" i="8"/>
  <c r="RWC57" i="8"/>
  <c r="RWB57" i="8"/>
  <c r="RWA57" i="8"/>
  <c r="RVZ57" i="8"/>
  <c r="RVY57" i="8"/>
  <c r="RVX57" i="8"/>
  <c r="RVW57" i="8"/>
  <c r="RVV57" i="8"/>
  <c r="RVU57" i="8"/>
  <c r="RVT57" i="8"/>
  <c r="RVS57" i="8"/>
  <c r="RVR57" i="8"/>
  <c r="RVQ57" i="8"/>
  <c r="RVP57" i="8"/>
  <c r="RVO57" i="8"/>
  <c r="RVN57" i="8"/>
  <c r="RVM57" i="8"/>
  <c r="RVL57" i="8"/>
  <c r="RVK57" i="8"/>
  <c r="RVJ57" i="8"/>
  <c r="RVI57" i="8"/>
  <c r="RVH57" i="8"/>
  <c r="RVG57" i="8"/>
  <c r="RVF57" i="8"/>
  <c r="RVE57" i="8"/>
  <c r="RVD57" i="8"/>
  <c r="RVC57" i="8"/>
  <c r="RVB57" i="8"/>
  <c r="RVA57" i="8"/>
  <c r="RUZ57" i="8"/>
  <c r="RUY57" i="8"/>
  <c r="RUX57" i="8"/>
  <c r="RUW57" i="8"/>
  <c r="RUV57" i="8"/>
  <c r="RUU57" i="8"/>
  <c r="RUT57" i="8"/>
  <c r="RUS57" i="8"/>
  <c r="RUR57" i="8"/>
  <c r="RUQ57" i="8"/>
  <c r="RUP57" i="8"/>
  <c r="RUO57" i="8"/>
  <c r="RUN57" i="8"/>
  <c r="RUM57" i="8"/>
  <c r="RUL57" i="8"/>
  <c r="RUK57" i="8"/>
  <c r="RUJ57" i="8"/>
  <c r="RUI57" i="8"/>
  <c r="RUH57" i="8"/>
  <c r="RUG57" i="8"/>
  <c r="RUF57" i="8"/>
  <c r="RUE57" i="8"/>
  <c r="RUD57" i="8"/>
  <c r="RUC57" i="8"/>
  <c r="RUB57" i="8"/>
  <c r="RUA57" i="8"/>
  <c r="RTZ57" i="8"/>
  <c r="RTY57" i="8"/>
  <c r="RTX57" i="8"/>
  <c r="RTW57" i="8"/>
  <c r="RTV57" i="8"/>
  <c r="RTU57" i="8"/>
  <c r="RTT57" i="8"/>
  <c r="RTS57" i="8"/>
  <c r="RTR57" i="8"/>
  <c r="RTQ57" i="8"/>
  <c r="RTP57" i="8"/>
  <c r="RTO57" i="8"/>
  <c r="RTN57" i="8"/>
  <c r="RTM57" i="8"/>
  <c r="RTL57" i="8"/>
  <c r="RTK57" i="8"/>
  <c r="RTJ57" i="8"/>
  <c r="RTI57" i="8"/>
  <c r="RTH57" i="8"/>
  <c r="RTG57" i="8"/>
  <c r="RTF57" i="8"/>
  <c r="RTE57" i="8"/>
  <c r="RTD57" i="8"/>
  <c r="RTC57" i="8"/>
  <c r="RTB57" i="8"/>
  <c r="RTA57" i="8"/>
  <c r="RSZ57" i="8"/>
  <c r="RSY57" i="8"/>
  <c r="RSX57" i="8"/>
  <c r="RSW57" i="8"/>
  <c r="RSV57" i="8"/>
  <c r="RSU57" i="8"/>
  <c r="RST57" i="8"/>
  <c r="RSS57" i="8"/>
  <c r="RSR57" i="8"/>
  <c r="RSQ57" i="8"/>
  <c r="RSP57" i="8"/>
  <c r="RSO57" i="8"/>
  <c r="RSN57" i="8"/>
  <c r="RSM57" i="8"/>
  <c r="RSL57" i="8"/>
  <c r="RSK57" i="8"/>
  <c r="RSJ57" i="8"/>
  <c r="RSI57" i="8"/>
  <c r="RSH57" i="8"/>
  <c r="RSG57" i="8"/>
  <c r="RSF57" i="8"/>
  <c r="RSE57" i="8"/>
  <c r="RSD57" i="8"/>
  <c r="RSC57" i="8"/>
  <c r="RSB57" i="8"/>
  <c r="RSA57" i="8"/>
  <c r="RRZ57" i="8"/>
  <c r="RRY57" i="8"/>
  <c r="RRX57" i="8"/>
  <c r="RRW57" i="8"/>
  <c r="RRV57" i="8"/>
  <c r="RRU57" i="8"/>
  <c r="RRT57" i="8"/>
  <c r="RRS57" i="8"/>
  <c r="RRR57" i="8"/>
  <c r="RRQ57" i="8"/>
  <c r="RRP57" i="8"/>
  <c r="RRO57" i="8"/>
  <c r="RRN57" i="8"/>
  <c r="RRM57" i="8"/>
  <c r="RRL57" i="8"/>
  <c r="RRK57" i="8"/>
  <c r="RRJ57" i="8"/>
  <c r="RRI57" i="8"/>
  <c r="RRH57" i="8"/>
  <c r="RRG57" i="8"/>
  <c r="RRF57" i="8"/>
  <c r="RRE57" i="8"/>
  <c r="RRD57" i="8"/>
  <c r="RRC57" i="8"/>
  <c r="RRB57" i="8"/>
  <c r="RRA57" i="8"/>
  <c r="RQZ57" i="8"/>
  <c r="RQY57" i="8"/>
  <c r="RQX57" i="8"/>
  <c r="RQW57" i="8"/>
  <c r="RQV57" i="8"/>
  <c r="RQU57" i="8"/>
  <c r="RQT57" i="8"/>
  <c r="RQS57" i="8"/>
  <c r="RQR57" i="8"/>
  <c r="RQQ57" i="8"/>
  <c r="RQP57" i="8"/>
  <c r="RQO57" i="8"/>
  <c r="RQN57" i="8"/>
  <c r="RQM57" i="8"/>
  <c r="RQL57" i="8"/>
  <c r="RQK57" i="8"/>
  <c r="RQJ57" i="8"/>
  <c r="RQI57" i="8"/>
  <c r="RQH57" i="8"/>
  <c r="RQG57" i="8"/>
  <c r="RQF57" i="8"/>
  <c r="RQE57" i="8"/>
  <c r="RQD57" i="8"/>
  <c r="RQC57" i="8"/>
  <c r="RQB57" i="8"/>
  <c r="RQA57" i="8"/>
  <c r="RPZ57" i="8"/>
  <c r="RPY57" i="8"/>
  <c r="RPX57" i="8"/>
  <c r="RPW57" i="8"/>
  <c r="RPV57" i="8"/>
  <c r="RPU57" i="8"/>
  <c r="RPT57" i="8"/>
  <c r="RPS57" i="8"/>
  <c r="RPR57" i="8"/>
  <c r="RPQ57" i="8"/>
  <c r="RPP57" i="8"/>
  <c r="RPO57" i="8"/>
  <c r="RPN57" i="8"/>
  <c r="RPM57" i="8"/>
  <c r="RPL57" i="8"/>
  <c r="RPK57" i="8"/>
  <c r="RPJ57" i="8"/>
  <c r="RPI57" i="8"/>
  <c r="RPH57" i="8"/>
  <c r="RPG57" i="8"/>
  <c r="RPF57" i="8"/>
  <c r="RPE57" i="8"/>
  <c r="RPD57" i="8"/>
  <c r="RPC57" i="8"/>
  <c r="RPB57" i="8"/>
  <c r="RPA57" i="8"/>
  <c r="ROZ57" i="8"/>
  <c r="ROY57" i="8"/>
  <c r="ROX57" i="8"/>
  <c r="ROW57" i="8"/>
  <c r="ROV57" i="8"/>
  <c r="ROU57" i="8"/>
  <c r="ROT57" i="8"/>
  <c r="ROS57" i="8"/>
  <c r="ROR57" i="8"/>
  <c r="ROQ57" i="8"/>
  <c r="ROP57" i="8"/>
  <c r="ROO57" i="8"/>
  <c r="RON57" i="8"/>
  <c r="ROM57" i="8"/>
  <c r="ROL57" i="8"/>
  <c r="ROK57" i="8"/>
  <c r="ROJ57" i="8"/>
  <c r="ROI57" i="8"/>
  <c r="ROH57" i="8"/>
  <c r="ROG57" i="8"/>
  <c r="ROF57" i="8"/>
  <c r="ROE57" i="8"/>
  <c r="ROD57" i="8"/>
  <c r="ROC57" i="8"/>
  <c r="ROB57" i="8"/>
  <c r="ROA57" i="8"/>
  <c r="RNZ57" i="8"/>
  <c r="RNY57" i="8"/>
  <c r="RNX57" i="8"/>
  <c r="RNW57" i="8"/>
  <c r="RNV57" i="8"/>
  <c r="RNU57" i="8"/>
  <c r="RNT57" i="8"/>
  <c r="RNS57" i="8"/>
  <c r="RNR57" i="8"/>
  <c r="RNQ57" i="8"/>
  <c r="RNP57" i="8"/>
  <c r="RNO57" i="8"/>
  <c r="RNN57" i="8"/>
  <c r="RNM57" i="8"/>
  <c r="RNL57" i="8"/>
  <c r="RNK57" i="8"/>
  <c r="RNJ57" i="8"/>
  <c r="RNI57" i="8"/>
  <c r="RNH57" i="8"/>
  <c r="RNG57" i="8"/>
  <c r="RNF57" i="8"/>
  <c r="RNE57" i="8"/>
  <c r="RND57" i="8"/>
  <c r="RNC57" i="8"/>
  <c r="RNB57" i="8"/>
  <c r="RNA57" i="8"/>
  <c r="RMZ57" i="8"/>
  <c r="RMY57" i="8"/>
  <c r="RMX57" i="8"/>
  <c r="RMW57" i="8"/>
  <c r="RMV57" i="8"/>
  <c r="RMU57" i="8"/>
  <c r="RMT57" i="8"/>
  <c r="RMS57" i="8"/>
  <c r="RMR57" i="8"/>
  <c r="RMQ57" i="8"/>
  <c r="RMP57" i="8"/>
  <c r="RMO57" i="8"/>
  <c r="RMN57" i="8"/>
  <c r="RMM57" i="8"/>
  <c r="RML57" i="8"/>
  <c r="RMK57" i="8"/>
  <c r="RMJ57" i="8"/>
  <c r="RMI57" i="8"/>
  <c r="RMH57" i="8"/>
  <c r="RMG57" i="8"/>
  <c r="RMF57" i="8"/>
  <c r="RME57" i="8"/>
  <c r="RMD57" i="8"/>
  <c r="RMC57" i="8"/>
  <c r="RMB57" i="8"/>
  <c r="RMA57" i="8"/>
  <c r="RLZ57" i="8"/>
  <c r="RLY57" i="8"/>
  <c r="RLX57" i="8"/>
  <c r="RLW57" i="8"/>
  <c r="RLV57" i="8"/>
  <c r="RLU57" i="8"/>
  <c r="RLT57" i="8"/>
  <c r="RLS57" i="8"/>
  <c r="RLR57" i="8"/>
  <c r="RLQ57" i="8"/>
  <c r="RLP57" i="8"/>
  <c r="RLO57" i="8"/>
  <c r="RLN57" i="8"/>
  <c r="RLM57" i="8"/>
  <c r="RLL57" i="8"/>
  <c r="RLK57" i="8"/>
  <c r="RLJ57" i="8"/>
  <c r="RLI57" i="8"/>
  <c r="RLH57" i="8"/>
  <c r="RLG57" i="8"/>
  <c r="RLF57" i="8"/>
  <c r="RLE57" i="8"/>
  <c r="RLD57" i="8"/>
  <c r="RLC57" i="8"/>
  <c r="RLB57" i="8"/>
  <c r="RLA57" i="8"/>
  <c r="RKZ57" i="8"/>
  <c r="RKY57" i="8"/>
  <c r="RKX57" i="8"/>
  <c r="RKW57" i="8"/>
  <c r="RKV57" i="8"/>
  <c r="RKU57" i="8"/>
  <c r="RKT57" i="8"/>
  <c r="RKS57" i="8"/>
  <c r="RKR57" i="8"/>
  <c r="RKQ57" i="8"/>
  <c r="RKP57" i="8"/>
  <c r="RKO57" i="8"/>
  <c r="RKN57" i="8"/>
  <c r="RKM57" i="8"/>
  <c r="RKL57" i="8"/>
  <c r="RKK57" i="8"/>
  <c r="RKJ57" i="8"/>
  <c r="RKI57" i="8"/>
  <c r="RKH57" i="8"/>
  <c r="RKG57" i="8"/>
  <c r="RKF57" i="8"/>
  <c r="RKE57" i="8"/>
  <c r="RKD57" i="8"/>
  <c r="RKC57" i="8"/>
  <c r="RKB57" i="8"/>
  <c r="RKA57" i="8"/>
  <c r="RJZ57" i="8"/>
  <c r="RJY57" i="8"/>
  <c r="RJX57" i="8"/>
  <c r="RJW57" i="8"/>
  <c r="RJV57" i="8"/>
  <c r="RJU57" i="8"/>
  <c r="RJT57" i="8"/>
  <c r="RJS57" i="8"/>
  <c r="RJR57" i="8"/>
  <c r="RJQ57" i="8"/>
  <c r="RJP57" i="8"/>
  <c r="RJO57" i="8"/>
  <c r="RJN57" i="8"/>
  <c r="RJM57" i="8"/>
  <c r="RJL57" i="8"/>
  <c r="RJK57" i="8"/>
  <c r="RJJ57" i="8"/>
  <c r="RJI57" i="8"/>
  <c r="RJH57" i="8"/>
  <c r="RJG57" i="8"/>
  <c r="RJF57" i="8"/>
  <c r="RJE57" i="8"/>
  <c r="RJD57" i="8"/>
  <c r="RJC57" i="8"/>
  <c r="RJB57" i="8"/>
  <c r="RJA57" i="8"/>
  <c r="RIZ57" i="8"/>
  <c r="RIY57" i="8"/>
  <c r="RIX57" i="8"/>
  <c r="RIW57" i="8"/>
  <c r="RIV57" i="8"/>
  <c r="RIU57" i="8"/>
  <c r="RIT57" i="8"/>
  <c r="RIS57" i="8"/>
  <c r="RIR57" i="8"/>
  <c r="RIQ57" i="8"/>
  <c r="RIP57" i="8"/>
  <c r="RIO57" i="8"/>
  <c r="RIN57" i="8"/>
  <c r="RIM57" i="8"/>
  <c r="RIL57" i="8"/>
  <c r="RIK57" i="8"/>
  <c r="RIJ57" i="8"/>
  <c r="RII57" i="8"/>
  <c r="RIH57" i="8"/>
  <c r="RIG57" i="8"/>
  <c r="RIF57" i="8"/>
  <c r="RIE57" i="8"/>
  <c r="RID57" i="8"/>
  <c r="RIC57" i="8"/>
  <c r="RIB57" i="8"/>
  <c r="RIA57" i="8"/>
  <c r="RHZ57" i="8"/>
  <c r="RHY57" i="8"/>
  <c r="RHX57" i="8"/>
  <c r="RHW57" i="8"/>
  <c r="RHV57" i="8"/>
  <c r="RHU57" i="8"/>
  <c r="RHT57" i="8"/>
  <c r="RHS57" i="8"/>
  <c r="RHR57" i="8"/>
  <c r="RHQ57" i="8"/>
  <c r="RHP57" i="8"/>
  <c r="RHO57" i="8"/>
  <c r="RHN57" i="8"/>
  <c r="RHM57" i="8"/>
  <c r="RHL57" i="8"/>
  <c r="RHK57" i="8"/>
  <c r="RHJ57" i="8"/>
  <c r="RHI57" i="8"/>
  <c r="RHH57" i="8"/>
  <c r="RHG57" i="8"/>
  <c r="RHF57" i="8"/>
  <c r="RHE57" i="8"/>
  <c r="RHD57" i="8"/>
  <c r="RHC57" i="8"/>
  <c r="RHB57" i="8"/>
  <c r="RHA57" i="8"/>
  <c r="RGZ57" i="8"/>
  <c r="RGY57" i="8"/>
  <c r="RGX57" i="8"/>
  <c r="RGW57" i="8"/>
  <c r="RGV57" i="8"/>
  <c r="RGU57" i="8"/>
  <c r="RGT57" i="8"/>
  <c r="RGS57" i="8"/>
  <c r="RGR57" i="8"/>
  <c r="RGQ57" i="8"/>
  <c r="RGP57" i="8"/>
  <c r="RGO57" i="8"/>
  <c r="RGN57" i="8"/>
  <c r="RGM57" i="8"/>
  <c r="RGL57" i="8"/>
  <c r="RGK57" i="8"/>
  <c r="RGJ57" i="8"/>
  <c r="RGI57" i="8"/>
  <c r="RGH57" i="8"/>
  <c r="RGG57" i="8"/>
  <c r="RGF57" i="8"/>
  <c r="RGE57" i="8"/>
  <c r="RGD57" i="8"/>
  <c r="RGC57" i="8"/>
  <c r="RGB57" i="8"/>
  <c r="RGA57" i="8"/>
  <c r="RFZ57" i="8"/>
  <c r="RFY57" i="8"/>
  <c r="RFX57" i="8"/>
  <c r="RFW57" i="8"/>
  <c r="RFV57" i="8"/>
  <c r="RFU57" i="8"/>
  <c r="RFT57" i="8"/>
  <c r="RFS57" i="8"/>
  <c r="RFR57" i="8"/>
  <c r="RFQ57" i="8"/>
  <c r="RFP57" i="8"/>
  <c r="RFO57" i="8"/>
  <c r="RFN57" i="8"/>
  <c r="RFM57" i="8"/>
  <c r="RFL57" i="8"/>
  <c r="RFK57" i="8"/>
  <c r="RFJ57" i="8"/>
  <c r="RFI57" i="8"/>
  <c r="RFH57" i="8"/>
  <c r="RFG57" i="8"/>
  <c r="RFF57" i="8"/>
  <c r="RFE57" i="8"/>
  <c r="RFD57" i="8"/>
  <c r="RFC57" i="8"/>
  <c r="RFB57" i="8"/>
  <c r="RFA57" i="8"/>
  <c r="REZ57" i="8"/>
  <c r="REY57" i="8"/>
  <c r="REX57" i="8"/>
  <c r="REW57" i="8"/>
  <c r="REV57" i="8"/>
  <c r="REU57" i="8"/>
  <c r="RET57" i="8"/>
  <c r="RES57" i="8"/>
  <c r="RER57" i="8"/>
  <c r="REQ57" i="8"/>
  <c r="REP57" i="8"/>
  <c r="REO57" i="8"/>
  <c r="REN57" i="8"/>
  <c r="REM57" i="8"/>
  <c r="REL57" i="8"/>
  <c r="REK57" i="8"/>
  <c r="REJ57" i="8"/>
  <c r="REI57" i="8"/>
  <c r="REH57" i="8"/>
  <c r="REG57" i="8"/>
  <c r="REF57" i="8"/>
  <c r="REE57" i="8"/>
  <c r="RED57" i="8"/>
  <c r="REC57" i="8"/>
  <c r="REB57" i="8"/>
  <c r="REA57" i="8"/>
  <c r="RDZ57" i="8"/>
  <c r="RDY57" i="8"/>
  <c r="RDX57" i="8"/>
  <c r="RDW57" i="8"/>
  <c r="RDV57" i="8"/>
  <c r="RDU57" i="8"/>
  <c r="RDT57" i="8"/>
  <c r="RDS57" i="8"/>
  <c r="RDR57" i="8"/>
  <c r="RDQ57" i="8"/>
  <c r="RDP57" i="8"/>
  <c r="RDO57" i="8"/>
  <c r="RDN57" i="8"/>
  <c r="RDM57" i="8"/>
  <c r="RDL57" i="8"/>
  <c r="RDK57" i="8"/>
  <c r="RDJ57" i="8"/>
  <c r="RDI57" i="8"/>
  <c r="RDH57" i="8"/>
  <c r="RDG57" i="8"/>
  <c r="RDF57" i="8"/>
  <c r="RDE57" i="8"/>
  <c r="RDD57" i="8"/>
  <c r="RDC57" i="8"/>
  <c r="RDB57" i="8"/>
  <c r="RDA57" i="8"/>
  <c r="RCZ57" i="8"/>
  <c r="RCY57" i="8"/>
  <c r="RCX57" i="8"/>
  <c r="RCW57" i="8"/>
  <c r="RCV57" i="8"/>
  <c r="RCU57" i="8"/>
  <c r="RCT57" i="8"/>
  <c r="RCS57" i="8"/>
  <c r="RCR57" i="8"/>
  <c r="RCQ57" i="8"/>
  <c r="RCP57" i="8"/>
  <c r="RCO57" i="8"/>
  <c r="RCN57" i="8"/>
  <c r="RCM57" i="8"/>
  <c r="RCL57" i="8"/>
  <c r="RCK57" i="8"/>
  <c r="RCJ57" i="8"/>
  <c r="RCI57" i="8"/>
  <c r="RCH57" i="8"/>
  <c r="RCG57" i="8"/>
  <c r="RCF57" i="8"/>
  <c r="RCE57" i="8"/>
  <c r="RCD57" i="8"/>
  <c r="RCC57" i="8"/>
  <c r="RCB57" i="8"/>
  <c r="RCA57" i="8"/>
  <c r="RBZ57" i="8"/>
  <c r="RBY57" i="8"/>
  <c r="RBX57" i="8"/>
  <c r="RBW57" i="8"/>
  <c r="RBV57" i="8"/>
  <c r="RBU57" i="8"/>
  <c r="RBT57" i="8"/>
  <c r="RBS57" i="8"/>
  <c r="RBR57" i="8"/>
  <c r="RBQ57" i="8"/>
  <c r="RBP57" i="8"/>
  <c r="RBO57" i="8"/>
  <c r="RBN57" i="8"/>
  <c r="RBM57" i="8"/>
  <c r="RBL57" i="8"/>
  <c r="RBK57" i="8"/>
  <c r="RBJ57" i="8"/>
  <c r="RBI57" i="8"/>
  <c r="RBH57" i="8"/>
  <c r="RBG57" i="8"/>
  <c r="RBF57" i="8"/>
  <c r="RBE57" i="8"/>
  <c r="RBD57" i="8"/>
  <c r="RBC57" i="8"/>
  <c r="RBB57" i="8"/>
  <c r="RBA57" i="8"/>
  <c r="RAZ57" i="8"/>
  <c r="RAY57" i="8"/>
  <c r="RAX57" i="8"/>
  <c r="RAW57" i="8"/>
  <c r="RAV57" i="8"/>
  <c r="RAU57" i="8"/>
  <c r="RAT57" i="8"/>
  <c r="RAS57" i="8"/>
  <c r="RAR57" i="8"/>
  <c r="RAQ57" i="8"/>
  <c r="RAP57" i="8"/>
  <c r="RAO57" i="8"/>
  <c r="RAN57" i="8"/>
  <c r="RAM57" i="8"/>
  <c r="RAL57" i="8"/>
  <c r="RAK57" i="8"/>
  <c r="RAJ57" i="8"/>
  <c r="RAI57" i="8"/>
  <c r="RAH57" i="8"/>
  <c r="RAG57" i="8"/>
  <c r="RAF57" i="8"/>
  <c r="RAE57" i="8"/>
  <c r="RAD57" i="8"/>
  <c r="RAC57" i="8"/>
  <c r="RAB57" i="8"/>
  <c r="RAA57" i="8"/>
  <c r="QZZ57" i="8"/>
  <c r="QZY57" i="8"/>
  <c r="QZX57" i="8"/>
  <c r="QZW57" i="8"/>
  <c r="QZV57" i="8"/>
  <c r="QZU57" i="8"/>
  <c r="QZT57" i="8"/>
  <c r="QZS57" i="8"/>
  <c r="QZR57" i="8"/>
  <c r="QZQ57" i="8"/>
  <c r="QZP57" i="8"/>
  <c r="QZO57" i="8"/>
  <c r="QZN57" i="8"/>
  <c r="QZM57" i="8"/>
  <c r="QZL57" i="8"/>
  <c r="QZK57" i="8"/>
  <c r="QZJ57" i="8"/>
  <c r="QZI57" i="8"/>
  <c r="QZH57" i="8"/>
  <c r="QZG57" i="8"/>
  <c r="QZF57" i="8"/>
  <c r="QZE57" i="8"/>
  <c r="QZD57" i="8"/>
  <c r="QZC57" i="8"/>
  <c r="QZB57" i="8"/>
  <c r="QZA57" i="8"/>
  <c r="QYZ57" i="8"/>
  <c r="QYY57" i="8"/>
  <c r="QYX57" i="8"/>
  <c r="QYW57" i="8"/>
  <c r="QYV57" i="8"/>
  <c r="QYU57" i="8"/>
  <c r="QYT57" i="8"/>
  <c r="QYS57" i="8"/>
  <c r="QYR57" i="8"/>
  <c r="QYQ57" i="8"/>
  <c r="QYP57" i="8"/>
  <c r="QYO57" i="8"/>
  <c r="QYN57" i="8"/>
  <c r="QYM57" i="8"/>
  <c r="QYL57" i="8"/>
  <c r="QYK57" i="8"/>
  <c r="QYJ57" i="8"/>
  <c r="QYI57" i="8"/>
  <c r="QYH57" i="8"/>
  <c r="QYG57" i="8"/>
  <c r="QYF57" i="8"/>
  <c r="QYE57" i="8"/>
  <c r="QYD57" i="8"/>
  <c r="QYC57" i="8"/>
  <c r="QYB57" i="8"/>
  <c r="QYA57" i="8"/>
  <c r="QXZ57" i="8"/>
  <c r="QXY57" i="8"/>
  <c r="QXX57" i="8"/>
  <c r="QXW57" i="8"/>
  <c r="QXV57" i="8"/>
  <c r="QXU57" i="8"/>
  <c r="QXT57" i="8"/>
  <c r="QXS57" i="8"/>
  <c r="QXR57" i="8"/>
  <c r="QXQ57" i="8"/>
  <c r="QXP57" i="8"/>
  <c r="QXO57" i="8"/>
  <c r="QXN57" i="8"/>
  <c r="QXM57" i="8"/>
  <c r="QXL57" i="8"/>
  <c r="QXK57" i="8"/>
  <c r="QXJ57" i="8"/>
  <c r="QXI57" i="8"/>
  <c r="QXH57" i="8"/>
  <c r="QXG57" i="8"/>
  <c r="QXF57" i="8"/>
  <c r="QXE57" i="8"/>
  <c r="QXD57" i="8"/>
  <c r="QXC57" i="8"/>
  <c r="QXB57" i="8"/>
  <c r="QXA57" i="8"/>
  <c r="QWZ57" i="8"/>
  <c r="QWY57" i="8"/>
  <c r="QWX57" i="8"/>
  <c r="QWW57" i="8"/>
  <c r="QWV57" i="8"/>
  <c r="QWU57" i="8"/>
  <c r="QWT57" i="8"/>
  <c r="QWS57" i="8"/>
  <c r="QWR57" i="8"/>
  <c r="QWQ57" i="8"/>
  <c r="QWP57" i="8"/>
  <c r="QWO57" i="8"/>
  <c r="QWN57" i="8"/>
  <c r="QWM57" i="8"/>
  <c r="QWL57" i="8"/>
  <c r="QWK57" i="8"/>
  <c r="QWJ57" i="8"/>
  <c r="QWI57" i="8"/>
  <c r="QWH57" i="8"/>
  <c r="QWG57" i="8"/>
  <c r="QWF57" i="8"/>
  <c r="QWE57" i="8"/>
  <c r="QWD57" i="8"/>
  <c r="QWC57" i="8"/>
  <c r="QWB57" i="8"/>
  <c r="QWA57" i="8"/>
  <c r="QVZ57" i="8"/>
  <c r="QVY57" i="8"/>
  <c r="QVX57" i="8"/>
  <c r="QVW57" i="8"/>
  <c r="QVV57" i="8"/>
  <c r="QVU57" i="8"/>
  <c r="QVT57" i="8"/>
  <c r="QVS57" i="8"/>
  <c r="QVR57" i="8"/>
  <c r="QVQ57" i="8"/>
  <c r="QVP57" i="8"/>
  <c r="QVO57" i="8"/>
  <c r="QVN57" i="8"/>
  <c r="QVM57" i="8"/>
  <c r="QVL57" i="8"/>
  <c r="QVK57" i="8"/>
  <c r="QVJ57" i="8"/>
  <c r="QVI57" i="8"/>
  <c r="QVH57" i="8"/>
  <c r="QVG57" i="8"/>
  <c r="QVF57" i="8"/>
  <c r="QVE57" i="8"/>
  <c r="QVD57" i="8"/>
  <c r="QVC57" i="8"/>
  <c r="QVB57" i="8"/>
  <c r="QVA57" i="8"/>
  <c r="QUZ57" i="8"/>
  <c r="QUY57" i="8"/>
  <c r="QUX57" i="8"/>
  <c r="QUW57" i="8"/>
  <c r="QUV57" i="8"/>
  <c r="QUU57" i="8"/>
  <c r="QUT57" i="8"/>
  <c r="QUS57" i="8"/>
  <c r="QUR57" i="8"/>
  <c r="QUQ57" i="8"/>
  <c r="QUP57" i="8"/>
  <c r="QUO57" i="8"/>
  <c r="QUN57" i="8"/>
  <c r="QUM57" i="8"/>
  <c r="QUL57" i="8"/>
  <c r="QUK57" i="8"/>
  <c r="QUJ57" i="8"/>
  <c r="QUI57" i="8"/>
  <c r="QUH57" i="8"/>
  <c r="QUG57" i="8"/>
  <c r="QUF57" i="8"/>
  <c r="QUE57" i="8"/>
  <c r="QUD57" i="8"/>
  <c r="QUC57" i="8"/>
  <c r="QUB57" i="8"/>
  <c r="QUA57" i="8"/>
  <c r="QTZ57" i="8"/>
  <c r="QTY57" i="8"/>
  <c r="QTX57" i="8"/>
  <c r="QTW57" i="8"/>
  <c r="QTV57" i="8"/>
  <c r="QTU57" i="8"/>
  <c r="QTT57" i="8"/>
  <c r="QTS57" i="8"/>
  <c r="QTR57" i="8"/>
  <c r="QTQ57" i="8"/>
  <c r="QTP57" i="8"/>
  <c r="QTO57" i="8"/>
  <c r="QTN57" i="8"/>
  <c r="QTM57" i="8"/>
  <c r="QTL57" i="8"/>
  <c r="QTK57" i="8"/>
  <c r="QTJ57" i="8"/>
  <c r="QTI57" i="8"/>
  <c r="QTH57" i="8"/>
  <c r="QTG57" i="8"/>
  <c r="QTF57" i="8"/>
  <c r="QTE57" i="8"/>
  <c r="QTD57" i="8"/>
  <c r="QTC57" i="8"/>
  <c r="QTB57" i="8"/>
  <c r="QTA57" i="8"/>
  <c r="QSZ57" i="8"/>
  <c r="QSY57" i="8"/>
  <c r="QSX57" i="8"/>
  <c r="QSW57" i="8"/>
  <c r="QSV57" i="8"/>
  <c r="QSU57" i="8"/>
  <c r="QST57" i="8"/>
  <c r="QSS57" i="8"/>
  <c r="QSR57" i="8"/>
  <c r="QSQ57" i="8"/>
  <c r="QSP57" i="8"/>
  <c r="QSO57" i="8"/>
  <c r="QSN57" i="8"/>
  <c r="QSM57" i="8"/>
  <c r="QSL57" i="8"/>
  <c r="QSK57" i="8"/>
  <c r="QSJ57" i="8"/>
  <c r="QSI57" i="8"/>
  <c r="QSH57" i="8"/>
  <c r="QSG57" i="8"/>
  <c r="QSF57" i="8"/>
  <c r="QSE57" i="8"/>
  <c r="QSD57" i="8"/>
  <c r="QSC57" i="8"/>
  <c r="QSB57" i="8"/>
  <c r="QSA57" i="8"/>
  <c r="QRZ57" i="8"/>
  <c r="QRY57" i="8"/>
  <c r="QRX57" i="8"/>
  <c r="QRW57" i="8"/>
  <c r="QRV57" i="8"/>
  <c r="QRU57" i="8"/>
  <c r="QRT57" i="8"/>
  <c r="QRS57" i="8"/>
  <c r="QRR57" i="8"/>
  <c r="QRQ57" i="8"/>
  <c r="QRP57" i="8"/>
  <c r="QRO57" i="8"/>
  <c r="QRN57" i="8"/>
  <c r="QRM57" i="8"/>
  <c r="QRL57" i="8"/>
  <c r="QRK57" i="8"/>
  <c r="QRJ57" i="8"/>
  <c r="QRI57" i="8"/>
  <c r="QRH57" i="8"/>
  <c r="QRG57" i="8"/>
  <c r="QRF57" i="8"/>
  <c r="QRE57" i="8"/>
  <c r="QRD57" i="8"/>
  <c r="QRC57" i="8"/>
  <c r="QRB57" i="8"/>
  <c r="QRA57" i="8"/>
  <c r="QQZ57" i="8"/>
  <c r="QQY57" i="8"/>
  <c r="QQX57" i="8"/>
  <c r="QQW57" i="8"/>
  <c r="QQV57" i="8"/>
  <c r="QQU57" i="8"/>
  <c r="QQT57" i="8"/>
  <c r="QQS57" i="8"/>
  <c r="QQR57" i="8"/>
  <c r="QQQ57" i="8"/>
  <c r="QQP57" i="8"/>
  <c r="QQO57" i="8"/>
  <c r="QQN57" i="8"/>
  <c r="QQM57" i="8"/>
  <c r="QQL57" i="8"/>
  <c r="QQK57" i="8"/>
  <c r="QQJ57" i="8"/>
  <c r="QQI57" i="8"/>
  <c r="QQH57" i="8"/>
  <c r="QQG57" i="8"/>
  <c r="QQF57" i="8"/>
  <c r="QQE57" i="8"/>
  <c r="QQD57" i="8"/>
  <c r="QQC57" i="8"/>
  <c r="QQB57" i="8"/>
  <c r="QQA57" i="8"/>
  <c r="QPZ57" i="8"/>
  <c r="QPY57" i="8"/>
  <c r="QPX57" i="8"/>
  <c r="QPW57" i="8"/>
  <c r="QPV57" i="8"/>
  <c r="QPU57" i="8"/>
  <c r="QPT57" i="8"/>
  <c r="QPS57" i="8"/>
  <c r="QPR57" i="8"/>
  <c r="QPQ57" i="8"/>
  <c r="QPP57" i="8"/>
  <c r="QPO57" i="8"/>
  <c r="QPN57" i="8"/>
  <c r="QPM57" i="8"/>
  <c r="QPL57" i="8"/>
  <c r="QPK57" i="8"/>
  <c r="QPJ57" i="8"/>
  <c r="QPI57" i="8"/>
  <c r="QPH57" i="8"/>
  <c r="QPG57" i="8"/>
  <c r="QPF57" i="8"/>
  <c r="QPE57" i="8"/>
  <c r="QPD57" i="8"/>
  <c r="QPC57" i="8"/>
  <c r="QPB57" i="8"/>
  <c r="QPA57" i="8"/>
  <c r="QOZ57" i="8"/>
  <c r="QOY57" i="8"/>
  <c r="QOX57" i="8"/>
  <c r="QOW57" i="8"/>
  <c r="QOV57" i="8"/>
  <c r="QOU57" i="8"/>
  <c r="QOT57" i="8"/>
  <c r="QOS57" i="8"/>
  <c r="QOR57" i="8"/>
  <c r="QOQ57" i="8"/>
  <c r="QOP57" i="8"/>
  <c r="QOO57" i="8"/>
  <c r="QON57" i="8"/>
  <c r="QOM57" i="8"/>
  <c r="QOL57" i="8"/>
  <c r="QOK57" i="8"/>
  <c r="QOJ57" i="8"/>
  <c r="QOI57" i="8"/>
  <c r="QOH57" i="8"/>
  <c r="QOG57" i="8"/>
  <c r="QOF57" i="8"/>
  <c r="QOE57" i="8"/>
  <c r="QOD57" i="8"/>
  <c r="QOC57" i="8"/>
  <c r="QOB57" i="8"/>
  <c r="QOA57" i="8"/>
  <c r="QNZ57" i="8"/>
  <c r="QNY57" i="8"/>
  <c r="QNX57" i="8"/>
  <c r="QNW57" i="8"/>
  <c r="QNV57" i="8"/>
  <c r="QNU57" i="8"/>
  <c r="QNT57" i="8"/>
  <c r="QNS57" i="8"/>
  <c r="QNR57" i="8"/>
  <c r="QNQ57" i="8"/>
  <c r="QNP57" i="8"/>
  <c r="QNO57" i="8"/>
  <c r="QNN57" i="8"/>
  <c r="QNM57" i="8"/>
  <c r="QNL57" i="8"/>
  <c r="QNK57" i="8"/>
  <c r="QNJ57" i="8"/>
  <c r="QNI57" i="8"/>
  <c r="QNH57" i="8"/>
  <c r="QNG57" i="8"/>
  <c r="QNF57" i="8"/>
  <c r="QNE57" i="8"/>
  <c r="QND57" i="8"/>
  <c r="QNC57" i="8"/>
  <c r="QNB57" i="8"/>
  <c r="QNA57" i="8"/>
  <c r="QMZ57" i="8"/>
  <c r="QMY57" i="8"/>
  <c r="QMX57" i="8"/>
  <c r="QMW57" i="8"/>
  <c r="QMV57" i="8"/>
  <c r="QMU57" i="8"/>
  <c r="QMT57" i="8"/>
  <c r="QMS57" i="8"/>
  <c r="QMR57" i="8"/>
  <c r="QMQ57" i="8"/>
  <c r="QMP57" i="8"/>
  <c r="QMO57" i="8"/>
  <c r="QMN57" i="8"/>
  <c r="QMM57" i="8"/>
  <c r="QML57" i="8"/>
  <c r="QMK57" i="8"/>
  <c r="QMJ57" i="8"/>
  <c r="QMI57" i="8"/>
  <c r="QMH57" i="8"/>
  <c r="QMG57" i="8"/>
  <c r="QMF57" i="8"/>
  <c r="QME57" i="8"/>
  <c r="QMD57" i="8"/>
  <c r="QMC57" i="8"/>
  <c r="QMB57" i="8"/>
  <c r="QMA57" i="8"/>
  <c r="QLZ57" i="8"/>
  <c r="QLY57" i="8"/>
  <c r="QLX57" i="8"/>
  <c r="QLW57" i="8"/>
  <c r="QLV57" i="8"/>
  <c r="QLU57" i="8"/>
  <c r="QLT57" i="8"/>
  <c r="QLS57" i="8"/>
  <c r="QLR57" i="8"/>
  <c r="QLQ57" i="8"/>
  <c r="QLP57" i="8"/>
  <c r="QLO57" i="8"/>
  <c r="QLN57" i="8"/>
  <c r="QLM57" i="8"/>
  <c r="QLL57" i="8"/>
  <c r="QLK57" i="8"/>
  <c r="QLJ57" i="8"/>
  <c r="QLI57" i="8"/>
  <c r="QLH57" i="8"/>
  <c r="QLG57" i="8"/>
  <c r="QLF57" i="8"/>
  <c r="QLE57" i="8"/>
  <c r="QLD57" i="8"/>
  <c r="QLC57" i="8"/>
  <c r="QLB57" i="8"/>
  <c r="QLA57" i="8"/>
  <c r="QKZ57" i="8"/>
  <c r="QKY57" i="8"/>
  <c r="QKX57" i="8"/>
  <c r="QKW57" i="8"/>
  <c r="QKV57" i="8"/>
  <c r="QKU57" i="8"/>
  <c r="QKT57" i="8"/>
  <c r="QKS57" i="8"/>
  <c r="QKR57" i="8"/>
  <c r="QKQ57" i="8"/>
  <c r="QKP57" i="8"/>
  <c r="QKO57" i="8"/>
  <c r="QKN57" i="8"/>
  <c r="QKM57" i="8"/>
  <c r="QKL57" i="8"/>
  <c r="QKK57" i="8"/>
  <c r="QKJ57" i="8"/>
  <c r="QKI57" i="8"/>
  <c r="QKH57" i="8"/>
  <c r="QKG57" i="8"/>
  <c r="QKF57" i="8"/>
  <c r="QKE57" i="8"/>
  <c r="QKD57" i="8"/>
  <c r="QKC57" i="8"/>
  <c r="QKB57" i="8"/>
  <c r="QKA57" i="8"/>
  <c r="QJZ57" i="8"/>
  <c r="QJY57" i="8"/>
  <c r="QJX57" i="8"/>
  <c r="QJW57" i="8"/>
  <c r="QJV57" i="8"/>
  <c r="QJU57" i="8"/>
  <c r="QJT57" i="8"/>
  <c r="QJS57" i="8"/>
  <c r="QJR57" i="8"/>
  <c r="QJQ57" i="8"/>
  <c r="QJP57" i="8"/>
  <c r="QJO57" i="8"/>
  <c r="QJN57" i="8"/>
  <c r="QJM57" i="8"/>
  <c r="QJL57" i="8"/>
  <c r="QJK57" i="8"/>
  <c r="QJJ57" i="8"/>
  <c r="QJI57" i="8"/>
  <c r="QJH57" i="8"/>
  <c r="QJG57" i="8"/>
  <c r="QJF57" i="8"/>
  <c r="QJE57" i="8"/>
  <c r="QJD57" i="8"/>
  <c r="QJC57" i="8"/>
  <c r="QJB57" i="8"/>
  <c r="QJA57" i="8"/>
  <c r="QIZ57" i="8"/>
  <c r="QIY57" i="8"/>
  <c r="QIX57" i="8"/>
  <c r="QIW57" i="8"/>
  <c r="QIV57" i="8"/>
  <c r="QIU57" i="8"/>
  <c r="QIT57" i="8"/>
  <c r="QIS57" i="8"/>
  <c r="QIR57" i="8"/>
  <c r="QIQ57" i="8"/>
  <c r="QIP57" i="8"/>
  <c r="QIO57" i="8"/>
  <c r="QIN57" i="8"/>
  <c r="QIM57" i="8"/>
  <c r="QIL57" i="8"/>
  <c r="QIK57" i="8"/>
  <c r="QIJ57" i="8"/>
  <c r="QII57" i="8"/>
  <c r="QIH57" i="8"/>
  <c r="QIG57" i="8"/>
  <c r="QIF57" i="8"/>
  <c r="QIE57" i="8"/>
  <c r="QID57" i="8"/>
  <c r="QIC57" i="8"/>
  <c r="QIB57" i="8"/>
  <c r="QIA57" i="8"/>
  <c r="QHZ57" i="8"/>
  <c r="QHY57" i="8"/>
  <c r="QHX57" i="8"/>
  <c r="QHW57" i="8"/>
  <c r="QHV57" i="8"/>
  <c r="QHU57" i="8"/>
  <c r="QHT57" i="8"/>
  <c r="QHS57" i="8"/>
  <c r="QHR57" i="8"/>
  <c r="QHQ57" i="8"/>
  <c r="QHP57" i="8"/>
  <c r="QHO57" i="8"/>
  <c r="QHN57" i="8"/>
  <c r="QHM57" i="8"/>
  <c r="QHL57" i="8"/>
  <c r="QHK57" i="8"/>
  <c r="QHJ57" i="8"/>
  <c r="QHI57" i="8"/>
  <c r="QHH57" i="8"/>
  <c r="QHG57" i="8"/>
  <c r="QHF57" i="8"/>
  <c r="QHE57" i="8"/>
  <c r="QHD57" i="8"/>
  <c r="QHC57" i="8"/>
  <c r="QHB57" i="8"/>
  <c r="QHA57" i="8"/>
  <c r="QGZ57" i="8"/>
  <c r="QGY57" i="8"/>
  <c r="QGX57" i="8"/>
  <c r="QGW57" i="8"/>
  <c r="QGV57" i="8"/>
  <c r="QGU57" i="8"/>
  <c r="QGT57" i="8"/>
  <c r="QGS57" i="8"/>
  <c r="QGR57" i="8"/>
  <c r="QGQ57" i="8"/>
  <c r="QGP57" i="8"/>
  <c r="QGO57" i="8"/>
  <c r="QGN57" i="8"/>
  <c r="QGM57" i="8"/>
  <c r="QGL57" i="8"/>
  <c r="QGK57" i="8"/>
  <c r="QGJ57" i="8"/>
  <c r="QGI57" i="8"/>
  <c r="QGH57" i="8"/>
  <c r="QGG57" i="8"/>
  <c r="QGF57" i="8"/>
  <c r="QGE57" i="8"/>
  <c r="QGD57" i="8"/>
  <c r="QGC57" i="8"/>
  <c r="QGB57" i="8"/>
  <c r="QGA57" i="8"/>
  <c r="QFZ57" i="8"/>
  <c r="QFY57" i="8"/>
  <c r="QFX57" i="8"/>
  <c r="QFW57" i="8"/>
  <c r="QFV57" i="8"/>
  <c r="QFU57" i="8"/>
  <c r="QFT57" i="8"/>
  <c r="QFS57" i="8"/>
  <c r="QFR57" i="8"/>
  <c r="QFQ57" i="8"/>
  <c r="QFP57" i="8"/>
  <c r="QFO57" i="8"/>
  <c r="QFN57" i="8"/>
  <c r="QFM57" i="8"/>
  <c r="QFL57" i="8"/>
  <c r="QFK57" i="8"/>
  <c r="QFJ57" i="8"/>
  <c r="QFI57" i="8"/>
  <c r="QFH57" i="8"/>
  <c r="QFG57" i="8"/>
  <c r="QFF57" i="8"/>
  <c r="QFE57" i="8"/>
  <c r="QFD57" i="8"/>
  <c r="QFC57" i="8"/>
  <c r="QFB57" i="8"/>
  <c r="QFA57" i="8"/>
  <c r="QEZ57" i="8"/>
  <c r="QEY57" i="8"/>
  <c r="QEX57" i="8"/>
  <c r="QEW57" i="8"/>
  <c r="QEV57" i="8"/>
  <c r="QEU57" i="8"/>
  <c r="QET57" i="8"/>
  <c r="QES57" i="8"/>
  <c r="QER57" i="8"/>
  <c r="QEQ57" i="8"/>
  <c r="QEP57" i="8"/>
  <c r="QEO57" i="8"/>
  <c r="QEN57" i="8"/>
  <c r="QEM57" i="8"/>
  <c r="QEL57" i="8"/>
  <c r="QEK57" i="8"/>
  <c r="QEJ57" i="8"/>
  <c r="QEI57" i="8"/>
  <c r="QEH57" i="8"/>
  <c r="QEG57" i="8"/>
  <c r="QEF57" i="8"/>
  <c r="QEE57" i="8"/>
  <c r="QED57" i="8"/>
  <c r="QEC57" i="8"/>
  <c r="QEB57" i="8"/>
  <c r="QEA57" i="8"/>
  <c r="QDZ57" i="8"/>
  <c r="QDY57" i="8"/>
  <c r="QDX57" i="8"/>
  <c r="QDW57" i="8"/>
  <c r="QDV57" i="8"/>
  <c r="QDU57" i="8"/>
  <c r="QDT57" i="8"/>
  <c r="QDS57" i="8"/>
  <c r="QDR57" i="8"/>
  <c r="QDQ57" i="8"/>
  <c r="QDP57" i="8"/>
  <c r="QDO57" i="8"/>
  <c r="QDN57" i="8"/>
  <c r="QDM57" i="8"/>
  <c r="QDL57" i="8"/>
  <c r="QDK57" i="8"/>
  <c r="QDJ57" i="8"/>
  <c r="QDI57" i="8"/>
  <c r="QDH57" i="8"/>
  <c r="QDG57" i="8"/>
  <c r="QDF57" i="8"/>
  <c r="QDE57" i="8"/>
  <c r="QDD57" i="8"/>
  <c r="QDC57" i="8"/>
  <c r="QDB57" i="8"/>
  <c r="QDA57" i="8"/>
  <c r="QCZ57" i="8"/>
  <c r="QCY57" i="8"/>
  <c r="QCX57" i="8"/>
  <c r="QCW57" i="8"/>
  <c r="QCV57" i="8"/>
  <c r="QCU57" i="8"/>
  <c r="QCT57" i="8"/>
  <c r="QCS57" i="8"/>
  <c r="QCR57" i="8"/>
  <c r="QCQ57" i="8"/>
  <c r="QCP57" i="8"/>
  <c r="QCO57" i="8"/>
  <c r="QCN57" i="8"/>
  <c r="QCM57" i="8"/>
  <c r="QCL57" i="8"/>
  <c r="QCK57" i="8"/>
  <c r="QCJ57" i="8"/>
  <c r="QCI57" i="8"/>
  <c r="QCH57" i="8"/>
  <c r="QCG57" i="8"/>
  <c r="QCF57" i="8"/>
  <c r="QCE57" i="8"/>
  <c r="QCD57" i="8"/>
  <c r="QCC57" i="8"/>
  <c r="QCB57" i="8"/>
  <c r="QCA57" i="8"/>
  <c r="QBZ57" i="8"/>
  <c r="QBY57" i="8"/>
  <c r="QBX57" i="8"/>
  <c r="QBW57" i="8"/>
  <c r="QBV57" i="8"/>
  <c r="QBU57" i="8"/>
  <c r="QBT57" i="8"/>
  <c r="QBS57" i="8"/>
  <c r="QBR57" i="8"/>
  <c r="QBQ57" i="8"/>
  <c r="QBP57" i="8"/>
  <c r="QBO57" i="8"/>
  <c r="QBN57" i="8"/>
  <c r="QBM57" i="8"/>
  <c r="QBL57" i="8"/>
  <c r="QBK57" i="8"/>
  <c r="QBJ57" i="8"/>
  <c r="QBI57" i="8"/>
  <c r="QBH57" i="8"/>
  <c r="QBG57" i="8"/>
  <c r="QBF57" i="8"/>
  <c r="QBE57" i="8"/>
  <c r="QBD57" i="8"/>
  <c r="QBC57" i="8"/>
  <c r="QBB57" i="8"/>
  <c r="QBA57" i="8"/>
  <c r="QAZ57" i="8"/>
  <c r="QAY57" i="8"/>
  <c r="QAX57" i="8"/>
  <c r="QAW57" i="8"/>
  <c r="QAV57" i="8"/>
  <c r="QAU57" i="8"/>
  <c r="QAT57" i="8"/>
  <c r="QAS57" i="8"/>
  <c r="QAR57" i="8"/>
  <c r="QAQ57" i="8"/>
  <c r="QAP57" i="8"/>
  <c r="QAO57" i="8"/>
  <c r="QAN57" i="8"/>
  <c r="QAM57" i="8"/>
  <c r="QAL57" i="8"/>
  <c r="QAK57" i="8"/>
  <c r="QAJ57" i="8"/>
  <c r="QAI57" i="8"/>
  <c r="QAH57" i="8"/>
  <c r="QAG57" i="8"/>
  <c r="QAF57" i="8"/>
  <c r="QAE57" i="8"/>
  <c r="QAD57" i="8"/>
  <c r="QAC57" i="8"/>
  <c r="QAB57" i="8"/>
  <c r="QAA57" i="8"/>
  <c r="PZZ57" i="8"/>
  <c r="PZY57" i="8"/>
  <c r="PZX57" i="8"/>
  <c r="PZW57" i="8"/>
  <c r="PZV57" i="8"/>
  <c r="PZU57" i="8"/>
  <c r="PZT57" i="8"/>
  <c r="PZS57" i="8"/>
  <c r="PZR57" i="8"/>
  <c r="PZQ57" i="8"/>
  <c r="PZP57" i="8"/>
  <c r="PZO57" i="8"/>
  <c r="PZN57" i="8"/>
  <c r="PZM57" i="8"/>
  <c r="PZL57" i="8"/>
  <c r="PZK57" i="8"/>
  <c r="PZJ57" i="8"/>
  <c r="PZI57" i="8"/>
  <c r="PZH57" i="8"/>
  <c r="PZG57" i="8"/>
  <c r="PZF57" i="8"/>
  <c r="PZE57" i="8"/>
  <c r="PZD57" i="8"/>
  <c r="PZC57" i="8"/>
  <c r="PZB57" i="8"/>
  <c r="PZA57" i="8"/>
  <c r="PYZ57" i="8"/>
  <c r="PYY57" i="8"/>
  <c r="PYX57" i="8"/>
  <c r="PYW57" i="8"/>
  <c r="PYV57" i="8"/>
  <c r="PYU57" i="8"/>
  <c r="PYT57" i="8"/>
  <c r="PYS57" i="8"/>
  <c r="PYR57" i="8"/>
  <c r="PYQ57" i="8"/>
  <c r="PYP57" i="8"/>
  <c r="PYO57" i="8"/>
  <c r="PYN57" i="8"/>
  <c r="PYM57" i="8"/>
  <c r="PYL57" i="8"/>
  <c r="PYK57" i="8"/>
  <c r="PYJ57" i="8"/>
  <c r="PYI57" i="8"/>
  <c r="PYH57" i="8"/>
  <c r="PYG57" i="8"/>
  <c r="PYF57" i="8"/>
  <c r="PYE57" i="8"/>
  <c r="PYD57" i="8"/>
  <c r="PYC57" i="8"/>
  <c r="PYB57" i="8"/>
  <c r="PYA57" i="8"/>
  <c r="PXZ57" i="8"/>
  <c r="PXY57" i="8"/>
  <c r="PXX57" i="8"/>
  <c r="PXW57" i="8"/>
  <c r="PXV57" i="8"/>
  <c r="PXU57" i="8"/>
  <c r="PXT57" i="8"/>
  <c r="PXS57" i="8"/>
  <c r="PXR57" i="8"/>
  <c r="PXQ57" i="8"/>
  <c r="PXP57" i="8"/>
  <c r="PXO57" i="8"/>
  <c r="PXN57" i="8"/>
  <c r="PXM57" i="8"/>
  <c r="PXL57" i="8"/>
  <c r="PXK57" i="8"/>
  <c r="PXJ57" i="8"/>
  <c r="PXI57" i="8"/>
  <c r="PXH57" i="8"/>
  <c r="PXG57" i="8"/>
  <c r="PXF57" i="8"/>
  <c r="PXE57" i="8"/>
  <c r="PXD57" i="8"/>
  <c r="PXC57" i="8"/>
  <c r="PXB57" i="8"/>
  <c r="PXA57" i="8"/>
  <c r="PWZ57" i="8"/>
  <c r="PWY57" i="8"/>
  <c r="PWX57" i="8"/>
  <c r="PWW57" i="8"/>
  <c r="PWV57" i="8"/>
  <c r="PWU57" i="8"/>
  <c r="PWT57" i="8"/>
  <c r="PWS57" i="8"/>
  <c r="PWR57" i="8"/>
  <c r="PWQ57" i="8"/>
  <c r="PWP57" i="8"/>
  <c r="PWO57" i="8"/>
  <c r="PWN57" i="8"/>
  <c r="PWM57" i="8"/>
  <c r="PWL57" i="8"/>
  <c r="PWK57" i="8"/>
  <c r="PWJ57" i="8"/>
  <c r="PWI57" i="8"/>
  <c r="PWH57" i="8"/>
  <c r="PWG57" i="8"/>
  <c r="PWF57" i="8"/>
  <c r="PWE57" i="8"/>
  <c r="PWD57" i="8"/>
  <c r="PWC57" i="8"/>
  <c r="PWB57" i="8"/>
  <c r="PWA57" i="8"/>
  <c r="PVZ57" i="8"/>
  <c r="PVY57" i="8"/>
  <c r="PVX57" i="8"/>
  <c r="PVW57" i="8"/>
  <c r="PVV57" i="8"/>
  <c r="PVU57" i="8"/>
  <c r="PVT57" i="8"/>
  <c r="PVS57" i="8"/>
  <c r="PVR57" i="8"/>
  <c r="PVQ57" i="8"/>
  <c r="PVP57" i="8"/>
  <c r="PVO57" i="8"/>
  <c r="PVN57" i="8"/>
  <c r="PVM57" i="8"/>
  <c r="PVL57" i="8"/>
  <c r="PVK57" i="8"/>
  <c r="PVJ57" i="8"/>
  <c r="PVI57" i="8"/>
  <c r="PVH57" i="8"/>
  <c r="PVG57" i="8"/>
  <c r="PVF57" i="8"/>
  <c r="PVE57" i="8"/>
  <c r="PVD57" i="8"/>
  <c r="PVC57" i="8"/>
  <c r="PVB57" i="8"/>
  <c r="PVA57" i="8"/>
  <c r="PUZ57" i="8"/>
  <c r="PUY57" i="8"/>
  <c r="PUX57" i="8"/>
  <c r="PUW57" i="8"/>
  <c r="PUV57" i="8"/>
  <c r="PUU57" i="8"/>
  <c r="PUT57" i="8"/>
  <c r="PUS57" i="8"/>
  <c r="PUR57" i="8"/>
  <c r="PUQ57" i="8"/>
  <c r="PUP57" i="8"/>
  <c r="PUO57" i="8"/>
  <c r="PUN57" i="8"/>
  <c r="PUM57" i="8"/>
  <c r="PUL57" i="8"/>
  <c r="PUK57" i="8"/>
  <c r="PUJ57" i="8"/>
  <c r="PUI57" i="8"/>
  <c r="PUH57" i="8"/>
  <c r="PUG57" i="8"/>
  <c r="PUF57" i="8"/>
  <c r="PUE57" i="8"/>
  <c r="PUD57" i="8"/>
  <c r="PUC57" i="8"/>
  <c r="PUB57" i="8"/>
  <c r="PUA57" i="8"/>
  <c r="PTZ57" i="8"/>
  <c r="PTY57" i="8"/>
  <c r="PTX57" i="8"/>
  <c r="PTW57" i="8"/>
  <c r="PTV57" i="8"/>
  <c r="PTU57" i="8"/>
  <c r="PTT57" i="8"/>
  <c r="PTS57" i="8"/>
  <c r="PTR57" i="8"/>
  <c r="PTQ57" i="8"/>
  <c r="PTP57" i="8"/>
  <c r="PTO57" i="8"/>
  <c r="PTN57" i="8"/>
  <c r="PTM57" i="8"/>
  <c r="PTL57" i="8"/>
  <c r="PTK57" i="8"/>
  <c r="PTJ57" i="8"/>
  <c r="PTI57" i="8"/>
  <c r="PTH57" i="8"/>
  <c r="PTG57" i="8"/>
  <c r="PTF57" i="8"/>
  <c r="PTE57" i="8"/>
  <c r="PTD57" i="8"/>
  <c r="PTC57" i="8"/>
  <c r="PTB57" i="8"/>
  <c r="PTA57" i="8"/>
  <c r="PSZ57" i="8"/>
  <c r="PSY57" i="8"/>
  <c r="PSX57" i="8"/>
  <c r="PSW57" i="8"/>
  <c r="PSV57" i="8"/>
  <c r="PSU57" i="8"/>
  <c r="PST57" i="8"/>
  <c r="PSS57" i="8"/>
  <c r="PSR57" i="8"/>
  <c r="PSQ57" i="8"/>
  <c r="PSP57" i="8"/>
  <c r="PSO57" i="8"/>
  <c r="PSN57" i="8"/>
  <c r="PSM57" i="8"/>
  <c r="PSL57" i="8"/>
  <c r="PSK57" i="8"/>
  <c r="PSJ57" i="8"/>
  <c r="PSI57" i="8"/>
  <c r="PSH57" i="8"/>
  <c r="PSG57" i="8"/>
  <c r="PSF57" i="8"/>
  <c r="PSE57" i="8"/>
  <c r="PSD57" i="8"/>
  <c r="PSC57" i="8"/>
  <c r="PSB57" i="8"/>
  <c r="PSA57" i="8"/>
  <c r="PRZ57" i="8"/>
  <c r="PRY57" i="8"/>
  <c r="PRX57" i="8"/>
  <c r="PRW57" i="8"/>
  <c r="PRV57" i="8"/>
  <c r="PRU57" i="8"/>
  <c r="PRT57" i="8"/>
  <c r="PRS57" i="8"/>
  <c r="PRR57" i="8"/>
  <c r="PRQ57" i="8"/>
  <c r="PRP57" i="8"/>
  <c r="PRO57" i="8"/>
  <c r="PRN57" i="8"/>
  <c r="PRM57" i="8"/>
  <c r="PRL57" i="8"/>
  <c r="PRK57" i="8"/>
  <c r="PRJ57" i="8"/>
  <c r="PRI57" i="8"/>
  <c r="PRH57" i="8"/>
  <c r="PRG57" i="8"/>
  <c r="PRF57" i="8"/>
  <c r="PRE57" i="8"/>
  <c r="PRD57" i="8"/>
  <c r="PRC57" i="8"/>
  <c r="PRB57" i="8"/>
  <c r="PRA57" i="8"/>
  <c r="PQZ57" i="8"/>
  <c r="PQY57" i="8"/>
  <c r="PQX57" i="8"/>
  <c r="PQW57" i="8"/>
  <c r="PQV57" i="8"/>
  <c r="PQU57" i="8"/>
  <c r="PQT57" i="8"/>
  <c r="PQS57" i="8"/>
  <c r="PQR57" i="8"/>
  <c r="PQQ57" i="8"/>
  <c r="PQP57" i="8"/>
  <c r="PQO57" i="8"/>
  <c r="PQN57" i="8"/>
  <c r="PQM57" i="8"/>
  <c r="PQL57" i="8"/>
  <c r="PQK57" i="8"/>
  <c r="PQJ57" i="8"/>
  <c r="PQI57" i="8"/>
  <c r="PQH57" i="8"/>
  <c r="PQG57" i="8"/>
  <c r="PQF57" i="8"/>
  <c r="PQE57" i="8"/>
  <c r="PQD57" i="8"/>
  <c r="PQC57" i="8"/>
  <c r="PQB57" i="8"/>
  <c r="PQA57" i="8"/>
  <c r="PPZ57" i="8"/>
  <c r="PPY57" i="8"/>
  <c r="PPX57" i="8"/>
  <c r="PPW57" i="8"/>
  <c r="PPV57" i="8"/>
  <c r="PPU57" i="8"/>
  <c r="PPT57" i="8"/>
  <c r="PPS57" i="8"/>
  <c r="PPR57" i="8"/>
  <c r="PPQ57" i="8"/>
  <c r="PPP57" i="8"/>
  <c r="PPO57" i="8"/>
  <c r="PPN57" i="8"/>
  <c r="PPM57" i="8"/>
  <c r="PPL57" i="8"/>
  <c r="PPK57" i="8"/>
  <c r="PPJ57" i="8"/>
  <c r="PPI57" i="8"/>
  <c r="PPH57" i="8"/>
  <c r="PPG57" i="8"/>
  <c r="PPF57" i="8"/>
  <c r="PPE57" i="8"/>
  <c r="PPD57" i="8"/>
  <c r="PPC57" i="8"/>
  <c r="PPB57" i="8"/>
  <c r="PPA57" i="8"/>
  <c r="POZ57" i="8"/>
  <c r="POY57" i="8"/>
  <c r="POX57" i="8"/>
  <c r="POW57" i="8"/>
  <c r="POV57" i="8"/>
  <c r="POU57" i="8"/>
  <c r="POT57" i="8"/>
  <c r="POS57" i="8"/>
  <c r="POR57" i="8"/>
  <c r="POQ57" i="8"/>
  <c r="POP57" i="8"/>
  <c r="POO57" i="8"/>
  <c r="PON57" i="8"/>
  <c r="POM57" i="8"/>
  <c r="POL57" i="8"/>
  <c r="POK57" i="8"/>
  <c r="POJ57" i="8"/>
  <c r="POI57" i="8"/>
  <c r="POH57" i="8"/>
  <c r="POG57" i="8"/>
  <c r="POF57" i="8"/>
  <c r="POE57" i="8"/>
  <c r="POD57" i="8"/>
  <c r="POC57" i="8"/>
  <c r="POB57" i="8"/>
  <c r="POA57" i="8"/>
  <c r="PNZ57" i="8"/>
  <c r="PNY57" i="8"/>
  <c r="PNX57" i="8"/>
  <c r="PNW57" i="8"/>
  <c r="PNV57" i="8"/>
  <c r="PNU57" i="8"/>
  <c r="PNT57" i="8"/>
  <c r="PNS57" i="8"/>
  <c r="PNR57" i="8"/>
  <c r="PNQ57" i="8"/>
  <c r="PNP57" i="8"/>
  <c r="PNO57" i="8"/>
  <c r="PNN57" i="8"/>
  <c r="PNM57" i="8"/>
  <c r="PNL57" i="8"/>
  <c r="PNK57" i="8"/>
  <c r="PNJ57" i="8"/>
  <c r="PNI57" i="8"/>
  <c r="PNH57" i="8"/>
  <c r="PNG57" i="8"/>
  <c r="PNF57" i="8"/>
  <c r="PNE57" i="8"/>
  <c r="PND57" i="8"/>
  <c r="PNC57" i="8"/>
  <c r="PNB57" i="8"/>
  <c r="PNA57" i="8"/>
  <c r="PMZ57" i="8"/>
  <c r="PMY57" i="8"/>
  <c r="PMX57" i="8"/>
  <c r="PMW57" i="8"/>
  <c r="PMV57" i="8"/>
  <c r="PMU57" i="8"/>
  <c r="PMT57" i="8"/>
  <c r="PMS57" i="8"/>
  <c r="PMR57" i="8"/>
  <c r="PMQ57" i="8"/>
  <c r="PMP57" i="8"/>
  <c r="PMO57" i="8"/>
  <c r="PMN57" i="8"/>
  <c r="PMM57" i="8"/>
  <c r="PML57" i="8"/>
  <c r="PMK57" i="8"/>
  <c r="PMJ57" i="8"/>
  <c r="PMI57" i="8"/>
  <c r="PMH57" i="8"/>
  <c r="PMG57" i="8"/>
  <c r="PMF57" i="8"/>
  <c r="PME57" i="8"/>
  <c r="PMD57" i="8"/>
  <c r="PMC57" i="8"/>
  <c r="PMB57" i="8"/>
  <c r="PMA57" i="8"/>
  <c r="PLZ57" i="8"/>
  <c r="PLY57" i="8"/>
  <c r="PLX57" i="8"/>
  <c r="PLW57" i="8"/>
  <c r="PLV57" i="8"/>
  <c r="PLU57" i="8"/>
  <c r="PLT57" i="8"/>
  <c r="PLS57" i="8"/>
  <c r="PLR57" i="8"/>
  <c r="PLQ57" i="8"/>
  <c r="PLP57" i="8"/>
  <c r="PLO57" i="8"/>
  <c r="PLN57" i="8"/>
  <c r="PLM57" i="8"/>
  <c r="PLL57" i="8"/>
  <c r="PLK57" i="8"/>
  <c r="PLJ57" i="8"/>
  <c r="PLI57" i="8"/>
  <c r="PLH57" i="8"/>
  <c r="PLG57" i="8"/>
  <c r="PLF57" i="8"/>
  <c r="PLE57" i="8"/>
  <c r="PLD57" i="8"/>
  <c r="PLC57" i="8"/>
  <c r="PLB57" i="8"/>
  <c r="PLA57" i="8"/>
  <c r="PKZ57" i="8"/>
  <c r="PKY57" i="8"/>
  <c r="PKX57" i="8"/>
  <c r="PKW57" i="8"/>
  <c r="PKV57" i="8"/>
  <c r="PKU57" i="8"/>
  <c r="PKT57" i="8"/>
  <c r="PKS57" i="8"/>
  <c r="PKR57" i="8"/>
  <c r="PKQ57" i="8"/>
  <c r="PKP57" i="8"/>
  <c r="PKO57" i="8"/>
  <c r="PKN57" i="8"/>
  <c r="PKM57" i="8"/>
  <c r="PKL57" i="8"/>
  <c r="PKK57" i="8"/>
  <c r="PKJ57" i="8"/>
  <c r="PKI57" i="8"/>
  <c r="PKH57" i="8"/>
  <c r="PKG57" i="8"/>
  <c r="PKF57" i="8"/>
  <c r="PKE57" i="8"/>
  <c r="PKD57" i="8"/>
  <c r="PKC57" i="8"/>
  <c r="PKB57" i="8"/>
  <c r="PKA57" i="8"/>
  <c r="PJZ57" i="8"/>
  <c r="PJY57" i="8"/>
  <c r="PJX57" i="8"/>
  <c r="PJW57" i="8"/>
  <c r="PJV57" i="8"/>
  <c r="PJU57" i="8"/>
  <c r="PJT57" i="8"/>
  <c r="PJS57" i="8"/>
  <c r="PJR57" i="8"/>
  <c r="PJQ57" i="8"/>
  <c r="PJP57" i="8"/>
  <c r="PJO57" i="8"/>
  <c r="PJN57" i="8"/>
  <c r="PJM57" i="8"/>
  <c r="PJL57" i="8"/>
  <c r="PJK57" i="8"/>
  <c r="PJJ57" i="8"/>
  <c r="PJI57" i="8"/>
  <c r="PJH57" i="8"/>
  <c r="PJG57" i="8"/>
  <c r="PJF57" i="8"/>
  <c r="PJE57" i="8"/>
  <c r="PJD57" i="8"/>
  <c r="PJC57" i="8"/>
  <c r="PJB57" i="8"/>
  <c r="PJA57" i="8"/>
  <c r="PIZ57" i="8"/>
  <c r="PIY57" i="8"/>
  <c r="PIX57" i="8"/>
  <c r="PIW57" i="8"/>
  <c r="PIV57" i="8"/>
  <c r="PIU57" i="8"/>
  <c r="PIT57" i="8"/>
  <c r="PIS57" i="8"/>
  <c r="PIR57" i="8"/>
  <c r="PIQ57" i="8"/>
  <c r="PIP57" i="8"/>
  <c r="PIO57" i="8"/>
  <c r="PIN57" i="8"/>
  <c r="PIM57" i="8"/>
  <c r="PIL57" i="8"/>
  <c r="PIK57" i="8"/>
  <c r="PIJ57" i="8"/>
  <c r="PII57" i="8"/>
  <c r="PIH57" i="8"/>
  <c r="PIG57" i="8"/>
  <c r="PIF57" i="8"/>
  <c r="PIE57" i="8"/>
  <c r="PID57" i="8"/>
  <c r="PIC57" i="8"/>
  <c r="PIB57" i="8"/>
  <c r="PIA57" i="8"/>
  <c r="PHZ57" i="8"/>
  <c r="PHY57" i="8"/>
  <c r="PHX57" i="8"/>
  <c r="PHW57" i="8"/>
  <c r="PHV57" i="8"/>
  <c r="PHU57" i="8"/>
  <c r="PHT57" i="8"/>
  <c r="PHS57" i="8"/>
  <c r="PHR57" i="8"/>
  <c r="PHQ57" i="8"/>
  <c r="PHP57" i="8"/>
  <c r="PHO57" i="8"/>
  <c r="PHN57" i="8"/>
  <c r="PHM57" i="8"/>
  <c r="PHL57" i="8"/>
  <c r="PHK57" i="8"/>
  <c r="PHJ57" i="8"/>
  <c r="PHI57" i="8"/>
  <c r="PHH57" i="8"/>
  <c r="PHG57" i="8"/>
  <c r="PHF57" i="8"/>
  <c r="PHE57" i="8"/>
  <c r="PHD57" i="8"/>
  <c r="PHC57" i="8"/>
  <c r="PHB57" i="8"/>
  <c r="PHA57" i="8"/>
  <c r="PGZ57" i="8"/>
  <c r="PGY57" i="8"/>
  <c r="PGX57" i="8"/>
  <c r="PGW57" i="8"/>
  <c r="PGV57" i="8"/>
  <c r="PGU57" i="8"/>
  <c r="PGT57" i="8"/>
  <c r="PGS57" i="8"/>
  <c r="PGR57" i="8"/>
  <c r="PGQ57" i="8"/>
  <c r="PGP57" i="8"/>
  <c r="PGO57" i="8"/>
  <c r="PGN57" i="8"/>
  <c r="PGM57" i="8"/>
  <c r="PGL57" i="8"/>
  <c r="PGK57" i="8"/>
  <c r="PGJ57" i="8"/>
  <c r="PGI57" i="8"/>
  <c r="PGH57" i="8"/>
  <c r="PGG57" i="8"/>
  <c r="PGF57" i="8"/>
  <c r="PGE57" i="8"/>
  <c r="PGD57" i="8"/>
  <c r="PGC57" i="8"/>
  <c r="PGB57" i="8"/>
  <c r="PGA57" i="8"/>
  <c r="PFZ57" i="8"/>
  <c r="PFY57" i="8"/>
  <c r="PFX57" i="8"/>
  <c r="PFW57" i="8"/>
  <c r="PFV57" i="8"/>
  <c r="PFU57" i="8"/>
  <c r="PFT57" i="8"/>
  <c r="PFS57" i="8"/>
  <c r="PFR57" i="8"/>
  <c r="PFQ57" i="8"/>
  <c r="PFP57" i="8"/>
  <c r="PFO57" i="8"/>
  <c r="PFN57" i="8"/>
  <c r="PFM57" i="8"/>
  <c r="PFL57" i="8"/>
  <c r="PFK57" i="8"/>
  <c r="PFJ57" i="8"/>
  <c r="PFI57" i="8"/>
  <c r="PFH57" i="8"/>
  <c r="PFG57" i="8"/>
  <c r="PFF57" i="8"/>
  <c r="PFE57" i="8"/>
  <c r="PFD57" i="8"/>
  <c r="PFC57" i="8"/>
  <c r="PFB57" i="8"/>
  <c r="PFA57" i="8"/>
  <c r="PEZ57" i="8"/>
  <c r="PEY57" i="8"/>
  <c r="PEX57" i="8"/>
  <c r="PEW57" i="8"/>
  <c r="PEV57" i="8"/>
  <c r="PEU57" i="8"/>
  <c r="PET57" i="8"/>
  <c r="PES57" i="8"/>
  <c r="PER57" i="8"/>
  <c r="PEQ57" i="8"/>
  <c r="PEP57" i="8"/>
  <c r="PEO57" i="8"/>
  <c r="PEN57" i="8"/>
  <c r="PEM57" i="8"/>
  <c r="PEL57" i="8"/>
  <c r="PEK57" i="8"/>
  <c r="PEJ57" i="8"/>
  <c r="PEI57" i="8"/>
  <c r="PEH57" i="8"/>
  <c r="PEG57" i="8"/>
  <c r="PEF57" i="8"/>
  <c r="PEE57" i="8"/>
  <c r="PED57" i="8"/>
  <c r="PEC57" i="8"/>
  <c r="PEB57" i="8"/>
  <c r="PEA57" i="8"/>
  <c r="PDZ57" i="8"/>
  <c r="PDY57" i="8"/>
  <c r="PDX57" i="8"/>
  <c r="PDW57" i="8"/>
  <c r="PDV57" i="8"/>
  <c r="PDU57" i="8"/>
  <c r="PDT57" i="8"/>
  <c r="PDS57" i="8"/>
  <c r="PDR57" i="8"/>
  <c r="PDQ57" i="8"/>
  <c r="PDP57" i="8"/>
  <c r="PDO57" i="8"/>
  <c r="PDN57" i="8"/>
  <c r="PDM57" i="8"/>
  <c r="PDL57" i="8"/>
  <c r="PDK57" i="8"/>
  <c r="PDJ57" i="8"/>
  <c r="PDI57" i="8"/>
  <c r="PDH57" i="8"/>
  <c r="PDG57" i="8"/>
  <c r="PDF57" i="8"/>
  <c r="PDE57" i="8"/>
  <c r="PDD57" i="8"/>
  <c r="PDC57" i="8"/>
  <c r="PDB57" i="8"/>
  <c r="PDA57" i="8"/>
  <c r="PCZ57" i="8"/>
  <c r="PCY57" i="8"/>
  <c r="PCX57" i="8"/>
  <c r="PCW57" i="8"/>
  <c r="PCV57" i="8"/>
  <c r="PCU57" i="8"/>
  <c r="PCT57" i="8"/>
  <c r="PCS57" i="8"/>
  <c r="PCR57" i="8"/>
  <c r="PCQ57" i="8"/>
  <c r="PCP57" i="8"/>
  <c r="PCO57" i="8"/>
  <c r="PCN57" i="8"/>
  <c r="PCM57" i="8"/>
  <c r="PCL57" i="8"/>
  <c r="PCK57" i="8"/>
  <c r="PCJ57" i="8"/>
  <c r="PCI57" i="8"/>
  <c r="PCH57" i="8"/>
  <c r="PCG57" i="8"/>
  <c r="PCF57" i="8"/>
  <c r="PCE57" i="8"/>
  <c r="PCD57" i="8"/>
  <c r="PCC57" i="8"/>
  <c r="PCB57" i="8"/>
  <c r="PCA57" i="8"/>
  <c r="PBZ57" i="8"/>
  <c r="PBY57" i="8"/>
  <c r="PBX57" i="8"/>
  <c r="PBW57" i="8"/>
  <c r="PBV57" i="8"/>
  <c r="PBU57" i="8"/>
  <c r="PBT57" i="8"/>
  <c r="PBS57" i="8"/>
  <c r="PBR57" i="8"/>
  <c r="PBQ57" i="8"/>
  <c r="PBP57" i="8"/>
  <c r="PBO57" i="8"/>
  <c r="PBN57" i="8"/>
  <c r="PBM57" i="8"/>
  <c r="PBL57" i="8"/>
  <c r="PBK57" i="8"/>
  <c r="PBJ57" i="8"/>
  <c r="PBI57" i="8"/>
  <c r="PBH57" i="8"/>
  <c r="PBG57" i="8"/>
  <c r="PBF57" i="8"/>
  <c r="PBE57" i="8"/>
  <c r="PBD57" i="8"/>
  <c r="PBC57" i="8"/>
  <c r="PBB57" i="8"/>
  <c r="PBA57" i="8"/>
  <c r="PAZ57" i="8"/>
  <c r="PAY57" i="8"/>
  <c r="PAX57" i="8"/>
  <c r="PAW57" i="8"/>
  <c r="PAV57" i="8"/>
  <c r="PAU57" i="8"/>
  <c r="PAT57" i="8"/>
  <c r="PAS57" i="8"/>
  <c r="PAR57" i="8"/>
  <c r="PAQ57" i="8"/>
  <c r="PAP57" i="8"/>
  <c r="PAO57" i="8"/>
  <c r="PAN57" i="8"/>
  <c r="PAM57" i="8"/>
  <c r="PAL57" i="8"/>
  <c r="PAK57" i="8"/>
  <c r="PAJ57" i="8"/>
  <c r="PAI57" i="8"/>
  <c r="PAH57" i="8"/>
  <c r="PAG57" i="8"/>
  <c r="PAF57" i="8"/>
  <c r="PAE57" i="8"/>
  <c r="PAD57" i="8"/>
  <c r="PAC57" i="8"/>
  <c r="PAB57" i="8"/>
  <c r="PAA57" i="8"/>
  <c r="OZZ57" i="8"/>
  <c r="OZY57" i="8"/>
  <c r="OZX57" i="8"/>
  <c r="OZW57" i="8"/>
  <c r="OZV57" i="8"/>
  <c r="OZU57" i="8"/>
  <c r="OZT57" i="8"/>
  <c r="OZS57" i="8"/>
  <c r="OZR57" i="8"/>
  <c r="OZQ57" i="8"/>
  <c r="OZP57" i="8"/>
  <c r="OZO57" i="8"/>
  <c r="OZN57" i="8"/>
  <c r="OZM57" i="8"/>
  <c r="OZL57" i="8"/>
  <c r="OZK57" i="8"/>
  <c r="OZJ57" i="8"/>
  <c r="OZI57" i="8"/>
  <c r="OZH57" i="8"/>
  <c r="OZG57" i="8"/>
  <c r="OZF57" i="8"/>
  <c r="OZE57" i="8"/>
  <c r="OZD57" i="8"/>
  <c r="OZC57" i="8"/>
  <c r="OZB57" i="8"/>
  <c r="OZA57" i="8"/>
  <c r="OYZ57" i="8"/>
  <c r="OYY57" i="8"/>
  <c r="OYX57" i="8"/>
  <c r="OYW57" i="8"/>
  <c r="OYV57" i="8"/>
  <c r="OYU57" i="8"/>
  <c r="OYT57" i="8"/>
  <c r="OYS57" i="8"/>
  <c r="OYR57" i="8"/>
  <c r="OYQ57" i="8"/>
  <c r="OYP57" i="8"/>
  <c r="OYO57" i="8"/>
  <c r="OYN57" i="8"/>
  <c r="OYM57" i="8"/>
  <c r="OYL57" i="8"/>
  <c r="OYK57" i="8"/>
  <c r="OYJ57" i="8"/>
  <c r="OYI57" i="8"/>
  <c r="OYH57" i="8"/>
  <c r="OYG57" i="8"/>
  <c r="OYF57" i="8"/>
  <c r="OYE57" i="8"/>
  <c r="OYD57" i="8"/>
  <c r="OYC57" i="8"/>
  <c r="OYB57" i="8"/>
  <c r="OYA57" i="8"/>
  <c r="OXZ57" i="8"/>
  <c r="OXY57" i="8"/>
  <c r="OXX57" i="8"/>
  <c r="OXW57" i="8"/>
  <c r="OXV57" i="8"/>
  <c r="OXU57" i="8"/>
  <c r="OXT57" i="8"/>
  <c r="OXS57" i="8"/>
  <c r="OXR57" i="8"/>
  <c r="OXQ57" i="8"/>
  <c r="OXP57" i="8"/>
  <c r="OXO57" i="8"/>
  <c r="OXN57" i="8"/>
  <c r="OXM57" i="8"/>
  <c r="OXL57" i="8"/>
  <c r="OXK57" i="8"/>
  <c r="OXJ57" i="8"/>
  <c r="OXI57" i="8"/>
  <c r="OXH57" i="8"/>
  <c r="OXG57" i="8"/>
  <c r="OXF57" i="8"/>
  <c r="OXE57" i="8"/>
  <c r="OXD57" i="8"/>
  <c r="OXC57" i="8"/>
  <c r="OXB57" i="8"/>
  <c r="OXA57" i="8"/>
  <c r="OWZ57" i="8"/>
  <c r="OWY57" i="8"/>
  <c r="OWX57" i="8"/>
  <c r="OWW57" i="8"/>
  <c r="OWV57" i="8"/>
  <c r="OWU57" i="8"/>
  <c r="OWT57" i="8"/>
  <c r="OWS57" i="8"/>
  <c r="OWR57" i="8"/>
  <c r="OWQ57" i="8"/>
  <c r="OWP57" i="8"/>
  <c r="OWO57" i="8"/>
  <c r="OWN57" i="8"/>
  <c r="OWM57" i="8"/>
  <c r="OWL57" i="8"/>
  <c r="OWK57" i="8"/>
  <c r="OWJ57" i="8"/>
  <c r="OWI57" i="8"/>
  <c r="OWH57" i="8"/>
  <c r="OWG57" i="8"/>
  <c r="OWF57" i="8"/>
  <c r="OWE57" i="8"/>
  <c r="OWD57" i="8"/>
  <c r="OWC57" i="8"/>
  <c r="OWB57" i="8"/>
  <c r="OWA57" i="8"/>
  <c r="OVZ57" i="8"/>
  <c r="OVY57" i="8"/>
  <c r="OVX57" i="8"/>
  <c r="OVW57" i="8"/>
  <c r="OVV57" i="8"/>
  <c r="OVU57" i="8"/>
  <c r="OVT57" i="8"/>
  <c r="OVS57" i="8"/>
  <c r="OVR57" i="8"/>
  <c r="OVQ57" i="8"/>
  <c r="OVP57" i="8"/>
  <c r="OVO57" i="8"/>
  <c r="OVN57" i="8"/>
  <c r="OVM57" i="8"/>
  <c r="OVL57" i="8"/>
  <c r="OVK57" i="8"/>
  <c r="OVJ57" i="8"/>
  <c r="OVI57" i="8"/>
  <c r="OVH57" i="8"/>
  <c r="OVG57" i="8"/>
  <c r="OVF57" i="8"/>
  <c r="OVE57" i="8"/>
  <c r="OVD57" i="8"/>
  <c r="OVC57" i="8"/>
  <c r="OVB57" i="8"/>
  <c r="OVA57" i="8"/>
  <c r="OUZ57" i="8"/>
  <c r="OUY57" i="8"/>
  <c r="OUX57" i="8"/>
  <c r="OUW57" i="8"/>
  <c r="OUV57" i="8"/>
  <c r="OUU57" i="8"/>
  <c r="OUT57" i="8"/>
  <c r="OUS57" i="8"/>
  <c r="OUR57" i="8"/>
  <c r="OUQ57" i="8"/>
  <c r="OUP57" i="8"/>
  <c r="OUO57" i="8"/>
  <c r="OUN57" i="8"/>
  <c r="OUM57" i="8"/>
  <c r="OUL57" i="8"/>
  <c r="OUK57" i="8"/>
  <c r="OUJ57" i="8"/>
  <c r="OUI57" i="8"/>
  <c r="OUH57" i="8"/>
  <c r="OUG57" i="8"/>
  <c r="OUF57" i="8"/>
  <c r="OUE57" i="8"/>
  <c r="OUD57" i="8"/>
  <c r="OUC57" i="8"/>
  <c r="OUB57" i="8"/>
  <c r="OUA57" i="8"/>
  <c r="OTZ57" i="8"/>
  <c r="OTY57" i="8"/>
  <c r="OTX57" i="8"/>
  <c r="OTW57" i="8"/>
  <c r="OTV57" i="8"/>
  <c r="OTU57" i="8"/>
  <c r="OTT57" i="8"/>
  <c r="OTS57" i="8"/>
  <c r="OTR57" i="8"/>
  <c r="OTQ57" i="8"/>
  <c r="OTP57" i="8"/>
  <c r="OTO57" i="8"/>
  <c r="OTN57" i="8"/>
  <c r="OTM57" i="8"/>
  <c r="OTL57" i="8"/>
  <c r="OTK57" i="8"/>
  <c r="OTJ57" i="8"/>
  <c r="OTI57" i="8"/>
  <c r="OTH57" i="8"/>
  <c r="OTG57" i="8"/>
  <c r="OTF57" i="8"/>
  <c r="OTE57" i="8"/>
  <c r="OTD57" i="8"/>
  <c r="OTC57" i="8"/>
  <c r="OTB57" i="8"/>
  <c r="OTA57" i="8"/>
  <c r="OSZ57" i="8"/>
  <c r="OSY57" i="8"/>
  <c r="OSX57" i="8"/>
  <c r="OSW57" i="8"/>
  <c r="OSV57" i="8"/>
  <c r="OSU57" i="8"/>
  <c r="OST57" i="8"/>
  <c r="OSS57" i="8"/>
  <c r="OSR57" i="8"/>
  <c r="OSQ57" i="8"/>
  <c r="OSP57" i="8"/>
  <c r="OSO57" i="8"/>
  <c r="OSN57" i="8"/>
  <c r="OSM57" i="8"/>
  <c r="OSL57" i="8"/>
  <c r="OSK57" i="8"/>
  <c r="OSJ57" i="8"/>
  <c r="OSI57" i="8"/>
  <c r="OSH57" i="8"/>
  <c r="OSG57" i="8"/>
  <c r="OSF57" i="8"/>
  <c r="OSE57" i="8"/>
  <c r="OSD57" i="8"/>
  <c r="OSC57" i="8"/>
  <c r="OSB57" i="8"/>
  <c r="OSA57" i="8"/>
  <c r="ORZ57" i="8"/>
  <c r="ORY57" i="8"/>
  <c r="ORX57" i="8"/>
  <c r="ORW57" i="8"/>
  <c r="ORV57" i="8"/>
  <c r="ORU57" i="8"/>
  <c r="ORT57" i="8"/>
  <c r="ORS57" i="8"/>
  <c r="ORR57" i="8"/>
  <c r="ORQ57" i="8"/>
  <c r="ORP57" i="8"/>
  <c r="ORO57" i="8"/>
  <c r="ORN57" i="8"/>
  <c r="ORM57" i="8"/>
  <c r="ORL57" i="8"/>
  <c r="ORK57" i="8"/>
  <c r="ORJ57" i="8"/>
  <c r="ORI57" i="8"/>
  <c r="ORH57" i="8"/>
  <c r="ORG57" i="8"/>
  <c r="ORF57" i="8"/>
  <c r="ORE57" i="8"/>
  <c r="ORD57" i="8"/>
  <c r="ORC57" i="8"/>
  <c r="ORB57" i="8"/>
  <c r="ORA57" i="8"/>
  <c r="OQZ57" i="8"/>
  <c r="OQY57" i="8"/>
  <c r="OQX57" i="8"/>
  <c r="OQW57" i="8"/>
  <c r="OQV57" i="8"/>
  <c r="OQU57" i="8"/>
  <c r="OQT57" i="8"/>
  <c r="OQS57" i="8"/>
  <c r="OQR57" i="8"/>
  <c r="OQQ57" i="8"/>
  <c r="OQP57" i="8"/>
  <c r="OQO57" i="8"/>
  <c r="OQN57" i="8"/>
  <c r="OQM57" i="8"/>
  <c r="OQL57" i="8"/>
  <c r="OQK57" i="8"/>
  <c r="OQJ57" i="8"/>
  <c r="OQI57" i="8"/>
  <c r="OQH57" i="8"/>
  <c r="OQG57" i="8"/>
  <c r="OQF57" i="8"/>
  <c r="OQE57" i="8"/>
  <c r="OQD57" i="8"/>
  <c r="OQC57" i="8"/>
  <c r="OQB57" i="8"/>
  <c r="OQA57" i="8"/>
  <c r="OPZ57" i="8"/>
  <c r="OPY57" i="8"/>
  <c r="OPX57" i="8"/>
  <c r="OPW57" i="8"/>
  <c r="OPV57" i="8"/>
  <c r="OPU57" i="8"/>
  <c r="OPT57" i="8"/>
  <c r="OPS57" i="8"/>
  <c r="OPR57" i="8"/>
  <c r="OPQ57" i="8"/>
  <c r="OPP57" i="8"/>
  <c r="OPO57" i="8"/>
  <c r="OPN57" i="8"/>
  <c r="OPM57" i="8"/>
  <c r="OPL57" i="8"/>
  <c r="OPK57" i="8"/>
  <c r="OPJ57" i="8"/>
  <c r="OPI57" i="8"/>
  <c r="OPH57" i="8"/>
  <c r="OPG57" i="8"/>
  <c r="OPF57" i="8"/>
  <c r="OPE57" i="8"/>
  <c r="OPD57" i="8"/>
  <c r="OPC57" i="8"/>
  <c r="OPB57" i="8"/>
  <c r="OPA57" i="8"/>
  <c r="OOZ57" i="8"/>
  <c r="OOY57" i="8"/>
  <c r="OOX57" i="8"/>
  <c r="OOW57" i="8"/>
  <c r="OOV57" i="8"/>
  <c r="OOU57" i="8"/>
  <c r="OOT57" i="8"/>
  <c r="OOS57" i="8"/>
  <c r="OOR57" i="8"/>
  <c r="OOQ57" i="8"/>
  <c r="OOP57" i="8"/>
  <c r="OOO57" i="8"/>
  <c r="OON57" i="8"/>
  <c r="OOM57" i="8"/>
  <c r="OOL57" i="8"/>
  <c r="OOK57" i="8"/>
  <c r="OOJ57" i="8"/>
  <c r="OOI57" i="8"/>
  <c r="OOH57" i="8"/>
  <c r="OOG57" i="8"/>
  <c r="OOF57" i="8"/>
  <c r="OOE57" i="8"/>
  <c r="OOD57" i="8"/>
  <c r="OOC57" i="8"/>
  <c r="OOB57" i="8"/>
  <c r="OOA57" i="8"/>
  <c r="ONZ57" i="8"/>
  <c r="ONY57" i="8"/>
  <c r="ONX57" i="8"/>
  <c r="ONW57" i="8"/>
  <c r="ONV57" i="8"/>
  <c r="ONU57" i="8"/>
  <c r="ONT57" i="8"/>
  <c r="ONS57" i="8"/>
  <c r="ONR57" i="8"/>
  <c r="ONQ57" i="8"/>
  <c r="ONP57" i="8"/>
  <c r="ONO57" i="8"/>
  <c r="ONN57" i="8"/>
  <c r="ONM57" i="8"/>
  <c r="ONL57" i="8"/>
  <c r="ONK57" i="8"/>
  <c r="ONJ57" i="8"/>
  <c r="ONI57" i="8"/>
  <c r="ONH57" i="8"/>
  <c r="ONG57" i="8"/>
  <c r="ONF57" i="8"/>
  <c r="ONE57" i="8"/>
  <c r="OND57" i="8"/>
  <c r="ONC57" i="8"/>
  <c r="ONB57" i="8"/>
  <c r="ONA57" i="8"/>
  <c r="OMZ57" i="8"/>
  <c r="OMY57" i="8"/>
  <c r="OMX57" i="8"/>
  <c r="OMW57" i="8"/>
  <c r="OMV57" i="8"/>
  <c r="OMU57" i="8"/>
  <c r="OMT57" i="8"/>
  <c r="OMS57" i="8"/>
  <c r="OMR57" i="8"/>
  <c r="OMQ57" i="8"/>
  <c r="OMP57" i="8"/>
  <c r="OMO57" i="8"/>
  <c r="OMN57" i="8"/>
  <c r="OMM57" i="8"/>
  <c r="OML57" i="8"/>
  <c r="OMK57" i="8"/>
  <c r="OMJ57" i="8"/>
  <c r="OMI57" i="8"/>
  <c r="OMH57" i="8"/>
  <c r="OMG57" i="8"/>
  <c r="OMF57" i="8"/>
  <c r="OME57" i="8"/>
  <c r="OMD57" i="8"/>
  <c r="OMC57" i="8"/>
  <c r="OMB57" i="8"/>
  <c r="OMA57" i="8"/>
  <c r="OLZ57" i="8"/>
  <c r="OLY57" i="8"/>
  <c r="OLX57" i="8"/>
  <c r="OLW57" i="8"/>
  <c r="OLV57" i="8"/>
  <c r="OLU57" i="8"/>
  <c r="OLT57" i="8"/>
  <c r="OLS57" i="8"/>
  <c r="OLR57" i="8"/>
  <c r="OLQ57" i="8"/>
  <c r="OLP57" i="8"/>
  <c r="OLO57" i="8"/>
  <c r="OLN57" i="8"/>
  <c r="OLM57" i="8"/>
  <c r="OLL57" i="8"/>
  <c r="OLK57" i="8"/>
  <c r="OLJ57" i="8"/>
  <c r="OLI57" i="8"/>
  <c r="OLH57" i="8"/>
  <c r="OLG57" i="8"/>
  <c r="OLF57" i="8"/>
  <c r="OLE57" i="8"/>
  <c r="OLD57" i="8"/>
  <c r="OLC57" i="8"/>
  <c r="OLB57" i="8"/>
  <c r="OLA57" i="8"/>
  <c r="OKZ57" i="8"/>
  <c r="OKY57" i="8"/>
  <c r="OKX57" i="8"/>
  <c r="OKW57" i="8"/>
  <c r="OKV57" i="8"/>
  <c r="OKU57" i="8"/>
  <c r="OKT57" i="8"/>
  <c r="OKS57" i="8"/>
  <c r="OKR57" i="8"/>
  <c r="OKQ57" i="8"/>
  <c r="OKP57" i="8"/>
  <c r="OKO57" i="8"/>
  <c r="OKN57" i="8"/>
  <c r="OKM57" i="8"/>
  <c r="OKL57" i="8"/>
  <c r="OKK57" i="8"/>
  <c r="OKJ57" i="8"/>
  <c r="OKI57" i="8"/>
  <c r="OKH57" i="8"/>
  <c r="OKG57" i="8"/>
  <c r="OKF57" i="8"/>
  <c r="OKE57" i="8"/>
  <c r="OKD57" i="8"/>
  <c r="OKC57" i="8"/>
  <c r="OKB57" i="8"/>
  <c r="OKA57" i="8"/>
  <c r="OJZ57" i="8"/>
  <c r="OJY57" i="8"/>
  <c r="OJX57" i="8"/>
  <c r="OJW57" i="8"/>
  <c r="OJV57" i="8"/>
  <c r="OJU57" i="8"/>
  <c r="OJT57" i="8"/>
  <c r="OJS57" i="8"/>
  <c r="OJR57" i="8"/>
  <c r="OJQ57" i="8"/>
  <c r="OJP57" i="8"/>
  <c r="OJO57" i="8"/>
  <c r="OJN57" i="8"/>
  <c r="OJM57" i="8"/>
  <c r="OJL57" i="8"/>
  <c r="OJK57" i="8"/>
  <c r="OJJ57" i="8"/>
  <c r="OJI57" i="8"/>
  <c r="OJH57" i="8"/>
  <c r="OJG57" i="8"/>
  <c r="OJF57" i="8"/>
  <c r="OJE57" i="8"/>
  <c r="OJD57" i="8"/>
  <c r="OJC57" i="8"/>
  <c r="OJB57" i="8"/>
  <c r="OJA57" i="8"/>
  <c r="OIZ57" i="8"/>
  <c r="OIY57" i="8"/>
  <c r="OIX57" i="8"/>
  <c r="OIW57" i="8"/>
  <c r="OIV57" i="8"/>
  <c r="OIU57" i="8"/>
  <c r="OIT57" i="8"/>
  <c r="OIS57" i="8"/>
  <c r="OIR57" i="8"/>
  <c r="OIQ57" i="8"/>
  <c r="OIP57" i="8"/>
  <c r="OIO57" i="8"/>
  <c r="OIN57" i="8"/>
  <c r="OIM57" i="8"/>
  <c r="OIL57" i="8"/>
  <c r="OIK57" i="8"/>
  <c r="OIJ57" i="8"/>
  <c r="OII57" i="8"/>
  <c r="OIH57" i="8"/>
  <c r="OIG57" i="8"/>
  <c r="OIF57" i="8"/>
  <c r="OIE57" i="8"/>
  <c r="OID57" i="8"/>
  <c r="OIC57" i="8"/>
  <c r="OIB57" i="8"/>
  <c r="OIA57" i="8"/>
  <c r="OHZ57" i="8"/>
  <c r="OHY57" i="8"/>
  <c r="OHX57" i="8"/>
  <c r="OHW57" i="8"/>
  <c r="OHV57" i="8"/>
  <c r="OHU57" i="8"/>
  <c r="OHT57" i="8"/>
  <c r="OHS57" i="8"/>
  <c r="OHR57" i="8"/>
  <c r="OHQ57" i="8"/>
  <c r="OHP57" i="8"/>
  <c r="OHO57" i="8"/>
  <c r="OHN57" i="8"/>
  <c r="OHM57" i="8"/>
  <c r="OHL57" i="8"/>
  <c r="OHK57" i="8"/>
  <c r="OHJ57" i="8"/>
  <c r="OHI57" i="8"/>
  <c r="OHH57" i="8"/>
  <c r="OHG57" i="8"/>
  <c r="OHF57" i="8"/>
  <c r="OHE57" i="8"/>
  <c r="OHD57" i="8"/>
  <c r="OHC57" i="8"/>
  <c r="OHB57" i="8"/>
  <c r="OHA57" i="8"/>
  <c r="OGZ57" i="8"/>
  <c r="OGY57" i="8"/>
  <c r="OGX57" i="8"/>
  <c r="OGW57" i="8"/>
  <c r="OGV57" i="8"/>
  <c r="OGU57" i="8"/>
  <c r="OGT57" i="8"/>
  <c r="OGS57" i="8"/>
  <c r="OGR57" i="8"/>
  <c r="OGQ57" i="8"/>
  <c r="OGP57" i="8"/>
  <c r="OGO57" i="8"/>
  <c r="OGN57" i="8"/>
  <c r="OGM57" i="8"/>
  <c r="OGL57" i="8"/>
  <c r="OGK57" i="8"/>
  <c r="OGJ57" i="8"/>
  <c r="OGI57" i="8"/>
  <c r="OGH57" i="8"/>
  <c r="OGG57" i="8"/>
  <c r="OGF57" i="8"/>
  <c r="OGE57" i="8"/>
  <c r="OGD57" i="8"/>
  <c r="OGC57" i="8"/>
  <c r="OGB57" i="8"/>
  <c r="OGA57" i="8"/>
  <c r="OFZ57" i="8"/>
  <c r="OFY57" i="8"/>
  <c r="OFX57" i="8"/>
  <c r="OFW57" i="8"/>
  <c r="OFV57" i="8"/>
  <c r="OFU57" i="8"/>
  <c r="OFT57" i="8"/>
  <c r="OFS57" i="8"/>
  <c r="OFR57" i="8"/>
  <c r="OFQ57" i="8"/>
  <c r="OFP57" i="8"/>
  <c r="OFO57" i="8"/>
  <c r="OFN57" i="8"/>
  <c r="OFM57" i="8"/>
  <c r="OFL57" i="8"/>
  <c r="OFK57" i="8"/>
  <c r="OFJ57" i="8"/>
  <c r="OFI57" i="8"/>
  <c r="OFH57" i="8"/>
  <c r="OFG57" i="8"/>
  <c r="OFF57" i="8"/>
  <c r="OFE57" i="8"/>
  <c r="OFD57" i="8"/>
  <c r="OFC57" i="8"/>
  <c r="OFB57" i="8"/>
  <c r="OFA57" i="8"/>
  <c r="OEZ57" i="8"/>
  <c r="OEY57" i="8"/>
  <c r="OEX57" i="8"/>
  <c r="OEW57" i="8"/>
  <c r="OEV57" i="8"/>
  <c r="OEU57" i="8"/>
  <c r="OET57" i="8"/>
  <c r="OES57" i="8"/>
  <c r="OER57" i="8"/>
  <c r="OEQ57" i="8"/>
  <c r="OEP57" i="8"/>
  <c r="OEO57" i="8"/>
  <c r="OEN57" i="8"/>
  <c r="OEM57" i="8"/>
  <c r="OEL57" i="8"/>
  <c r="OEK57" i="8"/>
  <c r="OEJ57" i="8"/>
  <c r="OEI57" i="8"/>
  <c r="OEH57" i="8"/>
  <c r="OEG57" i="8"/>
  <c r="OEF57" i="8"/>
  <c r="OEE57" i="8"/>
  <c r="OED57" i="8"/>
  <c r="OEC57" i="8"/>
  <c r="OEB57" i="8"/>
  <c r="OEA57" i="8"/>
  <c r="ODZ57" i="8"/>
  <c r="ODY57" i="8"/>
  <c r="ODX57" i="8"/>
  <c r="ODW57" i="8"/>
  <c r="ODV57" i="8"/>
  <c r="ODU57" i="8"/>
  <c r="ODT57" i="8"/>
  <c r="ODS57" i="8"/>
  <c r="ODR57" i="8"/>
  <c r="ODQ57" i="8"/>
  <c r="ODP57" i="8"/>
  <c r="ODO57" i="8"/>
  <c r="ODN57" i="8"/>
  <c r="ODM57" i="8"/>
  <c r="ODL57" i="8"/>
  <c r="ODK57" i="8"/>
  <c r="ODJ57" i="8"/>
  <c r="ODI57" i="8"/>
  <c r="ODH57" i="8"/>
  <c r="ODG57" i="8"/>
  <c r="ODF57" i="8"/>
  <c r="ODE57" i="8"/>
  <c r="ODD57" i="8"/>
  <c r="ODC57" i="8"/>
  <c r="ODB57" i="8"/>
  <c r="ODA57" i="8"/>
  <c r="OCZ57" i="8"/>
  <c r="OCY57" i="8"/>
  <c r="OCX57" i="8"/>
  <c r="OCW57" i="8"/>
  <c r="OCV57" i="8"/>
  <c r="OCU57" i="8"/>
  <c r="OCT57" i="8"/>
  <c r="OCS57" i="8"/>
  <c r="OCR57" i="8"/>
  <c r="OCQ57" i="8"/>
  <c r="OCP57" i="8"/>
  <c r="OCO57" i="8"/>
  <c r="OCN57" i="8"/>
  <c r="OCM57" i="8"/>
  <c r="OCL57" i="8"/>
  <c r="OCK57" i="8"/>
  <c r="OCJ57" i="8"/>
  <c r="OCI57" i="8"/>
  <c r="OCH57" i="8"/>
  <c r="OCG57" i="8"/>
  <c r="OCF57" i="8"/>
  <c r="OCE57" i="8"/>
  <c r="OCD57" i="8"/>
  <c r="OCC57" i="8"/>
  <c r="OCB57" i="8"/>
  <c r="OCA57" i="8"/>
  <c r="OBZ57" i="8"/>
  <c r="OBY57" i="8"/>
  <c r="OBX57" i="8"/>
  <c r="OBW57" i="8"/>
  <c r="OBV57" i="8"/>
  <c r="OBU57" i="8"/>
  <c r="OBT57" i="8"/>
  <c r="OBS57" i="8"/>
  <c r="OBR57" i="8"/>
  <c r="OBQ57" i="8"/>
  <c r="OBP57" i="8"/>
  <c r="OBO57" i="8"/>
  <c r="OBN57" i="8"/>
  <c r="OBM57" i="8"/>
  <c r="OBL57" i="8"/>
  <c r="OBK57" i="8"/>
  <c r="OBJ57" i="8"/>
  <c r="OBI57" i="8"/>
  <c r="OBH57" i="8"/>
  <c r="OBG57" i="8"/>
  <c r="OBF57" i="8"/>
  <c r="OBE57" i="8"/>
  <c r="OBD57" i="8"/>
  <c r="OBC57" i="8"/>
  <c r="OBB57" i="8"/>
  <c r="OBA57" i="8"/>
  <c r="OAZ57" i="8"/>
  <c r="OAY57" i="8"/>
  <c r="OAX57" i="8"/>
  <c r="OAW57" i="8"/>
  <c r="OAV57" i="8"/>
  <c r="OAU57" i="8"/>
  <c r="OAT57" i="8"/>
  <c r="OAS57" i="8"/>
  <c r="OAR57" i="8"/>
  <c r="OAQ57" i="8"/>
  <c r="OAP57" i="8"/>
  <c r="OAO57" i="8"/>
  <c r="OAN57" i="8"/>
  <c r="OAM57" i="8"/>
  <c r="OAL57" i="8"/>
  <c r="OAK57" i="8"/>
  <c r="OAJ57" i="8"/>
  <c r="OAI57" i="8"/>
  <c r="OAH57" i="8"/>
  <c r="OAG57" i="8"/>
  <c r="OAF57" i="8"/>
  <c r="OAE57" i="8"/>
  <c r="OAD57" i="8"/>
  <c r="OAC57" i="8"/>
  <c r="OAB57" i="8"/>
  <c r="OAA57" i="8"/>
  <c r="NZZ57" i="8"/>
  <c r="NZY57" i="8"/>
  <c r="NZX57" i="8"/>
  <c r="NZW57" i="8"/>
  <c r="NZV57" i="8"/>
  <c r="NZU57" i="8"/>
  <c r="NZT57" i="8"/>
  <c r="NZS57" i="8"/>
  <c r="NZR57" i="8"/>
  <c r="NZQ57" i="8"/>
  <c r="NZP57" i="8"/>
  <c r="NZO57" i="8"/>
  <c r="NZN57" i="8"/>
  <c r="NZM57" i="8"/>
  <c r="NZL57" i="8"/>
  <c r="NZK57" i="8"/>
  <c r="NZJ57" i="8"/>
  <c r="NZI57" i="8"/>
  <c r="NZH57" i="8"/>
  <c r="NZG57" i="8"/>
  <c r="NZF57" i="8"/>
  <c r="NZE57" i="8"/>
  <c r="NZD57" i="8"/>
  <c r="NZC57" i="8"/>
  <c r="NZB57" i="8"/>
  <c r="NZA57" i="8"/>
  <c r="NYZ57" i="8"/>
  <c r="NYY57" i="8"/>
  <c r="NYX57" i="8"/>
  <c r="NYW57" i="8"/>
  <c r="NYV57" i="8"/>
  <c r="NYU57" i="8"/>
  <c r="NYT57" i="8"/>
  <c r="NYS57" i="8"/>
  <c r="NYR57" i="8"/>
  <c r="NYQ57" i="8"/>
  <c r="NYP57" i="8"/>
  <c r="NYO57" i="8"/>
  <c r="NYN57" i="8"/>
  <c r="NYM57" i="8"/>
  <c r="NYL57" i="8"/>
  <c r="NYK57" i="8"/>
  <c r="NYJ57" i="8"/>
  <c r="NYI57" i="8"/>
  <c r="NYH57" i="8"/>
  <c r="NYG57" i="8"/>
  <c r="NYF57" i="8"/>
  <c r="NYE57" i="8"/>
  <c r="NYD57" i="8"/>
  <c r="NYC57" i="8"/>
  <c r="NYB57" i="8"/>
  <c r="NYA57" i="8"/>
  <c r="NXZ57" i="8"/>
  <c r="NXY57" i="8"/>
  <c r="NXX57" i="8"/>
  <c r="NXW57" i="8"/>
  <c r="NXV57" i="8"/>
  <c r="NXU57" i="8"/>
  <c r="NXT57" i="8"/>
  <c r="NXS57" i="8"/>
  <c r="NXR57" i="8"/>
  <c r="NXQ57" i="8"/>
  <c r="NXP57" i="8"/>
  <c r="NXO57" i="8"/>
  <c r="NXN57" i="8"/>
  <c r="NXM57" i="8"/>
  <c r="NXL57" i="8"/>
  <c r="NXK57" i="8"/>
  <c r="NXJ57" i="8"/>
  <c r="NXI57" i="8"/>
  <c r="NXH57" i="8"/>
  <c r="NXG57" i="8"/>
  <c r="NXF57" i="8"/>
  <c r="NXE57" i="8"/>
  <c r="NXD57" i="8"/>
  <c r="NXC57" i="8"/>
  <c r="NXB57" i="8"/>
  <c r="NXA57" i="8"/>
  <c r="NWZ57" i="8"/>
  <c r="NWY57" i="8"/>
  <c r="NWX57" i="8"/>
  <c r="NWW57" i="8"/>
  <c r="NWV57" i="8"/>
  <c r="NWU57" i="8"/>
  <c r="NWT57" i="8"/>
  <c r="NWS57" i="8"/>
  <c r="NWR57" i="8"/>
  <c r="NWQ57" i="8"/>
  <c r="NWP57" i="8"/>
  <c r="NWO57" i="8"/>
  <c r="NWN57" i="8"/>
  <c r="NWM57" i="8"/>
  <c r="NWL57" i="8"/>
  <c r="NWK57" i="8"/>
  <c r="NWJ57" i="8"/>
  <c r="NWI57" i="8"/>
  <c r="NWH57" i="8"/>
  <c r="NWG57" i="8"/>
  <c r="NWF57" i="8"/>
  <c r="NWE57" i="8"/>
  <c r="NWD57" i="8"/>
  <c r="NWC57" i="8"/>
  <c r="NWB57" i="8"/>
  <c r="NWA57" i="8"/>
  <c r="NVZ57" i="8"/>
  <c r="NVY57" i="8"/>
  <c r="NVX57" i="8"/>
  <c r="NVW57" i="8"/>
  <c r="NVV57" i="8"/>
  <c r="NVU57" i="8"/>
  <c r="NVT57" i="8"/>
  <c r="NVS57" i="8"/>
  <c r="NVR57" i="8"/>
  <c r="NVQ57" i="8"/>
  <c r="NVP57" i="8"/>
  <c r="NVO57" i="8"/>
  <c r="NVN57" i="8"/>
  <c r="NVM57" i="8"/>
  <c r="NVL57" i="8"/>
  <c r="NVK57" i="8"/>
  <c r="NVJ57" i="8"/>
  <c r="NVI57" i="8"/>
  <c r="NVH57" i="8"/>
  <c r="NVG57" i="8"/>
  <c r="NVF57" i="8"/>
  <c r="NVE57" i="8"/>
  <c r="NVD57" i="8"/>
  <c r="NVC57" i="8"/>
  <c r="NVB57" i="8"/>
  <c r="NVA57" i="8"/>
  <c r="NUZ57" i="8"/>
  <c r="NUY57" i="8"/>
  <c r="NUX57" i="8"/>
  <c r="NUW57" i="8"/>
  <c r="NUV57" i="8"/>
  <c r="NUU57" i="8"/>
  <c r="NUT57" i="8"/>
  <c r="NUS57" i="8"/>
  <c r="NUR57" i="8"/>
  <c r="NUQ57" i="8"/>
  <c r="NUP57" i="8"/>
  <c r="NUO57" i="8"/>
  <c r="NUN57" i="8"/>
  <c r="NUM57" i="8"/>
  <c r="NUL57" i="8"/>
  <c r="NUK57" i="8"/>
  <c r="NUJ57" i="8"/>
  <c r="NUI57" i="8"/>
  <c r="NUH57" i="8"/>
  <c r="NUG57" i="8"/>
  <c r="NUF57" i="8"/>
  <c r="NUE57" i="8"/>
  <c r="NUD57" i="8"/>
  <c r="NUC57" i="8"/>
  <c r="NUB57" i="8"/>
  <c r="NUA57" i="8"/>
  <c r="NTZ57" i="8"/>
  <c r="NTY57" i="8"/>
  <c r="NTX57" i="8"/>
  <c r="NTW57" i="8"/>
  <c r="NTV57" i="8"/>
  <c r="NTU57" i="8"/>
  <c r="NTT57" i="8"/>
  <c r="NTS57" i="8"/>
  <c r="NTR57" i="8"/>
  <c r="NTQ57" i="8"/>
  <c r="NTP57" i="8"/>
  <c r="NTO57" i="8"/>
  <c r="NTN57" i="8"/>
  <c r="NTM57" i="8"/>
  <c r="NTL57" i="8"/>
  <c r="NTK57" i="8"/>
  <c r="NTJ57" i="8"/>
  <c r="NTI57" i="8"/>
  <c r="NTH57" i="8"/>
  <c r="NTG57" i="8"/>
  <c r="NTF57" i="8"/>
  <c r="NTE57" i="8"/>
  <c r="NTD57" i="8"/>
  <c r="NTC57" i="8"/>
  <c r="NTB57" i="8"/>
  <c r="NTA57" i="8"/>
  <c r="NSZ57" i="8"/>
  <c r="NSY57" i="8"/>
  <c r="NSX57" i="8"/>
  <c r="NSW57" i="8"/>
  <c r="NSV57" i="8"/>
  <c r="NSU57" i="8"/>
  <c r="NST57" i="8"/>
  <c r="NSS57" i="8"/>
  <c r="NSR57" i="8"/>
  <c r="NSQ57" i="8"/>
  <c r="NSP57" i="8"/>
  <c r="NSO57" i="8"/>
  <c r="NSN57" i="8"/>
  <c r="NSM57" i="8"/>
  <c r="NSL57" i="8"/>
  <c r="NSK57" i="8"/>
  <c r="NSJ57" i="8"/>
  <c r="NSI57" i="8"/>
  <c r="NSH57" i="8"/>
  <c r="NSG57" i="8"/>
  <c r="NSF57" i="8"/>
  <c r="NSE57" i="8"/>
  <c r="NSD57" i="8"/>
  <c r="NSC57" i="8"/>
  <c r="NSB57" i="8"/>
  <c r="NSA57" i="8"/>
  <c r="NRZ57" i="8"/>
  <c r="NRY57" i="8"/>
  <c r="NRX57" i="8"/>
  <c r="NRW57" i="8"/>
  <c r="NRV57" i="8"/>
  <c r="NRU57" i="8"/>
  <c r="NRT57" i="8"/>
  <c r="NRS57" i="8"/>
  <c r="NRR57" i="8"/>
  <c r="NRQ57" i="8"/>
  <c r="NRP57" i="8"/>
  <c r="NRO57" i="8"/>
  <c r="NRN57" i="8"/>
  <c r="NRM57" i="8"/>
  <c r="NRL57" i="8"/>
  <c r="NRK57" i="8"/>
  <c r="NRJ57" i="8"/>
  <c r="NRI57" i="8"/>
  <c r="NRH57" i="8"/>
  <c r="NRG57" i="8"/>
  <c r="NRF57" i="8"/>
  <c r="NRE57" i="8"/>
  <c r="NRD57" i="8"/>
  <c r="NRC57" i="8"/>
  <c r="NRB57" i="8"/>
  <c r="NRA57" i="8"/>
  <c r="NQZ57" i="8"/>
  <c r="NQY57" i="8"/>
  <c r="NQX57" i="8"/>
  <c r="NQW57" i="8"/>
  <c r="NQV57" i="8"/>
  <c r="NQU57" i="8"/>
  <c r="NQT57" i="8"/>
  <c r="NQS57" i="8"/>
  <c r="NQR57" i="8"/>
  <c r="NQQ57" i="8"/>
  <c r="NQP57" i="8"/>
  <c r="NQO57" i="8"/>
  <c r="NQN57" i="8"/>
  <c r="NQM57" i="8"/>
  <c r="NQL57" i="8"/>
  <c r="NQK57" i="8"/>
  <c r="NQJ57" i="8"/>
  <c r="NQI57" i="8"/>
  <c r="NQH57" i="8"/>
  <c r="NQG57" i="8"/>
  <c r="NQF57" i="8"/>
  <c r="NQE57" i="8"/>
  <c r="NQD57" i="8"/>
  <c r="NQC57" i="8"/>
  <c r="NQB57" i="8"/>
  <c r="NQA57" i="8"/>
  <c r="NPZ57" i="8"/>
  <c r="NPY57" i="8"/>
  <c r="NPX57" i="8"/>
  <c r="NPW57" i="8"/>
  <c r="NPV57" i="8"/>
  <c r="NPU57" i="8"/>
  <c r="NPT57" i="8"/>
  <c r="NPS57" i="8"/>
  <c r="NPR57" i="8"/>
  <c r="NPQ57" i="8"/>
  <c r="NPP57" i="8"/>
  <c r="NPO57" i="8"/>
  <c r="NPN57" i="8"/>
  <c r="NPM57" i="8"/>
  <c r="NPL57" i="8"/>
  <c r="NPK57" i="8"/>
  <c r="NPJ57" i="8"/>
  <c r="NPI57" i="8"/>
  <c r="NPH57" i="8"/>
  <c r="NPG57" i="8"/>
  <c r="NPF57" i="8"/>
  <c r="NPE57" i="8"/>
  <c r="NPD57" i="8"/>
  <c r="NPC57" i="8"/>
  <c r="NPB57" i="8"/>
  <c r="NPA57" i="8"/>
  <c r="NOZ57" i="8"/>
  <c r="NOY57" i="8"/>
  <c r="NOX57" i="8"/>
  <c r="NOW57" i="8"/>
  <c r="NOV57" i="8"/>
  <c r="NOU57" i="8"/>
  <c r="NOT57" i="8"/>
  <c r="NOS57" i="8"/>
  <c r="NOR57" i="8"/>
  <c r="NOQ57" i="8"/>
  <c r="NOP57" i="8"/>
  <c r="NOO57" i="8"/>
  <c r="NON57" i="8"/>
  <c r="NOM57" i="8"/>
  <c r="NOL57" i="8"/>
  <c r="NOK57" i="8"/>
  <c r="NOJ57" i="8"/>
  <c r="NOI57" i="8"/>
  <c r="NOH57" i="8"/>
  <c r="NOG57" i="8"/>
  <c r="NOF57" i="8"/>
  <c r="NOE57" i="8"/>
  <c r="NOD57" i="8"/>
  <c r="NOC57" i="8"/>
  <c r="NOB57" i="8"/>
  <c r="NOA57" i="8"/>
  <c r="NNZ57" i="8"/>
  <c r="NNY57" i="8"/>
  <c r="NNX57" i="8"/>
  <c r="NNW57" i="8"/>
  <c r="NNV57" i="8"/>
  <c r="NNU57" i="8"/>
  <c r="NNT57" i="8"/>
  <c r="NNS57" i="8"/>
  <c r="NNR57" i="8"/>
  <c r="NNQ57" i="8"/>
  <c r="NNP57" i="8"/>
  <c r="NNO57" i="8"/>
  <c r="NNN57" i="8"/>
  <c r="NNM57" i="8"/>
  <c r="NNL57" i="8"/>
  <c r="NNK57" i="8"/>
  <c r="NNJ57" i="8"/>
  <c r="NNI57" i="8"/>
  <c r="NNH57" i="8"/>
  <c r="NNG57" i="8"/>
  <c r="NNF57" i="8"/>
  <c r="NNE57" i="8"/>
  <c r="NND57" i="8"/>
  <c r="NNC57" i="8"/>
  <c r="NNB57" i="8"/>
  <c r="NNA57" i="8"/>
  <c r="NMZ57" i="8"/>
  <c r="NMY57" i="8"/>
  <c r="NMX57" i="8"/>
  <c r="NMW57" i="8"/>
  <c r="NMV57" i="8"/>
  <c r="NMU57" i="8"/>
  <c r="NMT57" i="8"/>
  <c r="NMS57" i="8"/>
  <c r="NMR57" i="8"/>
  <c r="NMQ57" i="8"/>
  <c r="NMP57" i="8"/>
  <c r="NMO57" i="8"/>
  <c r="NMN57" i="8"/>
  <c r="NMM57" i="8"/>
  <c r="NML57" i="8"/>
  <c r="NMK57" i="8"/>
  <c r="NMJ57" i="8"/>
  <c r="NMI57" i="8"/>
  <c r="NMH57" i="8"/>
  <c r="NMG57" i="8"/>
  <c r="NMF57" i="8"/>
  <c r="NME57" i="8"/>
  <c r="NMD57" i="8"/>
  <c r="NMC57" i="8"/>
  <c r="NMB57" i="8"/>
  <c r="NMA57" i="8"/>
  <c r="NLZ57" i="8"/>
  <c r="NLY57" i="8"/>
  <c r="NLX57" i="8"/>
  <c r="NLW57" i="8"/>
  <c r="NLV57" i="8"/>
  <c r="NLU57" i="8"/>
  <c r="NLT57" i="8"/>
  <c r="NLS57" i="8"/>
  <c r="NLR57" i="8"/>
  <c r="NLQ57" i="8"/>
  <c r="NLP57" i="8"/>
  <c r="NLO57" i="8"/>
  <c r="NLN57" i="8"/>
  <c r="NLM57" i="8"/>
  <c r="NLL57" i="8"/>
  <c r="NLK57" i="8"/>
  <c r="NLJ57" i="8"/>
  <c r="NLI57" i="8"/>
  <c r="NLH57" i="8"/>
  <c r="NLG57" i="8"/>
  <c r="NLF57" i="8"/>
  <c r="NLE57" i="8"/>
  <c r="NLD57" i="8"/>
  <c r="NLC57" i="8"/>
  <c r="NLB57" i="8"/>
  <c r="NLA57" i="8"/>
  <c r="NKZ57" i="8"/>
  <c r="NKY57" i="8"/>
  <c r="NKX57" i="8"/>
  <c r="NKW57" i="8"/>
  <c r="NKV57" i="8"/>
  <c r="NKU57" i="8"/>
  <c r="NKT57" i="8"/>
  <c r="NKS57" i="8"/>
  <c r="NKR57" i="8"/>
  <c r="NKQ57" i="8"/>
  <c r="NKP57" i="8"/>
  <c r="NKO57" i="8"/>
  <c r="NKN57" i="8"/>
  <c r="NKM57" i="8"/>
  <c r="NKL57" i="8"/>
  <c r="NKK57" i="8"/>
  <c r="NKJ57" i="8"/>
  <c r="NKI57" i="8"/>
  <c r="NKH57" i="8"/>
  <c r="NKG57" i="8"/>
  <c r="NKF57" i="8"/>
  <c r="NKE57" i="8"/>
  <c r="NKD57" i="8"/>
  <c r="NKC57" i="8"/>
  <c r="NKB57" i="8"/>
  <c r="NKA57" i="8"/>
  <c r="NJZ57" i="8"/>
  <c r="NJY57" i="8"/>
  <c r="NJX57" i="8"/>
  <c r="NJW57" i="8"/>
  <c r="NJV57" i="8"/>
  <c r="NJU57" i="8"/>
  <c r="NJT57" i="8"/>
  <c r="NJS57" i="8"/>
  <c r="NJR57" i="8"/>
  <c r="NJQ57" i="8"/>
  <c r="NJP57" i="8"/>
  <c r="NJO57" i="8"/>
  <c r="NJN57" i="8"/>
  <c r="NJM57" i="8"/>
  <c r="NJL57" i="8"/>
  <c r="NJK57" i="8"/>
  <c r="NJJ57" i="8"/>
  <c r="NJI57" i="8"/>
  <c r="NJH57" i="8"/>
  <c r="NJG57" i="8"/>
  <c r="NJF57" i="8"/>
  <c r="NJE57" i="8"/>
  <c r="NJD57" i="8"/>
  <c r="NJC57" i="8"/>
  <c r="NJB57" i="8"/>
  <c r="NJA57" i="8"/>
  <c r="NIZ57" i="8"/>
  <c r="NIY57" i="8"/>
  <c r="NIX57" i="8"/>
  <c r="NIW57" i="8"/>
  <c r="NIV57" i="8"/>
  <c r="NIU57" i="8"/>
  <c r="NIT57" i="8"/>
  <c r="NIS57" i="8"/>
  <c r="NIR57" i="8"/>
  <c r="NIQ57" i="8"/>
  <c r="NIP57" i="8"/>
  <c r="NIO57" i="8"/>
  <c r="NIN57" i="8"/>
  <c r="NIM57" i="8"/>
  <c r="NIL57" i="8"/>
  <c r="NIK57" i="8"/>
  <c r="NIJ57" i="8"/>
  <c r="NII57" i="8"/>
  <c r="NIH57" i="8"/>
  <c r="NIG57" i="8"/>
  <c r="NIF57" i="8"/>
  <c r="NIE57" i="8"/>
  <c r="NID57" i="8"/>
  <c r="NIC57" i="8"/>
  <c r="NIB57" i="8"/>
  <c r="NIA57" i="8"/>
  <c r="NHZ57" i="8"/>
  <c r="NHY57" i="8"/>
  <c r="NHX57" i="8"/>
  <c r="NHW57" i="8"/>
  <c r="NHV57" i="8"/>
  <c r="NHU57" i="8"/>
  <c r="NHT57" i="8"/>
  <c r="NHS57" i="8"/>
  <c r="NHR57" i="8"/>
  <c r="NHQ57" i="8"/>
  <c r="NHP57" i="8"/>
  <c r="NHO57" i="8"/>
  <c r="NHN57" i="8"/>
  <c r="NHM57" i="8"/>
  <c r="NHL57" i="8"/>
  <c r="NHK57" i="8"/>
  <c r="NHJ57" i="8"/>
  <c r="NHI57" i="8"/>
  <c r="NHH57" i="8"/>
  <c r="NHG57" i="8"/>
  <c r="NHF57" i="8"/>
  <c r="NHE57" i="8"/>
  <c r="NHD57" i="8"/>
  <c r="NHC57" i="8"/>
  <c r="NHB57" i="8"/>
  <c r="NHA57" i="8"/>
  <c r="NGZ57" i="8"/>
  <c r="NGY57" i="8"/>
  <c r="NGX57" i="8"/>
  <c r="NGW57" i="8"/>
  <c r="NGV57" i="8"/>
  <c r="NGU57" i="8"/>
  <c r="NGT57" i="8"/>
  <c r="NGS57" i="8"/>
  <c r="NGR57" i="8"/>
  <c r="NGQ57" i="8"/>
  <c r="NGP57" i="8"/>
  <c r="NGO57" i="8"/>
  <c r="NGN57" i="8"/>
  <c r="NGM57" i="8"/>
  <c r="NGL57" i="8"/>
  <c r="NGK57" i="8"/>
  <c r="NGJ57" i="8"/>
  <c r="NGI57" i="8"/>
  <c r="NGH57" i="8"/>
  <c r="NGG57" i="8"/>
  <c r="NGF57" i="8"/>
  <c r="NGE57" i="8"/>
  <c r="NGD57" i="8"/>
  <c r="NGC57" i="8"/>
  <c r="NGB57" i="8"/>
  <c r="NGA57" i="8"/>
  <c r="NFZ57" i="8"/>
  <c r="NFY57" i="8"/>
  <c r="NFX57" i="8"/>
  <c r="NFW57" i="8"/>
  <c r="NFV57" i="8"/>
  <c r="NFU57" i="8"/>
  <c r="NFT57" i="8"/>
  <c r="NFS57" i="8"/>
  <c r="NFR57" i="8"/>
  <c r="NFQ57" i="8"/>
  <c r="NFP57" i="8"/>
  <c r="NFO57" i="8"/>
  <c r="NFN57" i="8"/>
  <c r="NFM57" i="8"/>
  <c r="NFL57" i="8"/>
  <c r="NFK57" i="8"/>
  <c r="NFJ57" i="8"/>
  <c r="NFI57" i="8"/>
  <c r="NFH57" i="8"/>
  <c r="NFG57" i="8"/>
  <c r="NFF57" i="8"/>
  <c r="NFE57" i="8"/>
  <c r="NFD57" i="8"/>
  <c r="NFC57" i="8"/>
  <c r="NFB57" i="8"/>
  <c r="NFA57" i="8"/>
  <c r="NEZ57" i="8"/>
  <c r="NEY57" i="8"/>
  <c r="NEX57" i="8"/>
  <c r="NEW57" i="8"/>
  <c r="NEV57" i="8"/>
  <c r="NEU57" i="8"/>
  <c r="NET57" i="8"/>
  <c r="NES57" i="8"/>
  <c r="NER57" i="8"/>
  <c r="NEQ57" i="8"/>
  <c r="NEP57" i="8"/>
  <c r="NEO57" i="8"/>
  <c r="NEN57" i="8"/>
  <c r="NEM57" i="8"/>
  <c r="NEL57" i="8"/>
  <c r="NEK57" i="8"/>
  <c r="NEJ57" i="8"/>
  <c r="NEI57" i="8"/>
  <c r="NEH57" i="8"/>
  <c r="NEG57" i="8"/>
  <c r="NEF57" i="8"/>
  <c r="NEE57" i="8"/>
  <c r="NED57" i="8"/>
  <c r="NEC57" i="8"/>
  <c r="NEB57" i="8"/>
  <c r="NEA57" i="8"/>
  <c r="NDZ57" i="8"/>
  <c r="NDY57" i="8"/>
  <c r="NDX57" i="8"/>
  <c r="NDW57" i="8"/>
  <c r="NDV57" i="8"/>
  <c r="NDU57" i="8"/>
  <c r="NDT57" i="8"/>
  <c r="NDS57" i="8"/>
  <c r="NDR57" i="8"/>
  <c r="NDQ57" i="8"/>
  <c r="NDP57" i="8"/>
  <c r="NDO57" i="8"/>
  <c r="NDN57" i="8"/>
  <c r="NDM57" i="8"/>
  <c r="NDL57" i="8"/>
  <c r="NDK57" i="8"/>
  <c r="NDJ57" i="8"/>
  <c r="NDI57" i="8"/>
  <c r="NDH57" i="8"/>
  <c r="NDG57" i="8"/>
  <c r="NDF57" i="8"/>
  <c r="NDE57" i="8"/>
  <c r="NDD57" i="8"/>
  <c r="NDC57" i="8"/>
  <c r="NDB57" i="8"/>
  <c r="NDA57" i="8"/>
  <c r="NCZ57" i="8"/>
  <c r="NCY57" i="8"/>
  <c r="NCX57" i="8"/>
  <c r="NCW57" i="8"/>
  <c r="NCV57" i="8"/>
  <c r="NCU57" i="8"/>
  <c r="NCT57" i="8"/>
  <c r="NCS57" i="8"/>
  <c r="NCR57" i="8"/>
  <c r="NCQ57" i="8"/>
  <c r="NCP57" i="8"/>
  <c r="NCO57" i="8"/>
  <c r="NCN57" i="8"/>
  <c r="NCM57" i="8"/>
  <c r="NCL57" i="8"/>
  <c r="NCK57" i="8"/>
  <c r="NCJ57" i="8"/>
  <c r="NCI57" i="8"/>
  <c r="NCH57" i="8"/>
  <c r="NCG57" i="8"/>
  <c r="NCF57" i="8"/>
  <c r="NCE57" i="8"/>
  <c r="NCD57" i="8"/>
  <c r="NCC57" i="8"/>
  <c r="NCB57" i="8"/>
  <c r="NCA57" i="8"/>
  <c r="NBZ57" i="8"/>
  <c r="NBY57" i="8"/>
  <c r="NBX57" i="8"/>
  <c r="NBW57" i="8"/>
  <c r="NBV57" i="8"/>
  <c r="NBU57" i="8"/>
  <c r="NBT57" i="8"/>
  <c r="NBS57" i="8"/>
  <c r="NBR57" i="8"/>
  <c r="NBQ57" i="8"/>
  <c r="NBP57" i="8"/>
  <c r="NBO57" i="8"/>
  <c r="NBN57" i="8"/>
  <c r="NBM57" i="8"/>
  <c r="NBL57" i="8"/>
  <c r="NBK57" i="8"/>
  <c r="NBJ57" i="8"/>
  <c r="NBI57" i="8"/>
  <c r="NBH57" i="8"/>
  <c r="NBG57" i="8"/>
  <c r="NBF57" i="8"/>
  <c r="NBE57" i="8"/>
  <c r="NBD57" i="8"/>
  <c r="NBC57" i="8"/>
  <c r="NBB57" i="8"/>
  <c r="NBA57" i="8"/>
  <c r="NAZ57" i="8"/>
  <c r="NAY57" i="8"/>
  <c r="NAX57" i="8"/>
  <c r="NAW57" i="8"/>
  <c r="NAV57" i="8"/>
  <c r="NAU57" i="8"/>
  <c r="NAT57" i="8"/>
  <c r="NAS57" i="8"/>
  <c r="NAR57" i="8"/>
  <c r="NAQ57" i="8"/>
  <c r="NAP57" i="8"/>
  <c r="NAO57" i="8"/>
  <c r="NAN57" i="8"/>
  <c r="NAM57" i="8"/>
  <c r="NAL57" i="8"/>
  <c r="NAK57" i="8"/>
  <c r="NAJ57" i="8"/>
  <c r="NAI57" i="8"/>
  <c r="NAH57" i="8"/>
  <c r="NAG57" i="8"/>
  <c r="NAF57" i="8"/>
  <c r="NAE57" i="8"/>
  <c r="NAD57" i="8"/>
  <c r="NAC57" i="8"/>
  <c r="NAB57" i="8"/>
  <c r="NAA57" i="8"/>
  <c r="MZZ57" i="8"/>
  <c r="MZY57" i="8"/>
  <c r="MZX57" i="8"/>
  <c r="MZW57" i="8"/>
  <c r="MZV57" i="8"/>
  <c r="MZU57" i="8"/>
  <c r="MZT57" i="8"/>
  <c r="MZS57" i="8"/>
  <c r="MZR57" i="8"/>
  <c r="MZQ57" i="8"/>
  <c r="MZP57" i="8"/>
  <c r="MZO57" i="8"/>
  <c r="MZN57" i="8"/>
  <c r="MZM57" i="8"/>
  <c r="MZL57" i="8"/>
  <c r="MZK57" i="8"/>
  <c r="MZJ57" i="8"/>
  <c r="MZI57" i="8"/>
  <c r="MZH57" i="8"/>
  <c r="MZG57" i="8"/>
  <c r="MZF57" i="8"/>
  <c r="MZE57" i="8"/>
  <c r="MZD57" i="8"/>
  <c r="MZC57" i="8"/>
  <c r="MZB57" i="8"/>
  <c r="MZA57" i="8"/>
  <c r="MYZ57" i="8"/>
  <c r="MYY57" i="8"/>
  <c r="MYX57" i="8"/>
  <c r="MYW57" i="8"/>
  <c r="MYV57" i="8"/>
  <c r="MYU57" i="8"/>
  <c r="MYT57" i="8"/>
  <c r="MYS57" i="8"/>
  <c r="MYR57" i="8"/>
  <c r="MYQ57" i="8"/>
  <c r="MYP57" i="8"/>
  <c r="MYO57" i="8"/>
  <c r="MYN57" i="8"/>
  <c r="MYM57" i="8"/>
  <c r="MYL57" i="8"/>
  <c r="MYK57" i="8"/>
  <c r="MYJ57" i="8"/>
  <c r="MYI57" i="8"/>
  <c r="MYH57" i="8"/>
  <c r="MYG57" i="8"/>
  <c r="MYF57" i="8"/>
  <c r="MYE57" i="8"/>
  <c r="MYD57" i="8"/>
  <c r="MYC57" i="8"/>
  <c r="MYB57" i="8"/>
  <c r="MYA57" i="8"/>
  <c r="MXZ57" i="8"/>
  <c r="MXY57" i="8"/>
  <c r="MXX57" i="8"/>
  <c r="MXW57" i="8"/>
  <c r="MXV57" i="8"/>
  <c r="MXU57" i="8"/>
  <c r="MXT57" i="8"/>
  <c r="MXS57" i="8"/>
  <c r="MXR57" i="8"/>
  <c r="MXQ57" i="8"/>
  <c r="MXP57" i="8"/>
  <c r="MXO57" i="8"/>
  <c r="MXN57" i="8"/>
  <c r="MXM57" i="8"/>
  <c r="MXL57" i="8"/>
  <c r="MXK57" i="8"/>
  <c r="MXJ57" i="8"/>
  <c r="MXI57" i="8"/>
  <c r="MXH57" i="8"/>
  <c r="MXG57" i="8"/>
  <c r="MXF57" i="8"/>
  <c r="MXE57" i="8"/>
  <c r="MXD57" i="8"/>
  <c r="MXC57" i="8"/>
  <c r="MXB57" i="8"/>
  <c r="MXA57" i="8"/>
  <c r="MWZ57" i="8"/>
  <c r="MWY57" i="8"/>
  <c r="MWX57" i="8"/>
  <c r="MWW57" i="8"/>
  <c r="MWV57" i="8"/>
  <c r="MWU57" i="8"/>
  <c r="MWT57" i="8"/>
  <c r="MWS57" i="8"/>
  <c r="MWR57" i="8"/>
  <c r="MWQ57" i="8"/>
  <c r="MWP57" i="8"/>
  <c r="MWO57" i="8"/>
  <c r="MWN57" i="8"/>
  <c r="MWM57" i="8"/>
  <c r="MWL57" i="8"/>
  <c r="MWK57" i="8"/>
  <c r="MWJ57" i="8"/>
  <c r="MWI57" i="8"/>
  <c r="MWH57" i="8"/>
  <c r="MWG57" i="8"/>
  <c r="MWF57" i="8"/>
  <c r="MWE57" i="8"/>
  <c r="MWD57" i="8"/>
  <c r="MWC57" i="8"/>
  <c r="MWB57" i="8"/>
  <c r="MWA57" i="8"/>
  <c r="MVZ57" i="8"/>
  <c r="MVY57" i="8"/>
  <c r="MVX57" i="8"/>
  <c r="MVW57" i="8"/>
  <c r="MVV57" i="8"/>
  <c r="MVU57" i="8"/>
  <c r="MVT57" i="8"/>
  <c r="MVS57" i="8"/>
  <c r="MVR57" i="8"/>
  <c r="MVQ57" i="8"/>
  <c r="MVP57" i="8"/>
  <c r="MVO57" i="8"/>
  <c r="MVN57" i="8"/>
  <c r="MVM57" i="8"/>
  <c r="MVL57" i="8"/>
  <c r="MVK57" i="8"/>
  <c r="MVJ57" i="8"/>
  <c r="MVI57" i="8"/>
  <c r="MVH57" i="8"/>
  <c r="MVG57" i="8"/>
  <c r="MVF57" i="8"/>
  <c r="MVE57" i="8"/>
  <c r="MVD57" i="8"/>
  <c r="MVC57" i="8"/>
  <c r="MVB57" i="8"/>
  <c r="MVA57" i="8"/>
  <c r="MUZ57" i="8"/>
  <c r="MUY57" i="8"/>
  <c r="MUX57" i="8"/>
  <c r="MUW57" i="8"/>
  <c r="MUV57" i="8"/>
  <c r="MUU57" i="8"/>
  <c r="MUT57" i="8"/>
  <c r="MUS57" i="8"/>
  <c r="MUR57" i="8"/>
  <c r="MUQ57" i="8"/>
  <c r="MUP57" i="8"/>
  <c r="MUO57" i="8"/>
  <c r="MUN57" i="8"/>
  <c r="MUM57" i="8"/>
  <c r="MUL57" i="8"/>
  <c r="MUK57" i="8"/>
  <c r="MUJ57" i="8"/>
  <c r="MUI57" i="8"/>
  <c r="MUH57" i="8"/>
  <c r="MUG57" i="8"/>
  <c r="MUF57" i="8"/>
  <c r="MUE57" i="8"/>
  <c r="MUD57" i="8"/>
  <c r="MUC57" i="8"/>
  <c r="MUB57" i="8"/>
  <c r="MUA57" i="8"/>
  <c r="MTZ57" i="8"/>
  <c r="MTY57" i="8"/>
  <c r="MTX57" i="8"/>
  <c r="MTW57" i="8"/>
  <c r="MTV57" i="8"/>
  <c r="MTU57" i="8"/>
  <c r="MTT57" i="8"/>
  <c r="MTS57" i="8"/>
  <c r="MTR57" i="8"/>
  <c r="MTQ57" i="8"/>
  <c r="MTP57" i="8"/>
  <c r="MTO57" i="8"/>
  <c r="MTN57" i="8"/>
  <c r="MTM57" i="8"/>
  <c r="MTL57" i="8"/>
  <c r="MTK57" i="8"/>
  <c r="MTJ57" i="8"/>
  <c r="MTI57" i="8"/>
  <c r="MTH57" i="8"/>
  <c r="MTG57" i="8"/>
  <c r="MTF57" i="8"/>
  <c r="MTE57" i="8"/>
  <c r="MTD57" i="8"/>
  <c r="MTC57" i="8"/>
  <c r="MTB57" i="8"/>
  <c r="MTA57" i="8"/>
  <c r="MSZ57" i="8"/>
  <c r="MSY57" i="8"/>
  <c r="MSX57" i="8"/>
  <c r="MSW57" i="8"/>
  <c r="MSV57" i="8"/>
  <c r="MSU57" i="8"/>
  <c r="MST57" i="8"/>
  <c r="MSS57" i="8"/>
  <c r="MSR57" i="8"/>
  <c r="MSQ57" i="8"/>
  <c r="MSP57" i="8"/>
  <c r="MSO57" i="8"/>
  <c r="MSN57" i="8"/>
  <c r="MSM57" i="8"/>
  <c r="MSL57" i="8"/>
  <c r="MSK57" i="8"/>
  <c r="MSJ57" i="8"/>
  <c r="MSI57" i="8"/>
  <c r="MSH57" i="8"/>
  <c r="MSG57" i="8"/>
  <c r="MSF57" i="8"/>
  <c r="MSE57" i="8"/>
  <c r="MSD57" i="8"/>
  <c r="MSC57" i="8"/>
  <c r="MSB57" i="8"/>
  <c r="MSA57" i="8"/>
  <c r="MRZ57" i="8"/>
  <c r="MRY57" i="8"/>
  <c r="MRX57" i="8"/>
  <c r="MRW57" i="8"/>
  <c r="MRV57" i="8"/>
  <c r="MRU57" i="8"/>
  <c r="MRT57" i="8"/>
  <c r="MRS57" i="8"/>
  <c r="MRR57" i="8"/>
  <c r="MRQ57" i="8"/>
  <c r="MRP57" i="8"/>
  <c r="MRO57" i="8"/>
  <c r="MRN57" i="8"/>
  <c r="MRM57" i="8"/>
  <c r="MRL57" i="8"/>
  <c r="MRK57" i="8"/>
  <c r="MRJ57" i="8"/>
  <c r="MRI57" i="8"/>
  <c r="MRH57" i="8"/>
  <c r="MRG57" i="8"/>
  <c r="MRF57" i="8"/>
  <c r="MRE57" i="8"/>
  <c r="MRD57" i="8"/>
  <c r="MRC57" i="8"/>
  <c r="MRB57" i="8"/>
  <c r="MRA57" i="8"/>
  <c r="MQZ57" i="8"/>
  <c r="MQY57" i="8"/>
  <c r="MQX57" i="8"/>
  <c r="MQW57" i="8"/>
  <c r="MQV57" i="8"/>
  <c r="MQU57" i="8"/>
  <c r="MQT57" i="8"/>
  <c r="MQS57" i="8"/>
  <c r="MQR57" i="8"/>
  <c r="MQQ57" i="8"/>
  <c r="MQP57" i="8"/>
  <c r="MQO57" i="8"/>
  <c r="MQN57" i="8"/>
  <c r="MQM57" i="8"/>
  <c r="MQL57" i="8"/>
  <c r="MQK57" i="8"/>
  <c r="MQJ57" i="8"/>
  <c r="MQI57" i="8"/>
  <c r="MQH57" i="8"/>
  <c r="MQG57" i="8"/>
  <c r="MQF57" i="8"/>
  <c r="MQE57" i="8"/>
  <c r="MQD57" i="8"/>
  <c r="MQC57" i="8"/>
  <c r="MQB57" i="8"/>
  <c r="MQA57" i="8"/>
  <c r="MPZ57" i="8"/>
  <c r="MPY57" i="8"/>
  <c r="MPX57" i="8"/>
  <c r="MPW57" i="8"/>
  <c r="MPV57" i="8"/>
  <c r="MPU57" i="8"/>
  <c r="MPT57" i="8"/>
  <c r="MPS57" i="8"/>
  <c r="MPR57" i="8"/>
  <c r="MPQ57" i="8"/>
  <c r="MPP57" i="8"/>
  <c r="MPO57" i="8"/>
  <c r="MPN57" i="8"/>
  <c r="MPM57" i="8"/>
  <c r="MPL57" i="8"/>
  <c r="MPK57" i="8"/>
  <c r="MPJ57" i="8"/>
  <c r="MPI57" i="8"/>
  <c r="MPH57" i="8"/>
  <c r="MPG57" i="8"/>
  <c r="MPF57" i="8"/>
  <c r="MPE57" i="8"/>
  <c r="MPD57" i="8"/>
  <c r="MPC57" i="8"/>
  <c r="MPB57" i="8"/>
  <c r="MPA57" i="8"/>
  <c r="MOZ57" i="8"/>
  <c r="MOY57" i="8"/>
  <c r="MOX57" i="8"/>
  <c r="MOW57" i="8"/>
  <c r="MOV57" i="8"/>
  <c r="MOU57" i="8"/>
  <c r="MOT57" i="8"/>
  <c r="MOS57" i="8"/>
  <c r="MOR57" i="8"/>
  <c r="MOQ57" i="8"/>
  <c r="MOP57" i="8"/>
  <c r="MOO57" i="8"/>
  <c r="MON57" i="8"/>
  <c r="MOM57" i="8"/>
  <c r="MOL57" i="8"/>
  <c r="MOK57" i="8"/>
  <c r="MOJ57" i="8"/>
  <c r="MOI57" i="8"/>
  <c r="MOH57" i="8"/>
  <c r="MOG57" i="8"/>
  <c r="MOF57" i="8"/>
  <c r="MOE57" i="8"/>
  <c r="MOD57" i="8"/>
  <c r="MOC57" i="8"/>
  <c r="MOB57" i="8"/>
  <c r="MOA57" i="8"/>
  <c r="MNZ57" i="8"/>
  <c r="MNY57" i="8"/>
  <c r="MNX57" i="8"/>
  <c r="MNW57" i="8"/>
  <c r="MNV57" i="8"/>
  <c r="MNU57" i="8"/>
  <c r="MNT57" i="8"/>
  <c r="MNS57" i="8"/>
  <c r="MNR57" i="8"/>
  <c r="MNQ57" i="8"/>
  <c r="MNP57" i="8"/>
  <c r="MNO57" i="8"/>
  <c r="MNN57" i="8"/>
  <c r="MNM57" i="8"/>
  <c r="MNL57" i="8"/>
  <c r="MNK57" i="8"/>
  <c r="MNJ57" i="8"/>
  <c r="MNI57" i="8"/>
  <c r="MNH57" i="8"/>
  <c r="MNG57" i="8"/>
  <c r="MNF57" i="8"/>
  <c r="MNE57" i="8"/>
  <c r="MND57" i="8"/>
  <c r="MNC57" i="8"/>
  <c r="MNB57" i="8"/>
  <c r="MNA57" i="8"/>
  <c r="MMZ57" i="8"/>
  <c r="MMY57" i="8"/>
  <c r="MMX57" i="8"/>
  <c r="MMW57" i="8"/>
  <c r="MMV57" i="8"/>
  <c r="MMU57" i="8"/>
  <c r="MMT57" i="8"/>
  <c r="MMS57" i="8"/>
  <c r="MMR57" i="8"/>
  <c r="MMQ57" i="8"/>
  <c r="MMP57" i="8"/>
  <c r="MMO57" i="8"/>
  <c r="MMN57" i="8"/>
  <c r="MMM57" i="8"/>
  <c r="MML57" i="8"/>
  <c r="MMK57" i="8"/>
  <c r="MMJ57" i="8"/>
  <c r="MMI57" i="8"/>
  <c r="MMH57" i="8"/>
  <c r="MMG57" i="8"/>
  <c r="MMF57" i="8"/>
  <c r="MME57" i="8"/>
  <c r="MMD57" i="8"/>
  <c r="MMC57" i="8"/>
  <c r="MMB57" i="8"/>
  <c r="MMA57" i="8"/>
  <c r="MLZ57" i="8"/>
  <c r="MLY57" i="8"/>
  <c r="MLX57" i="8"/>
  <c r="MLW57" i="8"/>
  <c r="MLV57" i="8"/>
  <c r="MLU57" i="8"/>
  <c r="MLT57" i="8"/>
  <c r="MLS57" i="8"/>
  <c r="MLR57" i="8"/>
  <c r="MLQ57" i="8"/>
  <c r="MLP57" i="8"/>
  <c r="MLO57" i="8"/>
  <c r="MLN57" i="8"/>
  <c r="MLM57" i="8"/>
  <c r="MLL57" i="8"/>
  <c r="MLK57" i="8"/>
  <c r="MLJ57" i="8"/>
  <c r="MLI57" i="8"/>
  <c r="MLH57" i="8"/>
  <c r="MLG57" i="8"/>
  <c r="MLF57" i="8"/>
  <c r="MLE57" i="8"/>
  <c r="MLD57" i="8"/>
  <c r="MLC57" i="8"/>
  <c r="MLB57" i="8"/>
  <c r="MLA57" i="8"/>
  <c r="MKZ57" i="8"/>
  <c r="MKY57" i="8"/>
  <c r="MKX57" i="8"/>
  <c r="MKW57" i="8"/>
  <c r="MKV57" i="8"/>
  <c r="MKU57" i="8"/>
  <c r="MKT57" i="8"/>
  <c r="MKS57" i="8"/>
  <c r="MKR57" i="8"/>
  <c r="MKQ57" i="8"/>
  <c r="MKP57" i="8"/>
  <c r="MKO57" i="8"/>
  <c r="MKN57" i="8"/>
  <c r="MKM57" i="8"/>
  <c r="MKL57" i="8"/>
  <c r="MKK57" i="8"/>
  <c r="MKJ57" i="8"/>
  <c r="MKI57" i="8"/>
  <c r="MKH57" i="8"/>
  <c r="MKG57" i="8"/>
  <c r="MKF57" i="8"/>
  <c r="MKE57" i="8"/>
  <c r="MKD57" i="8"/>
  <c r="MKC57" i="8"/>
  <c r="MKB57" i="8"/>
  <c r="MKA57" i="8"/>
  <c r="MJZ57" i="8"/>
  <c r="MJY57" i="8"/>
  <c r="MJX57" i="8"/>
  <c r="MJW57" i="8"/>
  <c r="MJV57" i="8"/>
  <c r="MJU57" i="8"/>
  <c r="MJT57" i="8"/>
  <c r="MJS57" i="8"/>
  <c r="MJR57" i="8"/>
  <c r="MJQ57" i="8"/>
  <c r="MJP57" i="8"/>
  <c r="MJO57" i="8"/>
  <c r="MJN57" i="8"/>
  <c r="MJM57" i="8"/>
  <c r="MJL57" i="8"/>
  <c r="MJK57" i="8"/>
  <c r="MJJ57" i="8"/>
  <c r="MJI57" i="8"/>
  <c r="MJH57" i="8"/>
  <c r="MJG57" i="8"/>
  <c r="MJF57" i="8"/>
  <c r="MJE57" i="8"/>
  <c r="MJD57" i="8"/>
  <c r="MJC57" i="8"/>
  <c r="MJB57" i="8"/>
  <c r="MJA57" i="8"/>
  <c r="MIZ57" i="8"/>
  <c r="MIY57" i="8"/>
  <c r="MIX57" i="8"/>
  <c r="MIW57" i="8"/>
  <c r="MIV57" i="8"/>
  <c r="MIU57" i="8"/>
  <c r="MIT57" i="8"/>
  <c r="MIS57" i="8"/>
  <c r="MIR57" i="8"/>
  <c r="MIQ57" i="8"/>
  <c r="MIP57" i="8"/>
  <c r="MIO57" i="8"/>
  <c r="MIN57" i="8"/>
  <c r="MIM57" i="8"/>
  <c r="MIL57" i="8"/>
  <c r="MIK57" i="8"/>
  <c r="MIJ57" i="8"/>
  <c r="MII57" i="8"/>
  <c r="MIH57" i="8"/>
  <c r="MIG57" i="8"/>
  <c r="MIF57" i="8"/>
  <c r="MIE57" i="8"/>
  <c r="MID57" i="8"/>
  <c r="MIC57" i="8"/>
  <c r="MIB57" i="8"/>
  <c r="MIA57" i="8"/>
  <c r="MHZ57" i="8"/>
  <c r="MHY57" i="8"/>
  <c r="MHX57" i="8"/>
  <c r="MHW57" i="8"/>
  <c r="MHV57" i="8"/>
  <c r="MHU57" i="8"/>
  <c r="MHT57" i="8"/>
  <c r="MHS57" i="8"/>
  <c r="MHR57" i="8"/>
  <c r="MHQ57" i="8"/>
  <c r="MHP57" i="8"/>
  <c r="MHO57" i="8"/>
  <c r="MHN57" i="8"/>
  <c r="MHM57" i="8"/>
  <c r="MHL57" i="8"/>
  <c r="MHK57" i="8"/>
  <c r="MHJ57" i="8"/>
  <c r="MHI57" i="8"/>
  <c r="MHH57" i="8"/>
  <c r="MHG57" i="8"/>
  <c r="MHF57" i="8"/>
  <c r="MHE57" i="8"/>
  <c r="MHD57" i="8"/>
  <c r="MHC57" i="8"/>
  <c r="MHB57" i="8"/>
  <c r="MHA57" i="8"/>
  <c r="MGZ57" i="8"/>
  <c r="MGY57" i="8"/>
  <c r="MGX57" i="8"/>
  <c r="MGW57" i="8"/>
  <c r="MGV57" i="8"/>
  <c r="MGU57" i="8"/>
  <c r="MGT57" i="8"/>
  <c r="MGS57" i="8"/>
  <c r="MGR57" i="8"/>
  <c r="MGQ57" i="8"/>
  <c r="MGP57" i="8"/>
  <c r="MGO57" i="8"/>
  <c r="MGN57" i="8"/>
  <c r="MGM57" i="8"/>
  <c r="MGL57" i="8"/>
  <c r="MGK57" i="8"/>
  <c r="MGJ57" i="8"/>
  <c r="MGI57" i="8"/>
  <c r="MGH57" i="8"/>
  <c r="MGG57" i="8"/>
  <c r="MGF57" i="8"/>
  <c r="MGE57" i="8"/>
  <c r="MGD57" i="8"/>
  <c r="MGC57" i="8"/>
  <c r="MGB57" i="8"/>
  <c r="MGA57" i="8"/>
  <c r="MFZ57" i="8"/>
  <c r="MFY57" i="8"/>
  <c r="MFX57" i="8"/>
  <c r="MFW57" i="8"/>
  <c r="MFV57" i="8"/>
  <c r="MFU57" i="8"/>
  <c r="MFT57" i="8"/>
  <c r="MFS57" i="8"/>
  <c r="MFR57" i="8"/>
  <c r="MFQ57" i="8"/>
  <c r="MFP57" i="8"/>
  <c r="MFO57" i="8"/>
  <c r="MFN57" i="8"/>
  <c r="MFM57" i="8"/>
  <c r="MFL57" i="8"/>
  <c r="MFK57" i="8"/>
  <c r="MFJ57" i="8"/>
  <c r="MFI57" i="8"/>
  <c r="MFH57" i="8"/>
  <c r="MFG57" i="8"/>
  <c r="MFF57" i="8"/>
  <c r="MFE57" i="8"/>
  <c r="MFD57" i="8"/>
  <c r="MFC57" i="8"/>
  <c r="MFB57" i="8"/>
  <c r="MFA57" i="8"/>
  <c r="MEZ57" i="8"/>
  <c r="MEY57" i="8"/>
  <c r="MEX57" i="8"/>
  <c r="MEW57" i="8"/>
  <c r="MEV57" i="8"/>
  <c r="MEU57" i="8"/>
  <c r="MET57" i="8"/>
  <c r="MES57" i="8"/>
  <c r="MER57" i="8"/>
  <c r="MEQ57" i="8"/>
  <c r="MEP57" i="8"/>
  <c r="MEO57" i="8"/>
  <c r="MEN57" i="8"/>
  <c r="MEM57" i="8"/>
  <c r="MEL57" i="8"/>
  <c r="MEK57" i="8"/>
  <c r="MEJ57" i="8"/>
  <c r="MEI57" i="8"/>
  <c r="MEH57" i="8"/>
  <c r="MEG57" i="8"/>
  <c r="MEF57" i="8"/>
  <c r="MEE57" i="8"/>
  <c r="MED57" i="8"/>
  <c r="MEC57" i="8"/>
  <c r="MEB57" i="8"/>
  <c r="MEA57" i="8"/>
  <c r="MDZ57" i="8"/>
  <c r="MDY57" i="8"/>
  <c r="MDX57" i="8"/>
  <c r="MDW57" i="8"/>
  <c r="MDV57" i="8"/>
  <c r="MDU57" i="8"/>
  <c r="MDT57" i="8"/>
  <c r="MDS57" i="8"/>
  <c r="MDR57" i="8"/>
  <c r="MDQ57" i="8"/>
  <c r="MDP57" i="8"/>
  <c r="MDO57" i="8"/>
  <c r="MDN57" i="8"/>
  <c r="MDM57" i="8"/>
  <c r="MDL57" i="8"/>
  <c r="MDK57" i="8"/>
  <c r="MDJ57" i="8"/>
  <c r="MDI57" i="8"/>
  <c r="MDH57" i="8"/>
  <c r="MDG57" i="8"/>
  <c r="MDF57" i="8"/>
  <c r="MDE57" i="8"/>
  <c r="MDD57" i="8"/>
  <c r="MDC57" i="8"/>
  <c r="MDB57" i="8"/>
  <c r="MDA57" i="8"/>
  <c r="MCZ57" i="8"/>
  <c r="MCY57" i="8"/>
  <c r="MCX57" i="8"/>
  <c r="MCW57" i="8"/>
  <c r="MCV57" i="8"/>
  <c r="MCU57" i="8"/>
  <c r="MCT57" i="8"/>
  <c r="MCS57" i="8"/>
  <c r="MCR57" i="8"/>
  <c r="MCQ57" i="8"/>
  <c r="MCP57" i="8"/>
  <c r="MCO57" i="8"/>
  <c r="MCN57" i="8"/>
  <c r="MCM57" i="8"/>
  <c r="MCL57" i="8"/>
  <c r="MCK57" i="8"/>
  <c r="MCJ57" i="8"/>
  <c r="MCI57" i="8"/>
  <c r="MCH57" i="8"/>
  <c r="MCG57" i="8"/>
  <c r="MCF57" i="8"/>
  <c r="MCE57" i="8"/>
  <c r="MCD57" i="8"/>
  <c r="MCC57" i="8"/>
  <c r="MCB57" i="8"/>
  <c r="MCA57" i="8"/>
  <c r="MBZ57" i="8"/>
  <c r="MBY57" i="8"/>
  <c r="MBX57" i="8"/>
  <c r="MBW57" i="8"/>
  <c r="MBV57" i="8"/>
  <c r="MBU57" i="8"/>
  <c r="MBT57" i="8"/>
  <c r="MBS57" i="8"/>
  <c r="MBR57" i="8"/>
  <c r="MBQ57" i="8"/>
  <c r="MBP57" i="8"/>
  <c r="MBO57" i="8"/>
  <c r="MBN57" i="8"/>
  <c r="MBM57" i="8"/>
  <c r="MBL57" i="8"/>
  <c r="MBK57" i="8"/>
  <c r="MBJ57" i="8"/>
  <c r="MBI57" i="8"/>
  <c r="MBH57" i="8"/>
  <c r="MBG57" i="8"/>
  <c r="MBF57" i="8"/>
  <c r="MBE57" i="8"/>
  <c r="MBD57" i="8"/>
  <c r="MBC57" i="8"/>
  <c r="MBB57" i="8"/>
  <c r="MBA57" i="8"/>
  <c r="MAZ57" i="8"/>
  <c r="MAY57" i="8"/>
  <c r="MAX57" i="8"/>
  <c r="MAW57" i="8"/>
  <c r="MAV57" i="8"/>
  <c r="MAU57" i="8"/>
  <c r="MAT57" i="8"/>
  <c r="MAS57" i="8"/>
  <c r="MAR57" i="8"/>
  <c r="MAQ57" i="8"/>
  <c r="MAP57" i="8"/>
  <c r="MAO57" i="8"/>
  <c r="MAN57" i="8"/>
  <c r="MAM57" i="8"/>
  <c r="MAL57" i="8"/>
  <c r="MAK57" i="8"/>
  <c r="MAJ57" i="8"/>
  <c r="MAI57" i="8"/>
  <c r="MAH57" i="8"/>
  <c r="MAG57" i="8"/>
  <c r="MAF57" i="8"/>
  <c r="MAE57" i="8"/>
  <c r="MAD57" i="8"/>
  <c r="MAC57" i="8"/>
  <c r="MAB57" i="8"/>
  <c r="MAA57" i="8"/>
  <c r="LZZ57" i="8"/>
  <c r="LZY57" i="8"/>
  <c r="LZX57" i="8"/>
  <c r="LZW57" i="8"/>
  <c r="LZV57" i="8"/>
  <c r="LZU57" i="8"/>
  <c r="LZT57" i="8"/>
  <c r="LZS57" i="8"/>
  <c r="LZR57" i="8"/>
  <c r="LZQ57" i="8"/>
  <c r="LZP57" i="8"/>
  <c r="LZO57" i="8"/>
  <c r="LZN57" i="8"/>
  <c r="LZM57" i="8"/>
  <c r="LZL57" i="8"/>
  <c r="LZK57" i="8"/>
  <c r="LZJ57" i="8"/>
  <c r="LZI57" i="8"/>
  <c r="LZH57" i="8"/>
  <c r="LZG57" i="8"/>
  <c r="LZF57" i="8"/>
  <c r="LZE57" i="8"/>
  <c r="LZD57" i="8"/>
  <c r="LZC57" i="8"/>
  <c r="LZB57" i="8"/>
  <c r="LZA57" i="8"/>
  <c r="LYZ57" i="8"/>
  <c r="LYY57" i="8"/>
  <c r="LYX57" i="8"/>
  <c r="LYW57" i="8"/>
  <c r="LYV57" i="8"/>
  <c r="LYU57" i="8"/>
  <c r="LYT57" i="8"/>
  <c r="LYS57" i="8"/>
  <c r="LYR57" i="8"/>
  <c r="LYQ57" i="8"/>
  <c r="LYP57" i="8"/>
  <c r="LYO57" i="8"/>
  <c r="LYN57" i="8"/>
  <c r="LYM57" i="8"/>
  <c r="LYL57" i="8"/>
  <c r="LYK57" i="8"/>
  <c r="LYJ57" i="8"/>
  <c r="LYI57" i="8"/>
  <c r="LYH57" i="8"/>
  <c r="LYG57" i="8"/>
  <c r="LYF57" i="8"/>
  <c r="LYE57" i="8"/>
  <c r="LYD57" i="8"/>
  <c r="LYC57" i="8"/>
  <c r="LYB57" i="8"/>
  <c r="LYA57" i="8"/>
  <c r="LXZ57" i="8"/>
  <c r="LXY57" i="8"/>
  <c r="LXX57" i="8"/>
  <c r="LXW57" i="8"/>
  <c r="LXV57" i="8"/>
  <c r="LXU57" i="8"/>
  <c r="LXT57" i="8"/>
  <c r="LXS57" i="8"/>
  <c r="LXR57" i="8"/>
  <c r="LXQ57" i="8"/>
  <c r="LXP57" i="8"/>
  <c r="LXO57" i="8"/>
  <c r="LXN57" i="8"/>
  <c r="LXM57" i="8"/>
  <c r="LXL57" i="8"/>
  <c r="LXK57" i="8"/>
  <c r="LXJ57" i="8"/>
  <c r="LXI57" i="8"/>
  <c r="LXH57" i="8"/>
  <c r="LXG57" i="8"/>
  <c r="LXF57" i="8"/>
  <c r="LXE57" i="8"/>
  <c r="LXD57" i="8"/>
  <c r="LXC57" i="8"/>
  <c r="LXB57" i="8"/>
  <c r="LXA57" i="8"/>
  <c r="LWZ57" i="8"/>
  <c r="LWY57" i="8"/>
  <c r="LWX57" i="8"/>
  <c r="LWW57" i="8"/>
  <c r="LWV57" i="8"/>
  <c r="LWU57" i="8"/>
  <c r="LWT57" i="8"/>
  <c r="LWS57" i="8"/>
  <c r="LWR57" i="8"/>
  <c r="LWQ57" i="8"/>
  <c r="LWP57" i="8"/>
  <c r="LWO57" i="8"/>
  <c r="LWN57" i="8"/>
  <c r="LWM57" i="8"/>
  <c r="LWL57" i="8"/>
  <c r="LWK57" i="8"/>
  <c r="LWJ57" i="8"/>
  <c r="LWI57" i="8"/>
  <c r="LWH57" i="8"/>
  <c r="LWG57" i="8"/>
  <c r="LWF57" i="8"/>
  <c r="LWE57" i="8"/>
  <c r="LWD57" i="8"/>
  <c r="LWC57" i="8"/>
  <c r="LWB57" i="8"/>
  <c r="LWA57" i="8"/>
  <c r="LVZ57" i="8"/>
  <c r="LVY57" i="8"/>
  <c r="LVX57" i="8"/>
  <c r="LVW57" i="8"/>
  <c r="LVV57" i="8"/>
  <c r="LVU57" i="8"/>
  <c r="LVT57" i="8"/>
  <c r="LVS57" i="8"/>
  <c r="LVR57" i="8"/>
  <c r="LVQ57" i="8"/>
  <c r="LVP57" i="8"/>
  <c r="LVO57" i="8"/>
  <c r="LVN57" i="8"/>
  <c r="LVM57" i="8"/>
  <c r="LVL57" i="8"/>
  <c r="LVK57" i="8"/>
  <c r="LVJ57" i="8"/>
  <c r="LVI57" i="8"/>
  <c r="LVH57" i="8"/>
  <c r="LVG57" i="8"/>
  <c r="LVF57" i="8"/>
  <c r="LVE57" i="8"/>
  <c r="LVD57" i="8"/>
  <c r="LVC57" i="8"/>
  <c r="LVB57" i="8"/>
  <c r="LVA57" i="8"/>
  <c r="LUZ57" i="8"/>
  <c r="LUY57" i="8"/>
  <c r="LUX57" i="8"/>
  <c r="LUW57" i="8"/>
  <c r="LUV57" i="8"/>
  <c r="LUU57" i="8"/>
  <c r="LUT57" i="8"/>
  <c r="LUS57" i="8"/>
  <c r="LUR57" i="8"/>
  <c r="LUQ57" i="8"/>
  <c r="LUP57" i="8"/>
  <c r="LUO57" i="8"/>
  <c r="LUN57" i="8"/>
  <c r="LUM57" i="8"/>
  <c r="LUL57" i="8"/>
  <c r="LUK57" i="8"/>
  <c r="LUJ57" i="8"/>
  <c r="LUI57" i="8"/>
  <c r="LUH57" i="8"/>
  <c r="LUG57" i="8"/>
  <c r="LUF57" i="8"/>
  <c r="LUE57" i="8"/>
  <c r="LUD57" i="8"/>
  <c r="LUC57" i="8"/>
  <c r="LUB57" i="8"/>
  <c r="LUA57" i="8"/>
  <c r="LTZ57" i="8"/>
  <c r="LTY57" i="8"/>
  <c r="LTX57" i="8"/>
  <c r="LTW57" i="8"/>
  <c r="LTV57" i="8"/>
  <c r="LTU57" i="8"/>
  <c r="LTT57" i="8"/>
  <c r="LTS57" i="8"/>
  <c r="LTR57" i="8"/>
  <c r="LTQ57" i="8"/>
  <c r="LTP57" i="8"/>
  <c r="LTO57" i="8"/>
  <c r="LTN57" i="8"/>
  <c r="LTM57" i="8"/>
  <c r="LTL57" i="8"/>
  <c r="LTK57" i="8"/>
  <c r="LTJ57" i="8"/>
  <c r="LTI57" i="8"/>
  <c r="LTH57" i="8"/>
  <c r="LTG57" i="8"/>
  <c r="LTF57" i="8"/>
  <c r="LTE57" i="8"/>
  <c r="LTD57" i="8"/>
  <c r="LTC57" i="8"/>
  <c r="LTB57" i="8"/>
  <c r="LTA57" i="8"/>
  <c r="LSZ57" i="8"/>
  <c r="LSY57" i="8"/>
  <c r="LSX57" i="8"/>
  <c r="LSW57" i="8"/>
  <c r="LSV57" i="8"/>
  <c r="LSU57" i="8"/>
  <c r="LST57" i="8"/>
  <c r="LSS57" i="8"/>
  <c r="LSR57" i="8"/>
  <c r="LSQ57" i="8"/>
  <c r="LSP57" i="8"/>
  <c r="LSO57" i="8"/>
  <c r="LSN57" i="8"/>
  <c r="LSM57" i="8"/>
  <c r="LSL57" i="8"/>
  <c r="LSK57" i="8"/>
  <c r="LSJ57" i="8"/>
  <c r="LSI57" i="8"/>
  <c r="LSH57" i="8"/>
  <c r="LSG57" i="8"/>
  <c r="LSF57" i="8"/>
  <c r="LSE57" i="8"/>
  <c r="LSD57" i="8"/>
  <c r="LSC57" i="8"/>
  <c r="LSB57" i="8"/>
  <c r="LSA57" i="8"/>
  <c r="LRZ57" i="8"/>
  <c r="LRY57" i="8"/>
  <c r="LRX57" i="8"/>
  <c r="LRW57" i="8"/>
  <c r="LRV57" i="8"/>
  <c r="LRU57" i="8"/>
  <c r="LRT57" i="8"/>
  <c r="LRS57" i="8"/>
  <c r="LRR57" i="8"/>
  <c r="LRQ57" i="8"/>
  <c r="LRP57" i="8"/>
  <c r="LRO57" i="8"/>
  <c r="LRN57" i="8"/>
  <c r="LRM57" i="8"/>
  <c r="LRL57" i="8"/>
  <c r="LRK57" i="8"/>
  <c r="LRJ57" i="8"/>
  <c r="LRI57" i="8"/>
  <c r="LRH57" i="8"/>
  <c r="LRG57" i="8"/>
  <c r="LRF57" i="8"/>
  <c r="LRE57" i="8"/>
  <c r="LRD57" i="8"/>
  <c r="LRC57" i="8"/>
  <c r="LRB57" i="8"/>
  <c r="LRA57" i="8"/>
  <c r="LQZ57" i="8"/>
  <c r="LQY57" i="8"/>
  <c r="LQX57" i="8"/>
  <c r="LQW57" i="8"/>
  <c r="LQV57" i="8"/>
  <c r="LQU57" i="8"/>
  <c r="LQT57" i="8"/>
  <c r="LQS57" i="8"/>
  <c r="LQR57" i="8"/>
  <c r="LQQ57" i="8"/>
  <c r="LQP57" i="8"/>
  <c r="LQO57" i="8"/>
  <c r="LQN57" i="8"/>
  <c r="LQM57" i="8"/>
  <c r="LQL57" i="8"/>
  <c r="LQK57" i="8"/>
  <c r="LQJ57" i="8"/>
  <c r="LQI57" i="8"/>
  <c r="LQH57" i="8"/>
  <c r="LQG57" i="8"/>
  <c r="LQF57" i="8"/>
  <c r="LQE57" i="8"/>
  <c r="LQD57" i="8"/>
  <c r="LQC57" i="8"/>
  <c r="LQB57" i="8"/>
  <c r="LQA57" i="8"/>
  <c r="LPZ57" i="8"/>
  <c r="LPY57" i="8"/>
  <c r="LPX57" i="8"/>
  <c r="LPW57" i="8"/>
  <c r="LPV57" i="8"/>
  <c r="LPU57" i="8"/>
  <c r="LPT57" i="8"/>
  <c r="LPS57" i="8"/>
  <c r="LPR57" i="8"/>
  <c r="LPQ57" i="8"/>
  <c r="LPP57" i="8"/>
  <c r="LPO57" i="8"/>
  <c r="LPN57" i="8"/>
  <c r="LPM57" i="8"/>
  <c r="LPL57" i="8"/>
  <c r="LPK57" i="8"/>
  <c r="LPJ57" i="8"/>
  <c r="LPI57" i="8"/>
  <c r="LPH57" i="8"/>
  <c r="LPG57" i="8"/>
  <c r="LPF57" i="8"/>
  <c r="LPE57" i="8"/>
  <c r="LPD57" i="8"/>
  <c r="LPC57" i="8"/>
  <c r="LPB57" i="8"/>
  <c r="LPA57" i="8"/>
  <c r="LOZ57" i="8"/>
  <c r="LOY57" i="8"/>
  <c r="LOX57" i="8"/>
  <c r="LOW57" i="8"/>
  <c r="LOV57" i="8"/>
  <c r="LOU57" i="8"/>
  <c r="LOT57" i="8"/>
  <c r="LOS57" i="8"/>
  <c r="LOR57" i="8"/>
  <c r="LOQ57" i="8"/>
  <c r="LOP57" i="8"/>
  <c r="LOO57" i="8"/>
  <c r="LON57" i="8"/>
  <c r="LOM57" i="8"/>
  <c r="LOL57" i="8"/>
  <c r="LOK57" i="8"/>
  <c r="LOJ57" i="8"/>
  <c r="LOI57" i="8"/>
  <c r="LOH57" i="8"/>
  <c r="LOG57" i="8"/>
  <c r="LOF57" i="8"/>
  <c r="LOE57" i="8"/>
  <c r="LOD57" i="8"/>
  <c r="LOC57" i="8"/>
  <c r="LOB57" i="8"/>
  <c r="LOA57" i="8"/>
  <c r="LNZ57" i="8"/>
  <c r="LNY57" i="8"/>
  <c r="LNX57" i="8"/>
  <c r="LNW57" i="8"/>
  <c r="LNV57" i="8"/>
  <c r="LNU57" i="8"/>
  <c r="LNT57" i="8"/>
  <c r="LNS57" i="8"/>
  <c r="LNR57" i="8"/>
  <c r="LNQ57" i="8"/>
  <c r="LNP57" i="8"/>
  <c r="LNO57" i="8"/>
  <c r="LNN57" i="8"/>
  <c r="LNM57" i="8"/>
  <c r="LNL57" i="8"/>
  <c r="LNK57" i="8"/>
  <c r="LNJ57" i="8"/>
  <c r="LNI57" i="8"/>
  <c r="LNH57" i="8"/>
  <c r="LNG57" i="8"/>
  <c r="LNF57" i="8"/>
  <c r="LNE57" i="8"/>
  <c r="LND57" i="8"/>
  <c r="LNC57" i="8"/>
  <c r="LNB57" i="8"/>
  <c r="LNA57" i="8"/>
  <c r="LMZ57" i="8"/>
  <c r="LMY57" i="8"/>
  <c r="LMX57" i="8"/>
  <c r="LMW57" i="8"/>
  <c r="LMV57" i="8"/>
  <c r="LMU57" i="8"/>
  <c r="LMT57" i="8"/>
  <c r="LMS57" i="8"/>
  <c r="LMR57" i="8"/>
  <c r="LMQ57" i="8"/>
  <c r="LMP57" i="8"/>
  <c r="LMO57" i="8"/>
  <c r="LMN57" i="8"/>
  <c r="LMM57" i="8"/>
  <c r="LML57" i="8"/>
  <c r="LMK57" i="8"/>
  <c r="LMJ57" i="8"/>
  <c r="LMI57" i="8"/>
  <c r="LMH57" i="8"/>
  <c r="LMG57" i="8"/>
  <c r="LMF57" i="8"/>
  <c r="LME57" i="8"/>
  <c r="LMD57" i="8"/>
  <c r="LMC57" i="8"/>
  <c r="LMB57" i="8"/>
  <c r="LMA57" i="8"/>
  <c r="LLZ57" i="8"/>
  <c r="LLY57" i="8"/>
  <c r="LLX57" i="8"/>
  <c r="LLW57" i="8"/>
  <c r="LLV57" i="8"/>
  <c r="LLU57" i="8"/>
  <c r="LLT57" i="8"/>
  <c r="LLS57" i="8"/>
  <c r="LLR57" i="8"/>
  <c r="LLQ57" i="8"/>
  <c r="LLP57" i="8"/>
  <c r="LLO57" i="8"/>
  <c r="LLN57" i="8"/>
  <c r="LLM57" i="8"/>
  <c r="LLL57" i="8"/>
  <c r="LLK57" i="8"/>
  <c r="LLJ57" i="8"/>
  <c r="LLI57" i="8"/>
  <c r="LLH57" i="8"/>
  <c r="LLG57" i="8"/>
  <c r="LLF57" i="8"/>
  <c r="LLE57" i="8"/>
  <c r="LLD57" i="8"/>
  <c r="LLC57" i="8"/>
  <c r="LLB57" i="8"/>
  <c r="LLA57" i="8"/>
  <c r="LKZ57" i="8"/>
  <c r="LKY57" i="8"/>
  <c r="LKX57" i="8"/>
  <c r="LKW57" i="8"/>
  <c r="LKV57" i="8"/>
  <c r="LKU57" i="8"/>
  <c r="LKT57" i="8"/>
  <c r="LKS57" i="8"/>
  <c r="LKR57" i="8"/>
  <c r="LKQ57" i="8"/>
  <c r="LKP57" i="8"/>
  <c r="LKO57" i="8"/>
  <c r="LKN57" i="8"/>
  <c r="LKM57" i="8"/>
  <c r="LKL57" i="8"/>
  <c r="LKK57" i="8"/>
  <c r="LKJ57" i="8"/>
  <c r="LKI57" i="8"/>
  <c r="LKH57" i="8"/>
  <c r="LKG57" i="8"/>
  <c r="LKF57" i="8"/>
  <c r="LKE57" i="8"/>
  <c r="LKD57" i="8"/>
  <c r="LKC57" i="8"/>
  <c r="LKB57" i="8"/>
  <c r="LKA57" i="8"/>
  <c r="LJZ57" i="8"/>
  <c r="LJY57" i="8"/>
  <c r="LJX57" i="8"/>
  <c r="LJW57" i="8"/>
  <c r="LJV57" i="8"/>
  <c r="LJU57" i="8"/>
  <c r="LJT57" i="8"/>
  <c r="LJS57" i="8"/>
  <c r="LJR57" i="8"/>
  <c r="LJQ57" i="8"/>
  <c r="LJP57" i="8"/>
  <c r="LJO57" i="8"/>
  <c r="LJN57" i="8"/>
  <c r="LJM57" i="8"/>
  <c r="LJL57" i="8"/>
  <c r="LJK57" i="8"/>
  <c r="LJJ57" i="8"/>
  <c r="LJI57" i="8"/>
  <c r="LJH57" i="8"/>
  <c r="LJG57" i="8"/>
  <c r="LJF57" i="8"/>
  <c r="LJE57" i="8"/>
  <c r="LJD57" i="8"/>
  <c r="LJC57" i="8"/>
  <c r="LJB57" i="8"/>
  <c r="LJA57" i="8"/>
  <c r="LIZ57" i="8"/>
  <c r="LIY57" i="8"/>
  <c r="LIX57" i="8"/>
  <c r="LIW57" i="8"/>
  <c r="LIV57" i="8"/>
  <c r="LIU57" i="8"/>
  <c r="LIT57" i="8"/>
  <c r="LIS57" i="8"/>
  <c r="LIR57" i="8"/>
  <c r="LIQ57" i="8"/>
  <c r="LIP57" i="8"/>
  <c r="LIO57" i="8"/>
  <c r="LIN57" i="8"/>
  <c r="LIM57" i="8"/>
  <c r="LIL57" i="8"/>
  <c r="LIK57" i="8"/>
  <c r="LIJ57" i="8"/>
  <c r="LII57" i="8"/>
  <c r="LIH57" i="8"/>
  <c r="LIG57" i="8"/>
  <c r="LIF57" i="8"/>
  <c r="LIE57" i="8"/>
  <c r="LID57" i="8"/>
  <c r="LIC57" i="8"/>
  <c r="LIB57" i="8"/>
  <c r="LIA57" i="8"/>
  <c r="LHZ57" i="8"/>
  <c r="LHY57" i="8"/>
  <c r="LHX57" i="8"/>
  <c r="LHW57" i="8"/>
  <c r="LHV57" i="8"/>
  <c r="LHU57" i="8"/>
  <c r="LHT57" i="8"/>
  <c r="LHS57" i="8"/>
  <c r="LHR57" i="8"/>
  <c r="LHQ57" i="8"/>
  <c r="LHP57" i="8"/>
  <c r="LHO57" i="8"/>
  <c r="LHN57" i="8"/>
  <c r="LHM57" i="8"/>
  <c r="LHL57" i="8"/>
  <c r="LHK57" i="8"/>
  <c r="LHJ57" i="8"/>
  <c r="LHI57" i="8"/>
  <c r="LHH57" i="8"/>
  <c r="LHG57" i="8"/>
  <c r="LHF57" i="8"/>
  <c r="LHE57" i="8"/>
  <c r="LHD57" i="8"/>
  <c r="LHC57" i="8"/>
  <c r="LHB57" i="8"/>
  <c r="LHA57" i="8"/>
  <c r="LGZ57" i="8"/>
  <c r="LGY57" i="8"/>
  <c r="LGX57" i="8"/>
  <c r="LGW57" i="8"/>
  <c r="LGV57" i="8"/>
  <c r="LGU57" i="8"/>
  <c r="LGT57" i="8"/>
  <c r="LGS57" i="8"/>
  <c r="LGR57" i="8"/>
  <c r="LGQ57" i="8"/>
  <c r="LGP57" i="8"/>
  <c r="LGO57" i="8"/>
  <c r="LGN57" i="8"/>
  <c r="LGM57" i="8"/>
  <c r="LGL57" i="8"/>
  <c r="LGK57" i="8"/>
  <c r="LGJ57" i="8"/>
  <c r="LGI57" i="8"/>
  <c r="LGH57" i="8"/>
  <c r="LGG57" i="8"/>
  <c r="LGF57" i="8"/>
  <c r="LGE57" i="8"/>
  <c r="LGD57" i="8"/>
  <c r="LGC57" i="8"/>
  <c r="LGB57" i="8"/>
  <c r="LGA57" i="8"/>
  <c r="LFZ57" i="8"/>
  <c r="LFY57" i="8"/>
  <c r="LFX57" i="8"/>
  <c r="LFW57" i="8"/>
  <c r="LFV57" i="8"/>
  <c r="LFU57" i="8"/>
  <c r="LFT57" i="8"/>
  <c r="LFS57" i="8"/>
  <c r="LFR57" i="8"/>
  <c r="LFQ57" i="8"/>
  <c r="LFP57" i="8"/>
  <c r="LFO57" i="8"/>
  <c r="LFN57" i="8"/>
  <c r="LFM57" i="8"/>
  <c r="LFL57" i="8"/>
  <c r="LFK57" i="8"/>
  <c r="LFJ57" i="8"/>
  <c r="LFI57" i="8"/>
  <c r="LFH57" i="8"/>
  <c r="LFG57" i="8"/>
  <c r="LFF57" i="8"/>
  <c r="LFE57" i="8"/>
  <c r="LFD57" i="8"/>
  <c r="LFC57" i="8"/>
  <c r="LFB57" i="8"/>
  <c r="LFA57" i="8"/>
  <c r="LEZ57" i="8"/>
  <c r="LEY57" i="8"/>
  <c r="LEX57" i="8"/>
  <c r="LEW57" i="8"/>
  <c r="LEV57" i="8"/>
  <c r="LEU57" i="8"/>
  <c r="LET57" i="8"/>
  <c r="LES57" i="8"/>
  <c r="LER57" i="8"/>
  <c r="LEQ57" i="8"/>
  <c r="LEP57" i="8"/>
  <c r="LEO57" i="8"/>
  <c r="LEN57" i="8"/>
  <c r="LEM57" i="8"/>
  <c r="LEL57" i="8"/>
  <c r="LEK57" i="8"/>
  <c r="LEJ57" i="8"/>
  <c r="LEI57" i="8"/>
  <c r="LEH57" i="8"/>
  <c r="LEG57" i="8"/>
  <c r="LEF57" i="8"/>
  <c r="LEE57" i="8"/>
  <c r="LED57" i="8"/>
  <c r="LEC57" i="8"/>
  <c r="LEB57" i="8"/>
  <c r="LEA57" i="8"/>
  <c r="LDZ57" i="8"/>
  <c r="LDY57" i="8"/>
  <c r="LDX57" i="8"/>
  <c r="LDW57" i="8"/>
  <c r="LDV57" i="8"/>
  <c r="LDU57" i="8"/>
  <c r="LDT57" i="8"/>
  <c r="LDS57" i="8"/>
  <c r="LDR57" i="8"/>
  <c r="LDQ57" i="8"/>
  <c r="LDP57" i="8"/>
  <c r="LDO57" i="8"/>
  <c r="LDN57" i="8"/>
  <c r="LDM57" i="8"/>
  <c r="LDL57" i="8"/>
  <c r="LDK57" i="8"/>
  <c r="LDJ57" i="8"/>
  <c r="LDI57" i="8"/>
  <c r="LDH57" i="8"/>
  <c r="LDG57" i="8"/>
  <c r="LDF57" i="8"/>
  <c r="LDE57" i="8"/>
  <c r="LDD57" i="8"/>
  <c r="LDC57" i="8"/>
  <c r="LDB57" i="8"/>
  <c r="LDA57" i="8"/>
  <c r="LCZ57" i="8"/>
  <c r="LCY57" i="8"/>
  <c r="LCX57" i="8"/>
  <c r="LCW57" i="8"/>
  <c r="LCV57" i="8"/>
  <c r="LCU57" i="8"/>
  <c r="LCT57" i="8"/>
  <c r="LCS57" i="8"/>
  <c r="LCR57" i="8"/>
  <c r="LCQ57" i="8"/>
  <c r="LCP57" i="8"/>
  <c r="LCO57" i="8"/>
  <c r="LCN57" i="8"/>
  <c r="LCM57" i="8"/>
  <c r="LCL57" i="8"/>
  <c r="LCK57" i="8"/>
  <c r="LCJ57" i="8"/>
  <c r="LCI57" i="8"/>
  <c r="LCH57" i="8"/>
  <c r="LCG57" i="8"/>
  <c r="LCF57" i="8"/>
  <c r="LCE57" i="8"/>
  <c r="LCD57" i="8"/>
  <c r="LCC57" i="8"/>
  <c r="LCB57" i="8"/>
  <c r="LCA57" i="8"/>
  <c r="LBZ57" i="8"/>
  <c r="LBY57" i="8"/>
  <c r="LBX57" i="8"/>
  <c r="LBW57" i="8"/>
  <c r="LBV57" i="8"/>
  <c r="LBU57" i="8"/>
  <c r="LBT57" i="8"/>
  <c r="LBS57" i="8"/>
  <c r="LBR57" i="8"/>
  <c r="LBQ57" i="8"/>
  <c r="LBP57" i="8"/>
  <c r="LBO57" i="8"/>
  <c r="LBN57" i="8"/>
  <c r="LBM57" i="8"/>
  <c r="LBL57" i="8"/>
  <c r="LBK57" i="8"/>
  <c r="LBJ57" i="8"/>
  <c r="LBI57" i="8"/>
  <c r="LBH57" i="8"/>
  <c r="LBG57" i="8"/>
  <c r="LBF57" i="8"/>
  <c r="LBE57" i="8"/>
  <c r="LBD57" i="8"/>
  <c r="LBC57" i="8"/>
  <c r="LBB57" i="8"/>
  <c r="LBA57" i="8"/>
  <c r="LAZ57" i="8"/>
  <c r="LAY57" i="8"/>
  <c r="LAX57" i="8"/>
  <c r="LAW57" i="8"/>
  <c r="LAV57" i="8"/>
  <c r="LAU57" i="8"/>
  <c r="LAT57" i="8"/>
  <c r="LAS57" i="8"/>
  <c r="LAR57" i="8"/>
  <c r="LAQ57" i="8"/>
  <c r="LAP57" i="8"/>
  <c r="LAO57" i="8"/>
  <c r="LAN57" i="8"/>
  <c r="LAM57" i="8"/>
  <c r="LAL57" i="8"/>
  <c r="LAK57" i="8"/>
  <c r="LAJ57" i="8"/>
  <c r="LAI57" i="8"/>
  <c r="LAH57" i="8"/>
  <c r="LAG57" i="8"/>
  <c r="LAF57" i="8"/>
  <c r="LAE57" i="8"/>
  <c r="LAD57" i="8"/>
  <c r="LAC57" i="8"/>
  <c r="LAB57" i="8"/>
  <c r="LAA57" i="8"/>
  <c r="KZZ57" i="8"/>
  <c r="KZY57" i="8"/>
  <c r="KZX57" i="8"/>
  <c r="KZW57" i="8"/>
  <c r="KZV57" i="8"/>
  <c r="KZU57" i="8"/>
  <c r="KZT57" i="8"/>
  <c r="KZS57" i="8"/>
  <c r="KZR57" i="8"/>
  <c r="KZQ57" i="8"/>
  <c r="KZP57" i="8"/>
  <c r="KZO57" i="8"/>
  <c r="KZN57" i="8"/>
  <c r="KZM57" i="8"/>
  <c r="KZL57" i="8"/>
  <c r="KZK57" i="8"/>
  <c r="KZJ57" i="8"/>
  <c r="KZI57" i="8"/>
  <c r="KZH57" i="8"/>
  <c r="KZG57" i="8"/>
  <c r="KZF57" i="8"/>
  <c r="KZE57" i="8"/>
  <c r="KZD57" i="8"/>
  <c r="KZC57" i="8"/>
  <c r="KZB57" i="8"/>
  <c r="KZA57" i="8"/>
  <c r="KYZ57" i="8"/>
  <c r="KYY57" i="8"/>
  <c r="KYX57" i="8"/>
  <c r="KYW57" i="8"/>
  <c r="KYV57" i="8"/>
  <c r="KYU57" i="8"/>
  <c r="KYT57" i="8"/>
  <c r="KYS57" i="8"/>
  <c r="KYR57" i="8"/>
  <c r="KYQ57" i="8"/>
  <c r="KYP57" i="8"/>
  <c r="KYO57" i="8"/>
  <c r="KYN57" i="8"/>
  <c r="KYM57" i="8"/>
  <c r="KYL57" i="8"/>
  <c r="KYK57" i="8"/>
  <c r="KYJ57" i="8"/>
  <c r="KYI57" i="8"/>
  <c r="KYH57" i="8"/>
  <c r="KYG57" i="8"/>
  <c r="KYF57" i="8"/>
  <c r="KYE57" i="8"/>
  <c r="KYD57" i="8"/>
  <c r="KYC57" i="8"/>
  <c r="KYB57" i="8"/>
  <c r="KYA57" i="8"/>
  <c r="KXZ57" i="8"/>
  <c r="KXY57" i="8"/>
  <c r="KXX57" i="8"/>
  <c r="KXW57" i="8"/>
  <c r="KXV57" i="8"/>
  <c r="KXU57" i="8"/>
  <c r="KXT57" i="8"/>
  <c r="KXS57" i="8"/>
  <c r="KXR57" i="8"/>
  <c r="KXQ57" i="8"/>
  <c r="KXP57" i="8"/>
  <c r="KXO57" i="8"/>
  <c r="KXN57" i="8"/>
  <c r="KXM57" i="8"/>
  <c r="KXL57" i="8"/>
  <c r="KXK57" i="8"/>
  <c r="KXJ57" i="8"/>
  <c r="KXI57" i="8"/>
  <c r="KXH57" i="8"/>
  <c r="KXG57" i="8"/>
  <c r="KXF57" i="8"/>
  <c r="KXE57" i="8"/>
  <c r="KXD57" i="8"/>
  <c r="KXC57" i="8"/>
  <c r="KXB57" i="8"/>
  <c r="KXA57" i="8"/>
  <c r="KWZ57" i="8"/>
  <c r="KWY57" i="8"/>
  <c r="KWX57" i="8"/>
  <c r="KWW57" i="8"/>
  <c r="KWV57" i="8"/>
  <c r="KWU57" i="8"/>
  <c r="KWT57" i="8"/>
  <c r="KWS57" i="8"/>
  <c r="KWR57" i="8"/>
  <c r="KWQ57" i="8"/>
  <c r="KWP57" i="8"/>
  <c r="KWO57" i="8"/>
  <c r="KWN57" i="8"/>
  <c r="KWM57" i="8"/>
  <c r="KWL57" i="8"/>
  <c r="KWK57" i="8"/>
  <c r="KWJ57" i="8"/>
  <c r="KWI57" i="8"/>
  <c r="KWH57" i="8"/>
  <c r="KWG57" i="8"/>
  <c r="KWF57" i="8"/>
  <c r="KWE57" i="8"/>
  <c r="KWD57" i="8"/>
  <c r="KWC57" i="8"/>
  <c r="KWB57" i="8"/>
  <c r="KWA57" i="8"/>
  <c r="KVZ57" i="8"/>
  <c r="KVY57" i="8"/>
  <c r="KVX57" i="8"/>
  <c r="KVW57" i="8"/>
  <c r="KVV57" i="8"/>
  <c r="KVU57" i="8"/>
  <c r="KVT57" i="8"/>
  <c r="KVS57" i="8"/>
  <c r="KVR57" i="8"/>
  <c r="KVQ57" i="8"/>
  <c r="KVP57" i="8"/>
  <c r="KVO57" i="8"/>
  <c r="KVN57" i="8"/>
  <c r="KVM57" i="8"/>
  <c r="KVL57" i="8"/>
  <c r="KVK57" i="8"/>
  <c r="KVJ57" i="8"/>
  <c r="KVI57" i="8"/>
  <c r="KVH57" i="8"/>
  <c r="KVG57" i="8"/>
  <c r="KVF57" i="8"/>
  <c r="KVE57" i="8"/>
  <c r="KVD57" i="8"/>
  <c r="KVC57" i="8"/>
  <c r="KVB57" i="8"/>
  <c r="KVA57" i="8"/>
  <c r="KUZ57" i="8"/>
  <c r="KUY57" i="8"/>
  <c r="KUX57" i="8"/>
  <c r="KUW57" i="8"/>
  <c r="KUV57" i="8"/>
  <c r="KUU57" i="8"/>
  <c r="KUT57" i="8"/>
  <c r="KUS57" i="8"/>
  <c r="KUR57" i="8"/>
  <c r="KUQ57" i="8"/>
  <c r="KUP57" i="8"/>
  <c r="KUO57" i="8"/>
  <c r="KUN57" i="8"/>
  <c r="KUM57" i="8"/>
  <c r="KUL57" i="8"/>
  <c r="KUK57" i="8"/>
  <c r="KUJ57" i="8"/>
  <c r="KUI57" i="8"/>
  <c r="KUH57" i="8"/>
  <c r="KUG57" i="8"/>
  <c r="KUF57" i="8"/>
  <c r="KUE57" i="8"/>
  <c r="KUD57" i="8"/>
  <c r="KUC57" i="8"/>
  <c r="KUB57" i="8"/>
  <c r="KUA57" i="8"/>
  <c r="KTZ57" i="8"/>
  <c r="KTY57" i="8"/>
  <c r="KTX57" i="8"/>
  <c r="KTW57" i="8"/>
  <c r="KTV57" i="8"/>
  <c r="KTU57" i="8"/>
  <c r="KTT57" i="8"/>
  <c r="KTS57" i="8"/>
  <c r="KTR57" i="8"/>
  <c r="KTQ57" i="8"/>
  <c r="KTP57" i="8"/>
  <c r="KTO57" i="8"/>
  <c r="KTN57" i="8"/>
  <c r="KTM57" i="8"/>
  <c r="KTL57" i="8"/>
  <c r="KTK57" i="8"/>
  <c r="KTJ57" i="8"/>
  <c r="KTI57" i="8"/>
  <c r="KTH57" i="8"/>
  <c r="KTG57" i="8"/>
  <c r="KTF57" i="8"/>
  <c r="KTE57" i="8"/>
  <c r="KTD57" i="8"/>
  <c r="KTC57" i="8"/>
  <c r="KTB57" i="8"/>
  <c r="KTA57" i="8"/>
  <c r="KSZ57" i="8"/>
  <c r="KSY57" i="8"/>
  <c r="KSX57" i="8"/>
  <c r="KSW57" i="8"/>
  <c r="KSV57" i="8"/>
  <c r="KSU57" i="8"/>
  <c r="KST57" i="8"/>
  <c r="KSS57" i="8"/>
  <c r="KSR57" i="8"/>
  <c r="KSQ57" i="8"/>
  <c r="KSP57" i="8"/>
  <c r="KSO57" i="8"/>
  <c r="KSN57" i="8"/>
  <c r="KSM57" i="8"/>
  <c r="KSL57" i="8"/>
  <c r="KSK57" i="8"/>
  <c r="KSJ57" i="8"/>
  <c r="KSI57" i="8"/>
  <c r="KSH57" i="8"/>
  <c r="KSG57" i="8"/>
  <c r="KSF57" i="8"/>
  <c r="KSE57" i="8"/>
  <c r="KSD57" i="8"/>
  <c r="KSC57" i="8"/>
  <c r="KSB57" i="8"/>
  <c r="KSA57" i="8"/>
  <c r="KRZ57" i="8"/>
  <c r="KRY57" i="8"/>
  <c r="KRX57" i="8"/>
  <c r="KRW57" i="8"/>
  <c r="KRV57" i="8"/>
  <c r="KRU57" i="8"/>
  <c r="KRT57" i="8"/>
  <c r="KRS57" i="8"/>
  <c r="KRR57" i="8"/>
  <c r="KRQ57" i="8"/>
  <c r="KRP57" i="8"/>
  <c r="KRO57" i="8"/>
  <c r="KRN57" i="8"/>
  <c r="KRM57" i="8"/>
  <c r="KRL57" i="8"/>
  <c r="KRK57" i="8"/>
  <c r="KRJ57" i="8"/>
  <c r="KRI57" i="8"/>
  <c r="KRH57" i="8"/>
  <c r="KRG57" i="8"/>
  <c r="KRF57" i="8"/>
  <c r="KRE57" i="8"/>
  <c r="KRD57" i="8"/>
  <c r="KRC57" i="8"/>
  <c r="KRB57" i="8"/>
  <c r="KRA57" i="8"/>
  <c r="KQZ57" i="8"/>
  <c r="KQY57" i="8"/>
  <c r="KQX57" i="8"/>
  <c r="KQW57" i="8"/>
  <c r="KQV57" i="8"/>
  <c r="KQU57" i="8"/>
  <c r="KQT57" i="8"/>
  <c r="KQS57" i="8"/>
  <c r="KQR57" i="8"/>
  <c r="KQQ57" i="8"/>
  <c r="KQP57" i="8"/>
  <c r="KQO57" i="8"/>
  <c r="KQN57" i="8"/>
  <c r="KQM57" i="8"/>
  <c r="KQL57" i="8"/>
  <c r="KQK57" i="8"/>
  <c r="KQJ57" i="8"/>
  <c r="KQI57" i="8"/>
  <c r="KQH57" i="8"/>
  <c r="KQG57" i="8"/>
  <c r="KQF57" i="8"/>
  <c r="KQE57" i="8"/>
  <c r="KQD57" i="8"/>
  <c r="KQC57" i="8"/>
  <c r="KQB57" i="8"/>
  <c r="KQA57" i="8"/>
  <c r="KPZ57" i="8"/>
  <c r="KPY57" i="8"/>
  <c r="KPX57" i="8"/>
  <c r="KPW57" i="8"/>
  <c r="KPV57" i="8"/>
  <c r="KPU57" i="8"/>
  <c r="KPT57" i="8"/>
  <c r="KPS57" i="8"/>
  <c r="KPR57" i="8"/>
  <c r="KPQ57" i="8"/>
  <c r="KPP57" i="8"/>
  <c r="KPO57" i="8"/>
  <c r="KPN57" i="8"/>
  <c r="KPM57" i="8"/>
  <c r="KPL57" i="8"/>
  <c r="KPK57" i="8"/>
  <c r="KPJ57" i="8"/>
  <c r="KPI57" i="8"/>
  <c r="KPH57" i="8"/>
  <c r="KPG57" i="8"/>
  <c r="KPF57" i="8"/>
  <c r="KPE57" i="8"/>
  <c r="KPD57" i="8"/>
  <c r="KPC57" i="8"/>
  <c r="KPB57" i="8"/>
  <c r="KPA57" i="8"/>
  <c r="KOZ57" i="8"/>
  <c r="KOY57" i="8"/>
  <c r="KOX57" i="8"/>
  <c r="KOW57" i="8"/>
  <c r="KOV57" i="8"/>
  <c r="KOU57" i="8"/>
  <c r="KOT57" i="8"/>
  <c r="KOS57" i="8"/>
  <c r="KOR57" i="8"/>
  <c r="KOQ57" i="8"/>
  <c r="KOP57" i="8"/>
  <c r="KOO57" i="8"/>
  <c r="KON57" i="8"/>
  <c r="KOM57" i="8"/>
  <c r="KOL57" i="8"/>
  <c r="KOK57" i="8"/>
  <c r="KOJ57" i="8"/>
  <c r="KOI57" i="8"/>
  <c r="KOH57" i="8"/>
  <c r="KOG57" i="8"/>
  <c r="KOF57" i="8"/>
  <c r="KOE57" i="8"/>
  <c r="KOD57" i="8"/>
  <c r="KOC57" i="8"/>
  <c r="KOB57" i="8"/>
  <c r="KOA57" i="8"/>
  <c r="KNZ57" i="8"/>
  <c r="KNY57" i="8"/>
  <c r="KNX57" i="8"/>
  <c r="KNW57" i="8"/>
  <c r="KNV57" i="8"/>
  <c r="KNU57" i="8"/>
  <c r="KNT57" i="8"/>
  <c r="KNS57" i="8"/>
  <c r="KNR57" i="8"/>
  <c r="KNQ57" i="8"/>
  <c r="KNP57" i="8"/>
  <c r="KNO57" i="8"/>
  <c r="KNN57" i="8"/>
  <c r="KNM57" i="8"/>
  <c r="KNL57" i="8"/>
  <c r="KNK57" i="8"/>
  <c r="KNJ57" i="8"/>
  <c r="KNI57" i="8"/>
  <c r="KNH57" i="8"/>
  <c r="KNG57" i="8"/>
  <c r="KNF57" i="8"/>
  <c r="KNE57" i="8"/>
  <c r="KND57" i="8"/>
  <c r="KNC57" i="8"/>
  <c r="KNB57" i="8"/>
  <c r="KNA57" i="8"/>
  <c r="KMZ57" i="8"/>
  <c r="KMY57" i="8"/>
  <c r="KMX57" i="8"/>
  <c r="KMW57" i="8"/>
  <c r="KMV57" i="8"/>
  <c r="KMU57" i="8"/>
  <c r="KMT57" i="8"/>
  <c r="KMS57" i="8"/>
  <c r="KMR57" i="8"/>
  <c r="KMQ57" i="8"/>
  <c r="KMP57" i="8"/>
  <c r="KMO57" i="8"/>
  <c r="KMN57" i="8"/>
  <c r="KMM57" i="8"/>
  <c r="KML57" i="8"/>
  <c r="KMK57" i="8"/>
  <c r="KMJ57" i="8"/>
  <c r="KMI57" i="8"/>
  <c r="KMH57" i="8"/>
  <c r="KMG57" i="8"/>
  <c r="KMF57" i="8"/>
  <c r="KME57" i="8"/>
  <c r="KMD57" i="8"/>
  <c r="KMC57" i="8"/>
  <c r="KMB57" i="8"/>
  <c r="KMA57" i="8"/>
  <c r="KLZ57" i="8"/>
  <c r="KLY57" i="8"/>
  <c r="KLX57" i="8"/>
  <c r="KLW57" i="8"/>
  <c r="KLV57" i="8"/>
  <c r="KLU57" i="8"/>
  <c r="KLT57" i="8"/>
  <c r="KLS57" i="8"/>
  <c r="KLR57" i="8"/>
  <c r="KLQ57" i="8"/>
  <c r="KLP57" i="8"/>
  <c r="KLO57" i="8"/>
  <c r="KLN57" i="8"/>
  <c r="KLM57" i="8"/>
  <c r="KLL57" i="8"/>
  <c r="KLK57" i="8"/>
  <c r="KLJ57" i="8"/>
  <c r="KLI57" i="8"/>
  <c r="KLH57" i="8"/>
  <c r="KLG57" i="8"/>
  <c r="KLF57" i="8"/>
  <c r="KLE57" i="8"/>
  <c r="KLD57" i="8"/>
  <c r="KLC57" i="8"/>
  <c r="KLB57" i="8"/>
  <c r="KLA57" i="8"/>
  <c r="KKZ57" i="8"/>
  <c r="KKY57" i="8"/>
  <c r="KKX57" i="8"/>
  <c r="KKW57" i="8"/>
  <c r="KKV57" i="8"/>
  <c r="KKU57" i="8"/>
  <c r="KKT57" i="8"/>
  <c r="KKS57" i="8"/>
  <c r="KKR57" i="8"/>
  <c r="KKQ57" i="8"/>
  <c r="KKP57" i="8"/>
  <c r="KKO57" i="8"/>
  <c r="KKN57" i="8"/>
  <c r="KKM57" i="8"/>
  <c r="KKL57" i="8"/>
  <c r="KKK57" i="8"/>
  <c r="KKJ57" i="8"/>
  <c r="KKI57" i="8"/>
  <c r="KKH57" i="8"/>
  <c r="KKG57" i="8"/>
  <c r="KKF57" i="8"/>
  <c r="KKE57" i="8"/>
  <c r="KKD57" i="8"/>
  <c r="KKC57" i="8"/>
  <c r="KKB57" i="8"/>
  <c r="KKA57" i="8"/>
  <c r="KJZ57" i="8"/>
  <c r="KJY57" i="8"/>
  <c r="KJX57" i="8"/>
  <c r="KJW57" i="8"/>
  <c r="KJV57" i="8"/>
  <c r="KJU57" i="8"/>
  <c r="KJT57" i="8"/>
  <c r="KJS57" i="8"/>
  <c r="KJR57" i="8"/>
  <c r="KJQ57" i="8"/>
  <c r="KJP57" i="8"/>
  <c r="KJO57" i="8"/>
  <c r="KJN57" i="8"/>
  <c r="KJM57" i="8"/>
  <c r="KJL57" i="8"/>
  <c r="KJK57" i="8"/>
  <c r="KJJ57" i="8"/>
  <c r="KJI57" i="8"/>
  <c r="KJH57" i="8"/>
  <c r="KJG57" i="8"/>
  <c r="KJF57" i="8"/>
  <c r="KJE57" i="8"/>
  <c r="KJD57" i="8"/>
  <c r="KJC57" i="8"/>
  <c r="KJB57" i="8"/>
  <c r="KJA57" i="8"/>
  <c r="KIZ57" i="8"/>
  <c r="KIY57" i="8"/>
  <c r="KIX57" i="8"/>
  <c r="KIW57" i="8"/>
  <c r="KIV57" i="8"/>
  <c r="KIU57" i="8"/>
  <c r="KIT57" i="8"/>
  <c r="KIS57" i="8"/>
  <c r="KIR57" i="8"/>
  <c r="KIQ57" i="8"/>
  <c r="KIP57" i="8"/>
  <c r="KIO57" i="8"/>
  <c r="KIN57" i="8"/>
  <c r="KIM57" i="8"/>
  <c r="KIL57" i="8"/>
  <c r="KIK57" i="8"/>
  <c r="KIJ57" i="8"/>
  <c r="KII57" i="8"/>
  <c r="KIH57" i="8"/>
  <c r="KIG57" i="8"/>
  <c r="KIF57" i="8"/>
  <c r="KIE57" i="8"/>
  <c r="KID57" i="8"/>
  <c r="KIC57" i="8"/>
  <c r="KIB57" i="8"/>
  <c r="KIA57" i="8"/>
  <c r="KHZ57" i="8"/>
  <c r="KHY57" i="8"/>
  <c r="KHX57" i="8"/>
  <c r="KHW57" i="8"/>
  <c r="KHV57" i="8"/>
  <c r="KHU57" i="8"/>
  <c r="KHT57" i="8"/>
  <c r="KHS57" i="8"/>
  <c r="KHR57" i="8"/>
  <c r="KHQ57" i="8"/>
  <c r="KHP57" i="8"/>
  <c r="KHO57" i="8"/>
  <c r="KHN57" i="8"/>
  <c r="KHM57" i="8"/>
  <c r="KHL57" i="8"/>
  <c r="KHK57" i="8"/>
  <c r="KHJ57" i="8"/>
  <c r="KHI57" i="8"/>
  <c r="KHH57" i="8"/>
  <c r="KHG57" i="8"/>
  <c r="KHF57" i="8"/>
  <c r="KHE57" i="8"/>
  <c r="KHD57" i="8"/>
  <c r="KHC57" i="8"/>
  <c r="KHB57" i="8"/>
  <c r="KHA57" i="8"/>
  <c r="KGZ57" i="8"/>
  <c r="KGY57" i="8"/>
  <c r="KGX57" i="8"/>
  <c r="KGW57" i="8"/>
  <c r="KGV57" i="8"/>
  <c r="KGU57" i="8"/>
  <c r="KGT57" i="8"/>
  <c r="KGS57" i="8"/>
  <c r="KGR57" i="8"/>
  <c r="KGQ57" i="8"/>
  <c r="KGP57" i="8"/>
  <c r="KGO57" i="8"/>
  <c r="KGN57" i="8"/>
  <c r="KGM57" i="8"/>
  <c r="KGL57" i="8"/>
  <c r="KGK57" i="8"/>
  <c r="KGJ57" i="8"/>
  <c r="KGI57" i="8"/>
  <c r="KGH57" i="8"/>
  <c r="KGG57" i="8"/>
  <c r="KGF57" i="8"/>
  <c r="KGE57" i="8"/>
  <c r="KGD57" i="8"/>
  <c r="KGC57" i="8"/>
  <c r="KGB57" i="8"/>
  <c r="KGA57" i="8"/>
  <c r="KFZ57" i="8"/>
  <c r="KFY57" i="8"/>
  <c r="KFX57" i="8"/>
  <c r="KFW57" i="8"/>
  <c r="KFV57" i="8"/>
  <c r="KFU57" i="8"/>
  <c r="KFT57" i="8"/>
  <c r="KFS57" i="8"/>
  <c r="KFR57" i="8"/>
  <c r="KFQ57" i="8"/>
  <c r="KFP57" i="8"/>
  <c r="KFO57" i="8"/>
  <c r="KFN57" i="8"/>
  <c r="KFM57" i="8"/>
  <c r="KFL57" i="8"/>
  <c r="KFK57" i="8"/>
  <c r="KFJ57" i="8"/>
  <c r="KFI57" i="8"/>
  <c r="KFH57" i="8"/>
  <c r="KFG57" i="8"/>
  <c r="KFF57" i="8"/>
  <c r="KFE57" i="8"/>
  <c r="KFD57" i="8"/>
  <c r="KFC57" i="8"/>
  <c r="KFB57" i="8"/>
  <c r="KFA57" i="8"/>
  <c r="KEZ57" i="8"/>
  <c r="KEY57" i="8"/>
  <c r="KEX57" i="8"/>
  <c r="KEW57" i="8"/>
  <c r="KEV57" i="8"/>
  <c r="KEU57" i="8"/>
  <c r="KET57" i="8"/>
  <c r="KES57" i="8"/>
  <c r="KER57" i="8"/>
  <c r="KEQ57" i="8"/>
  <c r="KEP57" i="8"/>
  <c r="KEO57" i="8"/>
  <c r="KEN57" i="8"/>
  <c r="KEM57" i="8"/>
  <c r="KEL57" i="8"/>
  <c r="KEK57" i="8"/>
  <c r="KEJ57" i="8"/>
  <c r="KEI57" i="8"/>
  <c r="KEH57" i="8"/>
  <c r="KEG57" i="8"/>
  <c r="KEF57" i="8"/>
  <c r="KEE57" i="8"/>
  <c r="KED57" i="8"/>
  <c r="KEC57" i="8"/>
  <c r="KEB57" i="8"/>
  <c r="KEA57" i="8"/>
  <c r="KDZ57" i="8"/>
  <c r="KDY57" i="8"/>
  <c r="KDX57" i="8"/>
  <c r="KDW57" i="8"/>
  <c r="KDV57" i="8"/>
  <c r="KDU57" i="8"/>
  <c r="KDT57" i="8"/>
  <c r="KDS57" i="8"/>
  <c r="KDR57" i="8"/>
  <c r="KDQ57" i="8"/>
  <c r="KDP57" i="8"/>
  <c r="KDO57" i="8"/>
  <c r="KDN57" i="8"/>
  <c r="KDM57" i="8"/>
  <c r="KDL57" i="8"/>
  <c r="KDK57" i="8"/>
  <c r="KDJ57" i="8"/>
  <c r="KDI57" i="8"/>
  <c r="KDH57" i="8"/>
  <c r="KDG57" i="8"/>
  <c r="KDF57" i="8"/>
  <c r="KDE57" i="8"/>
  <c r="KDD57" i="8"/>
  <c r="KDC57" i="8"/>
  <c r="KDB57" i="8"/>
  <c r="KDA57" i="8"/>
  <c r="KCZ57" i="8"/>
  <c r="KCY57" i="8"/>
  <c r="KCX57" i="8"/>
  <c r="KCW57" i="8"/>
  <c r="KCV57" i="8"/>
  <c r="KCU57" i="8"/>
  <c r="KCT57" i="8"/>
  <c r="KCS57" i="8"/>
  <c r="KCR57" i="8"/>
  <c r="KCQ57" i="8"/>
  <c r="KCP57" i="8"/>
  <c r="KCO57" i="8"/>
  <c r="KCN57" i="8"/>
  <c r="KCM57" i="8"/>
  <c r="KCL57" i="8"/>
  <c r="KCK57" i="8"/>
  <c r="KCJ57" i="8"/>
  <c r="KCI57" i="8"/>
  <c r="KCH57" i="8"/>
  <c r="KCG57" i="8"/>
  <c r="KCF57" i="8"/>
  <c r="KCE57" i="8"/>
  <c r="KCD57" i="8"/>
  <c r="KCC57" i="8"/>
  <c r="KCB57" i="8"/>
  <c r="KCA57" i="8"/>
  <c r="KBZ57" i="8"/>
  <c r="KBY57" i="8"/>
  <c r="KBX57" i="8"/>
  <c r="KBW57" i="8"/>
  <c r="KBV57" i="8"/>
  <c r="KBU57" i="8"/>
  <c r="KBT57" i="8"/>
  <c r="KBS57" i="8"/>
  <c r="KBR57" i="8"/>
  <c r="KBQ57" i="8"/>
  <c r="KBP57" i="8"/>
  <c r="KBO57" i="8"/>
  <c r="KBN57" i="8"/>
  <c r="KBM57" i="8"/>
  <c r="KBL57" i="8"/>
  <c r="KBK57" i="8"/>
  <c r="KBJ57" i="8"/>
  <c r="KBI57" i="8"/>
  <c r="KBH57" i="8"/>
  <c r="KBG57" i="8"/>
  <c r="KBF57" i="8"/>
  <c r="KBE57" i="8"/>
  <c r="KBD57" i="8"/>
  <c r="KBC57" i="8"/>
  <c r="KBB57" i="8"/>
  <c r="KBA57" i="8"/>
  <c r="KAZ57" i="8"/>
  <c r="KAY57" i="8"/>
  <c r="KAX57" i="8"/>
  <c r="KAW57" i="8"/>
  <c r="KAV57" i="8"/>
  <c r="KAU57" i="8"/>
  <c r="KAT57" i="8"/>
  <c r="KAS57" i="8"/>
  <c r="KAR57" i="8"/>
  <c r="KAQ57" i="8"/>
  <c r="KAP57" i="8"/>
  <c r="KAO57" i="8"/>
  <c r="KAN57" i="8"/>
  <c r="KAM57" i="8"/>
  <c r="KAL57" i="8"/>
  <c r="KAK57" i="8"/>
  <c r="KAJ57" i="8"/>
  <c r="KAI57" i="8"/>
  <c r="KAH57" i="8"/>
  <c r="KAG57" i="8"/>
  <c r="KAF57" i="8"/>
  <c r="KAE57" i="8"/>
  <c r="KAD57" i="8"/>
  <c r="KAC57" i="8"/>
  <c r="KAB57" i="8"/>
  <c r="KAA57" i="8"/>
  <c r="JZZ57" i="8"/>
  <c r="JZY57" i="8"/>
  <c r="JZX57" i="8"/>
  <c r="JZW57" i="8"/>
  <c r="JZV57" i="8"/>
  <c r="JZU57" i="8"/>
  <c r="JZT57" i="8"/>
  <c r="JZS57" i="8"/>
  <c r="JZR57" i="8"/>
  <c r="JZQ57" i="8"/>
  <c r="JZP57" i="8"/>
  <c r="JZO57" i="8"/>
  <c r="JZN57" i="8"/>
  <c r="JZM57" i="8"/>
  <c r="JZL57" i="8"/>
  <c r="JZK57" i="8"/>
  <c r="JZJ57" i="8"/>
  <c r="JZI57" i="8"/>
  <c r="JZH57" i="8"/>
  <c r="JZG57" i="8"/>
  <c r="JZF57" i="8"/>
  <c r="JZE57" i="8"/>
  <c r="JZD57" i="8"/>
  <c r="JZC57" i="8"/>
  <c r="JZB57" i="8"/>
  <c r="JZA57" i="8"/>
  <c r="JYZ57" i="8"/>
  <c r="JYY57" i="8"/>
  <c r="JYX57" i="8"/>
  <c r="JYW57" i="8"/>
  <c r="JYV57" i="8"/>
  <c r="JYU57" i="8"/>
  <c r="JYT57" i="8"/>
  <c r="JYS57" i="8"/>
  <c r="JYR57" i="8"/>
  <c r="JYQ57" i="8"/>
  <c r="JYP57" i="8"/>
  <c r="JYO57" i="8"/>
  <c r="JYN57" i="8"/>
  <c r="JYM57" i="8"/>
  <c r="JYL57" i="8"/>
  <c r="JYK57" i="8"/>
  <c r="JYJ57" i="8"/>
  <c r="JYI57" i="8"/>
  <c r="JYH57" i="8"/>
  <c r="JYG57" i="8"/>
  <c r="JYF57" i="8"/>
  <c r="JYE57" i="8"/>
  <c r="JYD57" i="8"/>
  <c r="JYC57" i="8"/>
  <c r="JYB57" i="8"/>
  <c r="JYA57" i="8"/>
  <c r="JXZ57" i="8"/>
  <c r="JXY57" i="8"/>
  <c r="JXX57" i="8"/>
  <c r="JXW57" i="8"/>
  <c r="JXV57" i="8"/>
  <c r="JXU57" i="8"/>
  <c r="JXT57" i="8"/>
  <c r="JXS57" i="8"/>
  <c r="JXR57" i="8"/>
  <c r="JXQ57" i="8"/>
  <c r="JXP57" i="8"/>
  <c r="JXO57" i="8"/>
  <c r="JXN57" i="8"/>
  <c r="JXM57" i="8"/>
  <c r="JXL57" i="8"/>
  <c r="JXK57" i="8"/>
  <c r="JXJ57" i="8"/>
  <c r="JXI57" i="8"/>
  <c r="JXH57" i="8"/>
  <c r="JXG57" i="8"/>
  <c r="JXF57" i="8"/>
  <c r="JXE57" i="8"/>
  <c r="JXD57" i="8"/>
  <c r="JXC57" i="8"/>
  <c r="JXB57" i="8"/>
  <c r="JXA57" i="8"/>
  <c r="JWZ57" i="8"/>
  <c r="JWY57" i="8"/>
  <c r="JWX57" i="8"/>
  <c r="JWW57" i="8"/>
  <c r="JWV57" i="8"/>
  <c r="JWU57" i="8"/>
  <c r="JWT57" i="8"/>
  <c r="JWS57" i="8"/>
  <c r="JWR57" i="8"/>
  <c r="JWQ57" i="8"/>
  <c r="JWP57" i="8"/>
  <c r="JWO57" i="8"/>
  <c r="JWN57" i="8"/>
  <c r="JWM57" i="8"/>
  <c r="JWL57" i="8"/>
  <c r="JWK57" i="8"/>
  <c r="JWJ57" i="8"/>
  <c r="JWI57" i="8"/>
  <c r="JWH57" i="8"/>
  <c r="JWG57" i="8"/>
  <c r="JWF57" i="8"/>
  <c r="JWE57" i="8"/>
  <c r="JWD57" i="8"/>
  <c r="JWC57" i="8"/>
  <c r="JWB57" i="8"/>
  <c r="JWA57" i="8"/>
  <c r="JVZ57" i="8"/>
  <c r="JVY57" i="8"/>
  <c r="JVX57" i="8"/>
  <c r="JVW57" i="8"/>
  <c r="JVV57" i="8"/>
  <c r="JVU57" i="8"/>
  <c r="JVT57" i="8"/>
  <c r="JVS57" i="8"/>
  <c r="JVR57" i="8"/>
  <c r="JVQ57" i="8"/>
  <c r="JVP57" i="8"/>
  <c r="JVO57" i="8"/>
  <c r="JVN57" i="8"/>
  <c r="JVM57" i="8"/>
  <c r="JVL57" i="8"/>
  <c r="JVK57" i="8"/>
  <c r="JVJ57" i="8"/>
  <c r="JVI57" i="8"/>
  <c r="JVH57" i="8"/>
  <c r="JVG57" i="8"/>
  <c r="JVF57" i="8"/>
  <c r="JVE57" i="8"/>
  <c r="JVD57" i="8"/>
  <c r="JVC57" i="8"/>
  <c r="JVB57" i="8"/>
  <c r="JVA57" i="8"/>
  <c r="JUZ57" i="8"/>
  <c r="JUY57" i="8"/>
  <c r="JUX57" i="8"/>
  <c r="JUW57" i="8"/>
  <c r="JUV57" i="8"/>
  <c r="JUU57" i="8"/>
  <c r="JUT57" i="8"/>
  <c r="JUS57" i="8"/>
  <c r="JUR57" i="8"/>
  <c r="JUQ57" i="8"/>
  <c r="JUP57" i="8"/>
  <c r="JUO57" i="8"/>
  <c r="JUN57" i="8"/>
  <c r="JUM57" i="8"/>
  <c r="JUL57" i="8"/>
  <c r="JUK57" i="8"/>
  <c r="JUJ57" i="8"/>
  <c r="JUI57" i="8"/>
  <c r="JUH57" i="8"/>
  <c r="JUG57" i="8"/>
  <c r="JUF57" i="8"/>
  <c r="JUE57" i="8"/>
  <c r="JUD57" i="8"/>
  <c r="JUC57" i="8"/>
  <c r="JUB57" i="8"/>
  <c r="JUA57" i="8"/>
  <c r="JTZ57" i="8"/>
  <c r="JTY57" i="8"/>
  <c r="JTX57" i="8"/>
  <c r="JTW57" i="8"/>
  <c r="JTV57" i="8"/>
  <c r="JTU57" i="8"/>
  <c r="JTT57" i="8"/>
  <c r="JTS57" i="8"/>
  <c r="JTR57" i="8"/>
  <c r="JTQ57" i="8"/>
  <c r="JTP57" i="8"/>
  <c r="JTO57" i="8"/>
  <c r="JTN57" i="8"/>
  <c r="JTM57" i="8"/>
  <c r="JTL57" i="8"/>
  <c r="JTK57" i="8"/>
  <c r="JTJ57" i="8"/>
  <c r="JTI57" i="8"/>
  <c r="JTH57" i="8"/>
  <c r="JTG57" i="8"/>
  <c r="JTF57" i="8"/>
  <c r="JTE57" i="8"/>
  <c r="JTD57" i="8"/>
  <c r="JTC57" i="8"/>
  <c r="JTB57" i="8"/>
  <c r="JTA57" i="8"/>
  <c r="JSZ57" i="8"/>
  <c r="JSY57" i="8"/>
  <c r="JSX57" i="8"/>
  <c r="JSW57" i="8"/>
  <c r="JSV57" i="8"/>
  <c r="JSU57" i="8"/>
  <c r="JST57" i="8"/>
  <c r="JSS57" i="8"/>
  <c r="JSR57" i="8"/>
  <c r="JSQ57" i="8"/>
  <c r="JSP57" i="8"/>
  <c r="JSO57" i="8"/>
  <c r="JSN57" i="8"/>
  <c r="JSM57" i="8"/>
  <c r="JSL57" i="8"/>
  <c r="JSK57" i="8"/>
  <c r="JSJ57" i="8"/>
  <c r="JSI57" i="8"/>
  <c r="JSH57" i="8"/>
  <c r="JSG57" i="8"/>
  <c r="JSF57" i="8"/>
  <c r="JSE57" i="8"/>
  <c r="JSD57" i="8"/>
  <c r="JSC57" i="8"/>
  <c r="JSB57" i="8"/>
  <c r="JSA57" i="8"/>
  <c r="JRZ57" i="8"/>
  <c r="JRY57" i="8"/>
  <c r="JRX57" i="8"/>
  <c r="JRW57" i="8"/>
  <c r="JRV57" i="8"/>
  <c r="JRU57" i="8"/>
  <c r="JRT57" i="8"/>
  <c r="JRS57" i="8"/>
  <c r="JRR57" i="8"/>
  <c r="JRQ57" i="8"/>
  <c r="JRP57" i="8"/>
  <c r="JRO57" i="8"/>
  <c r="JRN57" i="8"/>
  <c r="JRM57" i="8"/>
  <c r="JRL57" i="8"/>
  <c r="JRK57" i="8"/>
  <c r="JRJ57" i="8"/>
  <c r="JRI57" i="8"/>
  <c r="JRH57" i="8"/>
  <c r="JRG57" i="8"/>
  <c r="JRF57" i="8"/>
  <c r="JRE57" i="8"/>
  <c r="JRD57" i="8"/>
  <c r="JRC57" i="8"/>
  <c r="JRB57" i="8"/>
  <c r="JRA57" i="8"/>
  <c r="JQZ57" i="8"/>
  <c r="JQY57" i="8"/>
  <c r="JQX57" i="8"/>
  <c r="JQW57" i="8"/>
  <c r="JQV57" i="8"/>
  <c r="JQU57" i="8"/>
  <c r="JQT57" i="8"/>
  <c r="JQS57" i="8"/>
  <c r="JQR57" i="8"/>
  <c r="JQQ57" i="8"/>
  <c r="JQP57" i="8"/>
  <c r="JQO57" i="8"/>
  <c r="JQN57" i="8"/>
  <c r="JQM57" i="8"/>
  <c r="JQL57" i="8"/>
  <c r="JQK57" i="8"/>
  <c r="JQJ57" i="8"/>
  <c r="JQI57" i="8"/>
  <c r="JQH57" i="8"/>
  <c r="JQG57" i="8"/>
  <c r="JQF57" i="8"/>
  <c r="JQE57" i="8"/>
  <c r="JQD57" i="8"/>
  <c r="JQC57" i="8"/>
  <c r="JQB57" i="8"/>
  <c r="JQA57" i="8"/>
  <c r="JPZ57" i="8"/>
  <c r="JPY57" i="8"/>
  <c r="JPX57" i="8"/>
  <c r="JPW57" i="8"/>
  <c r="JPV57" i="8"/>
  <c r="JPU57" i="8"/>
  <c r="JPT57" i="8"/>
  <c r="JPS57" i="8"/>
  <c r="JPR57" i="8"/>
  <c r="JPQ57" i="8"/>
  <c r="JPP57" i="8"/>
  <c r="JPO57" i="8"/>
  <c r="JPN57" i="8"/>
  <c r="JPM57" i="8"/>
  <c r="JPL57" i="8"/>
  <c r="JPK57" i="8"/>
  <c r="JPJ57" i="8"/>
  <c r="JPI57" i="8"/>
  <c r="JPH57" i="8"/>
  <c r="JPG57" i="8"/>
  <c r="JPF57" i="8"/>
  <c r="JPE57" i="8"/>
  <c r="JPD57" i="8"/>
  <c r="JPC57" i="8"/>
  <c r="JPB57" i="8"/>
  <c r="JPA57" i="8"/>
  <c r="JOZ57" i="8"/>
  <c r="JOY57" i="8"/>
  <c r="JOX57" i="8"/>
  <c r="JOW57" i="8"/>
  <c r="JOV57" i="8"/>
  <c r="JOU57" i="8"/>
  <c r="JOT57" i="8"/>
  <c r="JOS57" i="8"/>
  <c r="JOR57" i="8"/>
  <c r="JOQ57" i="8"/>
  <c r="JOP57" i="8"/>
  <c r="JOO57" i="8"/>
  <c r="JON57" i="8"/>
  <c r="JOM57" i="8"/>
  <c r="JOL57" i="8"/>
  <c r="JOK57" i="8"/>
  <c r="JOJ57" i="8"/>
  <c r="JOI57" i="8"/>
  <c r="JOH57" i="8"/>
  <c r="JOG57" i="8"/>
  <c r="JOF57" i="8"/>
  <c r="JOE57" i="8"/>
  <c r="JOD57" i="8"/>
  <c r="JOC57" i="8"/>
  <c r="JOB57" i="8"/>
  <c r="JOA57" i="8"/>
  <c r="JNZ57" i="8"/>
  <c r="JNY57" i="8"/>
  <c r="JNX57" i="8"/>
  <c r="JNW57" i="8"/>
  <c r="JNV57" i="8"/>
  <c r="JNU57" i="8"/>
  <c r="JNT57" i="8"/>
  <c r="JNS57" i="8"/>
  <c r="JNR57" i="8"/>
  <c r="JNQ57" i="8"/>
  <c r="JNP57" i="8"/>
  <c r="JNO57" i="8"/>
  <c r="JNN57" i="8"/>
  <c r="JNM57" i="8"/>
  <c r="JNL57" i="8"/>
  <c r="JNK57" i="8"/>
  <c r="JNJ57" i="8"/>
  <c r="JNI57" i="8"/>
  <c r="JNH57" i="8"/>
  <c r="JNG57" i="8"/>
  <c r="JNF57" i="8"/>
  <c r="JNE57" i="8"/>
  <c r="JND57" i="8"/>
  <c r="JNC57" i="8"/>
  <c r="JNB57" i="8"/>
  <c r="JNA57" i="8"/>
  <c r="JMZ57" i="8"/>
  <c r="JMY57" i="8"/>
  <c r="JMX57" i="8"/>
  <c r="JMW57" i="8"/>
  <c r="JMV57" i="8"/>
  <c r="JMU57" i="8"/>
  <c r="JMT57" i="8"/>
  <c r="JMS57" i="8"/>
  <c r="JMR57" i="8"/>
  <c r="JMQ57" i="8"/>
  <c r="JMP57" i="8"/>
  <c r="JMO57" i="8"/>
  <c r="JMN57" i="8"/>
  <c r="JMM57" i="8"/>
  <c r="JML57" i="8"/>
  <c r="JMK57" i="8"/>
  <c r="JMJ57" i="8"/>
  <c r="JMI57" i="8"/>
  <c r="JMH57" i="8"/>
  <c r="JMG57" i="8"/>
  <c r="JMF57" i="8"/>
  <c r="JME57" i="8"/>
  <c r="JMD57" i="8"/>
  <c r="JMC57" i="8"/>
  <c r="JMB57" i="8"/>
  <c r="JMA57" i="8"/>
  <c r="JLZ57" i="8"/>
  <c r="JLY57" i="8"/>
  <c r="JLX57" i="8"/>
  <c r="JLW57" i="8"/>
  <c r="JLV57" i="8"/>
  <c r="JLU57" i="8"/>
  <c r="JLT57" i="8"/>
  <c r="JLS57" i="8"/>
  <c r="JLR57" i="8"/>
  <c r="JLQ57" i="8"/>
  <c r="JLP57" i="8"/>
  <c r="JLO57" i="8"/>
  <c r="JLN57" i="8"/>
  <c r="JLM57" i="8"/>
  <c r="JLL57" i="8"/>
  <c r="JLK57" i="8"/>
  <c r="JLJ57" i="8"/>
  <c r="JLI57" i="8"/>
  <c r="JLH57" i="8"/>
  <c r="JLG57" i="8"/>
  <c r="JLF57" i="8"/>
  <c r="JLE57" i="8"/>
  <c r="JLD57" i="8"/>
  <c r="JLC57" i="8"/>
  <c r="JLB57" i="8"/>
  <c r="JLA57" i="8"/>
  <c r="JKZ57" i="8"/>
  <c r="JKY57" i="8"/>
  <c r="JKX57" i="8"/>
  <c r="JKW57" i="8"/>
  <c r="JKV57" i="8"/>
  <c r="JKU57" i="8"/>
  <c r="JKT57" i="8"/>
  <c r="JKS57" i="8"/>
  <c r="JKR57" i="8"/>
  <c r="JKQ57" i="8"/>
  <c r="JKP57" i="8"/>
  <c r="JKO57" i="8"/>
  <c r="JKN57" i="8"/>
  <c r="JKM57" i="8"/>
  <c r="JKL57" i="8"/>
  <c r="JKK57" i="8"/>
  <c r="JKJ57" i="8"/>
  <c r="JKI57" i="8"/>
  <c r="JKH57" i="8"/>
  <c r="JKG57" i="8"/>
  <c r="JKF57" i="8"/>
  <c r="JKE57" i="8"/>
  <c r="JKD57" i="8"/>
  <c r="JKC57" i="8"/>
  <c r="JKB57" i="8"/>
  <c r="JKA57" i="8"/>
  <c r="JJZ57" i="8"/>
  <c r="JJY57" i="8"/>
  <c r="JJX57" i="8"/>
  <c r="JJW57" i="8"/>
  <c r="JJV57" i="8"/>
  <c r="JJU57" i="8"/>
  <c r="JJT57" i="8"/>
  <c r="JJS57" i="8"/>
  <c r="JJR57" i="8"/>
  <c r="JJQ57" i="8"/>
  <c r="JJP57" i="8"/>
  <c r="JJO57" i="8"/>
  <c r="JJN57" i="8"/>
  <c r="JJM57" i="8"/>
  <c r="JJL57" i="8"/>
  <c r="JJK57" i="8"/>
  <c r="JJJ57" i="8"/>
  <c r="JJI57" i="8"/>
  <c r="JJH57" i="8"/>
  <c r="JJG57" i="8"/>
  <c r="JJF57" i="8"/>
  <c r="JJE57" i="8"/>
  <c r="JJD57" i="8"/>
  <c r="JJC57" i="8"/>
  <c r="JJB57" i="8"/>
  <c r="JJA57" i="8"/>
  <c r="JIZ57" i="8"/>
  <c r="JIY57" i="8"/>
  <c r="JIX57" i="8"/>
  <c r="JIW57" i="8"/>
  <c r="JIV57" i="8"/>
  <c r="JIU57" i="8"/>
  <c r="JIT57" i="8"/>
  <c r="JIS57" i="8"/>
  <c r="JIR57" i="8"/>
  <c r="JIQ57" i="8"/>
  <c r="JIP57" i="8"/>
  <c r="JIO57" i="8"/>
  <c r="JIN57" i="8"/>
  <c r="JIM57" i="8"/>
  <c r="JIL57" i="8"/>
  <c r="JIK57" i="8"/>
  <c r="JIJ57" i="8"/>
  <c r="JII57" i="8"/>
  <c r="JIH57" i="8"/>
  <c r="JIG57" i="8"/>
  <c r="JIF57" i="8"/>
  <c r="JIE57" i="8"/>
  <c r="JID57" i="8"/>
  <c r="JIC57" i="8"/>
  <c r="JIB57" i="8"/>
  <c r="JIA57" i="8"/>
  <c r="JHZ57" i="8"/>
  <c r="JHY57" i="8"/>
  <c r="JHX57" i="8"/>
  <c r="JHW57" i="8"/>
  <c r="JHV57" i="8"/>
  <c r="JHU57" i="8"/>
  <c r="JHT57" i="8"/>
  <c r="JHS57" i="8"/>
  <c r="JHR57" i="8"/>
  <c r="JHQ57" i="8"/>
  <c r="JHP57" i="8"/>
  <c r="JHO57" i="8"/>
  <c r="JHN57" i="8"/>
  <c r="JHM57" i="8"/>
  <c r="JHL57" i="8"/>
  <c r="JHK57" i="8"/>
  <c r="JHJ57" i="8"/>
  <c r="JHI57" i="8"/>
  <c r="JHH57" i="8"/>
  <c r="JHG57" i="8"/>
  <c r="JHF57" i="8"/>
  <c r="JHE57" i="8"/>
  <c r="JHD57" i="8"/>
  <c r="JHC57" i="8"/>
  <c r="JHB57" i="8"/>
  <c r="JHA57" i="8"/>
  <c r="JGZ57" i="8"/>
  <c r="JGY57" i="8"/>
  <c r="JGX57" i="8"/>
  <c r="JGW57" i="8"/>
  <c r="JGV57" i="8"/>
  <c r="JGU57" i="8"/>
  <c r="JGT57" i="8"/>
  <c r="JGS57" i="8"/>
  <c r="JGR57" i="8"/>
  <c r="JGQ57" i="8"/>
  <c r="JGP57" i="8"/>
  <c r="JGO57" i="8"/>
  <c r="JGN57" i="8"/>
  <c r="JGM57" i="8"/>
  <c r="JGL57" i="8"/>
  <c r="JGK57" i="8"/>
  <c r="JGJ57" i="8"/>
  <c r="JGI57" i="8"/>
  <c r="JGH57" i="8"/>
  <c r="JGG57" i="8"/>
  <c r="JGF57" i="8"/>
  <c r="JGE57" i="8"/>
  <c r="JGD57" i="8"/>
  <c r="JGC57" i="8"/>
  <c r="JGB57" i="8"/>
  <c r="JGA57" i="8"/>
  <c r="JFZ57" i="8"/>
  <c r="JFY57" i="8"/>
  <c r="JFX57" i="8"/>
  <c r="JFW57" i="8"/>
  <c r="JFV57" i="8"/>
  <c r="JFU57" i="8"/>
  <c r="JFT57" i="8"/>
  <c r="JFS57" i="8"/>
  <c r="JFR57" i="8"/>
  <c r="JFQ57" i="8"/>
  <c r="JFP57" i="8"/>
  <c r="JFO57" i="8"/>
  <c r="JFN57" i="8"/>
  <c r="JFM57" i="8"/>
  <c r="JFL57" i="8"/>
  <c r="JFK57" i="8"/>
  <c r="JFJ57" i="8"/>
  <c r="JFI57" i="8"/>
  <c r="JFH57" i="8"/>
  <c r="JFG57" i="8"/>
  <c r="JFF57" i="8"/>
  <c r="JFE57" i="8"/>
  <c r="JFD57" i="8"/>
  <c r="JFC57" i="8"/>
  <c r="JFB57" i="8"/>
  <c r="JFA57" i="8"/>
  <c r="JEZ57" i="8"/>
  <c r="JEY57" i="8"/>
  <c r="JEX57" i="8"/>
  <c r="JEW57" i="8"/>
  <c r="JEV57" i="8"/>
  <c r="JEU57" i="8"/>
  <c r="JET57" i="8"/>
  <c r="JES57" i="8"/>
  <c r="JER57" i="8"/>
  <c r="JEQ57" i="8"/>
  <c r="JEP57" i="8"/>
  <c r="JEO57" i="8"/>
  <c r="JEN57" i="8"/>
  <c r="JEM57" i="8"/>
  <c r="JEL57" i="8"/>
  <c r="JEK57" i="8"/>
  <c r="JEJ57" i="8"/>
  <c r="JEI57" i="8"/>
  <c r="JEH57" i="8"/>
  <c r="JEG57" i="8"/>
  <c r="JEF57" i="8"/>
  <c r="JEE57" i="8"/>
  <c r="JED57" i="8"/>
  <c r="JEC57" i="8"/>
  <c r="JEB57" i="8"/>
  <c r="JEA57" i="8"/>
  <c r="JDZ57" i="8"/>
  <c r="JDY57" i="8"/>
  <c r="JDX57" i="8"/>
  <c r="JDW57" i="8"/>
  <c r="JDV57" i="8"/>
  <c r="JDU57" i="8"/>
  <c r="JDT57" i="8"/>
  <c r="JDS57" i="8"/>
  <c r="JDR57" i="8"/>
  <c r="JDQ57" i="8"/>
  <c r="JDP57" i="8"/>
  <c r="JDO57" i="8"/>
  <c r="JDN57" i="8"/>
  <c r="JDM57" i="8"/>
  <c r="JDL57" i="8"/>
  <c r="JDK57" i="8"/>
  <c r="JDJ57" i="8"/>
  <c r="JDI57" i="8"/>
  <c r="JDH57" i="8"/>
  <c r="JDG57" i="8"/>
  <c r="JDF57" i="8"/>
  <c r="JDE57" i="8"/>
  <c r="JDD57" i="8"/>
  <c r="JDC57" i="8"/>
  <c r="JDB57" i="8"/>
  <c r="JDA57" i="8"/>
  <c r="JCZ57" i="8"/>
  <c r="JCY57" i="8"/>
  <c r="JCX57" i="8"/>
  <c r="JCW57" i="8"/>
  <c r="JCV57" i="8"/>
  <c r="JCU57" i="8"/>
  <c r="JCT57" i="8"/>
  <c r="JCS57" i="8"/>
  <c r="JCR57" i="8"/>
  <c r="JCQ57" i="8"/>
  <c r="JCP57" i="8"/>
  <c r="JCO57" i="8"/>
  <c r="JCN57" i="8"/>
  <c r="JCM57" i="8"/>
  <c r="JCL57" i="8"/>
  <c r="JCK57" i="8"/>
  <c r="JCJ57" i="8"/>
  <c r="JCI57" i="8"/>
  <c r="JCH57" i="8"/>
  <c r="JCG57" i="8"/>
  <c r="JCF57" i="8"/>
  <c r="JCE57" i="8"/>
  <c r="JCD57" i="8"/>
  <c r="JCC57" i="8"/>
  <c r="JCB57" i="8"/>
  <c r="JCA57" i="8"/>
  <c r="JBZ57" i="8"/>
  <c r="JBY57" i="8"/>
  <c r="JBX57" i="8"/>
  <c r="JBW57" i="8"/>
  <c r="JBV57" i="8"/>
  <c r="JBU57" i="8"/>
  <c r="JBT57" i="8"/>
  <c r="JBS57" i="8"/>
  <c r="JBR57" i="8"/>
  <c r="JBQ57" i="8"/>
  <c r="JBP57" i="8"/>
  <c r="JBO57" i="8"/>
  <c r="JBN57" i="8"/>
  <c r="JBM57" i="8"/>
  <c r="JBL57" i="8"/>
  <c r="JBK57" i="8"/>
  <c r="JBJ57" i="8"/>
  <c r="JBI57" i="8"/>
  <c r="JBH57" i="8"/>
  <c r="JBG57" i="8"/>
  <c r="JBF57" i="8"/>
  <c r="JBE57" i="8"/>
  <c r="JBD57" i="8"/>
  <c r="JBC57" i="8"/>
  <c r="JBB57" i="8"/>
  <c r="JBA57" i="8"/>
  <c r="JAZ57" i="8"/>
  <c r="JAY57" i="8"/>
  <c r="JAX57" i="8"/>
  <c r="JAW57" i="8"/>
  <c r="JAV57" i="8"/>
  <c r="JAU57" i="8"/>
  <c r="JAT57" i="8"/>
  <c r="JAS57" i="8"/>
  <c r="JAR57" i="8"/>
  <c r="JAQ57" i="8"/>
  <c r="JAP57" i="8"/>
  <c r="JAO57" i="8"/>
  <c r="JAN57" i="8"/>
  <c r="JAM57" i="8"/>
  <c r="JAL57" i="8"/>
  <c r="JAK57" i="8"/>
  <c r="JAJ57" i="8"/>
  <c r="JAI57" i="8"/>
  <c r="JAH57" i="8"/>
  <c r="JAG57" i="8"/>
  <c r="JAF57" i="8"/>
  <c r="JAE57" i="8"/>
  <c r="JAD57" i="8"/>
  <c r="JAC57" i="8"/>
  <c r="JAB57" i="8"/>
  <c r="JAA57" i="8"/>
  <c r="IZZ57" i="8"/>
  <c r="IZY57" i="8"/>
  <c r="IZX57" i="8"/>
  <c r="IZW57" i="8"/>
  <c r="IZV57" i="8"/>
  <c r="IZU57" i="8"/>
  <c r="IZT57" i="8"/>
  <c r="IZS57" i="8"/>
  <c r="IZR57" i="8"/>
  <c r="IZQ57" i="8"/>
  <c r="IZP57" i="8"/>
  <c r="IZO57" i="8"/>
  <c r="IZN57" i="8"/>
  <c r="IZM57" i="8"/>
  <c r="IZL57" i="8"/>
  <c r="IZK57" i="8"/>
  <c r="IZJ57" i="8"/>
  <c r="IZI57" i="8"/>
  <c r="IZH57" i="8"/>
  <c r="IZG57" i="8"/>
  <c r="IZF57" i="8"/>
  <c r="IZE57" i="8"/>
  <c r="IZD57" i="8"/>
  <c r="IZC57" i="8"/>
  <c r="IZB57" i="8"/>
  <c r="IZA57" i="8"/>
  <c r="IYZ57" i="8"/>
  <c r="IYY57" i="8"/>
  <c r="IYX57" i="8"/>
  <c r="IYW57" i="8"/>
  <c r="IYV57" i="8"/>
  <c r="IYU57" i="8"/>
  <c r="IYT57" i="8"/>
  <c r="IYS57" i="8"/>
  <c r="IYR57" i="8"/>
  <c r="IYQ57" i="8"/>
  <c r="IYP57" i="8"/>
  <c r="IYO57" i="8"/>
  <c r="IYN57" i="8"/>
  <c r="IYM57" i="8"/>
  <c r="IYL57" i="8"/>
  <c r="IYK57" i="8"/>
  <c r="IYJ57" i="8"/>
  <c r="IYI57" i="8"/>
  <c r="IYH57" i="8"/>
  <c r="IYG57" i="8"/>
  <c r="IYF57" i="8"/>
  <c r="IYE57" i="8"/>
  <c r="IYD57" i="8"/>
  <c r="IYC57" i="8"/>
  <c r="IYB57" i="8"/>
  <c r="IYA57" i="8"/>
  <c r="IXZ57" i="8"/>
  <c r="IXY57" i="8"/>
  <c r="IXX57" i="8"/>
  <c r="IXW57" i="8"/>
  <c r="IXV57" i="8"/>
  <c r="IXU57" i="8"/>
  <c r="IXT57" i="8"/>
  <c r="IXS57" i="8"/>
  <c r="IXR57" i="8"/>
  <c r="IXQ57" i="8"/>
  <c r="IXP57" i="8"/>
  <c r="IXO57" i="8"/>
  <c r="IXN57" i="8"/>
  <c r="IXM57" i="8"/>
  <c r="IXL57" i="8"/>
  <c r="IXK57" i="8"/>
  <c r="IXJ57" i="8"/>
  <c r="IXI57" i="8"/>
  <c r="IXH57" i="8"/>
  <c r="IXG57" i="8"/>
  <c r="IXF57" i="8"/>
  <c r="IXE57" i="8"/>
  <c r="IXD57" i="8"/>
  <c r="IXC57" i="8"/>
  <c r="IXB57" i="8"/>
  <c r="IXA57" i="8"/>
  <c r="IWZ57" i="8"/>
  <c r="IWY57" i="8"/>
  <c r="IWX57" i="8"/>
  <c r="IWW57" i="8"/>
  <c r="IWV57" i="8"/>
  <c r="IWU57" i="8"/>
  <c r="IWT57" i="8"/>
  <c r="IWS57" i="8"/>
  <c r="IWR57" i="8"/>
  <c r="IWQ57" i="8"/>
  <c r="IWP57" i="8"/>
  <c r="IWO57" i="8"/>
  <c r="IWN57" i="8"/>
  <c r="IWM57" i="8"/>
  <c r="IWL57" i="8"/>
  <c r="IWK57" i="8"/>
  <c r="IWJ57" i="8"/>
  <c r="IWI57" i="8"/>
  <c r="IWH57" i="8"/>
  <c r="IWG57" i="8"/>
  <c r="IWF57" i="8"/>
  <c r="IWE57" i="8"/>
  <c r="IWD57" i="8"/>
  <c r="IWC57" i="8"/>
  <c r="IWB57" i="8"/>
  <c r="IWA57" i="8"/>
  <c r="IVZ57" i="8"/>
  <c r="IVY57" i="8"/>
  <c r="IVX57" i="8"/>
  <c r="IVW57" i="8"/>
  <c r="IVV57" i="8"/>
  <c r="IVU57" i="8"/>
  <c r="IVT57" i="8"/>
  <c r="IVS57" i="8"/>
  <c r="IVR57" i="8"/>
  <c r="IVQ57" i="8"/>
  <c r="IVP57" i="8"/>
  <c r="IVO57" i="8"/>
  <c r="IVN57" i="8"/>
  <c r="IVM57" i="8"/>
  <c r="IVL57" i="8"/>
  <c r="IVK57" i="8"/>
  <c r="IVJ57" i="8"/>
  <c r="IVI57" i="8"/>
  <c r="IVH57" i="8"/>
  <c r="IVG57" i="8"/>
  <c r="IVF57" i="8"/>
  <c r="IVE57" i="8"/>
  <c r="IVD57" i="8"/>
  <c r="IVC57" i="8"/>
  <c r="IVB57" i="8"/>
  <c r="IVA57" i="8"/>
  <c r="IUZ57" i="8"/>
  <c r="IUY57" i="8"/>
  <c r="IUX57" i="8"/>
  <c r="IUW57" i="8"/>
  <c r="IUV57" i="8"/>
  <c r="IUU57" i="8"/>
  <c r="IUT57" i="8"/>
  <c r="IUS57" i="8"/>
  <c r="IUR57" i="8"/>
  <c r="IUQ57" i="8"/>
  <c r="IUP57" i="8"/>
  <c r="IUO57" i="8"/>
  <c r="IUN57" i="8"/>
  <c r="IUM57" i="8"/>
  <c r="IUL57" i="8"/>
  <c r="IUK57" i="8"/>
  <c r="IUJ57" i="8"/>
  <c r="IUI57" i="8"/>
  <c r="IUH57" i="8"/>
  <c r="IUG57" i="8"/>
  <c r="IUF57" i="8"/>
  <c r="IUE57" i="8"/>
  <c r="IUD57" i="8"/>
  <c r="IUC57" i="8"/>
  <c r="IUB57" i="8"/>
  <c r="IUA57" i="8"/>
  <c r="ITZ57" i="8"/>
  <c r="ITY57" i="8"/>
  <c r="ITX57" i="8"/>
  <c r="ITW57" i="8"/>
  <c r="ITV57" i="8"/>
  <c r="ITU57" i="8"/>
  <c r="ITT57" i="8"/>
  <c r="ITS57" i="8"/>
  <c r="ITR57" i="8"/>
  <c r="ITQ57" i="8"/>
  <c r="ITP57" i="8"/>
  <c r="ITO57" i="8"/>
  <c r="ITN57" i="8"/>
  <c r="ITM57" i="8"/>
  <c r="ITL57" i="8"/>
  <c r="ITK57" i="8"/>
  <c r="ITJ57" i="8"/>
  <c r="ITI57" i="8"/>
  <c r="ITH57" i="8"/>
  <c r="ITG57" i="8"/>
  <c r="ITF57" i="8"/>
  <c r="ITE57" i="8"/>
  <c r="ITD57" i="8"/>
  <c r="ITC57" i="8"/>
  <c r="ITB57" i="8"/>
  <c r="ITA57" i="8"/>
  <c r="ISZ57" i="8"/>
  <c r="ISY57" i="8"/>
  <c r="ISX57" i="8"/>
  <c r="ISW57" i="8"/>
  <c r="ISV57" i="8"/>
  <c r="ISU57" i="8"/>
  <c r="IST57" i="8"/>
  <c r="ISS57" i="8"/>
  <c r="ISR57" i="8"/>
  <c r="ISQ57" i="8"/>
  <c r="ISP57" i="8"/>
  <c r="ISO57" i="8"/>
  <c r="ISN57" i="8"/>
  <c r="ISM57" i="8"/>
  <c r="ISL57" i="8"/>
  <c r="ISK57" i="8"/>
  <c r="ISJ57" i="8"/>
  <c r="ISI57" i="8"/>
  <c r="ISH57" i="8"/>
  <c r="ISG57" i="8"/>
  <c r="ISF57" i="8"/>
  <c r="ISE57" i="8"/>
  <c r="ISD57" i="8"/>
  <c r="ISC57" i="8"/>
  <c r="ISB57" i="8"/>
  <c r="ISA57" i="8"/>
  <c r="IRZ57" i="8"/>
  <c r="IRY57" i="8"/>
  <c r="IRX57" i="8"/>
  <c r="IRW57" i="8"/>
  <c r="IRV57" i="8"/>
  <c r="IRU57" i="8"/>
  <c r="IRT57" i="8"/>
  <c r="IRS57" i="8"/>
  <c r="IRR57" i="8"/>
  <c r="IRQ57" i="8"/>
  <c r="IRP57" i="8"/>
  <c r="IRO57" i="8"/>
  <c r="IRN57" i="8"/>
  <c r="IRM57" i="8"/>
  <c r="IRL57" i="8"/>
  <c r="IRK57" i="8"/>
  <c r="IRJ57" i="8"/>
  <c r="IRI57" i="8"/>
  <c r="IRH57" i="8"/>
  <c r="IRG57" i="8"/>
  <c r="IRF57" i="8"/>
  <c r="IRE57" i="8"/>
  <c r="IRD57" i="8"/>
  <c r="IRC57" i="8"/>
  <c r="IRB57" i="8"/>
  <c r="IRA57" i="8"/>
  <c r="IQZ57" i="8"/>
  <c r="IQY57" i="8"/>
  <c r="IQX57" i="8"/>
  <c r="IQW57" i="8"/>
  <c r="IQV57" i="8"/>
  <c r="IQU57" i="8"/>
  <c r="IQT57" i="8"/>
  <c r="IQS57" i="8"/>
  <c r="IQR57" i="8"/>
  <c r="IQQ57" i="8"/>
  <c r="IQP57" i="8"/>
  <c r="IQO57" i="8"/>
  <c r="IQN57" i="8"/>
  <c r="IQM57" i="8"/>
  <c r="IQL57" i="8"/>
  <c r="IQK57" i="8"/>
  <c r="IQJ57" i="8"/>
  <c r="IQI57" i="8"/>
  <c r="IQH57" i="8"/>
  <c r="IQG57" i="8"/>
  <c r="IQF57" i="8"/>
  <c r="IQE57" i="8"/>
  <c r="IQD57" i="8"/>
  <c r="IQC57" i="8"/>
  <c r="IQB57" i="8"/>
  <c r="IQA57" i="8"/>
  <c r="IPZ57" i="8"/>
  <c r="IPY57" i="8"/>
  <c r="IPX57" i="8"/>
  <c r="IPW57" i="8"/>
  <c r="IPV57" i="8"/>
  <c r="IPU57" i="8"/>
  <c r="IPT57" i="8"/>
  <c r="IPS57" i="8"/>
  <c r="IPR57" i="8"/>
  <c r="IPQ57" i="8"/>
  <c r="IPP57" i="8"/>
  <c r="IPO57" i="8"/>
  <c r="IPN57" i="8"/>
  <c r="IPM57" i="8"/>
  <c r="IPL57" i="8"/>
  <c r="IPK57" i="8"/>
  <c r="IPJ57" i="8"/>
  <c r="IPI57" i="8"/>
  <c r="IPH57" i="8"/>
  <c r="IPG57" i="8"/>
  <c r="IPF57" i="8"/>
  <c r="IPE57" i="8"/>
  <c r="IPD57" i="8"/>
  <c r="IPC57" i="8"/>
  <c r="IPB57" i="8"/>
  <c r="IPA57" i="8"/>
  <c r="IOZ57" i="8"/>
  <c r="IOY57" i="8"/>
  <c r="IOX57" i="8"/>
  <c r="IOW57" i="8"/>
  <c r="IOV57" i="8"/>
  <c r="IOU57" i="8"/>
  <c r="IOT57" i="8"/>
  <c r="IOS57" i="8"/>
  <c r="IOR57" i="8"/>
  <c r="IOQ57" i="8"/>
  <c r="IOP57" i="8"/>
  <c r="IOO57" i="8"/>
  <c r="ION57" i="8"/>
  <c r="IOM57" i="8"/>
  <c r="IOL57" i="8"/>
  <c r="IOK57" i="8"/>
  <c r="IOJ57" i="8"/>
  <c r="IOI57" i="8"/>
  <c r="IOH57" i="8"/>
  <c r="IOG57" i="8"/>
  <c r="IOF57" i="8"/>
  <c r="IOE57" i="8"/>
  <c r="IOD57" i="8"/>
  <c r="IOC57" i="8"/>
  <c r="IOB57" i="8"/>
  <c r="IOA57" i="8"/>
  <c r="INZ57" i="8"/>
  <c r="INY57" i="8"/>
  <c r="INX57" i="8"/>
  <c r="INW57" i="8"/>
  <c r="INV57" i="8"/>
  <c r="INU57" i="8"/>
  <c r="INT57" i="8"/>
  <c r="INS57" i="8"/>
  <c r="INR57" i="8"/>
  <c r="INQ57" i="8"/>
  <c r="INP57" i="8"/>
  <c r="INO57" i="8"/>
  <c r="INN57" i="8"/>
  <c r="INM57" i="8"/>
  <c r="INL57" i="8"/>
  <c r="INK57" i="8"/>
  <c r="INJ57" i="8"/>
  <c r="INI57" i="8"/>
  <c r="INH57" i="8"/>
  <c r="ING57" i="8"/>
  <c r="INF57" i="8"/>
  <c r="INE57" i="8"/>
  <c r="IND57" i="8"/>
  <c r="INC57" i="8"/>
  <c r="INB57" i="8"/>
  <c r="INA57" i="8"/>
  <c r="IMZ57" i="8"/>
  <c r="IMY57" i="8"/>
  <c r="IMX57" i="8"/>
  <c r="IMW57" i="8"/>
  <c r="IMV57" i="8"/>
  <c r="IMU57" i="8"/>
  <c r="IMT57" i="8"/>
  <c r="IMS57" i="8"/>
  <c r="IMR57" i="8"/>
  <c r="IMQ57" i="8"/>
  <c r="IMP57" i="8"/>
  <c r="IMO57" i="8"/>
  <c r="IMN57" i="8"/>
  <c r="IMM57" i="8"/>
  <c r="IML57" i="8"/>
  <c r="IMK57" i="8"/>
  <c r="IMJ57" i="8"/>
  <c r="IMI57" i="8"/>
  <c r="IMH57" i="8"/>
  <c r="IMG57" i="8"/>
  <c r="IMF57" i="8"/>
  <c r="IME57" i="8"/>
  <c r="IMD57" i="8"/>
  <c r="IMC57" i="8"/>
  <c r="IMB57" i="8"/>
  <c r="IMA57" i="8"/>
  <c r="ILZ57" i="8"/>
  <c r="ILY57" i="8"/>
  <c r="ILX57" i="8"/>
  <c r="ILW57" i="8"/>
  <c r="ILV57" i="8"/>
  <c r="ILU57" i="8"/>
  <c r="ILT57" i="8"/>
  <c r="ILS57" i="8"/>
  <c r="ILR57" i="8"/>
  <c r="ILQ57" i="8"/>
  <c r="ILP57" i="8"/>
  <c r="ILO57" i="8"/>
  <c r="ILN57" i="8"/>
  <c r="ILM57" i="8"/>
  <c r="ILL57" i="8"/>
  <c r="ILK57" i="8"/>
  <c r="ILJ57" i="8"/>
  <c r="ILI57" i="8"/>
  <c r="ILH57" i="8"/>
  <c r="ILG57" i="8"/>
  <c r="ILF57" i="8"/>
  <c r="ILE57" i="8"/>
  <c r="ILD57" i="8"/>
  <c r="ILC57" i="8"/>
  <c r="ILB57" i="8"/>
  <c r="ILA57" i="8"/>
  <c r="IKZ57" i="8"/>
  <c r="IKY57" i="8"/>
  <c r="IKX57" i="8"/>
  <c r="IKW57" i="8"/>
  <c r="IKV57" i="8"/>
  <c r="IKU57" i="8"/>
  <c r="IKT57" i="8"/>
  <c r="IKS57" i="8"/>
  <c r="IKR57" i="8"/>
  <c r="IKQ57" i="8"/>
  <c r="IKP57" i="8"/>
  <c r="IKO57" i="8"/>
  <c r="IKN57" i="8"/>
  <c r="IKM57" i="8"/>
  <c r="IKL57" i="8"/>
  <c r="IKK57" i="8"/>
  <c r="IKJ57" i="8"/>
  <c r="IKI57" i="8"/>
  <c r="IKH57" i="8"/>
  <c r="IKG57" i="8"/>
  <c r="IKF57" i="8"/>
  <c r="IKE57" i="8"/>
  <c r="IKD57" i="8"/>
  <c r="IKC57" i="8"/>
  <c r="IKB57" i="8"/>
  <c r="IKA57" i="8"/>
  <c r="IJZ57" i="8"/>
  <c r="IJY57" i="8"/>
  <c r="IJX57" i="8"/>
  <c r="IJW57" i="8"/>
  <c r="IJV57" i="8"/>
  <c r="IJU57" i="8"/>
  <c r="IJT57" i="8"/>
  <c r="IJS57" i="8"/>
  <c r="IJR57" i="8"/>
  <c r="IJQ57" i="8"/>
  <c r="IJP57" i="8"/>
  <c r="IJO57" i="8"/>
  <c r="IJN57" i="8"/>
  <c r="IJM57" i="8"/>
  <c r="IJL57" i="8"/>
  <c r="IJK57" i="8"/>
  <c r="IJJ57" i="8"/>
  <c r="IJI57" i="8"/>
  <c r="IJH57" i="8"/>
  <c r="IJG57" i="8"/>
  <c r="IJF57" i="8"/>
  <c r="IJE57" i="8"/>
  <c r="IJD57" i="8"/>
  <c r="IJC57" i="8"/>
  <c r="IJB57" i="8"/>
  <c r="IJA57" i="8"/>
  <c r="IIZ57" i="8"/>
  <c r="IIY57" i="8"/>
  <c r="IIX57" i="8"/>
  <c r="IIW57" i="8"/>
  <c r="IIV57" i="8"/>
  <c r="IIU57" i="8"/>
  <c r="IIT57" i="8"/>
  <c r="IIS57" i="8"/>
  <c r="IIR57" i="8"/>
  <c r="IIQ57" i="8"/>
  <c r="IIP57" i="8"/>
  <c r="IIO57" i="8"/>
  <c r="IIN57" i="8"/>
  <c r="IIM57" i="8"/>
  <c r="IIL57" i="8"/>
  <c r="IIK57" i="8"/>
  <c r="IIJ57" i="8"/>
  <c r="III57" i="8"/>
  <c r="IIH57" i="8"/>
  <c r="IIG57" i="8"/>
  <c r="IIF57" i="8"/>
  <c r="IIE57" i="8"/>
  <c r="IID57" i="8"/>
  <c r="IIC57" i="8"/>
  <c r="IIB57" i="8"/>
  <c r="IIA57" i="8"/>
  <c r="IHZ57" i="8"/>
  <c r="IHY57" i="8"/>
  <c r="IHX57" i="8"/>
  <c r="IHW57" i="8"/>
  <c r="IHV57" i="8"/>
  <c r="IHU57" i="8"/>
  <c r="IHT57" i="8"/>
  <c r="IHS57" i="8"/>
  <c r="IHR57" i="8"/>
  <c r="IHQ57" i="8"/>
  <c r="IHP57" i="8"/>
  <c r="IHO57" i="8"/>
  <c r="IHN57" i="8"/>
  <c r="IHM57" i="8"/>
  <c r="IHL57" i="8"/>
  <c r="IHK57" i="8"/>
  <c r="IHJ57" i="8"/>
  <c r="IHI57" i="8"/>
  <c r="IHH57" i="8"/>
  <c r="IHG57" i="8"/>
  <c r="IHF57" i="8"/>
  <c r="IHE57" i="8"/>
  <c r="IHD57" i="8"/>
  <c r="IHC57" i="8"/>
  <c r="IHB57" i="8"/>
  <c r="IHA57" i="8"/>
  <c r="IGZ57" i="8"/>
  <c r="IGY57" i="8"/>
  <c r="IGX57" i="8"/>
  <c r="IGW57" i="8"/>
  <c r="IGV57" i="8"/>
  <c r="IGU57" i="8"/>
  <c r="IGT57" i="8"/>
  <c r="IGS57" i="8"/>
  <c r="IGR57" i="8"/>
  <c r="IGQ57" i="8"/>
  <c r="IGP57" i="8"/>
  <c r="IGO57" i="8"/>
  <c r="IGN57" i="8"/>
  <c r="IGM57" i="8"/>
  <c r="IGL57" i="8"/>
  <c r="IGK57" i="8"/>
  <c r="IGJ57" i="8"/>
  <c r="IGI57" i="8"/>
  <c r="IGH57" i="8"/>
  <c r="IGG57" i="8"/>
  <c r="IGF57" i="8"/>
  <c r="IGE57" i="8"/>
  <c r="IGD57" i="8"/>
  <c r="IGC57" i="8"/>
  <c r="IGB57" i="8"/>
  <c r="IGA57" i="8"/>
  <c r="IFZ57" i="8"/>
  <c r="IFY57" i="8"/>
  <c r="IFX57" i="8"/>
  <c r="IFW57" i="8"/>
  <c r="IFV57" i="8"/>
  <c r="IFU57" i="8"/>
  <c r="IFT57" i="8"/>
  <c r="IFS57" i="8"/>
  <c r="IFR57" i="8"/>
  <c r="IFQ57" i="8"/>
  <c r="IFP57" i="8"/>
  <c r="IFO57" i="8"/>
  <c r="IFN57" i="8"/>
  <c r="IFM57" i="8"/>
  <c r="IFL57" i="8"/>
  <c r="IFK57" i="8"/>
  <c r="IFJ57" i="8"/>
  <c r="IFI57" i="8"/>
  <c r="IFH57" i="8"/>
  <c r="IFG57" i="8"/>
  <c r="IFF57" i="8"/>
  <c r="IFE57" i="8"/>
  <c r="IFD57" i="8"/>
  <c r="IFC57" i="8"/>
  <c r="IFB57" i="8"/>
  <c r="IFA57" i="8"/>
  <c r="IEZ57" i="8"/>
  <c r="IEY57" i="8"/>
  <c r="IEX57" i="8"/>
  <c r="IEW57" i="8"/>
  <c r="IEV57" i="8"/>
  <c r="IEU57" i="8"/>
  <c r="IET57" i="8"/>
  <c r="IES57" i="8"/>
  <c r="IER57" i="8"/>
  <c r="IEQ57" i="8"/>
  <c r="IEP57" i="8"/>
  <c r="IEO57" i="8"/>
  <c r="IEN57" i="8"/>
  <c r="IEM57" i="8"/>
  <c r="IEL57" i="8"/>
  <c r="IEK57" i="8"/>
  <c r="IEJ57" i="8"/>
  <c r="IEI57" i="8"/>
  <c r="IEH57" i="8"/>
  <c r="IEG57" i="8"/>
  <c r="IEF57" i="8"/>
  <c r="IEE57" i="8"/>
  <c r="IED57" i="8"/>
  <c r="IEC57" i="8"/>
  <c r="IEB57" i="8"/>
  <c r="IEA57" i="8"/>
  <c r="IDZ57" i="8"/>
  <c r="IDY57" i="8"/>
  <c r="IDX57" i="8"/>
  <c r="IDW57" i="8"/>
  <c r="IDV57" i="8"/>
  <c r="IDU57" i="8"/>
  <c r="IDT57" i="8"/>
  <c r="IDS57" i="8"/>
  <c r="IDR57" i="8"/>
  <c r="IDQ57" i="8"/>
  <c r="IDP57" i="8"/>
  <c r="IDO57" i="8"/>
  <c r="IDN57" i="8"/>
  <c r="IDM57" i="8"/>
  <c r="IDL57" i="8"/>
  <c r="IDK57" i="8"/>
  <c r="IDJ57" i="8"/>
  <c r="IDI57" i="8"/>
  <c r="IDH57" i="8"/>
  <c r="IDG57" i="8"/>
  <c r="IDF57" i="8"/>
  <c r="IDE57" i="8"/>
  <c r="IDD57" i="8"/>
  <c r="IDC57" i="8"/>
  <c r="IDB57" i="8"/>
  <c r="IDA57" i="8"/>
  <c r="ICZ57" i="8"/>
  <c r="ICY57" i="8"/>
  <c r="ICX57" i="8"/>
  <c r="ICW57" i="8"/>
  <c r="ICV57" i="8"/>
  <c r="ICU57" i="8"/>
  <c r="ICT57" i="8"/>
  <c r="ICS57" i="8"/>
  <c r="ICR57" i="8"/>
  <c r="ICQ57" i="8"/>
  <c r="ICP57" i="8"/>
  <c r="ICO57" i="8"/>
  <c r="ICN57" i="8"/>
  <c r="ICM57" i="8"/>
  <c r="ICL57" i="8"/>
  <c r="ICK57" i="8"/>
  <c r="ICJ57" i="8"/>
  <c r="ICI57" i="8"/>
  <c r="ICH57" i="8"/>
  <c r="ICG57" i="8"/>
  <c r="ICF57" i="8"/>
  <c r="ICE57" i="8"/>
  <c r="ICD57" i="8"/>
  <c r="ICC57" i="8"/>
  <c r="ICB57" i="8"/>
  <c r="ICA57" i="8"/>
  <c r="IBZ57" i="8"/>
  <c r="IBY57" i="8"/>
  <c r="IBX57" i="8"/>
  <c r="IBW57" i="8"/>
  <c r="IBV57" i="8"/>
  <c r="IBU57" i="8"/>
  <c r="IBT57" i="8"/>
  <c r="IBS57" i="8"/>
  <c r="IBR57" i="8"/>
  <c r="IBQ57" i="8"/>
  <c r="IBP57" i="8"/>
  <c r="IBO57" i="8"/>
  <c r="IBN57" i="8"/>
  <c r="IBM57" i="8"/>
  <c r="IBL57" i="8"/>
  <c r="IBK57" i="8"/>
  <c r="IBJ57" i="8"/>
  <c r="IBI57" i="8"/>
  <c r="IBH57" i="8"/>
  <c r="IBG57" i="8"/>
  <c r="IBF57" i="8"/>
  <c r="IBE57" i="8"/>
  <c r="IBD57" i="8"/>
  <c r="IBC57" i="8"/>
  <c r="IBB57" i="8"/>
  <c r="IBA57" i="8"/>
  <c r="IAZ57" i="8"/>
  <c r="IAY57" i="8"/>
  <c r="IAX57" i="8"/>
  <c r="IAW57" i="8"/>
  <c r="IAV57" i="8"/>
  <c r="IAU57" i="8"/>
  <c r="IAT57" i="8"/>
  <c r="IAS57" i="8"/>
  <c r="IAR57" i="8"/>
  <c r="IAQ57" i="8"/>
  <c r="IAP57" i="8"/>
  <c r="IAO57" i="8"/>
  <c r="IAN57" i="8"/>
  <c r="IAM57" i="8"/>
  <c r="IAL57" i="8"/>
  <c r="IAK57" i="8"/>
  <c r="IAJ57" i="8"/>
  <c r="IAI57" i="8"/>
  <c r="IAH57" i="8"/>
  <c r="IAG57" i="8"/>
  <c r="IAF57" i="8"/>
  <c r="IAE57" i="8"/>
  <c r="IAD57" i="8"/>
  <c r="IAC57" i="8"/>
  <c r="IAB57" i="8"/>
  <c r="IAA57" i="8"/>
  <c r="HZZ57" i="8"/>
  <c r="HZY57" i="8"/>
  <c r="HZX57" i="8"/>
  <c r="HZW57" i="8"/>
  <c r="HZV57" i="8"/>
  <c r="HZU57" i="8"/>
  <c r="HZT57" i="8"/>
  <c r="HZS57" i="8"/>
  <c r="HZR57" i="8"/>
  <c r="HZQ57" i="8"/>
  <c r="HZP57" i="8"/>
  <c r="HZO57" i="8"/>
  <c r="HZN57" i="8"/>
  <c r="HZM57" i="8"/>
  <c r="HZL57" i="8"/>
  <c r="HZK57" i="8"/>
  <c r="HZJ57" i="8"/>
  <c r="HZI57" i="8"/>
  <c r="HZH57" i="8"/>
  <c r="HZG57" i="8"/>
  <c r="HZF57" i="8"/>
  <c r="HZE57" i="8"/>
  <c r="HZD57" i="8"/>
  <c r="HZC57" i="8"/>
  <c r="HZB57" i="8"/>
  <c r="HZA57" i="8"/>
  <c r="HYZ57" i="8"/>
  <c r="HYY57" i="8"/>
  <c r="HYX57" i="8"/>
  <c r="HYW57" i="8"/>
  <c r="HYV57" i="8"/>
  <c r="HYU57" i="8"/>
  <c r="HYT57" i="8"/>
  <c r="HYS57" i="8"/>
  <c r="HYR57" i="8"/>
  <c r="HYQ57" i="8"/>
  <c r="HYP57" i="8"/>
  <c r="HYO57" i="8"/>
  <c r="HYN57" i="8"/>
  <c r="HYM57" i="8"/>
  <c r="HYL57" i="8"/>
  <c r="HYK57" i="8"/>
  <c r="HYJ57" i="8"/>
  <c r="HYI57" i="8"/>
  <c r="HYH57" i="8"/>
  <c r="HYG57" i="8"/>
  <c r="HYF57" i="8"/>
  <c r="HYE57" i="8"/>
  <c r="HYD57" i="8"/>
  <c r="HYC57" i="8"/>
  <c r="HYB57" i="8"/>
  <c r="HYA57" i="8"/>
  <c r="HXZ57" i="8"/>
  <c r="HXY57" i="8"/>
  <c r="HXX57" i="8"/>
  <c r="HXW57" i="8"/>
  <c r="HXV57" i="8"/>
  <c r="HXU57" i="8"/>
  <c r="HXT57" i="8"/>
  <c r="HXS57" i="8"/>
  <c r="HXR57" i="8"/>
  <c r="HXQ57" i="8"/>
  <c r="HXP57" i="8"/>
  <c r="HXO57" i="8"/>
  <c r="HXN57" i="8"/>
  <c r="HXM57" i="8"/>
  <c r="HXL57" i="8"/>
  <c r="HXK57" i="8"/>
  <c r="HXJ57" i="8"/>
  <c r="HXI57" i="8"/>
  <c r="HXH57" i="8"/>
  <c r="HXG57" i="8"/>
  <c r="HXF57" i="8"/>
  <c r="HXE57" i="8"/>
  <c r="HXD57" i="8"/>
  <c r="HXC57" i="8"/>
  <c r="HXB57" i="8"/>
  <c r="HXA57" i="8"/>
  <c r="HWZ57" i="8"/>
  <c r="HWY57" i="8"/>
  <c r="HWX57" i="8"/>
  <c r="HWW57" i="8"/>
  <c r="HWV57" i="8"/>
  <c r="HWU57" i="8"/>
  <c r="HWT57" i="8"/>
  <c r="HWS57" i="8"/>
  <c r="HWR57" i="8"/>
  <c r="HWQ57" i="8"/>
  <c r="HWP57" i="8"/>
  <c r="HWO57" i="8"/>
  <c r="HWN57" i="8"/>
  <c r="HWM57" i="8"/>
  <c r="HWL57" i="8"/>
  <c r="HWK57" i="8"/>
  <c r="HWJ57" i="8"/>
  <c r="HWI57" i="8"/>
  <c r="HWH57" i="8"/>
  <c r="HWG57" i="8"/>
  <c r="HWF57" i="8"/>
  <c r="HWE57" i="8"/>
  <c r="HWD57" i="8"/>
  <c r="HWC57" i="8"/>
  <c r="HWB57" i="8"/>
  <c r="HWA57" i="8"/>
  <c r="HVZ57" i="8"/>
  <c r="HVY57" i="8"/>
  <c r="HVX57" i="8"/>
  <c r="HVW57" i="8"/>
  <c r="HVV57" i="8"/>
  <c r="HVU57" i="8"/>
  <c r="HVT57" i="8"/>
  <c r="HVS57" i="8"/>
  <c r="HVR57" i="8"/>
  <c r="HVQ57" i="8"/>
  <c r="HVP57" i="8"/>
  <c r="HVO57" i="8"/>
  <c r="HVN57" i="8"/>
  <c r="HVM57" i="8"/>
  <c r="HVL57" i="8"/>
  <c r="HVK57" i="8"/>
  <c r="HVJ57" i="8"/>
  <c r="HVI57" i="8"/>
  <c r="HVH57" i="8"/>
  <c r="HVG57" i="8"/>
  <c r="HVF57" i="8"/>
  <c r="HVE57" i="8"/>
  <c r="HVD57" i="8"/>
  <c r="HVC57" i="8"/>
  <c r="HVB57" i="8"/>
  <c r="HVA57" i="8"/>
  <c r="HUZ57" i="8"/>
  <c r="HUY57" i="8"/>
  <c r="HUX57" i="8"/>
  <c r="HUW57" i="8"/>
  <c r="HUV57" i="8"/>
  <c r="HUU57" i="8"/>
  <c r="HUT57" i="8"/>
  <c r="HUS57" i="8"/>
  <c r="HUR57" i="8"/>
  <c r="HUQ57" i="8"/>
  <c r="HUP57" i="8"/>
  <c r="HUO57" i="8"/>
  <c r="HUN57" i="8"/>
  <c r="HUM57" i="8"/>
  <c r="HUL57" i="8"/>
  <c r="HUK57" i="8"/>
  <c r="HUJ57" i="8"/>
  <c r="HUI57" i="8"/>
  <c r="HUH57" i="8"/>
  <c r="HUG57" i="8"/>
  <c r="HUF57" i="8"/>
  <c r="HUE57" i="8"/>
  <c r="HUD57" i="8"/>
  <c r="HUC57" i="8"/>
  <c r="HUB57" i="8"/>
  <c r="HUA57" i="8"/>
  <c r="HTZ57" i="8"/>
  <c r="HTY57" i="8"/>
  <c r="HTX57" i="8"/>
  <c r="HTW57" i="8"/>
  <c r="HTV57" i="8"/>
  <c r="HTU57" i="8"/>
  <c r="HTT57" i="8"/>
  <c r="HTS57" i="8"/>
  <c r="HTR57" i="8"/>
  <c r="HTQ57" i="8"/>
  <c r="HTP57" i="8"/>
  <c r="HTO57" i="8"/>
  <c r="HTN57" i="8"/>
  <c r="HTM57" i="8"/>
  <c r="HTL57" i="8"/>
  <c r="HTK57" i="8"/>
  <c r="HTJ57" i="8"/>
  <c r="HTI57" i="8"/>
  <c r="HTH57" i="8"/>
  <c r="HTG57" i="8"/>
  <c r="HTF57" i="8"/>
  <c r="HTE57" i="8"/>
  <c r="HTD57" i="8"/>
  <c r="HTC57" i="8"/>
  <c r="HTB57" i="8"/>
  <c r="HTA57" i="8"/>
  <c r="HSZ57" i="8"/>
  <c r="HSY57" i="8"/>
  <c r="HSX57" i="8"/>
  <c r="HSW57" i="8"/>
  <c r="HSV57" i="8"/>
  <c r="HSU57" i="8"/>
  <c r="HST57" i="8"/>
  <c r="HSS57" i="8"/>
  <c r="HSR57" i="8"/>
  <c r="HSQ57" i="8"/>
  <c r="HSP57" i="8"/>
  <c r="HSO57" i="8"/>
  <c r="HSN57" i="8"/>
  <c r="HSM57" i="8"/>
  <c r="HSL57" i="8"/>
  <c r="HSK57" i="8"/>
  <c r="HSJ57" i="8"/>
  <c r="HSI57" i="8"/>
  <c r="HSH57" i="8"/>
  <c r="HSG57" i="8"/>
  <c r="HSF57" i="8"/>
  <c r="HSE57" i="8"/>
  <c r="HSD57" i="8"/>
  <c r="HSC57" i="8"/>
  <c r="HSB57" i="8"/>
  <c r="HSA57" i="8"/>
  <c r="HRZ57" i="8"/>
  <c r="HRY57" i="8"/>
  <c r="HRX57" i="8"/>
  <c r="HRW57" i="8"/>
  <c r="HRV57" i="8"/>
  <c r="HRU57" i="8"/>
  <c r="HRT57" i="8"/>
  <c r="HRS57" i="8"/>
  <c r="HRR57" i="8"/>
  <c r="HRQ57" i="8"/>
  <c r="HRP57" i="8"/>
  <c r="HRO57" i="8"/>
  <c r="HRN57" i="8"/>
  <c r="HRM57" i="8"/>
  <c r="HRL57" i="8"/>
  <c r="HRK57" i="8"/>
  <c r="HRJ57" i="8"/>
  <c r="HRI57" i="8"/>
  <c r="HRH57" i="8"/>
  <c r="HRG57" i="8"/>
  <c r="HRF57" i="8"/>
  <c r="HRE57" i="8"/>
  <c r="HRD57" i="8"/>
  <c r="HRC57" i="8"/>
  <c r="HRB57" i="8"/>
  <c r="HRA57" i="8"/>
  <c r="HQZ57" i="8"/>
  <c r="HQY57" i="8"/>
  <c r="HQX57" i="8"/>
  <c r="HQW57" i="8"/>
  <c r="HQV57" i="8"/>
  <c r="HQU57" i="8"/>
  <c r="HQT57" i="8"/>
  <c r="HQS57" i="8"/>
  <c r="HQR57" i="8"/>
  <c r="HQQ57" i="8"/>
  <c r="HQP57" i="8"/>
  <c r="HQO57" i="8"/>
  <c r="HQN57" i="8"/>
  <c r="HQM57" i="8"/>
  <c r="HQL57" i="8"/>
  <c r="HQK57" i="8"/>
  <c r="HQJ57" i="8"/>
  <c r="HQI57" i="8"/>
  <c r="HQH57" i="8"/>
  <c r="HQG57" i="8"/>
  <c r="HQF57" i="8"/>
  <c r="HQE57" i="8"/>
  <c r="HQD57" i="8"/>
  <c r="HQC57" i="8"/>
  <c r="HQB57" i="8"/>
  <c r="HQA57" i="8"/>
  <c r="HPZ57" i="8"/>
  <c r="HPY57" i="8"/>
  <c r="HPX57" i="8"/>
  <c r="HPW57" i="8"/>
  <c r="HPV57" i="8"/>
  <c r="HPU57" i="8"/>
  <c r="HPT57" i="8"/>
  <c r="HPS57" i="8"/>
  <c r="HPR57" i="8"/>
  <c r="HPQ57" i="8"/>
  <c r="HPP57" i="8"/>
  <c r="HPO57" i="8"/>
  <c r="HPN57" i="8"/>
  <c r="HPM57" i="8"/>
  <c r="HPL57" i="8"/>
  <c r="HPK57" i="8"/>
  <c r="HPJ57" i="8"/>
  <c r="HPI57" i="8"/>
  <c r="HPH57" i="8"/>
  <c r="HPG57" i="8"/>
  <c r="HPF57" i="8"/>
  <c r="HPE57" i="8"/>
  <c r="HPD57" i="8"/>
  <c r="HPC57" i="8"/>
  <c r="HPB57" i="8"/>
  <c r="HPA57" i="8"/>
  <c r="HOZ57" i="8"/>
  <c r="HOY57" i="8"/>
  <c r="HOX57" i="8"/>
  <c r="HOW57" i="8"/>
  <c r="HOV57" i="8"/>
  <c r="HOU57" i="8"/>
  <c r="HOT57" i="8"/>
  <c r="HOS57" i="8"/>
  <c r="HOR57" i="8"/>
  <c r="HOQ57" i="8"/>
  <c r="HOP57" i="8"/>
  <c r="HOO57" i="8"/>
  <c r="HON57" i="8"/>
  <c r="HOM57" i="8"/>
  <c r="HOL57" i="8"/>
  <c r="HOK57" i="8"/>
  <c r="HOJ57" i="8"/>
  <c r="HOI57" i="8"/>
  <c r="HOH57" i="8"/>
  <c r="HOG57" i="8"/>
  <c r="HOF57" i="8"/>
  <c r="HOE57" i="8"/>
  <c r="HOD57" i="8"/>
  <c r="HOC57" i="8"/>
  <c r="HOB57" i="8"/>
  <c r="HOA57" i="8"/>
  <c r="HNZ57" i="8"/>
  <c r="HNY57" i="8"/>
  <c r="HNX57" i="8"/>
  <c r="HNW57" i="8"/>
  <c r="HNV57" i="8"/>
  <c r="HNU57" i="8"/>
  <c r="HNT57" i="8"/>
  <c r="HNS57" i="8"/>
  <c r="HNR57" i="8"/>
  <c r="HNQ57" i="8"/>
  <c r="HNP57" i="8"/>
  <c r="HNO57" i="8"/>
  <c r="HNN57" i="8"/>
  <c r="HNM57" i="8"/>
  <c r="HNL57" i="8"/>
  <c r="HNK57" i="8"/>
  <c r="HNJ57" i="8"/>
  <c r="HNI57" i="8"/>
  <c r="HNH57" i="8"/>
  <c r="HNG57" i="8"/>
  <c r="HNF57" i="8"/>
  <c r="HNE57" i="8"/>
  <c r="HND57" i="8"/>
  <c r="HNC57" i="8"/>
  <c r="HNB57" i="8"/>
  <c r="HNA57" i="8"/>
  <c r="HMZ57" i="8"/>
  <c r="HMY57" i="8"/>
  <c r="HMX57" i="8"/>
  <c r="HMW57" i="8"/>
  <c r="HMV57" i="8"/>
  <c r="HMU57" i="8"/>
  <c r="HMT57" i="8"/>
  <c r="HMS57" i="8"/>
  <c r="HMR57" i="8"/>
  <c r="HMQ57" i="8"/>
  <c r="HMP57" i="8"/>
  <c r="HMO57" i="8"/>
  <c r="HMN57" i="8"/>
  <c r="HMM57" i="8"/>
  <c r="HML57" i="8"/>
  <c r="HMK57" i="8"/>
  <c r="HMJ57" i="8"/>
  <c r="HMI57" i="8"/>
  <c r="HMH57" i="8"/>
  <c r="HMG57" i="8"/>
  <c r="HMF57" i="8"/>
  <c r="HME57" i="8"/>
  <c r="HMD57" i="8"/>
  <c r="HMC57" i="8"/>
  <c r="HMB57" i="8"/>
  <c r="HMA57" i="8"/>
  <c r="HLZ57" i="8"/>
  <c r="HLY57" i="8"/>
  <c r="HLX57" i="8"/>
  <c r="HLW57" i="8"/>
  <c r="HLV57" i="8"/>
  <c r="HLU57" i="8"/>
  <c r="HLT57" i="8"/>
  <c r="HLS57" i="8"/>
  <c r="HLR57" i="8"/>
  <c r="HLQ57" i="8"/>
  <c r="HLP57" i="8"/>
  <c r="HLO57" i="8"/>
  <c r="HLN57" i="8"/>
  <c r="HLM57" i="8"/>
  <c r="HLL57" i="8"/>
  <c r="HLK57" i="8"/>
  <c r="HLJ57" i="8"/>
  <c r="HLI57" i="8"/>
  <c r="HLH57" i="8"/>
  <c r="HLG57" i="8"/>
  <c r="HLF57" i="8"/>
  <c r="HLE57" i="8"/>
  <c r="HLD57" i="8"/>
  <c r="HLC57" i="8"/>
  <c r="HLB57" i="8"/>
  <c r="HLA57" i="8"/>
  <c r="HKZ57" i="8"/>
  <c r="HKY57" i="8"/>
  <c r="HKX57" i="8"/>
  <c r="HKW57" i="8"/>
  <c r="HKV57" i="8"/>
  <c r="HKU57" i="8"/>
  <c r="HKT57" i="8"/>
  <c r="HKS57" i="8"/>
  <c r="HKR57" i="8"/>
  <c r="HKQ57" i="8"/>
  <c r="HKP57" i="8"/>
  <c r="HKO57" i="8"/>
  <c r="HKN57" i="8"/>
  <c r="HKM57" i="8"/>
  <c r="HKL57" i="8"/>
  <c r="HKK57" i="8"/>
  <c r="HKJ57" i="8"/>
  <c r="HKI57" i="8"/>
  <c r="HKH57" i="8"/>
  <c r="HKG57" i="8"/>
  <c r="HKF57" i="8"/>
  <c r="HKE57" i="8"/>
  <c r="HKD57" i="8"/>
  <c r="HKC57" i="8"/>
  <c r="HKB57" i="8"/>
  <c r="HKA57" i="8"/>
  <c r="HJZ57" i="8"/>
  <c r="HJY57" i="8"/>
  <c r="HJX57" i="8"/>
  <c r="HJW57" i="8"/>
  <c r="HJV57" i="8"/>
  <c r="HJU57" i="8"/>
  <c r="HJT57" i="8"/>
  <c r="HJS57" i="8"/>
  <c r="HJR57" i="8"/>
  <c r="HJQ57" i="8"/>
  <c r="HJP57" i="8"/>
  <c r="HJO57" i="8"/>
  <c r="HJN57" i="8"/>
  <c r="HJM57" i="8"/>
  <c r="HJL57" i="8"/>
  <c r="HJK57" i="8"/>
  <c r="HJJ57" i="8"/>
  <c r="HJI57" i="8"/>
  <c r="HJH57" i="8"/>
  <c r="HJG57" i="8"/>
  <c r="HJF57" i="8"/>
  <c r="HJE57" i="8"/>
  <c r="HJD57" i="8"/>
  <c r="HJC57" i="8"/>
  <c r="HJB57" i="8"/>
  <c r="HJA57" i="8"/>
  <c r="HIZ57" i="8"/>
  <c r="HIY57" i="8"/>
  <c r="HIX57" i="8"/>
  <c r="HIW57" i="8"/>
  <c r="HIV57" i="8"/>
  <c r="HIU57" i="8"/>
  <c r="HIT57" i="8"/>
  <c r="HIS57" i="8"/>
  <c r="HIR57" i="8"/>
  <c r="HIQ57" i="8"/>
  <c r="HIP57" i="8"/>
  <c r="HIO57" i="8"/>
  <c r="HIN57" i="8"/>
  <c r="HIM57" i="8"/>
  <c r="HIL57" i="8"/>
  <c r="HIK57" i="8"/>
  <c r="HIJ57" i="8"/>
  <c r="HII57" i="8"/>
  <c r="HIH57" i="8"/>
  <c r="HIG57" i="8"/>
  <c r="HIF57" i="8"/>
  <c r="HIE57" i="8"/>
  <c r="HID57" i="8"/>
  <c r="HIC57" i="8"/>
  <c r="HIB57" i="8"/>
  <c r="HIA57" i="8"/>
  <c r="HHZ57" i="8"/>
  <c r="HHY57" i="8"/>
  <c r="HHX57" i="8"/>
  <c r="HHW57" i="8"/>
  <c r="HHV57" i="8"/>
  <c r="HHU57" i="8"/>
  <c r="HHT57" i="8"/>
  <c r="HHS57" i="8"/>
  <c r="HHR57" i="8"/>
  <c r="HHQ57" i="8"/>
  <c r="HHP57" i="8"/>
  <c r="HHO57" i="8"/>
  <c r="HHN57" i="8"/>
  <c r="HHM57" i="8"/>
  <c r="HHL57" i="8"/>
  <c r="HHK57" i="8"/>
  <c r="HHJ57" i="8"/>
  <c r="HHI57" i="8"/>
  <c r="HHH57" i="8"/>
  <c r="HHG57" i="8"/>
  <c r="HHF57" i="8"/>
  <c r="HHE57" i="8"/>
  <c r="HHD57" i="8"/>
  <c r="HHC57" i="8"/>
  <c r="HHB57" i="8"/>
  <c r="HHA57" i="8"/>
  <c r="HGZ57" i="8"/>
  <c r="HGY57" i="8"/>
  <c r="HGX57" i="8"/>
  <c r="HGW57" i="8"/>
  <c r="HGV57" i="8"/>
  <c r="HGU57" i="8"/>
  <c r="HGT57" i="8"/>
  <c r="HGS57" i="8"/>
  <c r="HGR57" i="8"/>
  <c r="HGQ57" i="8"/>
  <c r="HGP57" i="8"/>
  <c r="HGO57" i="8"/>
  <c r="HGN57" i="8"/>
  <c r="HGM57" i="8"/>
  <c r="HGL57" i="8"/>
  <c r="HGK57" i="8"/>
  <c r="HGJ57" i="8"/>
  <c r="HGI57" i="8"/>
  <c r="HGH57" i="8"/>
  <c r="HGG57" i="8"/>
  <c r="HGF57" i="8"/>
  <c r="HGE57" i="8"/>
  <c r="HGD57" i="8"/>
  <c r="HGC57" i="8"/>
  <c r="HGB57" i="8"/>
  <c r="HGA57" i="8"/>
  <c r="HFZ57" i="8"/>
  <c r="HFY57" i="8"/>
  <c r="HFX57" i="8"/>
  <c r="HFW57" i="8"/>
  <c r="HFV57" i="8"/>
  <c r="HFU57" i="8"/>
  <c r="HFT57" i="8"/>
  <c r="HFS57" i="8"/>
  <c r="HFR57" i="8"/>
  <c r="HFQ57" i="8"/>
  <c r="HFP57" i="8"/>
  <c r="HFO57" i="8"/>
  <c r="HFN57" i="8"/>
  <c r="HFM57" i="8"/>
  <c r="HFL57" i="8"/>
  <c r="HFK57" i="8"/>
  <c r="HFJ57" i="8"/>
  <c r="HFI57" i="8"/>
  <c r="HFH57" i="8"/>
  <c r="HFG57" i="8"/>
  <c r="HFF57" i="8"/>
  <c r="HFE57" i="8"/>
  <c r="HFD57" i="8"/>
  <c r="HFC57" i="8"/>
  <c r="HFB57" i="8"/>
  <c r="HFA57" i="8"/>
  <c r="HEZ57" i="8"/>
  <c r="HEY57" i="8"/>
  <c r="HEX57" i="8"/>
  <c r="HEW57" i="8"/>
  <c r="HEV57" i="8"/>
  <c r="HEU57" i="8"/>
  <c r="HET57" i="8"/>
  <c r="HES57" i="8"/>
  <c r="HER57" i="8"/>
  <c r="HEQ57" i="8"/>
  <c r="HEP57" i="8"/>
  <c r="HEO57" i="8"/>
  <c r="HEN57" i="8"/>
  <c r="HEM57" i="8"/>
  <c r="HEL57" i="8"/>
  <c r="HEK57" i="8"/>
  <c r="HEJ57" i="8"/>
  <c r="HEI57" i="8"/>
  <c r="HEH57" i="8"/>
  <c r="HEG57" i="8"/>
  <c r="HEF57" i="8"/>
  <c r="HEE57" i="8"/>
  <c r="HED57" i="8"/>
  <c r="HEC57" i="8"/>
  <c r="HEB57" i="8"/>
  <c r="HEA57" i="8"/>
  <c r="HDZ57" i="8"/>
  <c r="HDY57" i="8"/>
  <c r="HDX57" i="8"/>
  <c r="HDW57" i="8"/>
  <c r="HDV57" i="8"/>
  <c r="HDU57" i="8"/>
  <c r="HDT57" i="8"/>
  <c r="HDS57" i="8"/>
  <c r="HDR57" i="8"/>
  <c r="HDQ57" i="8"/>
  <c r="HDP57" i="8"/>
  <c r="HDO57" i="8"/>
  <c r="HDN57" i="8"/>
  <c r="HDM57" i="8"/>
  <c r="HDL57" i="8"/>
  <c r="HDK57" i="8"/>
  <c r="HDJ57" i="8"/>
  <c r="HDI57" i="8"/>
  <c r="HDH57" i="8"/>
  <c r="HDG57" i="8"/>
  <c r="HDF57" i="8"/>
  <c r="HDE57" i="8"/>
  <c r="HDD57" i="8"/>
  <c r="HDC57" i="8"/>
  <c r="HDB57" i="8"/>
  <c r="HDA57" i="8"/>
  <c r="HCZ57" i="8"/>
  <c r="HCY57" i="8"/>
  <c r="HCX57" i="8"/>
  <c r="HCW57" i="8"/>
  <c r="HCV57" i="8"/>
  <c r="HCU57" i="8"/>
  <c r="HCT57" i="8"/>
  <c r="HCS57" i="8"/>
  <c r="HCR57" i="8"/>
  <c r="HCQ57" i="8"/>
  <c r="HCP57" i="8"/>
  <c r="HCO57" i="8"/>
  <c r="HCN57" i="8"/>
  <c r="HCM57" i="8"/>
  <c r="HCL57" i="8"/>
  <c r="HCK57" i="8"/>
  <c r="HCJ57" i="8"/>
  <c r="HCI57" i="8"/>
  <c r="HCH57" i="8"/>
  <c r="HCG57" i="8"/>
  <c r="HCF57" i="8"/>
  <c r="HCE57" i="8"/>
  <c r="HCD57" i="8"/>
  <c r="HCC57" i="8"/>
  <c r="HCB57" i="8"/>
  <c r="HCA57" i="8"/>
  <c r="HBZ57" i="8"/>
  <c r="HBY57" i="8"/>
  <c r="HBX57" i="8"/>
  <c r="HBW57" i="8"/>
  <c r="HBV57" i="8"/>
  <c r="HBU57" i="8"/>
  <c r="HBT57" i="8"/>
  <c r="HBS57" i="8"/>
  <c r="HBR57" i="8"/>
  <c r="HBQ57" i="8"/>
  <c r="HBP57" i="8"/>
  <c r="HBO57" i="8"/>
  <c r="HBN57" i="8"/>
  <c r="HBM57" i="8"/>
  <c r="HBL57" i="8"/>
  <c r="HBK57" i="8"/>
  <c r="HBJ57" i="8"/>
  <c r="HBI57" i="8"/>
  <c r="HBH57" i="8"/>
  <c r="HBG57" i="8"/>
  <c r="HBF57" i="8"/>
  <c r="HBE57" i="8"/>
  <c r="HBD57" i="8"/>
  <c r="HBC57" i="8"/>
  <c r="HBB57" i="8"/>
  <c r="HBA57" i="8"/>
  <c r="HAZ57" i="8"/>
  <c r="HAY57" i="8"/>
  <c r="HAX57" i="8"/>
  <c r="HAW57" i="8"/>
  <c r="HAV57" i="8"/>
  <c r="HAU57" i="8"/>
  <c r="HAT57" i="8"/>
  <c r="HAS57" i="8"/>
  <c r="HAR57" i="8"/>
  <c r="HAQ57" i="8"/>
  <c r="HAP57" i="8"/>
  <c r="HAO57" i="8"/>
  <c r="HAN57" i="8"/>
  <c r="HAM57" i="8"/>
  <c r="HAL57" i="8"/>
  <c r="HAK57" i="8"/>
  <c r="HAJ57" i="8"/>
  <c r="HAI57" i="8"/>
  <c r="HAH57" i="8"/>
  <c r="HAG57" i="8"/>
  <c r="HAF57" i="8"/>
  <c r="HAE57" i="8"/>
  <c r="HAD57" i="8"/>
  <c r="HAC57" i="8"/>
  <c r="HAB57" i="8"/>
  <c r="HAA57" i="8"/>
  <c r="GZZ57" i="8"/>
  <c r="GZY57" i="8"/>
  <c r="GZX57" i="8"/>
  <c r="GZW57" i="8"/>
  <c r="GZV57" i="8"/>
  <c r="GZU57" i="8"/>
  <c r="GZT57" i="8"/>
  <c r="GZS57" i="8"/>
  <c r="GZR57" i="8"/>
  <c r="GZQ57" i="8"/>
  <c r="GZP57" i="8"/>
  <c r="GZO57" i="8"/>
  <c r="GZN57" i="8"/>
  <c r="GZM57" i="8"/>
  <c r="GZL57" i="8"/>
  <c r="GZK57" i="8"/>
  <c r="GZJ57" i="8"/>
  <c r="GZI57" i="8"/>
  <c r="GZH57" i="8"/>
  <c r="GZG57" i="8"/>
  <c r="GZF57" i="8"/>
  <c r="GZE57" i="8"/>
  <c r="GZD57" i="8"/>
  <c r="GZC57" i="8"/>
  <c r="GZB57" i="8"/>
  <c r="GZA57" i="8"/>
  <c r="GYZ57" i="8"/>
  <c r="GYY57" i="8"/>
  <c r="GYX57" i="8"/>
  <c r="GYW57" i="8"/>
  <c r="GYV57" i="8"/>
  <c r="GYU57" i="8"/>
  <c r="GYT57" i="8"/>
  <c r="GYS57" i="8"/>
  <c r="GYR57" i="8"/>
  <c r="GYQ57" i="8"/>
  <c r="GYP57" i="8"/>
  <c r="GYO57" i="8"/>
  <c r="GYN57" i="8"/>
  <c r="GYM57" i="8"/>
  <c r="GYL57" i="8"/>
  <c r="GYK57" i="8"/>
  <c r="GYJ57" i="8"/>
  <c r="GYI57" i="8"/>
  <c r="GYH57" i="8"/>
  <c r="GYG57" i="8"/>
  <c r="GYF57" i="8"/>
  <c r="GYE57" i="8"/>
  <c r="GYD57" i="8"/>
  <c r="GYC57" i="8"/>
  <c r="GYB57" i="8"/>
  <c r="GYA57" i="8"/>
  <c r="GXZ57" i="8"/>
  <c r="GXY57" i="8"/>
  <c r="GXX57" i="8"/>
  <c r="GXW57" i="8"/>
  <c r="GXV57" i="8"/>
  <c r="GXU57" i="8"/>
  <c r="GXT57" i="8"/>
  <c r="GXS57" i="8"/>
  <c r="GXR57" i="8"/>
  <c r="GXQ57" i="8"/>
  <c r="GXP57" i="8"/>
  <c r="GXO57" i="8"/>
  <c r="GXN57" i="8"/>
  <c r="GXM57" i="8"/>
  <c r="GXL57" i="8"/>
  <c r="GXK57" i="8"/>
  <c r="GXJ57" i="8"/>
  <c r="GXI57" i="8"/>
  <c r="GXH57" i="8"/>
  <c r="GXG57" i="8"/>
  <c r="GXF57" i="8"/>
  <c r="GXE57" i="8"/>
  <c r="GXD57" i="8"/>
  <c r="GXC57" i="8"/>
  <c r="GXB57" i="8"/>
  <c r="GXA57" i="8"/>
  <c r="GWZ57" i="8"/>
  <c r="GWY57" i="8"/>
  <c r="GWX57" i="8"/>
  <c r="GWW57" i="8"/>
  <c r="GWV57" i="8"/>
  <c r="GWU57" i="8"/>
  <c r="GWT57" i="8"/>
  <c r="GWS57" i="8"/>
  <c r="GWR57" i="8"/>
  <c r="GWQ57" i="8"/>
  <c r="GWP57" i="8"/>
  <c r="GWO57" i="8"/>
  <c r="GWN57" i="8"/>
  <c r="GWM57" i="8"/>
  <c r="GWL57" i="8"/>
  <c r="GWK57" i="8"/>
  <c r="GWJ57" i="8"/>
  <c r="GWI57" i="8"/>
  <c r="GWH57" i="8"/>
  <c r="GWG57" i="8"/>
  <c r="GWF57" i="8"/>
  <c r="GWE57" i="8"/>
  <c r="GWD57" i="8"/>
  <c r="GWC57" i="8"/>
  <c r="GWB57" i="8"/>
  <c r="GWA57" i="8"/>
  <c r="GVZ57" i="8"/>
  <c r="GVY57" i="8"/>
  <c r="GVX57" i="8"/>
  <c r="GVW57" i="8"/>
  <c r="GVV57" i="8"/>
  <c r="GVU57" i="8"/>
  <c r="GVT57" i="8"/>
  <c r="GVS57" i="8"/>
  <c r="GVR57" i="8"/>
  <c r="GVQ57" i="8"/>
  <c r="GVP57" i="8"/>
  <c r="GVO57" i="8"/>
  <c r="GVN57" i="8"/>
  <c r="GVM57" i="8"/>
  <c r="GVL57" i="8"/>
  <c r="GVK57" i="8"/>
  <c r="GVJ57" i="8"/>
  <c r="GVI57" i="8"/>
  <c r="GVH57" i="8"/>
  <c r="GVG57" i="8"/>
  <c r="GVF57" i="8"/>
  <c r="GVE57" i="8"/>
  <c r="GVD57" i="8"/>
  <c r="GVC57" i="8"/>
  <c r="GVB57" i="8"/>
  <c r="GVA57" i="8"/>
  <c r="GUZ57" i="8"/>
  <c r="GUY57" i="8"/>
  <c r="GUX57" i="8"/>
  <c r="GUW57" i="8"/>
  <c r="GUV57" i="8"/>
  <c r="GUU57" i="8"/>
  <c r="GUT57" i="8"/>
  <c r="GUS57" i="8"/>
  <c r="GUR57" i="8"/>
  <c r="GUQ57" i="8"/>
  <c r="GUP57" i="8"/>
  <c r="GUO57" i="8"/>
  <c r="GUN57" i="8"/>
  <c r="GUM57" i="8"/>
  <c r="GUL57" i="8"/>
  <c r="GUK57" i="8"/>
  <c r="GUJ57" i="8"/>
  <c r="GUI57" i="8"/>
  <c r="GUH57" i="8"/>
  <c r="GUG57" i="8"/>
  <c r="GUF57" i="8"/>
  <c r="GUE57" i="8"/>
  <c r="GUD57" i="8"/>
  <c r="GUC57" i="8"/>
  <c r="GUB57" i="8"/>
  <c r="GUA57" i="8"/>
  <c r="GTZ57" i="8"/>
  <c r="GTY57" i="8"/>
  <c r="GTX57" i="8"/>
  <c r="GTW57" i="8"/>
  <c r="GTV57" i="8"/>
  <c r="GTU57" i="8"/>
  <c r="GTT57" i="8"/>
  <c r="GTS57" i="8"/>
  <c r="GTR57" i="8"/>
  <c r="GTQ57" i="8"/>
  <c r="GTP57" i="8"/>
  <c r="GTO57" i="8"/>
  <c r="GTN57" i="8"/>
  <c r="GTM57" i="8"/>
  <c r="GTL57" i="8"/>
  <c r="GTK57" i="8"/>
  <c r="GTJ57" i="8"/>
  <c r="GTI57" i="8"/>
  <c r="GTH57" i="8"/>
  <c r="GTG57" i="8"/>
  <c r="GTF57" i="8"/>
  <c r="GTE57" i="8"/>
  <c r="GTD57" i="8"/>
  <c r="GTC57" i="8"/>
  <c r="GTB57" i="8"/>
  <c r="GTA57" i="8"/>
  <c r="GSZ57" i="8"/>
  <c r="GSY57" i="8"/>
  <c r="GSX57" i="8"/>
  <c r="GSW57" i="8"/>
  <c r="GSV57" i="8"/>
  <c r="GSU57" i="8"/>
  <c r="GST57" i="8"/>
  <c r="GSS57" i="8"/>
  <c r="GSR57" i="8"/>
  <c r="GSQ57" i="8"/>
  <c r="GSP57" i="8"/>
  <c r="GSO57" i="8"/>
  <c r="GSN57" i="8"/>
  <c r="GSM57" i="8"/>
  <c r="GSL57" i="8"/>
  <c r="GSK57" i="8"/>
  <c r="GSJ57" i="8"/>
  <c r="GSI57" i="8"/>
  <c r="GSH57" i="8"/>
  <c r="GSG57" i="8"/>
  <c r="GSF57" i="8"/>
  <c r="GSE57" i="8"/>
  <c r="GSD57" i="8"/>
  <c r="GSC57" i="8"/>
  <c r="GSB57" i="8"/>
  <c r="GSA57" i="8"/>
  <c r="GRZ57" i="8"/>
  <c r="GRY57" i="8"/>
  <c r="GRX57" i="8"/>
  <c r="GRW57" i="8"/>
  <c r="GRV57" i="8"/>
  <c r="GRU57" i="8"/>
  <c r="GRT57" i="8"/>
  <c r="GRS57" i="8"/>
  <c r="GRR57" i="8"/>
  <c r="GRQ57" i="8"/>
  <c r="GRP57" i="8"/>
  <c r="GRO57" i="8"/>
  <c r="GRN57" i="8"/>
  <c r="GRM57" i="8"/>
  <c r="GRL57" i="8"/>
  <c r="GRK57" i="8"/>
  <c r="GRJ57" i="8"/>
  <c r="GRI57" i="8"/>
  <c r="GRH57" i="8"/>
  <c r="GRG57" i="8"/>
  <c r="GRF57" i="8"/>
  <c r="GRE57" i="8"/>
  <c r="GRD57" i="8"/>
  <c r="GRC57" i="8"/>
  <c r="GRB57" i="8"/>
  <c r="GRA57" i="8"/>
  <c r="GQZ57" i="8"/>
  <c r="GQY57" i="8"/>
  <c r="GQX57" i="8"/>
  <c r="GQW57" i="8"/>
  <c r="GQV57" i="8"/>
  <c r="GQU57" i="8"/>
  <c r="GQT57" i="8"/>
  <c r="GQS57" i="8"/>
  <c r="GQR57" i="8"/>
  <c r="GQQ57" i="8"/>
  <c r="GQP57" i="8"/>
  <c r="GQO57" i="8"/>
  <c r="GQN57" i="8"/>
  <c r="GQM57" i="8"/>
  <c r="GQL57" i="8"/>
  <c r="GQK57" i="8"/>
  <c r="GQJ57" i="8"/>
  <c r="GQI57" i="8"/>
  <c r="GQH57" i="8"/>
  <c r="GQG57" i="8"/>
  <c r="GQF57" i="8"/>
  <c r="GQE57" i="8"/>
  <c r="GQD57" i="8"/>
  <c r="GQC57" i="8"/>
  <c r="GQB57" i="8"/>
  <c r="GQA57" i="8"/>
  <c r="GPZ57" i="8"/>
  <c r="GPY57" i="8"/>
  <c r="GPX57" i="8"/>
  <c r="GPW57" i="8"/>
  <c r="GPV57" i="8"/>
  <c r="GPU57" i="8"/>
  <c r="GPT57" i="8"/>
  <c r="GPS57" i="8"/>
  <c r="GPR57" i="8"/>
  <c r="GPQ57" i="8"/>
  <c r="GPP57" i="8"/>
  <c r="GPO57" i="8"/>
  <c r="GPN57" i="8"/>
  <c r="GPM57" i="8"/>
  <c r="GPL57" i="8"/>
  <c r="GPK57" i="8"/>
  <c r="GPJ57" i="8"/>
  <c r="GPI57" i="8"/>
  <c r="GPH57" i="8"/>
  <c r="GPG57" i="8"/>
  <c r="GPF57" i="8"/>
  <c r="GPE57" i="8"/>
  <c r="GPD57" i="8"/>
  <c r="GPC57" i="8"/>
  <c r="GPB57" i="8"/>
  <c r="GPA57" i="8"/>
  <c r="GOZ57" i="8"/>
  <c r="GOY57" i="8"/>
  <c r="GOX57" i="8"/>
  <c r="GOW57" i="8"/>
  <c r="GOV57" i="8"/>
  <c r="GOU57" i="8"/>
  <c r="GOT57" i="8"/>
  <c r="GOS57" i="8"/>
  <c r="GOR57" i="8"/>
  <c r="GOQ57" i="8"/>
  <c r="GOP57" i="8"/>
  <c r="GOO57" i="8"/>
  <c r="GON57" i="8"/>
  <c r="GOM57" i="8"/>
  <c r="GOL57" i="8"/>
  <c r="GOK57" i="8"/>
  <c r="GOJ57" i="8"/>
  <c r="GOI57" i="8"/>
  <c r="GOH57" i="8"/>
  <c r="GOG57" i="8"/>
  <c r="GOF57" i="8"/>
  <c r="GOE57" i="8"/>
  <c r="GOD57" i="8"/>
  <c r="GOC57" i="8"/>
  <c r="GOB57" i="8"/>
  <c r="GOA57" i="8"/>
  <c r="GNZ57" i="8"/>
  <c r="GNY57" i="8"/>
  <c r="GNX57" i="8"/>
  <c r="GNW57" i="8"/>
  <c r="GNV57" i="8"/>
  <c r="GNU57" i="8"/>
  <c r="GNT57" i="8"/>
  <c r="GNS57" i="8"/>
  <c r="GNR57" i="8"/>
  <c r="GNQ57" i="8"/>
  <c r="GNP57" i="8"/>
  <c r="GNO57" i="8"/>
  <c r="GNN57" i="8"/>
  <c r="GNM57" i="8"/>
  <c r="GNL57" i="8"/>
  <c r="GNK57" i="8"/>
  <c r="GNJ57" i="8"/>
  <c r="GNI57" i="8"/>
  <c r="GNH57" i="8"/>
  <c r="GNG57" i="8"/>
  <c r="GNF57" i="8"/>
  <c r="GNE57" i="8"/>
  <c r="GND57" i="8"/>
  <c r="GNC57" i="8"/>
  <c r="GNB57" i="8"/>
  <c r="GNA57" i="8"/>
  <c r="GMZ57" i="8"/>
  <c r="GMY57" i="8"/>
  <c r="GMX57" i="8"/>
  <c r="GMW57" i="8"/>
  <c r="GMV57" i="8"/>
  <c r="GMU57" i="8"/>
  <c r="GMT57" i="8"/>
  <c r="GMS57" i="8"/>
  <c r="GMR57" i="8"/>
  <c r="GMQ57" i="8"/>
  <c r="GMP57" i="8"/>
  <c r="GMO57" i="8"/>
  <c r="GMN57" i="8"/>
  <c r="GMM57" i="8"/>
  <c r="GML57" i="8"/>
  <c r="GMK57" i="8"/>
  <c r="GMJ57" i="8"/>
  <c r="GMI57" i="8"/>
  <c r="GMH57" i="8"/>
  <c r="GMG57" i="8"/>
  <c r="GMF57" i="8"/>
  <c r="GME57" i="8"/>
  <c r="GMD57" i="8"/>
  <c r="GMC57" i="8"/>
  <c r="GMB57" i="8"/>
  <c r="GMA57" i="8"/>
  <c r="GLZ57" i="8"/>
  <c r="GLY57" i="8"/>
  <c r="GLX57" i="8"/>
  <c r="GLW57" i="8"/>
  <c r="GLV57" i="8"/>
  <c r="GLU57" i="8"/>
  <c r="GLT57" i="8"/>
  <c r="GLS57" i="8"/>
  <c r="GLR57" i="8"/>
  <c r="GLQ57" i="8"/>
  <c r="GLP57" i="8"/>
  <c r="GLO57" i="8"/>
  <c r="GLN57" i="8"/>
  <c r="GLM57" i="8"/>
  <c r="GLL57" i="8"/>
  <c r="GLK57" i="8"/>
  <c r="GLJ57" i="8"/>
  <c r="GLI57" i="8"/>
  <c r="GLH57" i="8"/>
  <c r="GLG57" i="8"/>
  <c r="GLF57" i="8"/>
  <c r="GLE57" i="8"/>
  <c r="GLD57" i="8"/>
  <c r="GLC57" i="8"/>
  <c r="GLB57" i="8"/>
  <c r="GLA57" i="8"/>
  <c r="GKZ57" i="8"/>
  <c r="GKY57" i="8"/>
  <c r="GKX57" i="8"/>
  <c r="GKW57" i="8"/>
  <c r="GKV57" i="8"/>
  <c r="GKU57" i="8"/>
  <c r="GKT57" i="8"/>
  <c r="GKS57" i="8"/>
  <c r="GKR57" i="8"/>
  <c r="GKQ57" i="8"/>
  <c r="GKP57" i="8"/>
  <c r="GKO57" i="8"/>
  <c r="GKN57" i="8"/>
  <c r="GKM57" i="8"/>
  <c r="GKL57" i="8"/>
  <c r="GKK57" i="8"/>
  <c r="GKJ57" i="8"/>
  <c r="GKI57" i="8"/>
  <c r="GKH57" i="8"/>
  <c r="GKG57" i="8"/>
  <c r="GKF57" i="8"/>
  <c r="GKE57" i="8"/>
  <c r="GKD57" i="8"/>
  <c r="GKC57" i="8"/>
  <c r="GKB57" i="8"/>
  <c r="GKA57" i="8"/>
  <c r="GJZ57" i="8"/>
  <c r="GJY57" i="8"/>
  <c r="GJX57" i="8"/>
  <c r="GJW57" i="8"/>
  <c r="GJV57" i="8"/>
  <c r="GJU57" i="8"/>
  <c r="GJT57" i="8"/>
  <c r="GJS57" i="8"/>
  <c r="GJR57" i="8"/>
  <c r="GJQ57" i="8"/>
  <c r="GJP57" i="8"/>
  <c r="GJO57" i="8"/>
  <c r="GJN57" i="8"/>
  <c r="GJM57" i="8"/>
  <c r="GJL57" i="8"/>
  <c r="GJK57" i="8"/>
  <c r="GJJ57" i="8"/>
  <c r="GJI57" i="8"/>
  <c r="GJH57" i="8"/>
  <c r="GJG57" i="8"/>
  <c r="GJF57" i="8"/>
  <c r="GJE57" i="8"/>
  <c r="GJD57" i="8"/>
  <c r="GJC57" i="8"/>
  <c r="GJB57" i="8"/>
  <c r="GJA57" i="8"/>
  <c r="GIZ57" i="8"/>
  <c r="GIY57" i="8"/>
  <c r="GIX57" i="8"/>
  <c r="GIW57" i="8"/>
  <c r="GIV57" i="8"/>
  <c r="GIU57" i="8"/>
  <c r="GIT57" i="8"/>
  <c r="GIS57" i="8"/>
  <c r="GIR57" i="8"/>
  <c r="GIQ57" i="8"/>
  <c r="GIP57" i="8"/>
  <c r="GIO57" i="8"/>
  <c r="GIN57" i="8"/>
  <c r="GIM57" i="8"/>
  <c r="GIL57" i="8"/>
  <c r="GIK57" i="8"/>
  <c r="GIJ57" i="8"/>
  <c r="GII57" i="8"/>
  <c r="GIH57" i="8"/>
  <c r="GIG57" i="8"/>
  <c r="GIF57" i="8"/>
  <c r="GIE57" i="8"/>
  <c r="GID57" i="8"/>
  <c r="GIC57" i="8"/>
  <c r="GIB57" i="8"/>
  <c r="GIA57" i="8"/>
  <c r="GHZ57" i="8"/>
  <c r="GHY57" i="8"/>
  <c r="GHX57" i="8"/>
  <c r="GHW57" i="8"/>
  <c r="GHV57" i="8"/>
  <c r="GHU57" i="8"/>
  <c r="GHT57" i="8"/>
  <c r="GHS57" i="8"/>
  <c r="GHR57" i="8"/>
  <c r="GHQ57" i="8"/>
  <c r="GHP57" i="8"/>
  <c r="GHO57" i="8"/>
  <c r="GHN57" i="8"/>
  <c r="GHM57" i="8"/>
  <c r="GHL57" i="8"/>
  <c r="GHK57" i="8"/>
  <c r="GHJ57" i="8"/>
  <c r="GHI57" i="8"/>
  <c r="GHH57" i="8"/>
  <c r="GHG57" i="8"/>
  <c r="GHF57" i="8"/>
  <c r="GHE57" i="8"/>
  <c r="GHD57" i="8"/>
  <c r="GHC57" i="8"/>
  <c r="GHB57" i="8"/>
  <c r="GHA57" i="8"/>
  <c r="GGZ57" i="8"/>
  <c r="GGY57" i="8"/>
  <c r="GGX57" i="8"/>
  <c r="GGW57" i="8"/>
  <c r="GGV57" i="8"/>
  <c r="GGU57" i="8"/>
  <c r="GGT57" i="8"/>
  <c r="GGS57" i="8"/>
  <c r="GGR57" i="8"/>
  <c r="GGQ57" i="8"/>
  <c r="GGP57" i="8"/>
  <c r="GGO57" i="8"/>
  <c r="GGN57" i="8"/>
  <c r="GGM57" i="8"/>
  <c r="GGL57" i="8"/>
  <c r="GGK57" i="8"/>
  <c r="GGJ57" i="8"/>
  <c r="GGI57" i="8"/>
  <c r="GGH57" i="8"/>
  <c r="GGG57" i="8"/>
  <c r="GGF57" i="8"/>
  <c r="GGE57" i="8"/>
  <c r="GGD57" i="8"/>
  <c r="GGC57" i="8"/>
  <c r="GGB57" i="8"/>
  <c r="GGA57" i="8"/>
  <c r="GFZ57" i="8"/>
  <c r="GFY57" i="8"/>
  <c r="GFX57" i="8"/>
  <c r="GFW57" i="8"/>
  <c r="GFV57" i="8"/>
  <c r="GFU57" i="8"/>
  <c r="GFT57" i="8"/>
  <c r="GFS57" i="8"/>
  <c r="GFR57" i="8"/>
  <c r="GFQ57" i="8"/>
  <c r="GFP57" i="8"/>
  <c r="GFO57" i="8"/>
  <c r="GFN57" i="8"/>
  <c r="GFM57" i="8"/>
  <c r="GFL57" i="8"/>
  <c r="GFK57" i="8"/>
  <c r="GFJ57" i="8"/>
  <c r="GFI57" i="8"/>
  <c r="GFH57" i="8"/>
  <c r="GFG57" i="8"/>
  <c r="GFF57" i="8"/>
  <c r="GFE57" i="8"/>
  <c r="GFD57" i="8"/>
  <c r="GFC57" i="8"/>
  <c r="GFB57" i="8"/>
  <c r="GFA57" i="8"/>
  <c r="GEZ57" i="8"/>
  <c r="GEY57" i="8"/>
  <c r="GEX57" i="8"/>
  <c r="GEW57" i="8"/>
  <c r="GEV57" i="8"/>
  <c r="GEU57" i="8"/>
  <c r="GET57" i="8"/>
  <c r="GES57" i="8"/>
  <c r="GER57" i="8"/>
  <c r="GEQ57" i="8"/>
  <c r="GEP57" i="8"/>
  <c r="GEO57" i="8"/>
  <c r="GEN57" i="8"/>
  <c r="GEM57" i="8"/>
  <c r="GEL57" i="8"/>
  <c r="GEK57" i="8"/>
  <c r="GEJ57" i="8"/>
  <c r="GEI57" i="8"/>
  <c r="GEH57" i="8"/>
  <c r="GEG57" i="8"/>
  <c r="GEF57" i="8"/>
  <c r="GEE57" i="8"/>
  <c r="GED57" i="8"/>
  <c r="GEC57" i="8"/>
  <c r="GEB57" i="8"/>
  <c r="GEA57" i="8"/>
  <c r="GDZ57" i="8"/>
  <c r="GDY57" i="8"/>
  <c r="GDX57" i="8"/>
  <c r="GDW57" i="8"/>
  <c r="GDV57" i="8"/>
  <c r="GDU57" i="8"/>
  <c r="GDT57" i="8"/>
  <c r="GDS57" i="8"/>
  <c r="GDR57" i="8"/>
  <c r="GDQ57" i="8"/>
  <c r="GDP57" i="8"/>
  <c r="GDO57" i="8"/>
  <c r="GDN57" i="8"/>
  <c r="GDM57" i="8"/>
  <c r="GDL57" i="8"/>
  <c r="GDK57" i="8"/>
  <c r="GDJ57" i="8"/>
  <c r="GDI57" i="8"/>
  <c r="GDH57" i="8"/>
  <c r="GDG57" i="8"/>
  <c r="GDF57" i="8"/>
  <c r="GDE57" i="8"/>
  <c r="GDD57" i="8"/>
  <c r="GDC57" i="8"/>
  <c r="GDB57" i="8"/>
  <c r="GDA57" i="8"/>
  <c r="GCZ57" i="8"/>
  <c r="GCY57" i="8"/>
  <c r="GCX57" i="8"/>
  <c r="GCW57" i="8"/>
  <c r="GCV57" i="8"/>
  <c r="GCU57" i="8"/>
  <c r="GCT57" i="8"/>
  <c r="GCS57" i="8"/>
  <c r="GCR57" i="8"/>
  <c r="GCQ57" i="8"/>
  <c r="GCP57" i="8"/>
  <c r="GCO57" i="8"/>
  <c r="GCN57" i="8"/>
  <c r="GCM57" i="8"/>
  <c r="GCL57" i="8"/>
  <c r="GCK57" i="8"/>
  <c r="GCJ57" i="8"/>
  <c r="GCI57" i="8"/>
  <c r="GCH57" i="8"/>
  <c r="GCG57" i="8"/>
  <c r="GCF57" i="8"/>
  <c r="GCE57" i="8"/>
  <c r="GCD57" i="8"/>
  <c r="GCC57" i="8"/>
  <c r="GCB57" i="8"/>
  <c r="GCA57" i="8"/>
  <c r="GBZ57" i="8"/>
  <c r="GBY57" i="8"/>
  <c r="GBX57" i="8"/>
  <c r="GBW57" i="8"/>
  <c r="GBV57" i="8"/>
  <c r="GBU57" i="8"/>
  <c r="GBT57" i="8"/>
  <c r="GBS57" i="8"/>
  <c r="GBR57" i="8"/>
  <c r="GBQ57" i="8"/>
  <c r="GBP57" i="8"/>
  <c r="GBO57" i="8"/>
  <c r="GBN57" i="8"/>
  <c r="GBM57" i="8"/>
  <c r="GBL57" i="8"/>
  <c r="GBK57" i="8"/>
  <c r="GBJ57" i="8"/>
  <c r="GBI57" i="8"/>
  <c r="GBH57" i="8"/>
  <c r="GBG57" i="8"/>
  <c r="GBF57" i="8"/>
  <c r="GBE57" i="8"/>
  <c r="GBD57" i="8"/>
  <c r="GBC57" i="8"/>
  <c r="GBB57" i="8"/>
  <c r="GBA57" i="8"/>
  <c r="GAZ57" i="8"/>
  <c r="GAY57" i="8"/>
  <c r="GAX57" i="8"/>
  <c r="GAW57" i="8"/>
  <c r="GAV57" i="8"/>
  <c r="GAU57" i="8"/>
  <c r="GAT57" i="8"/>
  <c r="GAS57" i="8"/>
  <c r="GAR57" i="8"/>
  <c r="GAQ57" i="8"/>
  <c r="GAP57" i="8"/>
  <c r="GAO57" i="8"/>
  <c r="GAN57" i="8"/>
  <c r="GAM57" i="8"/>
  <c r="GAL57" i="8"/>
  <c r="GAK57" i="8"/>
  <c r="GAJ57" i="8"/>
  <c r="GAI57" i="8"/>
  <c r="GAH57" i="8"/>
  <c r="GAG57" i="8"/>
  <c r="GAF57" i="8"/>
  <c r="GAE57" i="8"/>
  <c r="GAD57" i="8"/>
  <c r="GAC57" i="8"/>
  <c r="GAB57" i="8"/>
  <c r="GAA57" i="8"/>
  <c r="FZZ57" i="8"/>
  <c r="FZY57" i="8"/>
  <c r="FZX57" i="8"/>
  <c r="FZW57" i="8"/>
  <c r="FZV57" i="8"/>
  <c r="FZU57" i="8"/>
  <c r="FZT57" i="8"/>
  <c r="FZS57" i="8"/>
  <c r="FZR57" i="8"/>
  <c r="FZQ57" i="8"/>
  <c r="FZP57" i="8"/>
  <c r="FZO57" i="8"/>
  <c r="FZN57" i="8"/>
  <c r="FZM57" i="8"/>
  <c r="FZL57" i="8"/>
  <c r="FZK57" i="8"/>
  <c r="FZJ57" i="8"/>
  <c r="FZI57" i="8"/>
  <c r="FZH57" i="8"/>
  <c r="FZG57" i="8"/>
  <c r="FZF57" i="8"/>
  <c r="FZE57" i="8"/>
  <c r="FZD57" i="8"/>
  <c r="FZC57" i="8"/>
  <c r="FZB57" i="8"/>
  <c r="FZA57" i="8"/>
  <c r="FYZ57" i="8"/>
  <c r="FYY57" i="8"/>
  <c r="FYX57" i="8"/>
  <c r="FYW57" i="8"/>
  <c r="FYV57" i="8"/>
  <c r="FYU57" i="8"/>
  <c r="FYT57" i="8"/>
  <c r="FYS57" i="8"/>
  <c r="FYR57" i="8"/>
  <c r="FYQ57" i="8"/>
  <c r="FYP57" i="8"/>
  <c r="FYO57" i="8"/>
  <c r="FYN57" i="8"/>
  <c r="FYM57" i="8"/>
  <c r="FYL57" i="8"/>
  <c r="FYK57" i="8"/>
  <c r="FYJ57" i="8"/>
  <c r="FYI57" i="8"/>
  <c r="FYH57" i="8"/>
  <c r="FYG57" i="8"/>
  <c r="FYF57" i="8"/>
  <c r="FYE57" i="8"/>
  <c r="FYD57" i="8"/>
  <c r="FYC57" i="8"/>
  <c r="FYB57" i="8"/>
  <c r="FYA57" i="8"/>
  <c r="FXZ57" i="8"/>
  <c r="FXY57" i="8"/>
  <c r="FXX57" i="8"/>
  <c r="FXW57" i="8"/>
  <c r="FXV57" i="8"/>
  <c r="FXU57" i="8"/>
  <c r="FXT57" i="8"/>
  <c r="FXS57" i="8"/>
  <c r="FXR57" i="8"/>
  <c r="FXQ57" i="8"/>
  <c r="FXP57" i="8"/>
  <c r="FXO57" i="8"/>
  <c r="FXN57" i="8"/>
  <c r="FXM57" i="8"/>
  <c r="FXL57" i="8"/>
  <c r="FXK57" i="8"/>
  <c r="FXJ57" i="8"/>
  <c r="FXI57" i="8"/>
  <c r="FXH57" i="8"/>
  <c r="FXG57" i="8"/>
  <c r="FXF57" i="8"/>
  <c r="FXE57" i="8"/>
  <c r="FXD57" i="8"/>
  <c r="FXC57" i="8"/>
  <c r="FXB57" i="8"/>
  <c r="FXA57" i="8"/>
  <c r="FWZ57" i="8"/>
  <c r="FWY57" i="8"/>
  <c r="FWX57" i="8"/>
  <c r="FWW57" i="8"/>
  <c r="FWV57" i="8"/>
  <c r="FWU57" i="8"/>
  <c r="FWT57" i="8"/>
  <c r="FWS57" i="8"/>
  <c r="FWR57" i="8"/>
  <c r="FWQ57" i="8"/>
  <c r="FWP57" i="8"/>
  <c r="FWO57" i="8"/>
  <c r="FWN57" i="8"/>
  <c r="FWM57" i="8"/>
  <c r="FWL57" i="8"/>
  <c r="FWK57" i="8"/>
  <c r="FWJ57" i="8"/>
  <c r="FWI57" i="8"/>
  <c r="FWH57" i="8"/>
  <c r="FWG57" i="8"/>
  <c r="FWF57" i="8"/>
  <c r="FWE57" i="8"/>
  <c r="FWD57" i="8"/>
  <c r="FWC57" i="8"/>
  <c r="FWB57" i="8"/>
  <c r="FWA57" i="8"/>
  <c r="FVZ57" i="8"/>
  <c r="FVY57" i="8"/>
  <c r="FVX57" i="8"/>
  <c r="FVW57" i="8"/>
  <c r="FVV57" i="8"/>
  <c r="FVU57" i="8"/>
  <c r="FVT57" i="8"/>
  <c r="FVS57" i="8"/>
  <c r="FVR57" i="8"/>
  <c r="FVQ57" i="8"/>
  <c r="FVP57" i="8"/>
  <c r="FVO57" i="8"/>
  <c r="FVN57" i="8"/>
  <c r="FVM57" i="8"/>
  <c r="FVL57" i="8"/>
  <c r="FVK57" i="8"/>
  <c r="FVJ57" i="8"/>
  <c r="FVI57" i="8"/>
  <c r="FVH57" i="8"/>
  <c r="FVG57" i="8"/>
  <c r="FVF57" i="8"/>
  <c r="FVE57" i="8"/>
  <c r="FVD57" i="8"/>
  <c r="FVC57" i="8"/>
  <c r="FVB57" i="8"/>
  <c r="FVA57" i="8"/>
  <c r="FUZ57" i="8"/>
  <c r="FUY57" i="8"/>
  <c r="FUX57" i="8"/>
  <c r="FUW57" i="8"/>
  <c r="FUV57" i="8"/>
  <c r="FUU57" i="8"/>
  <c r="FUT57" i="8"/>
  <c r="FUS57" i="8"/>
  <c r="FUR57" i="8"/>
  <c r="FUQ57" i="8"/>
  <c r="FUP57" i="8"/>
  <c r="FUO57" i="8"/>
  <c r="FUN57" i="8"/>
  <c r="FUM57" i="8"/>
  <c r="FUL57" i="8"/>
  <c r="FUK57" i="8"/>
  <c r="FUJ57" i="8"/>
  <c r="FUI57" i="8"/>
  <c r="FUH57" i="8"/>
  <c r="FUG57" i="8"/>
  <c r="FUF57" i="8"/>
  <c r="FUE57" i="8"/>
  <c r="FUD57" i="8"/>
  <c r="FUC57" i="8"/>
  <c r="FUB57" i="8"/>
  <c r="FUA57" i="8"/>
  <c r="FTZ57" i="8"/>
  <c r="FTY57" i="8"/>
  <c r="FTX57" i="8"/>
  <c r="FTW57" i="8"/>
  <c r="FTV57" i="8"/>
  <c r="FTU57" i="8"/>
  <c r="FTT57" i="8"/>
  <c r="FTS57" i="8"/>
  <c r="FTR57" i="8"/>
  <c r="FTQ57" i="8"/>
  <c r="FTP57" i="8"/>
  <c r="FTO57" i="8"/>
  <c r="FTN57" i="8"/>
  <c r="FTM57" i="8"/>
  <c r="FTL57" i="8"/>
  <c r="FTK57" i="8"/>
  <c r="FTJ57" i="8"/>
  <c r="FTI57" i="8"/>
  <c r="FTH57" i="8"/>
  <c r="FTG57" i="8"/>
  <c r="FTF57" i="8"/>
  <c r="FTE57" i="8"/>
  <c r="FTD57" i="8"/>
  <c r="FTC57" i="8"/>
  <c r="FTB57" i="8"/>
  <c r="FTA57" i="8"/>
  <c r="FSZ57" i="8"/>
  <c r="FSY57" i="8"/>
  <c r="FSX57" i="8"/>
  <c r="FSW57" i="8"/>
  <c r="FSV57" i="8"/>
  <c r="FSU57" i="8"/>
  <c r="FST57" i="8"/>
  <c r="FSS57" i="8"/>
  <c r="FSR57" i="8"/>
  <c r="FSQ57" i="8"/>
  <c r="FSP57" i="8"/>
  <c r="FSO57" i="8"/>
  <c r="FSN57" i="8"/>
  <c r="FSM57" i="8"/>
  <c r="FSL57" i="8"/>
  <c r="FSK57" i="8"/>
  <c r="FSJ57" i="8"/>
  <c r="FSI57" i="8"/>
  <c r="FSH57" i="8"/>
  <c r="FSG57" i="8"/>
  <c r="FSF57" i="8"/>
  <c r="FSE57" i="8"/>
  <c r="FSD57" i="8"/>
  <c r="FSC57" i="8"/>
  <c r="FSB57" i="8"/>
  <c r="FSA57" i="8"/>
  <c r="FRZ57" i="8"/>
  <c r="FRY57" i="8"/>
  <c r="FRX57" i="8"/>
  <c r="FRW57" i="8"/>
  <c r="FRV57" i="8"/>
  <c r="FRU57" i="8"/>
  <c r="FRT57" i="8"/>
  <c r="FRS57" i="8"/>
  <c r="FRR57" i="8"/>
  <c r="FRQ57" i="8"/>
  <c r="FRP57" i="8"/>
  <c r="FRO57" i="8"/>
  <c r="FRN57" i="8"/>
  <c r="FRM57" i="8"/>
  <c r="FRL57" i="8"/>
  <c r="FRK57" i="8"/>
  <c r="FRJ57" i="8"/>
  <c r="FRI57" i="8"/>
  <c r="FRH57" i="8"/>
  <c r="FRG57" i="8"/>
  <c r="FRF57" i="8"/>
  <c r="FRE57" i="8"/>
  <c r="FRD57" i="8"/>
  <c r="FRC57" i="8"/>
  <c r="FRB57" i="8"/>
  <c r="FRA57" i="8"/>
  <c r="FQZ57" i="8"/>
  <c r="FQY57" i="8"/>
  <c r="FQX57" i="8"/>
  <c r="FQW57" i="8"/>
  <c r="FQV57" i="8"/>
  <c r="FQU57" i="8"/>
  <c r="FQT57" i="8"/>
  <c r="FQS57" i="8"/>
  <c r="FQR57" i="8"/>
  <c r="FQQ57" i="8"/>
  <c r="FQP57" i="8"/>
  <c r="FQO57" i="8"/>
  <c r="FQN57" i="8"/>
  <c r="FQM57" i="8"/>
  <c r="FQL57" i="8"/>
  <c r="FQK57" i="8"/>
  <c r="FQJ57" i="8"/>
  <c r="FQI57" i="8"/>
  <c r="FQH57" i="8"/>
  <c r="FQG57" i="8"/>
  <c r="FQF57" i="8"/>
  <c r="FQE57" i="8"/>
  <c r="FQD57" i="8"/>
  <c r="FQC57" i="8"/>
  <c r="FQB57" i="8"/>
  <c r="FQA57" i="8"/>
  <c r="FPZ57" i="8"/>
  <c r="FPY57" i="8"/>
  <c r="FPX57" i="8"/>
  <c r="FPW57" i="8"/>
  <c r="FPV57" i="8"/>
  <c r="FPU57" i="8"/>
  <c r="FPT57" i="8"/>
  <c r="FPS57" i="8"/>
  <c r="FPR57" i="8"/>
  <c r="FPQ57" i="8"/>
  <c r="FPP57" i="8"/>
  <c r="FPO57" i="8"/>
  <c r="FPN57" i="8"/>
  <c r="FPM57" i="8"/>
  <c r="FPL57" i="8"/>
  <c r="FPK57" i="8"/>
  <c r="FPJ57" i="8"/>
  <c r="FPI57" i="8"/>
  <c r="FPH57" i="8"/>
  <c r="FPG57" i="8"/>
  <c r="FPF57" i="8"/>
  <c r="FPE57" i="8"/>
  <c r="FPD57" i="8"/>
  <c r="FPC57" i="8"/>
  <c r="FPB57" i="8"/>
  <c r="FPA57" i="8"/>
  <c r="FOZ57" i="8"/>
  <c r="FOY57" i="8"/>
  <c r="FOX57" i="8"/>
  <c r="FOW57" i="8"/>
  <c r="FOV57" i="8"/>
  <c r="FOU57" i="8"/>
  <c r="FOT57" i="8"/>
  <c r="FOS57" i="8"/>
  <c r="FOR57" i="8"/>
  <c r="FOQ57" i="8"/>
  <c r="FOP57" i="8"/>
  <c r="FOO57" i="8"/>
  <c r="FON57" i="8"/>
  <c r="FOM57" i="8"/>
  <c r="FOL57" i="8"/>
  <c r="FOK57" i="8"/>
  <c r="FOJ57" i="8"/>
  <c r="FOI57" i="8"/>
  <c r="FOH57" i="8"/>
  <c r="FOG57" i="8"/>
  <c r="FOF57" i="8"/>
  <c r="FOE57" i="8"/>
  <c r="FOD57" i="8"/>
  <c r="FOC57" i="8"/>
  <c r="FOB57" i="8"/>
  <c r="FOA57" i="8"/>
  <c r="FNZ57" i="8"/>
  <c r="FNY57" i="8"/>
  <c r="FNX57" i="8"/>
  <c r="FNW57" i="8"/>
  <c r="FNV57" i="8"/>
  <c r="FNU57" i="8"/>
  <c r="FNT57" i="8"/>
  <c r="FNS57" i="8"/>
  <c r="FNR57" i="8"/>
  <c r="FNQ57" i="8"/>
  <c r="FNP57" i="8"/>
  <c r="FNO57" i="8"/>
  <c r="FNN57" i="8"/>
  <c r="FNM57" i="8"/>
  <c r="FNL57" i="8"/>
  <c r="FNK57" i="8"/>
  <c r="FNJ57" i="8"/>
  <c r="FNI57" i="8"/>
  <c r="FNH57" i="8"/>
  <c r="FNG57" i="8"/>
  <c r="FNF57" i="8"/>
  <c r="FNE57" i="8"/>
  <c r="FND57" i="8"/>
  <c r="FNC57" i="8"/>
  <c r="FNB57" i="8"/>
  <c r="FNA57" i="8"/>
  <c r="FMZ57" i="8"/>
  <c r="FMY57" i="8"/>
  <c r="FMX57" i="8"/>
  <c r="FMW57" i="8"/>
  <c r="FMV57" i="8"/>
  <c r="FMU57" i="8"/>
  <c r="FMT57" i="8"/>
  <c r="FMS57" i="8"/>
  <c r="FMR57" i="8"/>
  <c r="FMQ57" i="8"/>
  <c r="FMP57" i="8"/>
  <c r="FMO57" i="8"/>
  <c r="FMN57" i="8"/>
  <c r="FMM57" i="8"/>
  <c r="FML57" i="8"/>
  <c r="FMK57" i="8"/>
  <c r="FMJ57" i="8"/>
  <c r="FMI57" i="8"/>
  <c r="FMH57" i="8"/>
  <c r="FMG57" i="8"/>
  <c r="FMF57" i="8"/>
  <c r="FME57" i="8"/>
  <c r="FMD57" i="8"/>
  <c r="FMC57" i="8"/>
  <c r="FMB57" i="8"/>
  <c r="FMA57" i="8"/>
  <c r="FLZ57" i="8"/>
  <c r="FLY57" i="8"/>
  <c r="FLX57" i="8"/>
  <c r="FLW57" i="8"/>
  <c r="FLV57" i="8"/>
  <c r="FLU57" i="8"/>
  <c r="FLT57" i="8"/>
  <c r="FLS57" i="8"/>
  <c r="FLR57" i="8"/>
  <c r="FLQ57" i="8"/>
  <c r="FLP57" i="8"/>
  <c r="FLO57" i="8"/>
  <c r="FLN57" i="8"/>
  <c r="FLM57" i="8"/>
  <c r="FLL57" i="8"/>
  <c r="FLK57" i="8"/>
  <c r="FLJ57" i="8"/>
  <c r="FLI57" i="8"/>
  <c r="FLH57" i="8"/>
  <c r="FLG57" i="8"/>
  <c r="FLF57" i="8"/>
  <c r="FLE57" i="8"/>
  <c r="FLD57" i="8"/>
  <c r="FLC57" i="8"/>
  <c r="FLB57" i="8"/>
  <c r="FLA57" i="8"/>
  <c r="FKZ57" i="8"/>
  <c r="FKY57" i="8"/>
  <c r="FKX57" i="8"/>
  <c r="FKW57" i="8"/>
  <c r="FKV57" i="8"/>
  <c r="FKU57" i="8"/>
  <c r="FKT57" i="8"/>
  <c r="FKS57" i="8"/>
  <c r="FKR57" i="8"/>
  <c r="FKQ57" i="8"/>
  <c r="FKP57" i="8"/>
  <c r="FKO57" i="8"/>
  <c r="FKN57" i="8"/>
  <c r="FKM57" i="8"/>
  <c r="FKL57" i="8"/>
  <c r="FKK57" i="8"/>
  <c r="FKJ57" i="8"/>
  <c r="FKI57" i="8"/>
  <c r="FKH57" i="8"/>
  <c r="FKG57" i="8"/>
  <c r="FKF57" i="8"/>
  <c r="FKE57" i="8"/>
  <c r="FKD57" i="8"/>
  <c r="FKC57" i="8"/>
  <c r="FKB57" i="8"/>
  <c r="FKA57" i="8"/>
  <c r="FJZ57" i="8"/>
  <c r="FJY57" i="8"/>
  <c r="FJX57" i="8"/>
  <c r="FJW57" i="8"/>
  <c r="FJV57" i="8"/>
  <c r="FJU57" i="8"/>
  <c r="FJT57" i="8"/>
  <c r="FJS57" i="8"/>
  <c r="FJR57" i="8"/>
  <c r="FJQ57" i="8"/>
  <c r="FJP57" i="8"/>
  <c r="FJO57" i="8"/>
  <c r="FJN57" i="8"/>
  <c r="FJM57" i="8"/>
  <c r="FJL57" i="8"/>
  <c r="FJK57" i="8"/>
  <c r="FJJ57" i="8"/>
  <c r="FJI57" i="8"/>
  <c r="FJH57" i="8"/>
  <c r="FJG57" i="8"/>
  <c r="FJF57" i="8"/>
  <c r="FJE57" i="8"/>
  <c r="FJD57" i="8"/>
  <c r="FJC57" i="8"/>
  <c r="FJB57" i="8"/>
  <c r="FJA57" i="8"/>
  <c r="FIZ57" i="8"/>
  <c r="FIY57" i="8"/>
  <c r="FIX57" i="8"/>
  <c r="FIW57" i="8"/>
  <c r="FIV57" i="8"/>
  <c r="FIU57" i="8"/>
  <c r="FIT57" i="8"/>
  <c r="FIS57" i="8"/>
  <c r="FIR57" i="8"/>
  <c r="FIQ57" i="8"/>
  <c r="FIP57" i="8"/>
  <c r="FIO57" i="8"/>
  <c r="FIN57" i="8"/>
  <c r="FIM57" i="8"/>
  <c r="FIL57" i="8"/>
  <c r="FIK57" i="8"/>
  <c r="FIJ57" i="8"/>
  <c r="FII57" i="8"/>
  <c r="FIH57" i="8"/>
  <c r="FIG57" i="8"/>
  <c r="FIF57" i="8"/>
  <c r="FIE57" i="8"/>
  <c r="FID57" i="8"/>
  <c r="FIC57" i="8"/>
  <c r="FIB57" i="8"/>
  <c r="FIA57" i="8"/>
  <c r="FHZ57" i="8"/>
  <c r="FHY57" i="8"/>
  <c r="FHX57" i="8"/>
  <c r="FHW57" i="8"/>
  <c r="FHV57" i="8"/>
  <c r="FHU57" i="8"/>
  <c r="FHT57" i="8"/>
  <c r="FHS57" i="8"/>
  <c r="FHR57" i="8"/>
  <c r="FHQ57" i="8"/>
  <c r="FHP57" i="8"/>
  <c r="FHO57" i="8"/>
  <c r="FHN57" i="8"/>
  <c r="FHM57" i="8"/>
  <c r="FHL57" i="8"/>
  <c r="FHK57" i="8"/>
  <c r="FHJ57" i="8"/>
  <c r="FHI57" i="8"/>
  <c r="FHH57" i="8"/>
  <c r="FHG57" i="8"/>
  <c r="FHF57" i="8"/>
  <c r="FHE57" i="8"/>
  <c r="FHD57" i="8"/>
  <c r="FHC57" i="8"/>
  <c r="FHB57" i="8"/>
  <c r="FHA57" i="8"/>
  <c r="FGZ57" i="8"/>
  <c r="FGY57" i="8"/>
  <c r="FGX57" i="8"/>
  <c r="FGW57" i="8"/>
  <c r="FGV57" i="8"/>
  <c r="FGU57" i="8"/>
  <c r="FGT57" i="8"/>
  <c r="FGS57" i="8"/>
  <c r="FGR57" i="8"/>
  <c r="FGQ57" i="8"/>
  <c r="FGP57" i="8"/>
  <c r="FGO57" i="8"/>
  <c r="FGN57" i="8"/>
  <c r="FGM57" i="8"/>
  <c r="FGL57" i="8"/>
  <c r="FGK57" i="8"/>
  <c r="FGJ57" i="8"/>
  <c r="FGI57" i="8"/>
  <c r="FGH57" i="8"/>
  <c r="FGG57" i="8"/>
  <c r="FGF57" i="8"/>
  <c r="FGE57" i="8"/>
  <c r="FGD57" i="8"/>
  <c r="FGC57" i="8"/>
  <c r="FGB57" i="8"/>
  <c r="FGA57" i="8"/>
  <c r="FFZ57" i="8"/>
  <c r="FFY57" i="8"/>
  <c r="FFX57" i="8"/>
  <c r="FFW57" i="8"/>
  <c r="FFV57" i="8"/>
  <c r="FFU57" i="8"/>
  <c r="FFT57" i="8"/>
  <c r="FFS57" i="8"/>
  <c r="FFR57" i="8"/>
  <c r="FFQ57" i="8"/>
  <c r="FFP57" i="8"/>
  <c r="FFO57" i="8"/>
  <c r="FFN57" i="8"/>
  <c r="FFM57" i="8"/>
  <c r="FFL57" i="8"/>
  <c r="FFK57" i="8"/>
  <c r="FFJ57" i="8"/>
  <c r="FFI57" i="8"/>
  <c r="FFH57" i="8"/>
  <c r="FFG57" i="8"/>
  <c r="FFF57" i="8"/>
  <c r="FFE57" i="8"/>
  <c r="FFD57" i="8"/>
  <c r="FFC57" i="8"/>
  <c r="FFB57" i="8"/>
  <c r="FFA57" i="8"/>
  <c r="FEZ57" i="8"/>
  <c r="FEY57" i="8"/>
  <c r="FEX57" i="8"/>
  <c r="FEW57" i="8"/>
  <c r="FEV57" i="8"/>
  <c r="FEU57" i="8"/>
  <c r="FET57" i="8"/>
  <c r="FES57" i="8"/>
  <c r="FER57" i="8"/>
  <c r="FEQ57" i="8"/>
  <c r="FEP57" i="8"/>
  <c r="FEO57" i="8"/>
  <c r="FEN57" i="8"/>
  <c r="FEM57" i="8"/>
  <c r="FEL57" i="8"/>
  <c r="FEK57" i="8"/>
  <c r="FEJ57" i="8"/>
  <c r="FEI57" i="8"/>
  <c r="FEH57" i="8"/>
  <c r="FEG57" i="8"/>
  <c r="FEF57" i="8"/>
  <c r="FEE57" i="8"/>
  <c r="FED57" i="8"/>
  <c r="FEC57" i="8"/>
  <c r="FEB57" i="8"/>
  <c r="FEA57" i="8"/>
  <c r="FDZ57" i="8"/>
  <c r="FDY57" i="8"/>
  <c r="FDX57" i="8"/>
  <c r="FDW57" i="8"/>
  <c r="FDV57" i="8"/>
  <c r="FDU57" i="8"/>
  <c r="FDT57" i="8"/>
  <c r="FDS57" i="8"/>
  <c r="FDR57" i="8"/>
  <c r="FDQ57" i="8"/>
  <c r="FDP57" i="8"/>
  <c r="FDO57" i="8"/>
  <c r="FDN57" i="8"/>
  <c r="FDM57" i="8"/>
  <c r="FDL57" i="8"/>
  <c r="FDK57" i="8"/>
  <c r="FDJ57" i="8"/>
  <c r="FDI57" i="8"/>
  <c r="FDH57" i="8"/>
  <c r="FDG57" i="8"/>
  <c r="FDF57" i="8"/>
  <c r="FDE57" i="8"/>
  <c r="FDD57" i="8"/>
  <c r="FDC57" i="8"/>
  <c r="FDB57" i="8"/>
  <c r="FDA57" i="8"/>
  <c r="FCZ57" i="8"/>
  <c r="FCY57" i="8"/>
  <c r="FCX57" i="8"/>
  <c r="FCW57" i="8"/>
  <c r="FCV57" i="8"/>
  <c r="FCU57" i="8"/>
  <c r="FCT57" i="8"/>
  <c r="FCS57" i="8"/>
  <c r="FCR57" i="8"/>
  <c r="FCQ57" i="8"/>
  <c r="FCP57" i="8"/>
  <c r="FCO57" i="8"/>
  <c r="FCN57" i="8"/>
  <c r="FCM57" i="8"/>
  <c r="FCL57" i="8"/>
  <c r="FCK57" i="8"/>
  <c r="FCJ57" i="8"/>
  <c r="FCI57" i="8"/>
  <c r="FCH57" i="8"/>
  <c r="FCG57" i="8"/>
  <c r="FCF57" i="8"/>
  <c r="FCE57" i="8"/>
  <c r="FCD57" i="8"/>
  <c r="FCC57" i="8"/>
  <c r="FCB57" i="8"/>
  <c r="FCA57" i="8"/>
  <c r="FBZ57" i="8"/>
  <c r="FBY57" i="8"/>
  <c r="FBX57" i="8"/>
  <c r="FBW57" i="8"/>
  <c r="FBV57" i="8"/>
  <c r="FBU57" i="8"/>
  <c r="FBT57" i="8"/>
  <c r="FBS57" i="8"/>
  <c r="FBR57" i="8"/>
  <c r="FBQ57" i="8"/>
  <c r="FBP57" i="8"/>
  <c r="FBO57" i="8"/>
  <c r="FBN57" i="8"/>
  <c r="FBM57" i="8"/>
  <c r="FBL57" i="8"/>
  <c r="FBK57" i="8"/>
  <c r="FBJ57" i="8"/>
  <c r="FBI57" i="8"/>
  <c r="FBH57" i="8"/>
  <c r="FBG57" i="8"/>
  <c r="FBF57" i="8"/>
  <c r="FBE57" i="8"/>
  <c r="FBD57" i="8"/>
  <c r="FBC57" i="8"/>
  <c r="FBB57" i="8"/>
  <c r="FBA57" i="8"/>
  <c r="FAZ57" i="8"/>
  <c r="FAY57" i="8"/>
  <c r="FAX57" i="8"/>
  <c r="FAW57" i="8"/>
  <c r="FAV57" i="8"/>
  <c r="FAU57" i="8"/>
  <c r="FAT57" i="8"/>
  <c r="FAS57" i="8"/>
  <c r="FAR57" i="8"/>
  <c r="FAQ57" i="8"/>
  <c r="FAP57" i="8"/>
  <c r="FAO57" i="8"/>
  <c r="FAN57" i="8"/>
  <c r="FAM57" i="8"/>
  <c r="FAL57" i="8"/>
  <c r="FAK57" i="8"/>
  <c r="FAJ57" i="8"/>
  <c r="FAI57" i="8"/>
  <c r="FAH57" i="8"/>
  <c r="FAG57" i="8"/>
  <c r="FAF57" i="8"/>
  <c r="FAE57" i="8"/>
  <c r="FAD57" i="8"/>
  <c r="FAC57" i="8"/>
  <c r="FAB57" i="8"/>
  <c r="FAA57" i="8"/>
  <c r="EZZ57" i="8"/>
  <c r="EZY57" i="8"/>
  <c r="EZX57" i="8"/>
  <c r="EZW57" i="8"/>
  <c r="EZV57" i="8"/>
  <c r="EZU57" i="8"/>
  <c r="EZT57" i="8"/>
  <c r="EZS57" i="8"/>
  <c r="EZR57" i="8"/>
  <c r="EZQ57" i="8"/>
  <c r="EZP57" i="8"/>
  <c r="EZO57" i="8"/>
  <c r="EZN57" i="8"/>
  <c r="EZM57" i="8"/>
  <c r="EZL57" i="8"/>
  <c r="EZK57" i="8"/>
  <c r="EZJ57" i="8"/>
  <c r="EZI57" i="8"/>
  <c r="EZH57" i="8"/>
  <c r="EZG57" i="8"/>
  <c r="EZF57" i="8"/>
  <c r="EZE57" i="8"/>
  <c r="EZD57" i="8"/>
  <c r="EZC57" i="8"/>
  <c r="EZB57" i="8"/>
  <c r="EZA57" i="8"/>
  <c r="EYZ57" i="8"/>
  <c r="EYY57" i="8"/>
  <c r="EYX57" i="8"/>
  <c r="EYW57" i="8"/>
  <c r="EYV57" i="8"/>
  <c r="EYU57" i="8"/>
  <c r="EYT57" i="8"/>
  <c r="EYS57" i="8"/>
  <c r="EYR57" i="8"/>
  <c r="EYQ57" i="8"/>
  <c r="EYP57" i="8"/>
  <c r="EYO57" i="8"/>
  <c r="EYN57" i="8"/>
  <c r="EYM57" i="8"/>
  <c r="EYL57" i="8"/>
  <c r="EYK57" i="8"/>
  <c r="EYJ57" i="8"/>
  <c r="EYI57" i="8"/>
  <c r="EYH57" i="8"/>
  <c r="EYG57" i="8"/>
  <c r="EYF57" i="8"/>
  <c r="EYE57" i="8"/>
  <c r="EYD57" i="8"/>
  <c r="EYC57" i="8"/>
  <c r="EYB57" i="8"/>
  <c r="EYA57" i="8"/>
  <c r="EXZ57" i="8"/>
  <c r="EXY57" i="8"/>
  <c r="EXX57" i="8"/>
  <c r="EXW57" i="8"/>
  <c r="EXV57" i="8"/>
  <c r="EXU57" i="8"/>
  <c r="EXT57" i="8"/>
  <c r="EXS57" i="8"/>
  <c r="EXR57" i="8"/>
  <c r="EXQ57" i="8"/>
  <c r="EXP57" i="8"/>
  <c r="EXO57" i="8"/>
  <c r="EXN57" i="8"/>
  <c r="EXM57" i="8"/>
  <c r="EXL57" i="8"/>
  <c r="EXK57" i="8"/>
  <c r="EXJ57" i="8"/>
  <c r="EXI57" i="8"/>
  <c r="EXH57" i="8"/>
  <c r="EXG57" i="8"/>
  <c r="EXF57" i="8"/>
  <c r="EXE57" i="8"/>
  <c r="EXD57" i="8"/>
  <c r="EXC57" i="8"/>
  <c r="EXB57" i="8"/>
  <c r="EXA57" i="8"/>
  <c r="EWZ57" i="8"/>
  <c r="EWY57" i="8"/>
  <c r="EWX57" i="8"/>
  <c r="EWW57" i="8"/>
  <c r="EWV57" i="8"/>
  <c r="EWU57" i="8"/>
  <c r="EWT57" i="8"/>
  <c r="EWS57" i="8"/>
  <c r="EWR57" i="8"/>
  <c r="EWQ57" i="8"/>
  <c r="EWP57" i="8"/>
  <c r="EWO57" i="8"/>
  <c r="EWN57" i="8"/>
  <c r="EWM57" i="8"/>
  <c r="EWL57" i="8"/>
  <c r="EWK57" i="8"/>
  <c r="EWJ57" i="8"/>
  <c r="EWI57" i="8"/>
  <c r="EWH57" i="8"/>
  <c r="EWG57" i="8"/>
  <c r="EWF57" i="8"/>
  <c r="EWE57" i="8"/>
  <c r="EWD57" i="8"/>
  <c r="EWC57" i="8"/>
  <c r="EWB57" i="8"/>
  <c r="EWA57" i="8"/>
  <c r="EVZ57" i="8"/>
  <c r="EVY57" i="8"/>
  <c r="EVX57" i="8"/>
  <c r="EVW57" i="8"/>
  <c r="EVV57" i="8"/>
  <c r="EVU57" i="8"/>
  <c r="EVT57" i="8"/>
  <c r="EVS57" i="8"/>
  <c r="EVR57" i="8"/>
  <c r="EVQ57" i="8"/>
  <c r="EVP57" i="8"/>
  <c r="EVO57" i="8"/>
  <c r="EVN57" i="8"/>
  <c r="EVM57" i="8"/>
  <c r="EVL57" i="8"/>
  <c r="EVK57" i="8"/>
  <c r="EVJ57" i="8"/>
  <c r="EVI57" i="8"/>
  <c r="EVH57" i="8"/>
  <c r="EVG57" i="8"/>
  <c r="EVF57" i="8"/>
  <c r="EVE57" i="8"/>
  <c r="EVD57" i="8"/>
  <c r="EVC57" i="8"/>
  <c r="EVB57" i="8"/>
  <c r="EVA57" i="8"/>
  <c r="EUZ57" i="8"/>
  <c r="EUY57" i="8"/>
  <c r="EUX57" i="8"/>
  <c r="EUW57" i="8"/>
  <c r="EUV57" i="8"/>
  <c r="EUU57" i="8"/>
  <c r="EUT57" i="8"/>
  <c r="EUS57" i="8"/>
  <c r="EUR57" i="8"/>
  <c r="EUQ57" i="8"/>
  <c r="EUP57" i="8"/>
  <c r="EUO57" i="8"/>
  <c r="EUN57" i="8"/>
  <c r="EUM57" i="8"/>
  <c r="EUL57" i="8"/>
  <c r="EUK57" i="8"/>
  <c r="EUJ57" i="8"/>
  <c r="EUI57" i="8"/>
  <c r="EUH57" i="8"/>
  <c r="EUG57" i="8"/>
  <c r="EUF57" i="8"/>
  <c r="EUE57" i="8"/>
  <c r="EUD57" i="8"/>
  <c r="EUC57" i="8"/>
  <c r="EUB57" i="8"/>
  <c r="EUA57" i="8"/>
  <c r="ETZ57" i="8"/>
  <c r="ETY57" i="8"/>
  <c r="ETX57" i="8"/>
  <c r="ETW57" i="8"/>
  <c r="ETV57" i="8"/>
  <c r="ETU57" i="8"/>
  <c r="ETT57" i="8"/>
  <c r="ETS57" i="8"/>
  <c r="ETR57" i="8"/>
  <c r="ETQ57" i="8"/>
  <c r="ETP57" i="8"/>
  <c r="ETO57" i="8"/>
  <c r="ETN57" i="8"/>
  <c r="ETM57" i="8"/>
  <c r="ETL57" i="8"/>
  <c r="ETK57" i="8"/>
  <c r="ETJ57" i="8"/>
  <c r="ETI57" i="8"/>
  <c r="ETH57" i="8"/>
  <c r="ETG57" i="8"/>
  <c r="ETF57" i="8"/>
  <c r="ETE57" i="8"/>
  <c r="ETD57" i="8"/>
  <c r="ETC57" i="8"/>
  <c r="ETB57" i="8"/>
  <c r="ETA57" i="8"/>
  <c r="ESZ57" i="8"/>
  <c r="ESY57" i="8"/>
  <c r="ESX57" i="8"/>
  <c r="ESW57" i="8"/>
  <c r="ESV57" i="8"/>
  <c r="ESU57" i="8"/>
  <c r="EST57" i="8"/>
  <c r="ESS57" i="8"/>
  <c r="ESR57" i="8"/>
  <c r="ESQ57" i="8"/>
  <c r="ESP57" i="8"/>
  <c r="ESO57" i="8"/>
  <c r="ESN57" i="8"/>
  <c r="ESM57" i="8"/>
  <c r="ESL57" i="8"/>
  <c r="ESK57" i="8"/>
  <c r="ESJ57" i="8"/>
  <c r="ESI57" i="8"/>
  <c r="ESH57" i="8"/>
  <c r="ESG57" i="8"/>
  <c r="ESF57" i="8"/>
  <c r="ESE57" i="8"/>
  <c r="ESD57" i="8"/>
  <c r="ESC57" i="8"/>
  <c r="ESB57" i="8"/>
  <c r="ESA57" i="8"/>
  <c r="ERZ57" i="8"/>
  <c r="ERY57" i="8"/>
  <c r="ERX57" i="8"/>
  <c r="ERW57" i="8"/>
  <c r="ERV57" i="8"/>
  <c r="ERU57" i="8"/>
  <c r="ERT57" i="8"/>
  <c r="ERS57" i="8"/>
  <c r="ERR57" i="8"/>
  <c r="ERQ57" i="8"/>
  <c r="ERP57" i="8"/>
  <c r="ERO57" i="8"/>
  <c r="ERN57" i="8"/>
  <c r="ERM57" i="8"/>
  <c r="ERL57" i="8"/>
  <c r="ERK57" i="8"/>
  <c r="ERJ57" i="8"/>
  <c r="ERI57" i="8"/>
  <c r="ERH57" i="8"/>
  <c r="ERG57" i="8"/>
  <c r="ERF57" i="8"/>
  <c r="ERE57" i="8"/>
  <c r="ERD57" i="8"/>
  <c r="ERC57" i="8"/>
  <c r="ERB57" i="8"/>
  <c r="ERA57" i="8"/>
  <c r="EQZ57" i="8"/>
  <c r="EQY57" i="8"/>
  <c r="EQX57" i="8"/>
  <c r="EQW57" i="8"/>
  <c r="EQV57" i="8"/>
  <c r="EQU57" i="8"/>
  <c r="EQT57" i="8"/>
  <c r="EQS57" i="8"/>
  <c r="EQR57" i="8"/>
  <c r="EQQ57" i="8"/>
  <c r="EQP57" i="8"/>
  <c r="EQO57" i="8"/>
  <c r="EQN57" i="8"/>
  <c r="EQM57" i="8"/>
  <c r="EQL57" i="8"/>
  <c r="EQK57" i="8"/>
  <c r="EQJ57" i="8"/>
  <c r="EQI57" i="8"/>
  <c r="EQH57" i="8"/>
  <c r="EQG57" i="8"/>
  <c r="EQF57" i="8"/>
  <c r="EQE57" i="8"/>
  <c r="EQD57" i="8"/>
  <c r="EQC57" i="8"/>
  <c r="EQB57" i="8"/>
  <c r="EQA57" i="8"/>
  <c r="EPZ57" i="8"/>
  <c r="EPY57" i="8"/>
  <c r="EPX57" i="8"/>
  <c r="EPW57" i="8"/>
  <c r="EPV57" i="8"/>
  <c r="EPU57" i="8"/>
  <c r="EPT57" i="8"/>
  <c r="EPS57" i="8"/>
  <c r="EPR57" i="8"/>
  <c r="EPQ57" i="8"/>
  <c r="EPP57" i="8"/>
  <c r="EPO57" i="8"/>
  <c r="EPN57" i="8"/>
  <c r="EPM57" i="8"/>
  <c r="EPL57" i="8"/>
  <c r="EPK57" i="8"/>
  <c r="EPJ57" i="8"/>
  <c r="EPI57" i="8"/>
  <c r="EPH57" i="8"/>
  <c r="EPG57" i="8"/>
  <c r="EPF57" i="8"/>
  <c r="EPE57" i="8"/>
  <c r="EPD57" i="8"/>
  <c r="EPC57" i="8"/>
  <c r="EPB57" i="8"/>
  <c r="EPA57" i="8"/>
  <c r="EOZ57" i="8"/>
  <c r="EOY57" i="8"/>
  <c r="EOX57" i="8"/>
  <c r="EOW57" i="8"/>
  <c r="EOV57" i="8"/>
  <c r="EOU57" i="8"/>
  <c r="EOT57" i="8"/>
  <c r="EOS57" i="8"/>
  <c r="EOR57" i="8"/>
  <c r="EOQ57" i="8"/>
  <c r="EOP57" i="8"/>
  <c r="EOO57" i="8"/>
  <c r="EON57" i="8"/>
  <c r="EOM57" i="8"/>
  <c r="EOL57" i="8"/>
  <c r="EOK57" i="8"/>
  <c r="EOJ57" i="8"/>
  <c r="EOI57" i="8"/>
  <c r="EOH57" i="8"/>
  <c r="EOG57" i="8"/>
  <c r="EOF57" i="8"/>
  <c r="EOE57" i="8"/>
  <c r="EOD57" i="8"/>
  <c r="EOC57" i="8"/>
  <c r="EOB57" i="8"/>
  <c r="EOA57" i="8"/>
  <c r="ENZ57" i="8"/>
  <c r="ENY57" i="8"/>
  <c r="ENX57" i="8"/>
  <c r="ENW57" i="8"/>
  <c r="ENV57" i="8"/>
  <c r="ENU57" i="8"/>
  <c r="ENT57" i="8"/>
  <c r="ENS57" i="8"/>
  <c r="ENR57" i="8"/>
  <c r="ENQ57" i="8"/>
  <c r="ENP57" i="8"/>
  <c r="ENO57" i="8"/>
  <c r="ENN57" i="8"/>
  <c r="ENM57" i="8"/>
  <c r="ENL57" i="8"/>
  <c r="ENK57" i="8"/>
  <c r="ENJ57" i="8"/>
  <c r="ENI57" i="8"/>
  <c r="ENH57" i="8"/>
  <c r="ENG57" i="8"/>
  <c r="ENF57" i="8"/>
  <c r="ENE57" i="8"/>
  <c r="END57" i="8"/>
  <c r="ENC57" i="8"/>
  <c r="ENB57" i="8"/>
  <c r="ENA57" i="8"/>
  <c r="EMZ57" i="8"/>
  <c r="EMY57" i="8"/>
  <c r="EMX57" i="8"/>
  <c r="EMW57" i="8"/>
  <c r="EMV57" i="8"/>
  <c r="EMU57" i="8"/>
  <c r="EMT57" i="8"/>
  <c r="EMS57" i="8"/>
  <c r="EMR57" i="8"/>
  <c r="EMQ57" i="8"/>
  <c r="EMP57" i="8"/>
  <c r="EMO57" i="8"/>
  <c r="EMN57" i="8"/>
  <c r="EMM57" i="8"/>
  <c r="EML57" i="8"/>
  <c r="EMK57" i="8"/>
  <c r="EMJ57" i="8"/>
  <c r="EMI57" i="8"/>
  <c r="EMH57" i="8"/>
  <c r="EMG57" i="8"/>
  <c r="EMF57" i="8"/>
  <c r="EME57" i="8"/>
  <c r="EMD57" i="8"/>
  <c r="EMC57" i="8"/>
  <c r="EMB57" i="8"/>
  <c r="EMA57" i="8"/>
  <c r="ELZ57" i="8"/>
  <c r="ELY57" i="8"/>
  <c r="ELX57" i="8"/>
  <c r="ELW57" i="8"/>
  <c r="ELV57" i="8"/>
  <c r="ELU57" i="8"/>
  <c r="ELT57" i="8"/>
  <c r="ELS57" i="8"/>
  <c r="ELR57" i="8"/>
  <c r="ELQ57" i="8"/>
  <c r="ELP57" i="8"/>
  <c r="ELO57" i="8"/>
  <c r="ELN57" i="8"/>
  <c r="ELM57" i="8"/>
  <c r="ELL57" i="8"/>
  <c r="ELK57" i="8"/>
  <c r="ELJ57" i="8"/>
  <c r="ELI57" i="8"/>
  <c r="ELH57" i="8"/>
  <c r="ELG57" i="8"/>
  <c r="ELF57" i="8"/>
  <c r="ELE57" i="8"/>
  <c r="ELD57" i="8"/>
  <c r="ELC57" i="8"/>
  <c r="ELB57" i="8"/>
  <c r="ELA57" i="8"/>
  <c r="EKZ57" i="8"/>
  <c r="EKY57" i="8"/>
  <c r="EKX57" i="8"/>
  <c r="EKW57" i="8"/>
  <c r="EKV57" i="8"/>
  <c r="EKU57" i="8"/>
  <c r="EKT57" i="8"/>
  <c r="EKS57" i="8"/>
  <c r="EKR57" i="8"/>
  <c r="EKQ57" i="8"/>
  <c r="EKP57" i="8"/>
  <c r="EKO57" i="8"/>
  <c r="EKN57" i="8"/>
  <c r="EKM57" i="8"/>
  <c r="EKL57" i="8"/>
  <c r="EKK57" i="8"/>
  <c r="EKJ57" i="8"/>
  <c r="EKI57" i="8"/>
  <c r="EKH57" i="8"/>
  <c r="EKG57" i="8"/>
  <c r="EKF57" i="8"/>
  <c r="EKE57" i="8"/>
  <c r="EKD57" i="8"/>
  <c r="EKC57" i="8"/>
  <c r="EKB57" i="8"/>
  <c r="EKA57" i="8"/>
  <c r="EJZ57" i="8"/>
  <c r="EJY57" i="8"/>
  <c r="EJX57" i="8"/>
  <c r="EJW57" i="8"/>
  <c r="EJV57" i="8"/>
  <c r="EJU57" i="8"/>
  <c r="EJT57" i="8"/>
  <c r="EJS57" i="8"/>
  <c r="EJR57" i="8"/>
  <c r="EJQ57" i="8"/>
  <c r="EJP57" i="8"/>
  <c r="EJO57" i="8"/>
  <c r="EJN57" i="8"/>
  <c r="EJM57" i="8"/>
  <c r="EJL57" i="8"/>
  <c r="EJK57" i="8"/>
  <c r="EJJ57" i="8"/>
  <c r="EJI57" i="8"/>
  <c r="EJH57" i="8"/>
  <c r="EJG57" i="8"/>
  <c r="EJF57" i="8"/>
  <c r="EJE57" i="8"/>
  <c r="EJD57" i="8"/>
  <c r="EJC57" i="8"/>
  <c r="EJB57" i="8"/>
  <c r="EJA57" i="8"/>
  <c r="EIZ57" i="8"/>
  <c r="EIY57" i="8"/>
  <c r="EIX57" i="8"/>
  <c r="EIW57" i="8"/>
  <c r="EIV57" i="8"/>
  <c r="EIU57" i="8"/>
  <c r="EIT57" i="8"/>
  <c r="EIS57" i="8"/>
  <c r="EIR57" i="8"/>
  <c r="EIQ57" i="8"/>
  <c r="EIP57" i="8"/>
  <c r="EIO57" i="8"/>
  <c r="EIN57" i="8"/>
  <c r="EIM57" i="8"/>
  <c r="EIL57" i="8"/>
  <c r="EIK57" i="8"/>
  <c r="EIJ57" i="8"/>
  <c r="EII57" i="8"/>
  <c r="EIH57" i="8"/>
  <c r="EIG57" i="8"/>
  <c r="EIF57" i="8"/>
  <c r="EIE57" i="8"/>
  <c r="EID57" i="8"/>
  <c r="EIC57" i="8"/>
  <c r="EIB57" i="8"/>
  <c r="EIA57" i="8"/>
  <c r="EHZ57" i="8"/>
  <c r="EHY57" i="8"/>
  <c r="EHX57" i="8"/>
  <c r="EHW57" i="8"/>
  <c r="EHV57" i="8"/>
  <c r="EHU57" i="8"/>
  <c r="EHT57" i="8"/>
  <c r="EHS57" i="8"/>
  <c r="EHR57" i="8"/>
  <c r="EHQ57" i="8"/>
  <c r="EHP57" i="8"/>
  <c r="EHO57" i="8"/>
  <c r="EHN57" i="8"/>
  <c r="EHM57" i="8"/>
  <c r="EHL57" i="8"/>
  <c r="EHK57" i="8"/>
  <c r="EHJ57" i="8"/>
  <c r="EHI57" i="8"/>
  <c r="EHH57" i="8"/>
  <c r="EHG57" i="8"/>
  <c r="EHF57" i="8"/>
  <c r="EHE57" i="8"/>
  <c r="EHD57" i="8"/>
  <c r="EHC57" i="8"/>
  <c r="EHB57" i="8"/>
  <c r="EHA57" i="8"/>
  <c r="EGZ57" i="8"/>
  <c r="EGY57" i="8"/>
  <c r="EGX57" i="8"/>
  <c r="EGW57" i="8"/>
  <c r="EGV57" i="8"/>
  <c r="EGU57" i="8"/>
  <c r="EGT57" i="8"/>
  <c r="EGS57" i="8"/>
  <c r="EGR57" i="8"/>
  <c r="EGQ57" i="8"/>
  <c r="EGP57" i="8"/>
  <c r="EGO57" i="8"/>
  <c r="EGN57" i="8"/>
  <c r="EGM57" i="8"/>
  <c r="EGL57" i="8"/>
  <c r="EGK57" i="8"/>
  <c r="EGJ57" i="8"/>
  <c r="EGI57" i="8"/>
  <c r="EGH57" i="8"/>
  <c r="EGG57" i="8"/>
  <c r="EGF57" i="8"/>
  <c r="EGE57" i="8"/>
  <c r="EGD57" i="8"/>
  <c r="EGC57" i="8"/>
  <c r="EGB57" i="8"/>
  <c r="EGA57" i="8"/>
  <c r="EFZ57" i="8"/>
  <c r="EFY57" i="8"/>
  <c r="EFX57" i="8"/>
  <c r="EFW57" i="8"/>
  <c r="EFV57" i="8"/>
  <c r="EFU57" i="8"/>
  <c r="EFT57" i="8"/>
  <c r="EFS57" i="8"/>
  <c r="EFR57" i="8"/>
  <c r="EFQ57" i="8"/>
  <c r="EFP57" i="8"/>
  <c r="EFO57" i="8"/>
  <c r="EFN57" i="8"/>
  <c r="EFM57" i="8"/>
  <c r="EFL57" i="8"/>
  <c r="EFK57" i="8"/>
  <c r="EFJ57" i="8"/>
  <c r="EFI57" i="8"/>
  <c r="EFH57" i="8"/>
  <c r="EFG57" i="8"/>
  <c r="EFF57" i="8"/>
  <c r="EFE57" i="8"/>
  <c r="EFD57" i="8"/>
  <c r="EFC57" i="8"/>
  <c r="EFB57" i="8"/>
  <c r="EFA57" i="8"/>
  <c r="EEZ57" i="8"/>
  <c r="EEY57" i="8"/>
  <c r="EEX57" i="8"/>
  <c r="EEW57" i="8"/>
  <c r="EEV57" i="8"/>
  <c r="EEU57" i="8"/>
  <c r="EET57" i="8"/>
  <c r="EES57" i="8"/>
  <c r="EER57" i="8"/>
  <c r="EEQ57" i="8"/>
  <c r="EEP57" i="8"/>
  <c r="EEO57" i="8"/>
  <c r="EEN57" i="8"/>
  <c r="EEM57" i="8"/>
  <c r="EEL57" i="8"/>
  <c r="EEK57" i="8"/>
  <c r="EEJ57" i="8"/>
  <c r="EEI57" i="8"/>
  <c r="EEH57" i="8"/>
  <c r="EEG57" i="8"/>
  <c r="EEF57" i="8"/>
  <c r="EEE57" i="8"/>
  <c r="EED57" i="8"/>
  <c r="EEC57" i="8"/>
  <c r="EEB57" i="8"/>
  <c r="EEA57" i="8"/>
  <c r="EDZ57" i="8"/>
  <c r="EDY57" i="8"/>
  <c r="EDX57" i="8"/>
  <c r="EDW57" i="8"/>
  <c r="EDV57" i="8"/>
  <c r="EDU57" i="8"/>
  <c r="EDT57" i="8"/>
  <c r="EDS57" i="8"/>
  <c r="EDR57" i="8"/>
  <c r="EDQ57" i="8"/>
  <c r="EDP57" i="8"/>
  <c r="EDO57" i="8"/>
  <c r="EDN57" i="8"/>
  <c r="EDM57" i="8"/>
  <c r="EDL57" i="8"/>
  <c r="EDK57" i="8"/>
  <c r="EDJ57" i="8"/>
  <c r="EDI57" i="8"/>
  <c r="EDH57" i="8"/>
  <c r="EDG57" i="8"/>
  <c r="EDF57" i="8"/>
  <c r="EDE57" i="8"/>
  <c r="EDD57" i="8"/>
  <c r="EDC57" i="8"/>
  <c r="EDB57" i="8"/>
  <c r="EDA57" i="8"/>
  <c r="ECZ57" i="8"/>
  <c r="ECY57" i="8"/>
  <c r="ECX57" i="8"/>
  <c r="ECW57" i="8"/>
  <c r="ECV57" i="8"/>
  <c r="ECU57" i="8"/>
  <c r="ECT57" i="8"/>
  <c r="ECS57" i="8"/>
  <c r="ECR57" i="8"/>
  <c r="ECQ57" i="8"/>
  <c r="ECP57" i="8"/>
  <c r="ECO57" i="8"/>
  <c r="ECN57" i="8"/>
  <c r="ECM57" i="8"/>
  <c r="ECL57" i="8"/>
  <c r="ECK57" i="8"/>
  <c r="ECJ57" i="8"/>
  <c r="ECI57" i="8"/>
  <c r="ECH57" i="8"/>
  <c r="ECG57" i="8"/>
  <c r="ECF57" i="8"/>
  <c r="ECE57" i="8"/>
  <c r="ECD57" i="8"/>
  <c r="ECC57" i="8"/>
  <c r="ECB57" i="8"/>
  <c r="ECA57" i="8"/>
  <c r="EBZ57" i="8"/>
  <c r="EBY57" i="8"/>
  <c r="EBX57" i="8"/>
  <c r="EBW57" i="8"/>
  <c r="EBV57" i="8"/>
  <c r="EBU57" i="8"/>
  <c r="EBT57" i="8"/>
  <c r="EBS57" i="8"/>
  <c r="EBR57" i="8"/>
  <c r="EBQ57" i="8"/>
  <c r="EBP57" i="8"/>
  <c r="EBO57" i="8"/>
  <c r="EBN57" i="8"/>
  <c r="EBM57" i="8"/>
  <c r="EBL57" i="8"/>
  <c r="EBK57" i="8"/>
  <c r="EBJ57" i="8"/>
  <c r="EBI57" i="8"/>
  <c r="EBH57" i="8"/>
  <c r="EBG57" i="8"/>
  <c r="EBF57" i="8"/>
  <c r="EBE57" i="8"/>
  <c r="EBD57" i="8"/>
  <c r="EBC57" i="8"/>
  <c r="EBB57" i="8"/>
  <c r="EBA57" i="8"/>
  <c r="EAZ57" i="8"/>
  <c r="EAY57" i="8"/>
  <c r="EAX57" i="8"/>
  <c r="EAW57" i="8"/>
  <c r="EAV57" i="8"/>
  <c r="EAU57" i="8"/>
  <c r="EAT57" i="8"/>
  <c r="EAS57" i="8"/>
  <c r="EAR57" i="8"/>
  <c r="EAQ57" i="8"/>
  <c r="EAP57" i="8"/>
  <c r="EAO57" i="8"/>
  <c r="EAN57" i="8"/>
  <c r="EAM57" i="8"/>
  <c r="EAL57" i="8"/>
  <c r="EAK57" i="8"/>
  <c r="EAJ57" i="8"/>
  <c r="EAI57" i="8"/>
  <c r="EAH57" i="8"/>
  <c r="EAG57" i="8"/>
  <c r="EAF57" i="8"/>
  <c r="EAE57" i="8"/>
  <c r="EAD57" i="8"/>
  <c r="EAC57" i="8"/>
  <c r="EAB57" i="8"/>
  <c r="EAA57" i="8"/>
  <c r="DZZ57" i="8"/>
  <c r="DZY57" i="8"/>
  <c r="DZX57" i="8"/>
  <c r="DZW57" i="8"/>
  <c r="DZV57" i="8"/>
  <c r="DZU57" i="8"/>
  <c r="DZT57" i="8"/>
  <c r="DZS57" i="8"/>
  <c r="DZR57" i="8"/>
  <c r="DZQ57" i="8"/>
  <c r="DZP57" i="8"/>
  <c r="DZO57" i="8"/>
  <c r="DZN57" i="8"/>
  <c r="DZM57" i="8"/>
  <c r="DZL57" i="8"/>
  <c r="DZK57" i="8"/>
  <c r="DZJ57" i="8"/>
  <c r="DZI57" i="8"/>
  <c r="DZH57" i="8"/>
  <c r="DZG57" i="8"/>
  <c r="DZF57" i="8"/>
  <c r="DZE57" i="8"/>
  <c r="DZD57" i="8"/>
  <c r="DZC57" i="8"/>
  <c r="DZB57" i="8"/>
  <c r="DZA57" i="8"/>
  <c r="DYZ57" i="8"/>
  <c r="DYY57" i="8"/>
  <c r="DYX57" i="8"/>
  <c r="DYW57" i="8"/>
  <c r="DYV57" i="8"/>
  <c r="DYU57" i="8"/>
  <c r="DYT57" i="8"/>
  <c r="DYS57" i="8"/>
  <c r="DYR57" i="8"/>
  <c r="DYQ57" i="8"/>
  <c r="DYP57" i="8"/>
  <c r="DYO57" i="8"/>
  <c r="DYN57" i="8"/>
  <c r="DYM57" i="8"/>
  <c r="DYL57" i="8"/>
  <c r="DYK57" i="8"/>
  <c r="DYJ57" i="8"/>
  <c r="DYI57" i="8"/>
  <c r="DYH57" i="8"/>
  <c r="DYG57" i="8"/>
  <c r="DYF57" i="8"/>
  <c r="DYE57" i="8"/>
  <c r="DYD57" i="8"/>
  <c r="DYC57" i="8"/>
  <c r="DYB57" i="8"/>
  <c r="DYA57" i="8"/>
  <c r="DXZ57" i="8"/>
  <c r="DXY57" i="8"/>
  <c r="DXX57" i="8"/>
  <c r="DXW57" i="8"/>
  <c r="DXV57" i="8"/>
  <c r="DXU57" i="8"/>
  <c r="DXT57" i="8"/>
  <c r="DXS57" i="8"/>
  <c r="DXR57" i="8"/>
  <c r="DXQ57" i="8"/>
  <c r="DXP57" i="8"/>
  <c r="DXO57" i="8"/>
  <c r="DXN57" i="8"/>
  <c r="DXM57" i="8"/>
  <c r="DXL57" i="8"/>
  <c r="DXK57" i="8"/>
  <c r="DXJ57" i="8"/>
  <c r="DXI57" i="8"/>
  <c r="DXH57" i="8"/>
  <c r="DXG57" i="8"/>
  <c r="DXF57" i="8"/>
  <c r="DXE57" i="8"/>
  <c r="DXD57" i="8"/>
  <c r="DXC57" i="8"/>
  <c r="DXB57" i="8"/>
  <c r="DXA57" i="8"/>
  <c r="DWZ57" i="8"/>
  <c r="DWY57" i="8"/>
  <c r="DWX57" i="8"/>
  <c r="DWW57" i="8"/>
  <c r="DWV57" i="8"/>
  <c r="DWU57" i="8"/>
  <c r="DWT57" i="8"/>
  <c r="DWS57" i="8"/>
  <c r="DWR57" i="8"/>
  <c r="DWQ57" i="8"/>
  <c r="DWP57" i="8"/>
  <c r="DWO57" i="8"/>
  <c r="DWN57" i="8"/>
  <c r="DWM57" i="8"/>
  <c r="DWL57" i="8"/>
  <c r="DWK57" i="8"/>
  <c r="DWJ57" i="8"/>
  <c r="DWI57" i="8"/>
  <c r="DWH57" i="8"/>
  <c r="DWG57" i="8"/>
  <c r="DWF57" i="8"/>
  <c r="DWE57" i="8"/>
  <c r="DWD57" i="8"/>
  <c r="DWC57" i="8"/>
  <c r="DWB57" i="8"/>
  <c r="DWA57" i="8"/>
  <c r="DVZ57" i="8"/>
  <c r="DVY57" i="8"/>
  <c r="DVX57" i="8"/>
  <c r="DVW57" i="8"/>
  <c r="DVV57" i="8"/>
  <c r="DVU57" i="8"/>
  <c r="DVT57" i="8"/>
  <c r="DVS57" i="8"/>
  <c r="DVR57" i="8"/>
  <c r="DVQ57" i="8"/>
  <c r="DVP57" i="8"/>
  <c r="DVO57" i="8"/>
  <c r="DVN57" i="8"/>
  <c r="DVM57" i="8"/>
  <c r="DVL57" i="8"/>
  <c r="DVK57" i="8"/>
  <c r="DVJ57" i="8"/>
  <c r="DVI57" i="8"/>
  <c r="DVH57" i="8"/>
  <c r="DVG57" i="8"/>
  <c r="DVF57" i="8"/>
  <c r="DVE57" i="8"/>
  <c r="DVD57" i="8"/>
  <c r="DVC57" i="8"/>
  <c r="DVB57" i="8"/>
  <c r="DVA57" i="8"/>
  <c r="DUZ57" i="8"/>
  <c r="DUY57" i="8"/>
  <c r="DUX57" i="8"/>
  <c r="DUW57" i="8"/>
  <c r="DUV57" i="8"/>
  <c r="DUU57" i="8"/>
  <c r="DUT57" i="8"/>
  <c r="DUS57" i="8"/>
  <c r="DUR57" i="8"/>
  <c r="DUQ57" i="8"/>
  <c r="DUP57" i="8"/>
  <c r="DUO57" i="8"/>
  <c r="DUN57" i="8"/>
  <c r="DUM57" i="8"/>
  <c r="DUL57" i="8"/>
  <c r="DUK57" i="8"/>
  <c r="DUJ57" i="8"/>
  <c r="DUI57" i="8"/>
  <c r="DUH57" i="8"/>
  <c r="DUG57" i="8"/>
  <c r="DUF57" i="8"/>
  <c r="DUE57" i="8"/>
  <c r="DUD57" i="8"/>
  <c r="DUC57" i="8"/>
  <c r="DUB57" i="8"/>
  <c r="DUA57" i="8"/>
  <c r="DTZ57" i="8"/>
  <c r="DTY57" i="8"/>
  <c r="DTX57" i="8"/>
  <c r="DTW57" i="8"/>
  <c r="DTV57" i="8"/>
  <c r="DTU57" i="8"/>
  <c r="DTT57" i="8"/>
  <c r="DTS57" i="8"/>
  <c r="DTR57" i="8"/>
  <c r="DTQ57" i="8"/>
  <c r="DTP57" i="8"/>
  <c r="DTO57" i="8"/>
  <c r="DTN57" i="8"/>
  <c r="DTM57" i="8"/>
  <c r="DTL57" i="8"/>
  <c r="DTK57" i="8"/>
  <c r="DTJ57" i="8"/>
  <c r="DTI57" i="8"/>
  <c r="DTH57" i="8"/>
  <c r="DTG57" i="8"/>
  <c r="DTF57" i="8"/>
  <c r="DTE57" i="8"/>
  <c r="DTD57" i="8"/>
  <c r="DTC57" i="8"/>
  <c r="DTB57" i="8"/>
  <c r="DTA57" i="8"/>
  <c r="DSZ57" i="8"/>
  <c r="DSY57" i="8"/>
  <c r="DSX57" i="8"/>
  <c r="DSW57" i="8"/>
  <c r="DSV57" i="8"/>
  <c r="DSU57" i="8"/>
  <c r="DST57" i="8"/>
  <c r="DSS57" i="8"/>
  <c r="DSR57" i="8"/>
  <c r="DSQ57" i="8"/>
  <c r="DSP57" i="8"/>
  <c r="DSO57" i="8"/>
  <c r="DSN57" i="8"/>
  <c r="DSM57" i="8"/>
  <c r="DSL57" i="8"/>
  <c r="DSK57" i="8"/>
  <c r="DSJ57" i="8"/>
  <c r="DSI57" i="8"/>
  <c r="DSH57" i="8"/>
  <c r="DSG57" i="8"/>
  <c r="DSF57" i="8"/>
  <c r="DSE57" i="8"/>
  <c r="DSD57" i="8"/>
  <c r="DSC57" i="8"/>
  <c r="DSB57" i="8"/>
  <c r="DSA57" i="8"/>
  <c r="DRZ57" i="8"/>
  <c r="DRY57" i="8"/>
  <c r="DRX57" i="8"/>
  <c r="DRW57" i="8"/>
  <c r="DRV57" i="8"/>
  <c r="DRU57" i="8"/>
  <c r="DRT57" i="8"/>
  <c r="DRS57" i="8"/>
  <c r="DRR57" i="8"/>
  <c r="DRQ57" i="8"/>
  <c r="DRP57" i="8"/>
  <c r="DRO57" i="8"/>
  <c r="DRN57" i="8"/>
  <c r="DRM57" i="8"/>
  <c r="DRL57" i="8"/>
  <c r="DRK57" i="8"/>
  <c r="DRJ57" i="8"/>
  <c r="DRI57" i="8"/>
  <c r="DRH57" i="8"/>
  <c r="DRG57" i="8"/>
  <c r="DRF57" i="8"/>
  <c r="DRE57" i="8"/>
  <c r="DRD57" i="8"/>
  <c r="DRC57" i="8"/>
  <c r="DRB57" i="8"/>
  <c r="DRA57" i="8"/>
  <c r="DQZ57" i="8"/>
  <c r="DQY57" i="8"/>
  <c r="DQX57" i="8"/>
  <c r="DQW57" i="8"/>
  <c r="DQV57" i="8"/>
  <c r="DQU57" i="8"/>
  <c r="DQT57" i="8"/>
  <c r="DQS57" i="8"/>
  <c r="DQR57" i="8"/>
  <c r="DQQ57" i="8"/>
  <c r="DQP57" i="8"/>
  <c r="DQO57" i="8"/>
  <c r="DQN57" i="8"/>
  <c r="DQM57" i="8"/>
  <c r="DQL57" i="8"/>
  <c r="DQK57" i="8"/>
  <c r="DQJ57" i="8"/>
  <c r="DQI57" i="8"/>
  <c r="DQH57" i="8"/>
  <c r="DQG57" i="8"/>
  <c r="DQF57" i="8"/>
  <c r="DQE57" i="8"/>
  <c r="DQD57" i="8"/>
  <c r="DQC57" i="8"/>
  <c r="DQB57" i="8"/>
  <c r="DQA57" i="8"/>
  <c r="DPZ57" i="8"/>
  <c r="DPY57" i="8"/>
  <c r="DPX57" i="8"/>
  <c r="DPW57" i="8"/>
  <c r="DPV57" i="8"/>
  <c r="DPU57" i="8"/>
  <c r="DPT57" i="8"/>
  <c r="DPS57" i="8"/>
  <c r="DPR57" i="8"/>
  <c r="DPQ57" i="8"/>
  <c r="DPP57" i="8"/>
  <c r="DPO57" i="8"/>
  <c r="DPN57" i="8"/>
  <c r="DPM57" i="8"/>
  <c r="DPL57" i="8"/>
  <c r="DPK57" i="8"/>
  <c r="DPJ57" i="8"/>
  <c r="DPI57" i="8"/>
  <c r="DPH57" i="8"/>
  <c r="DPG57" i="8"/>
  <c r="DPF57" i="8"/>
  <c r="DPE57" i="8"/>
  <c r="DPD57" i="8"/>
  <c r="DPC57" i="8"/>
  <c r="DPB57" i="8"/>
  <c r="DPA57" i="8"/>
  <c r="DOZ57" i="8"/>
  <c r="DOY57" i="8"/>
  <c r="DOX57" i="8"/>
  <c r="DOW57" i="8"/>
  <c r="DOV57" i="8"/>
  <c r="DOU57" i="8"/>
  <c r="DOT57" i="8"/>
  <c r="DOS57" i="8"/>
  <c r="DOR57" i="8"/>
  <c r="DOQ57" i="8"/>
  <c r="DOP57" i="8"/>
  <c r="DOO57" i="8"/>
  <c r="DON57" i="8"/>
  <c r="DOM57" i="8"/>
  <c r="DOL57" i="8"/>
  <c r="DOK57" i="8"/>
  <c r="DOJ57" i="8"/>
  <c r="DOI57" i="8"/>
  <c r="DOH57" i="8"/>
  <c r="DOG57" i="8"/>
  <c r="DOF57" i="8"/>
  <c r="DOE57" i="8"/>
  <c r="DOD57" i="8"/>
  <c r="DOC57" i="8"/>
  <c r="DOB57" i="8"/>
  <c r="DOA57" i="8"/>
  <c r="DNZ57" i="8"/>
  <c r="DNY57" i="8"/>
  <c r="DNX57" i="8"/>
  <c r="DNW57" i="8"/>
  <c r="DNV57" i="8"/>
  <c r="DNU57" i="8"/>
  <c r="DNT57" i="8"/>
  <c r="DNS57" i="8"/>
  <c r="DNR57" i="8"/>
  <c r="DNQ57" i="8"/>
  <c r="DNP57" i="8"/>
  <c r="DNO57" i="8"/>
  <c r="DNN57" i="8"/>
  <c r="DNM57" i="8"/>
  <c r="DNL57" i="8"/>
  <c r="DNK57" i="8"/>
  <c r="DNJ57" i="8"/>
  <c r="DNI57" i="8"/>
  <c r="DNH57" i="8"/>
  <c r="DNG57" i="8"/>
  <c r="DNF57" i="8"/>
  <c r="DNE57" i="8"/>
  <c r="DND57" i="8"/>
  <c r="DNC57" i="8"/>
  <c r="DNB57" i="8"/>
  <c r="DNA57" i="8"/>
  <c r="DMZ57" i="8"/>
  <c r="DMY57" i="8"/>
  <c r="DMX57" i="8"/>
  <c r="DMW57" i="8"/>
  <c r="DMV57" i="8"/>
  <c r="DMU57" i="8"/>
  <c r="DMT57" i="8"/>
  <c r="DMS57" i="8"/>
  <c r="DMR57" i="8"/>
  <c r="DMQ57" i="8"/>
  <c r="DMP57" i="8"/>
  <c r="DMO57" i="8"/>
  <c r="DMN57" i="8"/>
  <c r="DMM57" i="8"/>
  <c r="DML57" i="8"/>
  <c r="DMK57" i="8"/>
  <c r="DMJ57" i="8"/>
  <c r="DMI57" i="8"/>
  <c r="DMH57" i="8"/>
  <c r="DMG57" i="8"/>
  <c r="DMF57" i="8"/>
  <c r="DME57" i="8"/>
  <c r="DMD57" i="8"/>
  <c r="DMC57" i="8"/>
  <c r="DMB57" i="8"/>
  <c r="DMA57" i="8"/>
  <c r="DLZ57" i="8"/>
  <c r="DLY57" i="8"/>
  <c r="DLX57" i="8"/>
  <c r="DLW57" i="8"/>
  <c r="DLV57" i="8"/>
  <c r="DLU57" i="8"/>
  <c r="DLT57" i="8"/>
  <c r="DLS57" i="8"/>
  <c r="DLR57" i="8"/>
  <c r="DLQ57" i="8"/>
  <c r="DLP57" i="8"/>
  <c r="DLO57" i="8"/>
  <c r="DLN57" i="8"/>
  <c r="DLM57" i="8"/>
  <c r="DLL57" i="8"/>
  <c r="DLK57" i="8"/>
  <c r="DLJ57" i="8"/>
  <c r="DLI57" i="8"/>
  <c r="DLH57" i="8"/>
  <c r="DLG57" i="8"/>
  <c r="DLF57" i="8"/>
  <c r="DLE57" i="8"/>
  <c r="DLD57" i="8"/>
  <c r="DLC57" i="8"/>
  <c r="DLB57" i="8"/>
  <c r="DLA57" i="8"/>
  <c r="DKZ57" i="8"/>
  <c r="DKY57" i="8"/>
  <c r="DKX57" i="8"/>
  <c r="DKW57" i="8"/>
  <c r="DKV57" i="8"/>
  <c r="DKU57" i="8"/>
  <c r="DKT57" i="8"/>
  <c r="DKS57" i="8"/>
  <c r="DKR57" i="8"/>
  <c r="DKQ57" i="8"/>
  <c r="DKP57" i="8"/>
  <c r="DKO57" i="8"/>
  <c r="DKN57" i="8"/>
  <c r="DKM57" i="8"/>
  <c r="DKL57" i="8"/>
  <c r="DKK57" i="8"/>
  <c r="DKJ57" i="8"/>
  <c r="DKI57" i="8"/>
  <c r="DKH57" i="8"/>
  <c r="DKG57" i="8"/>
  <c r="DKF57" i="8"/>
  <c r="DKE57" i="8"/>
  <c r="DKD57" i="8"/>
  <c r="DKC57" i="8"/>
  <c r="DKB57" i="8"/>
  <c r="DKA57" i="8"/>
  <c r="DJZ57" i="8"/>
  <c r="DJY57" i="8"/>
  <c r="DJX57" i="8"/>
  <c r="DJW57" i="8"/>
  <c r="DJV57" i="8"/>
  <c r="DJU57" i="8"/>
  <c r="DJT57" i="8"/>
  <c r="DJS57" i="8"/>
  <c r="DJR57" i="8"/>
  <c r="DJQ57" i="8"/>
  <c r="DJP57" i="8"/>
  <c r="DJO57" i="8"/>
  <c r="DJN57" i="8"/>
  <c r="DJM57" i="8"/>
  <c r="DJL57" i="8"/>
  <c r="DJK57" i="8"/>
  <c r="DJJ57" i="8"/>
  <c r="DJI57" i="8"/>
  <c r="DJH57" i="8"/>
  <c r="DJG57" i="8"/>
  <c r="DJF57" i="8"/>
  <c r="DJE57" i="8"/>
  <c r="DJD57" i="8"/>
  <c r="DJC57" i="8"/>
  <c r="DJB57" i="8"/>
  <c r="DJA57" i="8"/>
  <c r="DIZ57" i="8"/>
  <c r="DIY57" i="8"/>
  <c r="DIX57" i="8"/>
  <c r="DIW57" i="8"/>
  <c r="DIV57" i="8"/>
  <c r="DIU57" i="8"/>
  <c r="DIT57" i="8"/>
  <c r="DIS57" i="8"/>
  <c r="DIR57" i="8"/>
  <c r="DIQ57" i="8"/>
  <c r="DIP57" i="8"/>
  <c r="DIO57" i="8"/>
  <c r="DIN57" i="8"/>
  <c r="DIM57" i="8"/>
  <c r="DIL57" i="8"/>
  <c r="DIK57" i="8"/>
  <c r="DIJ57" i="8"/>
  <c r="DII57" i="8"/>
  <c r="DIH57" i="8"/>
  <c r="DIG57" i="8"/>
  <c r="DIF57" i="8"/>
  <c r="DIE57" i="8"/>
  <c r="DID57" i="8"/>
  <c r="DIC57" i="8"/>
  <c r="DIB57" i="8"/>
  <c r="DIA57" i="8"/>
  <c r="DHZ57" i="8"/>
  <c r="DHY57" i="8"/>
  <c r="DHX57" i="8"/>
  <c r="DHW57" i="8"/>
  <c r="DHV57" i="8"/>
  <c r="DHU57" i="8"/>
  <c r="DHT57" i="8"/>
  <c r="DHS57" i="8"/>
  <c r="DHR57" i="8"/>
  <c r="DHQ57" i="8"/>
  <c r="DHP57" i="8"/>
  <c r="DHO57" i="8"/>
  <c r="DHN57" i="8"/>
  <c r="DHM57" i="8"/>
  <c r="DHL57" i="8"/>
  <c r="DHK57" i="8"/>
  <c r="DHJ57" i="8"/>
  <c r="DHI57" i="8"/>
  <c r="DHH57" i="8"/>
  <c r="DHG57" i="8"/>
  <c r="DHF57" i="8"/>
  <c r="DHE57" i="8"/>
  <c r="DHD57" i="8"/>
  <c r="DHC57" i="8"/>
  <c r="DHB57" i="8"/>
  <c r="DHA57" i="8"/>
  <c r="DGZ57" i="8"/>
  <c r="DGY57" i="8"/>
  <c r="DGX57" i="8"/>
  <c r="DGW57" i="8"/>
  <c r="DGV57" i="8"/>
  <c r="DGU57" i="8"/>
  <c r="DGT57" i="8"/>
  <c r="DGS57" i="8"/>
  <c r="DGR57" i="8"/>
  <c r="DGQ57" i="8"/>
  <c r="DGP57" i="8"/>
  <c r="DGO57" i="8"/>
  <c r="DGN57" i="8"/>
  <c r="DGM57" i="8"/>
  <c r="DGL57" i="8"/>
  <c r="DGK57" i="8"/>
  <c r="DGJ57" i="8"/>
  <c r="DGI57" i="8"/>
  <c r="DGH57" i="8"/>
  <c r="DGG57" i="8"/>
  <c r="DGF57" i="8"/>
  <c r="DGE57" i="8"/>
  <c r="DGD57" i="8"/>
  <c r="DGC57" i="8"/>
  <c r="DGB57" i="8"/>
  <c r="DGA57" i="8"/>
  <c r="DFZ57" i="8"/>
  <c r="DFY57" i="8"/>
  <c r="DFX57" i="8"/>
  <c r="DFW57" i="8"/>
  <c r="DFV57" i="8"/>
  <c r="DFU57" i="8"/>
  <c r="DFT57" i="8"/>
  <c r="DFS57" i="8"/>
  <c r="DFR57" i="8"/>
  <c r="DFQ57" i="8"/>
  <c r="DFP57" i="8"/>
  <c r="DFO57" i="8"/>
  <c r="DFN57" i="8"/>
  <c r="DFM57" i="8"/>
  <c r="DFL57" i="8"/>
  <c r="DFK57" i="8"/>
  <c r="DFJ57" i="8"/>
  <c r="DFI57" i="8"/>
  <c r="DFH57" i="8"/>
  <c r="DFG57" i="8"/>
  <c r="DFF57" i="8"/>
  <c r="DFE57" i="8"/>
  <c r="DFD57" i="8"/>
  <c r="DFC57" i="8"/>
  <c r="DFB57" i="8"/>
  <c r="DFA57" i="8"/>
  <c r="DEZ57" i="8"/>
  <c r="DEY57" i="8"/>
  <c r="DEX57" i="8"/>
  <c r="DEW57" i="8"/>
  <c r="DEV57" i="8"/>
  <c r="DEU57" i="8"/>
  <c r="DET57" i="8"/>
  <c r="DES57" i="8"/>
  <c r="DER57" i="8"/>
  <c r="DEQ57" i="8"/>
  <c r="DEP57" i="8"/>
  <c r="DEO57" i="8"/>
  <c r="DEN57" i="8"/>
  <c r="DEM57" i="8"/>
  <c r="DEL57" i="8"/>
  <c r="DEK57" i="8"/>
  <c r="DEJ57" i="8"/>
  <c r="DEI57" i="8"/>
  <c r="DEH57" i="8"/>
  <c r="DEG57" i="8"/>
  <c r="DEF57" i="8"/>
  <c r="DEE57" i="8"/>
  <c r="DED57" i="8"/>
  <c r="DEC57" i="8"/>
  <c r="DEB57" i="8"/>
  <c r="DEA57" i="8"/>
  <c r="DDZ57" i="8"/>
  <c r="DDY57" i="8"/>
  <c r="DDX57" i="8"/>
  <c r="DDW57" i="8"/>
  <c r="DDV57" i="8"/>
  <c r="DDU57" i="8"/>
  <c r="DDT57" i="8"/>
  <c r="DDS57" i="8"/>
  <c r="DDR57" i="8"/>
  <c r="DDQ57" i="8"/>
  <c r="DDP57" i="8"/>
  <c r="DDO57" i="8"/>
  <c r="DDN57" i="8"/>
  <c r="DDM57" i="8"/>
  <c r="DDL57" i="8"/>
  <c r="DDK57" i="8"/>
  <c r="DDJ57" i="8"/>
  <c r="DDI57" i="8"/>
  <c r="DDH57" i="8"/>
  <c r="DDG57" i="8"/>
  <c r="DDF57" i="8"/>
  <c r="DDE57" i="8"/>
  <c r="DDD57" i="8"/>
  <c r="DDC57" i="8"/>
  <c r="DDB57" i="8"/>
  <c r="DDA57" i="8"/>
  <c r="DCZ57" i="8"/>
  <c r="DCY57" i="8"/>
  <c r="DCX57" i="8"/>
  <c r="DCW57" i="8"/>
  <c r="DCV57" i="8"/>
  <c r="DCU57" i="8"/>
  <c r="DCT57" i="8"/>
  <c r="DCS57" i="8"/>
  <c r="DCR57" i="8"/>
  <c r="DCQ57" i="8"/>
  <c r="DCP57" i="8"/>
  <c r="DCO57" i="8"/>
  <c r="DCN57" i="8"/>
  <c r="DCM57" i="8"/>
  <c r="DCL57" i="8"/>
  <c r="DCK57" i="8"/>
  <c r="DCJ57" i="8"/>
  <c r="DCI57" i="8"/>
  <c r="DCH57" i="8"/>
  <c r="DCG57" i="8"/>
  <c r="DCF57" i="8"/>
  <c r="DCE57" i="8"/>
  <c r="DCD57" i="8"/>
  <c r="DCC57" i="8"/>
  <c r="DCB57" i="8"/>
  <c r="DCA57" i="8"/>
  <c r="DBZ57" i="8"/>
  <c r="DBY57" i="8"/>
  <c r="DBX57" i="8"/>
  <c r="DBW57" i="8"/>
  <c r="DBV57" i="8"/>
  <c r="DBU57" i="8"/>
  <c r="DBT57" i="8"/>
  <c r="DBS57" i="8"/>
  <c r="DBR57" i="8"/>
  <c r="DBQ57" i="8"/>
  <c r="DBP57" i="8"/>
  <c r="DBO57" i="8"/>
  <c r="DBN57" i="8"/>
  <c r="DBM57" i="8"/>
  <c r="DBL57" i="8"/>
  <c r="DBK57" i="8"/>
  <c r="DBJ57" i="8"/>
  <c r="DBI57" i="8"/>
  <c r="DBH57" i="8"/>
  <c r="DBG57" i="8"/>
  <c r="DBF57" i="8"/>
  <c r="DBE57" i="8"/>
  <c r="DBD57" i="8"/>
  <c r="DBC57" i="8"/>
  <c r="DBB57" i="8"/>
  <c r="DBA57" i="8"/>
  <c r="DAZ57" i="8"/>
  <c r="DAY57" i="8"/>
  <c r="DAX57" i="8"/>
  <c r="DAW57" i="8"/>
  <c r="DAV57" i="8"/>
  <c r="DAU57" i="8"/>
  <c r="DAT57" i="8"/>
  <c r="DAS57" i="8"/>
  <c r="DAR57" i="8"/>
  <c r="DAQ57" i="8"/>
  <c r="DAP57" i="8"/>
  <c r="DAO57" i="8"/>
  <c r="DAN57" i="8"/>
  <c r="DAM57" i="8"/>
  <c r="DAL57" i="8"/>
  <c r="DAK57" i="8"/>
  <c r="DAJ57" i="8"/>
  <c r="DAI57" i="8"/>
  <c r="DAH57" i="8"/>
  <c r="DAG57" i="8"/>
  <c r="DAF57" i="8"/>
  <c r="DAE57" i="8"/>
  <c r="DAD57" i="8"/>
  <c r="DAC57" i="8"/>
  <c r="DAB57" i="8"/>
  <c r="DAA57" i="8"/>
  <c r="CZZ57" i="8"/>
  <c r="CZY57" i="8"/>
  <c r="CZX57" i="8"/>
  <c r="CZW57" i="8"/>
  <c r="CZV57" i="8"/>
  <c r="CZU57" i="8"/>
  <c r="CZT57" i="8"/>
  <c r="CZS57" i="8"/>
  <c r="CZR57" i="8"/>
  <c r="CZQ57" i="8"/>
  <c r="CZP57" i="8"/>
  <c r="CZO57" i="8"/>
  <c r="CZN57" i="8"/>
  <c r="CZM57" i="8"/>
  <c r="CZL57" i="8"/>
  <c r="CZK57" i="8"/>
  <c r="CZJ57" i="8"/>
  <c r="CZI57" i="8"/>
  <c r="CZH57" i="8"/>
  <c r="CZG57" i="8"/>
  <c r="CZF57" i="8"/>
  <c r="CZE57" i="8"/>
  <c r="CZD57" i="8"/>
  <c r="CZC57" i="8"/>
  <c r="CZB57" i="8"/>
  <c r="CZA57" i="8"/>
  <c r="CYZ57" i="8"/>
  <c r="CYY57" i="8"/>
  <c r="CYX57" i="8"/>
  <c r="CYW57" i="8"/>
  <c r="CYV57" i="8"/>
  <c r="CYU57" i="8"/>
  <c r="CYT57" i="8"/>
  <c r="CYS57" i="8"/>
  <c r="CYR57" i="8"/>
  <c r="CYQ57" i="8"/>
  <c r="CYP57" i="8"/>
  <c r="CYO57" i="8"/>
  <c r="CYN57" i="8"/>
  <c r="CYM57" i="8"/>
  <c r="CYL57" i="8"/>
  <c r="CYK57" i="8"/>
  <c r="CYJ57" i="8"/>
  <c r="CYI57" i="8"/>
  <c r="CYH57" i="8"/>
  <c r="CYG57" i="8"/>
  <c r="CYF57" i="8"/>
  <c r="CYE57" i="8"/>
  <c r="CYD57" i="8"/>
  <c r="CYC57" i="8"/>
  <c r="CYB57" i="8"/>
  <c r="CYA57" i="8"/>
  <c r="CXZ57" i="8"/>
  <c r="CXY57" i="8"/>
  <c r="CXX57" i="8"/>
  <c r="CXW57" i="8"/>
  <c r="CXV57" i="8"/>
  <c r="CXU57" i="8"/>
  <c r="CXT57" i="8"/>
  <c r="CXS57" i="8"/>
  <c r="CXR57" i="8"/>
  <c r="CXQ57" i="8"/>
  <c r="CXP57" i="8"/>
  <c r="CXO57" i="8"/>
  <c r="CXN57" i="8"/>
  <c r="CXM57" i="8"/>
  <c r="CXL57" i="8"/>
  <c r="CXK57" i="8"/>
  <c r="CXJ57" i="8"/>
  <c r="CXI57" i="8"/>
  <c r="CXH57" i="8"/>
  <c r="CXG57" i="8"/>
  <c r="CXF57" i="8"/>
  <c r="CXE57" i="8"/>
  <c r="CXD57" i="8"/>
  <c r="CXC57" i="8"/>
  <c r="CXB57" i="8"/>
  <c r="CXA57" i="8"/>
  <c r="CWZ57" i="8"/>
  <c r="CWY57" i="8"/>
  <c r="CWX57" i="8"/>
  <c r="CWW57" i="8"/>
  <c r="CWV57" i="8"/>
  <c r="CWU57" i="8"/>
  <c r="CWT57" i="8"/>
  <c r="CWS57" i="8"/>
  <c r="CWR57" i="8"/>
  <c r="CWQ57" i="8"/>
  <c r="CWP57" i="8"/>
  <c r="CWO57" i="8"/>
  <c r="CWN57" i="8"/>
  <c r="CWM57" i="8"/>
  <c r="CWL57" i="8"/>
  <c r="CWK57" i="8"/>
  <c r="CWJ57" i="8"/>
  <c r="CWI57" i="8"/>
  <c r="CWH57" i="8"/>
  <c r="CWG57" i="8"/>
  <c r="CWF57" i="8"/>
  <c r="CWE57" i="8"/>
  <c r="CWD57" i="8"/>
  <c r="CWC57" i="8"/>
  <c r="CWB57" i="8"/>
  <c r="CWA57" i="8"/>
  <c r="CVZ57" i="8"/>
  <c r="CVY57" i="8"/>
  <c r="CVX57" i="8"/>
  <c r="CVW57" i="8"/>
  <c r="CVV57" i="8"/>
  <c r="CVU57" i="8"/>
  <c r="CVT57" i="8"/>
  <c r="CVS57" i="8"/>
  <c r="CVR57" i="8"/>
  <c r="CVQ57" i="8"/>
  <c r="CVP57" i="8"/>
  <c r="CVO57" i="8"/>
  <c r="CVN57" i="8"/>
  <c r="CVM57" i="8"/>
  <c r="CVL57" i="8"/>
  <c r="CVK57" i="8"/>
  <c r="CVJ57" i="8"/>
  <c r="CVI57" i="8"/>
  <c r="CVH57" i="8"/>
  <c r="CVG57" i="8"/>
  <c r="CVF57" i="8"/>
  <c r="CVE57" i="8"/>
  <c r="CVD57" i="8"/>
  <c r="CVC57" i="8"/>
  <c r="CVB57" i="8"/>
  <c r="CVA57" i="8"/>
  <c r="CUZ57" i="8"/>
  <c r="CUY57" i="8"/>
  <c r="CUX57" i="8"/>
  <c r="CUW57" i="8"/>
  <c r="CUV57" i="8"/>
  <c r="CUU57" i="8"/>
  <c r="CUT57" i="8"/>
  <c r="CUS57" i="8"/>
  <c r="CUR57" i="8"/>
  <c r="CUQ57" i="8"/>
  <c r="CUP57" i="8"/>
  <c r="CUO57" i="8"/>
  <c r="CUN57" i="8"/>
  <c r="CUM57" i="8"/>
  <c r="CUL57" i="8"/>
  <c r="CUK57" i="8"/>
  <c r="CUJ57" i="8"/>
  <c r="CUI57" i="8"/>
  <c r="CUH57" i="8"/>
  <c r="CUG57" i="8"/>
  <c r="CUF57" i="8"/>
  <c r="CUE57" i="8"/>
  <c r="CUD57" i="8"/>
  <c r="CUC57" i="8"/>
  <c r="CUB57" i="8"/>
  <c r="CUA57" i="8"/>
  <c r="CTZ57" i="8"/>
  <c r="CTY57" i="8"/>
  <c r="CTX57" i="8"/>
  <c r="CTW57" i="8"/>
  <c r="CTV57" i="8"/>
  <c r="CTU57" i="8"/>
  <c r="CTT57" i="8"/>
  <c r="CTS57" i="8"/>
  <c r="CTR57" i="8"/>
  <c r="CTQ57" i="8"/>
  <c r="CTP57" i="8"/>
  <c r="CTO57" i="8"/>
  <c r="CTN57" i="8"/>
  <c r="CTM57" i="8"/>
  <c r="CTL57" i="8"/>
  <c r="CTK57" i="8"/>
  <c r="CTJ57" i="8"/>
  <c r="CTI57" i="8"/>
  <c r="CTH57" i="8"/>
  <c r="CTG57" i="8"/>
  <c r="CTF57" i="8"/>
  <c r="CTE57" i="8"/>
  <c r="CTD57" i="8"/>
  <c r="CTC57" i="8"/>
  <c r="CTB57" i="8"/>
  <c r="CTA57" i="8"/>
  <c r="CSZ57" i="8"/>
  <c r="CSY57" i="8"/>
  <c r="CSX57" i="8"/>
  <c r="CSW57" i="8"/>
  <c r="CSV57" i="8"/>
  <c r="CSU57" i="8"/>
  <c r="CST57" i="8"/>
  <c r="CSS57" i="8"/>
  <c r="CSR57" i="8"/>
  <c r="CSQ57" i="8"/>
  <c r="CSP57" i="8"/>
  <c r="CSO57" i="8"/>
  <c r="CSN57" i="8"/>
  <c r="CSM57" i="8"/>
  <c r="CSL57" i="8"/>
  <c r="CSK57" i="8"/>
  <c r="CSJ57" i="8"/>
  <c r="CSI57" i="8"/>
  <c r="CSH57" i="8"/>
  <c r="CSG57" i="8"/>
  <c r="CSF57" i="8"/>
  <c r="CSE57" i="8"/>
  <c r="CSD57" i="8"/>
  <c r="CSC57" i="8"/>
  <c r="CSB57" i="8"/>
  <c r="CSA57" i="8"/>
  <c r="CRZ57" i="8"/>
  <c r="CRY57" i="8"/>
  <c r="CRX57" i="8"/>
  <c r="CRW57" i="8"/>
  <c r="CRV57" i="8"/>
  <c r="CRU57" i="8"/>
  <c r="CRT57" i="8"/>
  <c r="CRS57" i="8"/>
  <c r="CRR57" i="8"/>
  <c r="CRQ57" i="8"/>
  <c r="CRP57" i="8"/>
  <c r="CRO57" i="8"/>
  <c r="CRN57" i="8"/>
  <c r="CRM57" i="8"/>
  <c r="CRL57" i="8"/>
  <c r="CRK57" i="8"/>
  <c r="CRJ57" i="8"/>
  <c r="CRI57" i="8"/>
  <c r="CRH57" i="8"/>
  <c r="CRG57" i="8"/>
  <c r="CRF57" i="8"/>
  <c r="CRE57" i="8"/>
  <c r="CRD57" i="8"/>
  <c r="CRC57" i="8"/>
  <c r="CRB57" i="8"/>
  <c r="CRA57" i="8"/>
  <c r="CQZ57" i="8"/>
  <c r="CQY57" i="8"/>
  <c r="CQX57" i="8"/>
  <c r="CQW57" i="8"/>
  <c r="CQV57" i="8"/>
  <c r="CQU57" i="8"/>
  <c r="CQT57" i="8"/>
  <c r="CQS57" i="8"/>
  <c r="CQR57" i="8"/>
  <c r="CQQ57" i="8"/>
  <c r="CQP57" i="8"/>
  <c r="CQO57" i="8"/>
  <c r="CQN57" i="8"/>
  <c r="CQM57" i="8"/>
  <c r="CQL57" i="8"/>
  <c r="CQK57" i="8"/>
  <c r="CQJ57" i="8"/>
  <c r="CQI57" i="8"/>
  <c r="CQH57" i="8"/>
  <c r="CQG57" i="8"/>
  <c r="CQF57" i="8"/>
  <c r="CQE57" i="8"/>
  <c r="CQD57" i="8"/>
  <c r="CQC57" i="8"/>
  <c r="CQB57" i="8"/>
  <c r="CQA57" i="8"/>
  <c r="CPZ57" i="8"/>
  <c r="CPY57" i="8"/>
  <c r="CPX57" i="8"/>
  <c r="CPW57" i="8"/>
  <c r="CPV57" i="8"/>
  <c r="CPU57" i="8"/>
  <c r="CPT57" i="8"/>
  <c r="CPS57" i="8"/>
  <c r="CPR57" i="8"/>
  <c r="CPQ57" i="8"/>
  <c r="CPP57" i="8"/>
  <c r="CPO57" i="8"/>
  <c r="CPN57" i="8"/>
  <c r="CPM57" i="8"/>
  <c r="CPL57" i="8"/>
  <c r="CPK57" i="8"/>
  <c r="CPJ57" i="8"/>
  <c r="CPI57" i="8"/>
  <c r="CPH57" i="8"/>
  <c r="CPG57" i="8"/>
  <c r="CPF57" i="8"/>
  <c r="CPE57" i="8"/>
  <c r="CPD57" i="8"/>
  <c r="CPC57" i="8"/>
  <c r="CPB57" i="8"/>
  <c r="CPA57" i="8"/>
  <c r="COZ57" i="8"/>
  <c r="COY57" i="8"/>
  <c r="COX57" i="8"/>
  <c r="COW57" i="8"/>
  <c r="COV57" i="8"/>
  <c r="COU57" i="8"/>
  <c r="COT57" i="8"/>
  <c r="COS57" i="8"/>
  <c r="COR57" i="8"/>
  <c r="COQ57" i="8"/>
  <c r="COP57" i="8"/>
  <c r="COO57" i="8"/>
  <c r="CON57" i="8"/>
  <c r="COM57" i="8"/>
  <c r="COL57" i="8"/>
  <c r="COK57" i="8"/>
  <c r="COJ57" i="8"/>
  <c r="COI57" i="8"/>
  <c r="COH57" i="8"/>
  <c r="COG57" i="8"/>
  <c r="COF57" i="8"/>
  <c r="COE57" i="8"/>
  <c r="COD57" i="8"/>
  <c r="COC57" i="8"/>
  <c r="COB57" i="8"/>
  <c r="COA57" i="8"/>
  <c r="CNZ57" i="8"/>
  <c r="CNY57" i="8"/>
  <c r="CNX57" i="8"/>
  <c r="CNW57" i="8"/>
  <c r="CNV57" i="8"/>
  <c r="CNU57" i="8"/>
  <c r="CNT57" i="8"/>
  <c r="CNS57" i="8"/>
  <c r="CNR57" i="8"/>
  <c r="CNQ57" i="8"/>
  <c r="CNP57" i="8"/>
  <c r="CNO57" i="8"/>
  <c r="CNN57" i="8"/>
  <c r="CNM57" i="8"/>
  <c r="CNL57" i="8"/>
  <c r="CNK57" i="8"/>
  <c r="CNJ57" i="8"/>
  <c r="CNI57" i="8"/>
  <c r="CNH57" i="8"/>
  <c r="CNG57" i="8"/>
  <c r="CNF57" i="8"/>
  <c r="CNE57" i="8"/>
  <c r="CND57" i="8"/>
  <c r="CNC57" i="8"/>
  <c r="CNB57" i="8"/>
  <c r="CNA57" i="8"/>
  <c r="CMZ57" i="8"/>
  <c r="CMY57" i="8"/>
  <c r="CMX57" i="8"/>
  <c r="CMW57" i="8"/>
  <c r="CMV57" i="8"/>
  <c r="CMU57" i="8"/>
  <c r="CMT57" i="8"/>
  <c r="CMS57" i="8"/>
  <c r="CMR57" i="8"/>
  <c r="CMQ57" i="8"/>
  <c r="CMP57" i="8"/>
  <c r="CMO57" i="8"/>
  <c r="CMN57" i="8"/>
  <c r="CMM57" i="8"/>
  <c r="CML57" i="8"/>
  <c r="CMK57" i="8"/>
  <c r="CMJ57" i="8"/>
  <c r="CMI57" i="8"/>
  <c r="CMH57" i="8"/>
  <c r="CMG57" i="8"/>
  <c r="CMF57" i="8"/>
  <c r="CME57" i="8"/>
  <c r="CMD57" i="8"/>
  <c r="CMC57" i="8"/>
  <c r="CMB57" i="8"/>
  <c r="CMA57" i="8"/>
  <c r="CLZ57" i="8"/>
  <c r="CLY57" i="8"/>
  <c r="CLX57" i="8"/>
  <c r="CLW57" i="8"/>
  <c r="CLV57" i="8"/>
  <c r="CLU57" i="8"/>
  <c r="CLT57" i="8"/>
  <c r="CLS57" i="8"/>
  <c r="CLR57" i="8"/>
  <c r="CLQ57" i="8"/>
  <c r="CLP57" i="8"/>
  <c r="CLO57" i="8"/>
  <c r="CLN57" i="8"/>
  <c r="CLM57" i="8"/>
  <c r="CLL57" i="8"/>
  <c r="CLK57" i="8"/>
  <c r="CLJ57" i="8"/>
  <c r="CLI57" i="8"/>
  <c r="CLH57" i="8"/>
  <c r="CLG57" i="8"/>
  <c r="CLF57" i="8"/>
  <c r="CLE57" i="8"/>
  <c r="CLD57" i="8"/>
  <c r="CLC57" i="8"/>
  <c r="CLB57" i="8"/>
  <c r="CLA57" i="8"/>
  <c r="CKZ57" i="8"/>
  <c r="CKY57" i="8"/>
  <c r="CKX57" i="8"/>
  <c r="CKW57" i="8"/>
  <c r="CKV57" i="8"/>
  <c r="CKU57" i="8"/>
  <c r="CKT57" i="8"/>
  <c r="CKS57" i="8"/>
  <c r="CKR57" i="8"/>
  <c r="CKQ57" i="8"/>
  <c r="CKP57" i="8"/>
  <c r="CKO57" i="8"/>
  <c r="CKN57" i="8"/>
  <c r="CKM57" i="8"/>
  <c r="CKL57" i="8"/>
  <c r="CKK57" i="8"/>
  <c r="CKJ57" i="8"/>
  <c r="CKI57" i="8"/>
  <c r="CKH57" i="8"/>
  <c r="CKG57" i="8"/>
  <c r="CKF57" i="8"/>
  <c r="CKE57" i="8"/>
  <c r="CKD57" i="8"/>
  <c r="CKC57" i="8"/>
  <c r="CKB57" i="8"/>
  <c r="CKA57" i="8"/>
  <c r="CJZ57" i="8"/>
  <c r="CJY57" i="8"/>
  <c r="CJX57" i="8"/>
  <c r="CJW57" i="8"/>
  <c r="CJV57" i="8"/>
  <c r="CJU57" i="8"/>
  <c r="CJT57" i="8"/>
  <c r="CJS57" i="8"/>
  <c r="CJR57" i="8"/>
  <c r="CJQ57" i="8"/>
  <c r="CJP57" i="8"/>
  <c r="CJO57" i="8"/>
  <c r="CJN57" i="8"/>
  <c r="CJM57" i="8"/>
  <c r="CJL57" i="8"/>
  <c r="CJK57" i="8"/>
  <c r="CJJ57" i="8"/>
  <c r="CJI57" i="8"/>
  <c r="CJH57" i="8"/>
  <c r="CJG57" i="8"/>
  <c r="CJF57" i="8"/>
  <c r="CJE57" i="8"/>
  <c r="CJD57" i="8"/>
  <c r="CJC57" i="8"/>
  <c r="CJB57" i="8"/>
  <c r="CJA57" i="8"/>
  <c r="CIZ57" i="8"/>
  <c r="CIY57" i="8"/>
  <c r="CIX57" i="8"/>
  <c r="CIW57" i="8"/>
  <c r="CIV57" i="8"/>
  <c r="CIU57" i="8"/>
  <c r="CIT57" i="8"/>
  <c r="CIS57" i="8"/>
  <c r="CIR57" i="8"/>
  <c r="CIQ57" i="8"/>
  <c r="CIP57" i="8"/>
  <c r="CIO57" i="8"/>
  <c r="CIN57" i="8"/>
  <c r="CIM57" i="8"/>
  <c r="CIL57" i="8"/>
  <c r="CIK57" i="8"/>
  <c r="CIJ57" i="8"/>
  <c r="CII57" i="8"/>
  <c r="CIH57" i="8"/>
  <c r="CIG57" i="8"/>
  <c r="CIF57" i="8"/>
  <c r="CIE57" i="8"/>
  <c r="CID57" i="8"/>
  <c r="CIC57" i="8"/>
  <c r="CIB57" i="8"/>
  <c r="CIA57" i="8"/>
  <c r="CHZ57" i="8"/>
  <c r="CHY57" i="8"/>
  <c r="CHX57" i="8"/>
  <c r="CHW57" i="8"/>
  <c r="CHV57" i="8"/>
  <c r="CHU57" i="8"/>
  <c r="CHT57" i="8"/>
  <c r="CHS57" i="8"/>
  <c r="CHR57" i="8"/>
  <c r="CHQ57" i="8"/>
  <c r="CHP57" i="8"/>
  <c r="CHO57" i="8"/>
  <c r="CHN57" i="8"/>
  <c r="CHM57" i="8"/>
  <c r="CHL57" i="8"/>
  <c r="CHK57" i="8"/>
  <c r="CHJ57" i="8"/>
  <c r="CHI57" i="8"/>
  <c r="CHH57" i="8"/>
  <c r="CHG57" i="8"/>
  <c r="CHF57" i="8"/>
  <c r="CHE57" i="8"/>
  <c r="CHD57" i="8"/>
  <c r="CHC57" i="8"/>
  <c r="CHB57" i="8"/>
  <c r="CHA57" i="8"/>
  <c r="CGZ57" i="8"/>
  <c r="CGY57" i="8"/>
  <c r="CGX57" i="8"/>
  <c r="CGW57" i="8"/>
  <c r="CGV57" i="8"/>
  <c r="CGU57" i="8"/>
  <c r="CGT57" i="8"/>
  <c r="CGS57" i="8"/>
  <c r="CGR57" i="8"/>
  <c r="CGQ57" i="8"/>
  <c r="CGP57" i="8"/>
  <c r="CGO57" i="8"/>
  <c r="CGN57" i="8"/>
  <c r="CGM57" i="8"/>
  <c r="CGL57" i="8"/>
  <c r="CGK57" i="8"/>
  <c r="CGJ57" i="8"/>
  <c r="CGI57" i="8"/>
  <c r="CGH57" i="8"/>
  <c r="CGG57" i="8"/>
  <c r="CGF57" i="8"/>
  <c r="CGE57" i="8"/>
  <c r="CGD57" i="8"/>
  <c r="CGC57" i="8"/>
  <c r="CGB57" i="8"/>
  <c r="CGA57" i="8"/>
  <c r="CFZ57" i="8"/>
  <c r="CFY57" i="8"/>
  <c r="CFX57" i="8"/>
  <c r="CFW57" i="8"/>
  <c r="CFV57" i="8"/>
  <c r="CFU57" i="8"/>
  <c r="CFT57" i="8"/>
  <c r="CFS57" i="8"/>
  <c r="CFR57" i="8"/>
  <c r="CFQ57" i="8"/>
  <c r="CFP57" i="8"/>
  <c r="CFO57" i="8"/>
  <c r="CFN57" i="8"/>
  <c r="CFM57" i="8"/>
  <c r="CFL57" i="8"/>
  <c r="CFK57" i="8"/>
  <c r="CFJ57" i="8"/>
  <c r="CFI57" i="8"/>
  <c r="CFH57" i="8"/>
  <c r="CFG57" i="8"/>
  <c r="CFF57" i="8"/>
  <c r="CFE57" i="8"/>
  <c r="CFD57" i="8"/>
  <c r="CFC57" i="8"/>
  <c r="CFB57" i="8"/>
  <c r="CFA57" i="8"/>
  <c r="CEZ57" i="8"/>
  <c r="CEY57" i="8"/>
  <c r="CEX57" i="8"/>
  <c r="CEW57" i="8"/>
  <c r="CEV57" i="8"/>
  <c r="CEU57" i="8"/>
  <c r="CET57" i="8"/>
  <c r="CES57" i="8"/>
  <c r="CER57" i="8"/>
  <c r="CEQ57" i="8"/>
  <c r="CEP57" i="8"/>
  <c r="CEO57" i="8"/>
  <c r="CEN57" i="8"/>
  <c r="CEM57" i="8"/>
  <c r="CEL57" i="8"/>
  <c r="CEK57" i="8"/>
  <c r="CEJ57" i="8"/>
  <c r="CEI57" i="8"/>
  <c r="CEH57" i="8"/>
  <c r="CEG57" i="8"/>
  <c r="CEF57" i="8"/>
  <c r="CEE57" i="8"/>
  <c r="CED57" i="8"/>
  <c r="CEC57" i="8"/>
  <c r="CEB57" i="8"/>
  <c r="CEA57" i="8"/>
  <c r="CDZ57" i="8"/>
  <c r="CDY57" i="8"/>
  <c r="CDX57" i="8"/>
  <c r="CDW57" i="8"/>
  <c r="CDV57" i="8"/>
  <c r="CDU57" i="8"/>
  <c r="CDT57" i="8"/>
  <c r="CDS57" i="8"/>
  <c r="CDR57" i="8"/>
  <c r="CDQ57" i="8"/>
  <c r="CDP57" i="8"/>
  <c r="CDO57" i="8"/>
  <c r="CDN57" i="8"/>
  <c r="CDM57" i="8"/>
  <c r="CDL57" i="8"/>
  <c r="CDK57" i="8"/>
  <c r="CDJ57" i="8"/>
  <c r="CDI57" i="8"/>
  <c r="CDH57" i="8"/>
  <c r="CDG57" i="8"/>
  <c r="CDF57" i="8"/>
  <c r="CDE57" i="8"/>
  <c r="CDD57" i="8"/>
  <c r="CDC57" i="8"/>
  <c r="CDB57" i="8"/>
  <c r="CDA57" i="8"/>
  <c r="CCZ57" i="8"/>
  <c r="CCY57" i="8"/>
  <c r="CCX57" i="8"/>
  <c r="CCW57" i="8"/>
  <c r="CCV57" i="8"/>
  <c r="CCU57" i="8"/>
  <c r="CCT57" i="8"/>
  <c r="CCS57" i="8"/>
  <c r="CCR57" i="8"/>
  <c r="CCQ57" i="8"/>
  <c r="CCP57" i="8"/>
  <c r="CCO57" i="8"/>
  <c r="CCN57" i="8"/>
  <c r="CCM57" i="8"/>
  <c r="CCL57" i="8"/>
  <c r="CCK57" i="8"/>
  <c r="CCJ57" i="8"/>
  <c r="CCI57" i="8"/>
  <c r="CCH57" i="8"/>
  <c r="CCG57" i="8"/>
  <c r="CCF57" i="8"/>
  <c r="CCE57" i="8"/>
  <c r="CCD57" i="8"/>
  <c r="CCC57" i="8"/>
  <c r="CCB57" i="8"/>
  <c r="CCA57" i="8"/>
  <c r="CBZ57" i="8"/>
  <c r="CBY57" i="8"/>
  <c r="CBX57" i="8"/>
  <c r="CBW57" i="8"/>
  <c r="CBV57" i="8"/>
  <c r="CBU57" i="8"/>
  <c r="CBT57" i="8"/>
  <c r="CBS57" i="8"/>
  <c r="CBR57" i="8"/>
  <c r="CBQ57" i="8"/>
  <c r="CBP57" i="8"/>
  <c r="CBO57" i="8"/>
  <c r="CBN57" i="8"/>
  <c r="CBM57" i="8"/>
  <c r="CBL57" i="8"/>
  <c r="CBK57" i="8"/>
  <c r="CBJ57" i="8"/>
  <c r="CBI57" i="8"/>
  <c r="CBH57" i="8"/>
  <c r="CBG57" i="8"/>
  <c r="CBF57" i="8"/>
  <c r="CBE57" i="8"/>
  <c r="CBD57" i="8"/>
  <c r="CBC57" i="8"/>
  <c r="CBB57" i="8"/>
  <c r="CBA57" i="8"/>
  <c r="CAZ57" i="8"/>
  <c r="CAY57" i="8"/>
  <c r="CAX57" i="8"/>
  <c r="CAW57" i="8"/>
  <c r="CAV57" i="8"/>
  <c r="CAU57" i="8"/>
  <c r="CAT57" i="8"/>
  <c r="CAS57" i="8"/>
  <c r="CAR57" i="8"/>
  <c r="CAQ57" i="8"/>
  <c r="CAP57" i="8"/>
  <c r="CAO57" i="8"/>
  <c r="CAN57" i="8"/>
  <c r="CAM57" i="8"/>
  <c r="CAL57" i="8"/>
  <c r="CAK57" i="8"/>
  <c r="CAJ57" i="8"/>
  <c r="CAI57" i="8"/>
  <c r="CAH57" i="8"/>
  <c r="CAG57" i="8"/>
  <c r="CAF57" i="8"/>
  <c r="CAE57" i="8"/>
  <c r="CAD57" i="8"/>
  <c r="CAC57" i="8"/>
  <c r="CAB57" i="8"/>
  <c r="CAA57" i="8"/>
  <c r="BZZ57" i="8"/>
  <c r="BZY57" i="8"/>
  <c r="BZX57" i="8"/>
  <c r="BZW57" i="8"/>
  <c r="BZV57" i="8"/>
  <c r="BZU57" i="8"/>
  <c r="BZT57" i="8"/>
  <c r="BZS57" i="8"/>
  <c r="BZR57" i="8"/>
  <c r="BZQ57" i="8"/>
  <c r="BZP57" i="8"/>
  <c r="BZO57" i="8"/>
  <c r="BZN57" i="8"/>
  <c r="BZM57" i="8"/>
  <c r="BZL57" i="8"/>
  <c r="BZK57" i="8"/>
  <c r="BZJ57" i="8"/>
  <c r="BZI57" i="8"/>
  <c r="BZH57" i="8"/>
  <c r="BZG57" i="8"/>
  <c r="BZF57" i="8"/>
  <c r="BZE57" i="8"/>
  <c r="BZD57" i="8"/>
  <c r="BZC57" i="8"/>
  <c r="BZB57" i="8"/>
  <c r="BZA57" i="8"/>
  <c r="BYZ57" i="8"/>
  <c r="BYY57" i="8"/>
  <c r="BYX57" i="8"/>
  <c r="BYW57" i="8"/>
  <c r="BYV57" i="8"/>
  <c r="BYU57" i="8"/>
  <c r="BYT57" i="8"/>
  <c r="BYS57" i="8"/>
  <c r="BYR57" i="8"/>
  <c r="BYQ57" i="8"/>
  <c r="BYP57" i="8"/>
  <c r="BYO57" i="8"/>
  <c r="BYN57" i="8"/>
  <c r="BYM57" i="8"/>
  <c r="BYL57" i="8"/>
  <c r="BYK57" i="8"/>
  <c r="BYJ57" i="8"/>
  <c r="BYI57" i="8"/>
  <c r="BYH57" i="8"/>
  <c r="BYG57" i="8"/>
  <c r="BYF57" i="8"/>
  <c r="BYE57" i="8"/>
  <c r="BYD57" i="8"/>
  <c r="BYC57" i="8"/>
  <c r="BYB57" i="8"/>
  <c r="BYA57" i="8"/>
  <c r="BXZ57" i="8"/>
  <c r="BXY57" i="8"/>
  <c r="BXX57" i="8"/>
  <c r="BXW57" i="8"/>
  <c r="BXV57" i="8"/>
  <c r="BXU57" i="8"/>
  <c r="BXT57" i="8"/>
  <c r="BXS57" i="8"/>
  <c r="BXR57" i="8"/>
  <c r="BXQ57" i="8"/>
  <c r="BXP57" i="8"/>
  <c r="BXO57" i="8"/>
  <c r="BXN57" i="8"/>
  <c r="BXM57" i="8"/>
  <c r="BXL57" i="8"/>
  <c r="BXK57" i="8"/>
  <c r="BXJ57" i="8"/>
  <c r="BXI57" i="8"/>
  <c r="BXH57" i="8"/>
  <c r="BXG57" i="8"/>
  <c r="BXF57" i="8"/>
  <c r="BXE57" i="8"/>
  <c r="BXD57" i="8"/>
  <c r="BXC57" i="8"/>
  <c r="BXB57" i="8"/>
  <c r="BXA57" i="8"/>
  <c r="BWZ57" i="8"/>
  <c r="BWY57" i="8"/>
  <c r="BWX57" i="8"/>
  <c r="BWW57" i="8"/>
  <c r="BWV57" i="8"/>
  <c r="BWU57" i="8"/>
  <c r="BWT57" i="8"/>
  <c r="BWS57" i="8"/>
  <c r="BWR57" i="8"/>
  <c r="BWQ57" i="8"/>
  <c r="BWP57" i="8"/>
  <c r="BWO57" i="8"/>
  <c r="BWN57" i="8"/>
  <c r="BWM57" i="8"/>
  <c r="BWL57" i="8"/>
  <c r="BWK57" i="8"/>
  <c r="BWJ57" i="8"/>
  <c r="BWI57" i="8"/>
  <c r="BWH57" i="8"/>
  <c r="BWG57" i="8"/>
  <c r="BWF57" i="8"/>
  <c r="BWE57" i="8"/>
  <c r="BWD57" i="8"/>
  <c r="BWC57" i="8"/>
  <c r="BWB57" i="8"/>
  <c r="BWA57" i="8"/>
  <c r="BVZ57" i="8"/>
  <c r="BVY57" i="8"/>
  <c r="BVX57" i="8"/>
  <c r="BVW57" i="8"/>
  <c r="BVV57" i="8"/>
  <c r="BVU57" i="8"/>
  <c r="BVT57" i="8"/>
  <c r="BVS57" i="8"/>
  <c r="BVR57" i="8"/>
  <c r="BVQ57" i="8"/>
  <c r="BVP57" i="8"/>
  <c r="BVO57" i="8"/>
  <c r="BVN57" i="8"/>
  <c r="BVM57" i="8"/>
  <c r="BVL57" i="8"/>
  <c r="BVK57" i="8"/>
  <c r="BVJ57" i="8"/>
  <c r="BVI57" i="8"/>
  <c r="BVH57" i="8"/>
  <c r="BVG57" i="8"/>
  <c r="BVF57" i="8"/>
  <c r="BVE57" i="8"/>
  <c r="BVD57" i="8"/>
  <c r="BVC57" i="8"/>
  <c r="BVB57" i="8"/>
  <c r="BVA57" i="8"/>
  <c r="BUZ57" i="8"/>
  <c r="BUY57" i="8"/>
  <c r="BUX57" i="8"/>
  <c r="BUW57" i="8"/>
  <c r="BUV57" i="8"/>
  <c r="BUU57" i="8"/>
  <c r="BUT57" i="8"/>
  <c r="BUS57" i="8"/>
  <c r="BUR57" i="8"/>
  <c r="BUQ57" i="8"/>
  <c r="BUP57" i="8"/>
  <c r="BUO57" i="8"/>
  <c r="BUN57" i="8"/>
  <c r="BUM57" i="8"/>
  <c r="BUL57" i="8"/>
  <c r="BUK57" i="8"/>
  <c r="BUJ57" i="8"/>
  <c r="BUI57" i="8"/>
  <c r="BUH57" i="8"/>
  <c r="BUG57" i="8"/>
  <c r="BUF57" i="8"/>
  <c r="BUE57" i="8"/>
  <c r="BUD57" i="8"/>
  <c r="BUC57" i="8"/>
  <c r="BUB57" i="8"/>
  <c r="BUA57" i="8"/>
  <c r="BTZ57" i="8"/>
  <c r="BTY57" i="8"/>
  <c r="BTX57" i="8"/>
  <c r="BTW57" i="8"/>
  <c r="BTV57" i="8"/>
  <c r="BTU57" i="8"/>
  <c r="BTT57" i="8"/>
  <c r="BTS57" i="8"/>
  <c r="BTR57" i="8"/>
  <c r="BTQ57" i="8"/>
  <c r="BTP57" i="8"/>
  <c r="BTO57" i="8"/>
  <c r="BTN57" i="8"/>
  <c r="BTM57" i="8"/>
  <c r="BTL57" i="8"/>
  <c r="BTK57" i="8"/>
  <c r="BTJ57" i="8"/>
  <c r="BTI57" i="8"/>
  <c r="BTH57" i="8"/>
  <c r="BTG57" i="8"/>
  <c r="BTF57" i="8"/>
  <c r="BTE57" i="8"/>
  <c r="BTD57" i="8"/>
  <c r="BTC57" i="8"/>
  <c r="BTB57" i="8"/>
  <c r="BTA57" i="8"/>
  <c r="BSZ57" i="8"/>
  <c r="BSY57" i="8"/>
  <c r="BSX57" i="8"/>
  <c r="BSW57" i="8"/>
  <c r="BSV57" i="8"/>
  <c r="BSU57" i="8"/>
  <c r="BST57" i="8"/>
  <c r="BSS57" i="8"/>
  <c r="BSR57" i="8"/>
  <c r="BSQ57" i="8"/>
  <c r="BSP57" i="8"/>
  <c r="BSO57" i="8"/>
  <c r="BSN57" i="8"/>
  <c r="BSM57" i="8"/>
  <c r="BSL57" i="8"/>
  <c r="BSK57" i="8"/>
  <c r="BSJ57" i="8"/>
  <c r="BSI57" i="8"/>
  <c r="BSH57" i="8"/>
  <c r="BSG57" i="8"/>
  <c r="BSF57" i="8"/>
  <c r="BSE57" i="8"/>
  <c r="BSD57" i="8"/>
  <c r="BSC57" i="8"/>
  <c r="BSB57" i="8"/>
  <c r="BSA57" i="8"/>
  <c r="BRZ57" i="8"/>
  <c r="BRY57" i="8"/>
  <c r="BRX57" i="8"/>
  <c r="BRW57" i="8"/>
  <c r="BRV57" i="8"/>
  <c r="BRU57" i="8"/>
  <c r="BRT57" i="8"/>
  <c r="BRS57" i="8"/>
  <c r="BRR57" i="8"/>
  <c r="BRQ57" i="8"/>
  <c r="BRP57" i="8"/>
  <c r="BRO57" i="8"/>
  <c r="BRN57" i="8"/>
  <c r="BRM57" i="8"/>
  <c r="BRL57" i="8"/>
  <c r="BRK57" i="8"/>
  <c r="BRJ57" i="8"/>
  <c r="BRI57" i="8"/>
  <c r="BRH57" i="8"/>
  <c r="BRG57" i="8"/>
  <c r="BRF57" i="8"/>
  <c r="BRE57" i="8"/>
  <c r="BRD57" i="8"/>
  <c r="BRC57" i="8"/>
  <c r="BRB57" i="8"/>
  <c r="BRA57" i="8"/>
  <c r="BQZ57" i="8"/>
  <c r="BQY57" i="8"/>
  <c r="BQX57" i="8"/>
  <c r="BQW57" i="8"/>
  <c r="BQV57" i="8"/>
  <c r="BQU57" i="8"/>
  <c r="BQT57" i="8"/>
  <c r="BQS57" i="8"/>
  <c r="BQR57" i="8"/>
  <c r="BQQ57" i="8"/>
  <c r="BQP57" i="8"/>
  <c r="BQO57" i="8"/>
  <c r="BQN57" i="8"/>
  <c r="BQM57" i="8"/>
  <c r="BQL57" i="8"/>
  <c r="BQK57" i="8"/>
  <c r="BQJ57" i="8"/>
  <c r="BQI57" i="8"/>
  <c r="BQH57" i="8"/>
  <c r="BQG57" i="8"/>
  <c r="BQF57" i="8"/>
  <c r="BQE57" i="8"/>
  <c r="BQD57" i="8"/>
  <c r="BQC57" i="8"/>
  <c r="BQB57" i="8"/>
  <c r="BQA57" i="8"/>
  <c r="BPZ57" i="8"/>
  <c r="BPY57" i="8"/>
  <c r="BPX57" i="8"/>
  <c r="BPW57" i="8"/>
  <c r="BPV57" i="8"/>
  <c r="BPU57" i="8"/>
  <c r="BPT57" i="8"/>
  <c r="BPS57" i="8"/>
  <c r="BPR57" i="8"/>
  <c r="BPQ57" i="8"/>
  <c r="BPP57" i="8"/>
  <c r="BPO57" i="8"/>
  <c r="BPN57" i="8"/>
  <c r="BPM57" i="8"/>
  <c r="BPL57" i="8"/>
  <c r="BPK57" i="8"/>
  <c r="BPJ57" i="8"/>
  <c r="BPI57" i="8"/>
  <c r="BPH57" i="8"/>
  <c r="BPG57" i="8"/>
  <c r="BPF57" i="8"/>
  <c r="BPE57" i="8"/>
  <c r="BPD57" i="8"/>
  <c r="BPC57" i="8"/>
  <c r="BPB57" i="8"/>
  <c r="BPA57" i="8"/>
  <c r="BOZ57" i="8"/>
  <c r="BOY57" i="8"/>
  <c r="BOX57" i="8"/>
  <c r="BOW57" i="8"/>
  <c r="BOV57" i="8"/>
  <c r="BOU57" i="8"/>
  <c r="BOT57" i="8"/>
  <c r="BOS57" i="8"/>
  <c r="BOR57" i="8"/>
  <c r="BOQ57" i="8"/>
  <c r="BOP57" i="8"/>
  <c r="BOO57" i="8"/>
  <c r="BON57" i="8"/>
  <c r="BOM57" i="8"/>
  <c r="BOL57" i="8"/>
  <c r="BOK57" i="8"/>
  <c r="BOJ57" i="8"/>
  <c r="BOI57" i="8"/>
  <c r="BOH57" i="8"/>
  <c r="BOG57" i="8"/>
  <c r="BOF57" i="8"/>
  <c r="BOE57" i="8"/>
  <c r="BOD57" i="8"/>
  <c r="BOC57" i="8"/>
  <c r="BOB57" i="8"/>
  <c r="BOA57" i="8"/>
  <c r="BNZ57" i="8"/>
  <c r="BNY57" i="8"/>
  <c r="BNX57" i="8"/>
  <c r="BNW57" i="8"/>
  <c r="BNV57" i="8"/>
  <c r="BNU57" i="8"/>
  <c r="BNT57" i="8"/>
  <c r="BNS57" i="8"/>
  <c r="BNR57" i="8"/>
  <c r="BNQ57" i="8"/>
  <c r="BNP57" i="8"/>
  <c r="BNO57" i="8"/>
  <c r="BNN57" i="8"/>
  <c r="BNM57" i="8"/>
  <c r="BNL57" i="8"/>
  <c r="BNK57" i="8"/>
  <c r="BNJ57" i="8"/>
  <c r="BNI57" i="8"/>
  <c r="BNH57" i="8"/>
  <c r="BNG57" i="8"/>
  <c r="BNF57" i="8"/>
  <c r="BNE57" i="8"/>
  <c r="BND57" i="8"/>
  <c r="BNC57" i="8"/>
  <c r="BNB57" i="8"/>
  <c r="BNA57" i="8"/>
  <c r="BMZ57" i="8"/>
  <c r="BMY57" i="8"/>
  <c r="BMX57" i="8"/>
  <c r="BMW57" i="8"/>
  <c r="BMV57" i="8"/>
  <c r="BMU57" i="8"/>
  <c r="BMT57" i="8"/>
  <c r="BMS57" i="8"/>
  <c r="BMR57" i="8"/>
  <c r="BMQ57" i="8"/>
  <c r="BMP57" i="8"/>
  <c r="BMO57" i="8"/>
  <c r="BMN57" i="8"/>
  <c r="BMM57" i="8"/>
  <c r="BML57" i="8"/>
  <c r="BMK57" i="8"/>
  <c r="BMJ57" i="8"/>
  <c r="BMI57" i="8"/>
  <c r="BMH57" i="8"/>
  <c r="BMG57" i="8"/>
  <c r="BMF57" i="8"/>
  <c r="BME57" i="8"/>
  <c r="BMD57" i="8"/>
  <c r="BMC57" i="8"/>
  <c r="BMB57" i="8"/>
  <c r="BMA57" i="8"/>
  <c r="BLZ57" i="8"/>
  <c r="BLY57" i="8"/>
  <c r="BLX57" i="8"/>
  <c r="BLW57" i="8"/>
  <c r="BLV57" i="8"/>
  <c r="BLU57" i="8"/>
  <c r="BLT57" i="8"/>
  <c r="BLS57" i="8"/>
  <c r="BLR57" i="8"/>
  <c r="BLQ57" i="8"/>
  <c r="BLP57" i="8"/>
  <c r="BLO57" i="8"/>
  <c r="BLN57" i="8"/>
  <c r="BLM57" i="8"/>
  <c r="BLL57" i="8"/>
  <c r="BLK57" i="8"/>
  <c r="BLJ57" i="8"/>
  <c r="BLI57" i="8"/>
  <c r="BLH57" i="8"/>
  <c r="BLG57" i="8"/>
  <c r="BLF57" i="8"/>
  <c r="BLE57" i="8"/>
  <c r="BLD57" i="8"/>
  <c r="BLC57" i="8"/>
  <c r="BLB57" i="8"/>
  <c r="BLA57" i="8"/>
  <c r="BKZ57" i="8"/>
  <c r="BKY57" i="8"/>
  <c r="BKX57" i="8"/>
  <c r="BKW57" i="8"/>
  <c r="BKV57" i="8"/>
  <c r="BKU57" i="8"/>
  <c r="BKT57" i="8"/>
  <c r="BKS57" i="8"/>
  <c r="BKR57" i="8"/>
  <c r="BKQ57" i="8"/>
  <c r="BKP57" i="8"/>
  <c r="BKO57" i="8"/>
  <c r="BKN57" i="8"/>
  <c r="BKM57" i="8"/>
  <c r="BKL57" i="8"/>
  <c r="BKK57" i="8"/>
  <c r="BKJ57" i="8"/>
  <c r="BKI57" i="8"/>
  <c r="BKH57" i="8"/>
  <c r="BKG57" i="8"/>
  <c r="BKF57" i="8"/>
  <c r="BKE57" i="8"/>
  <c r="BKD57" i="8"/>
  <c r="BKC57" i="8"/>
  <c r="BKB57" i="8"/>
  <c r="BKA57" i="8"/>
  <c r="BJZ57" i="8"/>
  <c r="BJY57" i="8"/>
  <c r="BJX57" i="8"/>
  <c r="BJW57" i="8"/>
  <c r="BJV57" i="8"/>
  <c r="BJU57" i="8"/>
  <c r="BJT57" i="8"/>
  <c r="BJS57" i="8"/>
  <c r="BJR57" i="8"/>
  <c r="BJQ57" i="8"/>
  <c r="BJP57" i="8"/>
  <c r="BJO57" i="8"/>
  <c r="BJN57" i="8"/>
  <c r="BJM57" i="8"/>
  <c r="BJL57" i="8"/>
  <c r="BJK57" i="8"/>
  <c r="BJJ57" i="8"/>
  <c r="BJI57" i="8"/>
  <c r="BJH57" i="8"/>
  <c r="BJG57" i="8"/>
  <c r="BJF57" i="8"/>
  <c r="BJE57" i="8"/>
  <c r="BJD57" i="8"/>
  <c r="BJC57" i="8"/>
  <c r="BJB57" i="8"/>
  <c r="BJA57" i="8"/>
  <c r="BIZ57" i="8"/>
  <c r="BIY57" i="8"/>
  <c r="BIX57" i="8"/>
  <c r="BIW57" i="8"/>
  <c r="BIV57" i="8"/>
  <c r="BIU57" i="8"/>
  <c r="BIT57" i="8"/>
  <c r="BIS57" i="8"/>
  <c r="BIR57" i="8"/>
  <c r="BIQ57" i="8"/>
  <c r="BIP57" i="8"/>
  <c r="BIO57" i="8"/>
  <c r="BIN57" i="8"/>
  <c r="BIM57" i="8"/>
  <c r="BIL57" i="8"/>
  <c r="BIK57" i="8"/>
  <c r="BIJ57" i="8"/>
  <c r="BII57" i="8"/>
  <c r="BIH57" i="8"/>
  <c r="BIG57" i="8"/>
  <c r="BIF57" i="8"/>
  <c r="BIE57" i="8"/>
  <c r="BID57" i="8"/>
  <c r="BIC57" i="8"/>
  <c r="BIB57" i="8"/>
  <c r="BIA57" i="8"/>
  <c r="BHZ57" i="8"/>
  <c r="BHY57" i="8"/>
  <c r="BHX57" i="8"/>
  <c r="BHW57" i="8"/>
  <c r="BHV57" i="8"/>
  <c r="BHU57" i="8"/>
  <c r="BHT57" i="8"/>
  <c r="BHS57" i="8"/>
  <c r="BHR57" i="8"/>
  <c r="BHQ57" i="8"/>
  <c r="BHP57" i="8"/>
  <c r="BHO57" i="8"/>
  <c r="BHN57" i="8"/>
  <c r="BHM57" i="8"/>
  <c r="BHL57" i="8"/>
  <c r="BHK57" i="8"/>
  <c r="BHJ57" i="8"/>
  <c r="BHI57" i="8"/>
  <c r="BHH57" i="8"/>
  <c r="BHG57" i="8"/>
  <c r="BHF57" i="8"/>
  <c r="BHE57" i="8"/>
  <c r="BHD57" i="8"/>
  <c r="BHC57" i="8"/>
  <c r="BHB57" i="8"/>
  <c r="BHA57" i="8"/>
  <c r="BGZ57" i="8"/>
  <c r="BGY57" i="8"/>
  <c r="BGX57" i="8"/>
  <c r="BGW57" i="8"/>
  <c r="BGV57" i="8"/>
  <c r="BGU57" i="8"/>
  <c r="BGT57" i="8"/>
  <c r="BGS57" i="8"/>
  <c r="BGR57" i="8"/>
  <c r="BGQ57" i="8"/>
  <c r="BGP57" i="8"/>
  <c r="BGO57" i="8"/>
  <c r="BGN57" i="8"/>
  <c r="BGM57" i="8"/>
  <c r="BGL57" i="8"/>
  <c r="BGK57" i="8"/>
  <c r="BGJ57" i="8"/>
  <c r="BGI57" i="8"/>
  <c r="BGH57" i="8"/>
  <c r="BGG57" i="8"/>
  <c r="BGF57" i="8"/>
  <c r="BGE57" i="8"/>
  <c r="BGD57" i="8"/>
  <c r="BGC57" i="8"/>
  <c r="BGB57" i="8"/>
  <c r="BGA57" i="8"/>
  <c r="BFZ57" i="8"/>
  <c r="BFY57" i="8"/>
  <c r="BFX57" i="8"/>
  <c r="BFW57" i="8"/>
  <c r="BFV57" i="8"/>
  <c r="BFU57" i="8"/>
  <c r="BFT57" i="8"/>
  <c r="BFS57" i="8"/>
  <c r="BFR57" i="8"/>
  <c r="BFQ57" i="8"/>
  <c r="BFP57" i="8"/>
  <c r="BFO57" i="8"/>
  <c r="BFN57" i="8"/>
  <c r="BFM57" i="8"/>
  <c r="BFL57" i="8"/>
  <c r="BFK57" i="8"/>
  <c r="BFJ57" i="8"/>
  <c r="BFI57" i="8"/>
  <c r="BFH57" i="8"/>
  <c r="BFG57" i="8"/>
  <c r="BFF57" i="8"/>
  <c r="BFE57" i="8"/>
  <c r="BFD57" i="8"/>
  <c r="BFC57" i="8"/>
  <c r="BFB57" i="8"/>
  <c r="BFA57" i="8"/>
  <c r="BEZ57" i="8"/>
  <c r="BEY57" i="8"/>
  <c r="BEX57" i="8"/>
  <c r="BEW57" i="8"/>
  <c r="BEV57" i="8"/>
  <c r="BEU57" i="8"/>
  <c r="BET57" i="8"/>
  <c r="BES57" i="8"/>
  <c r="BER57" i="8"/>
  <c r="BEQ57" i="8"/>
  <c r="BEP57" i="8"/>
  <c r="BEO57" i="8"/>
  <c r="BEN57" i="8"/>
  <c r="BEM57" i="8"/>
  <c r="BEL57" i="8"/>
  <c r="BEK57" i="8"/>
  <c r="BEJ57" i="8"/>
  <c r="BEI57" i="8"/>
  <c r="BEH57" i="8"/>
  <c r="BEG57" i="8"/>
  <c r="BEF57" i="8"/>
  <c r="BEE57" i="8"/>
  <c r="BED57" i="8"/>
  <c r="BEC57" i="8"/>
  <c r="BEB57" i="8"/>
  <c r="BEA57" i="8"/>
  <c r="BDZ57" i="8"/>
  <c r="BDY57" i="8"/>
  <c r="BDX57" i="8"/>
  <c r="BDW57" i="8"/>
  <c r="BDV57" i="8"/>
  <c r="BDU57" i="8"/>
  <c r="BDT57" i="8"/>
  <c r="BDS57" i="8"/>
  <c r="BDR57" i="8"/>
  <c r="BDQ57" i="8"/>
  <c r="BDP57" i="8"/>
  <c r="BDO57" i="8"/>
  <c r="BDN57" i="8"/>
  <c r="BDM57" i="8"/>
  <c r="BDL57" i="8"/>
  <c r="BDK57" i="8"/>
  <c r="BDJ57" i="8"/>
  <c r="BDI57" i="8"/>
  <c r="BDH57" i="8"/>
  <c r="BDG57" i="8"/>
  <c r="BDF57" i="8"/>
  <c r="BDE57" i="8"/>
  <c r="BDD57" i="8"/>
  <c r="BDC57" i="8"/>
  <c r="BDB57" i="8"/>
  <c r="BDA57" i="8"/>
  <c r="BCZ57" i="8"/>
  <c r="BCY57" i="8"/>
  <c r="BCX57" i="8"/>
  <c r="BCW57" i="8"/>
  <c r="BCV57" i="8"/>
  <c r="BCU57" i="8"/>
  <c r="BCT57" i="8"/>
  <c r="BCS57" i="8"/>
  <c r="BCR57" i="8"/>
  <c r="BCQ57" i="8"/>
  <c r="BCP57" i="8"/>
  <c r="BCO57" i="8"/>
  <c r="BCN57" i="8"/>
  <c r="BCM57" i="8"/>
  <c r="BCL57" i="8"/>
  <c r="BCK57" i="8"/>
  <c r="BCJ57" i="8"/>
  <c r="BCI57" i="8"/>
  <c r="BCH57" i="8"/>
  <c r="BCG57" i="8"/>
  <c r="BCF57" i="8"/>
  <c r="BCE57" i="8"/>
  <c r="BCD57" i="8"/>
  <c r="BCC57" i="8"/>
  <c r="BCB57" i="8"/>
  <c r="BCA57" i="8"/>
  <c r="BBZ57" i="8"/>
  <c r="BBY57" i="8"/>
  <c r="BBX57" i="8"/>
  <c r="BBW57" i="8"/>
  <c r="BBV57" i="8"/>
  <c r="BBU57" i="8"/>
  <c r="BBT57" i="8"/>
  <c r="BBS57" i="8"/>
  <c r="BBR57" i="8"/>
  <c r="BBQ57" i="8"/>
  <c r="BBP57" i="8"/>
  <c r="BBO57" i="8"/>
  <c r="BBN57" i="8"/>
  <c r="BBM57" i="8"/>
  <c r="BBL57" i="8"/>
  <c r="BBK57" i="8"/>
  <c r="BBJ57" i="8"/>
  <c r="BBI57" i="8"/>
  <c r="BBH57" i="8"/>
  <c r="BBG57" i="8"/>
  <c r="BBF57" i="8"/>
  <c r="BBE57" i="8"/>
  <c r="BBD57" i="8"/>
  <c r="BBC57" i="8"/>
  <c r="BBB57" i="8"/>
  <c r="BBA57" i="8"/>
  <c r="BAZ57" i="8"/>
  <c r="BAY57" i="8"/>
  <c r="BAX57" i="8"/>
  <c r="BAW57" i="8"/>
  <c r="BAV57" i="8"/>
  <c r="BAU57" i="8"/>
  <c r="BAT57" i="8"/>
  <c r="BAS57" i="8"/>
  <c r="BAR57" i="8"/>
  <c r="BAQ57" i="8"/>
  <c r="BAP57" i="8"/>
  <c r="BAO57" i="8"/>
  <c r="BAN57" i="8"/>
  <c r="BAM57" i="8"/>
  <c r="BAL57" i="8"/>
  <c r="BAK57" i="8"/>
  <c r="BAJ57" i="8"/>
  <c r="BAI57" i="8"/>
  <c r="BAH57" i="8"/>
  <c r="BAG57" i="8"/>
  <c r="BAF57" i="8"/>
  <c r="BAE57" i="8"/>
  <c r="BAD57" i="8"/>
  <c r="BAC57" i="8"/>
  <c r="BAB57" i="8"/>
  <c r="BAA57" i="8"/>
  <c r="AZZ57" i="8"/>
  <c r="AZY57" i="8"/>
  <c r="AZX57" i="8"/>
  <c r="AZW57" i="8"/>
  <c r="AZV57" i="8"/>
  <c r="AZU57" i="8"/>
  <c r="AZT57" i="8"/>
  <c r="AZS57" i="8"/>
  <c r="AZR57" i="8"/>
  <c r="AZQ57" i="8"/>
  <c r="AZP57" i="8"/>
  <c r="AZO57" i="8"/>
  <c r="AZN57" i="8"/>
  <c r="AZM57" i="8"/>
  <c r="AZL57" i="8"/>
  <c r="AZK57" i="8"/>
  <c r="AZJ57" i="8"/>
  <c r="AZI57" i="8"/>
  <c r="AZH57" i="8"/>
  <c r="AZG57" i="8"/>
  <c r="AZF57" i="8"/>
  <c r="AZE57" i="8"/>
  <c r="AZD57" i="8"/>
  <c r="AZC57" i="8"/>
  <c r="AZB57" i="8"/>
  <c r="AZA57" i="8"/>
  <c r="AYZ57" i="8"/>
  <c r="AYY57" i="8"/>
  <c r="AYX57" i="8"/>
  <c r="AYW57" i="8"/>
  <c r="AYV57" i="8"/>
  <c r="AYU57" i="8"/>
  <c r="AYT57" i="8"/>
  <c r="AYS57" i="8"/>
  <c r="AYR57" i="8"/>
  <c r="AYQ57" i="8"/>
  <c r="AYP57" i="8"/>
  <c r="AYO57" i="8"/>
  <c r="AYN57" i="8"/>
  <c r="AYM57" i="8"/>
  <c r="AYL57" i="8"/>
  <c r="AYK57" i="8"/>
  <c r="AYJ57" i="8"/>
  <c r="AYI57" i="8"/>
  <c r="AYH57" i="8"/>
  <c r="AYG57" i="8"/>
  <c r="AYF57" i="8"/>
  <c r="AYE57" i="8"/>
  <c r="AYD57" i="8"/>
  <c r="AYC57" i="8"/>
  <c r="AYB57" i="8"/>
  <c r="AYA57" i="8"/>
  <c r="AXZ57" i="8"/>
  <c r="AXY57" i="8"/>
  <c r="AXX57" i="8"/>
  <c r="AXW57" i="8"/>
  <c r="AXV57" i="8"/>
  <c r="AXU57" i="8"/>
  <c r="AXT57" i="8"/>
  <c r="AXS57" i="8"/>
  <c r="AXR57" i="8"/>
  <c r="AXQ57" i="8"/>
  <c r="AXP57" i="8"/>
  <c r="AXO57" i="8"/>
  <c r="AXN57" i="8"/>
  <c r="AXM57" i="8"/>
  <c r="AXL57" i="8"/>
  <c r="AXK57" i="8"/>
  <c r="AXJ57" i="8"/>
  <c r="AXI57" i="8"/>
  <c r="AXH57" i="8"/>
  <c r="AXG57" i="8"/>
  <c r="AXF57" i="8"/>
  <c r="AXE57" i="8"/>
  <c r="AXD57" i="8"/>
  <c r="AXC57" i="8"/>
  <c r="AXB57" i="8"/>
  <c r="AXA57" i="8"/>
  <c r="AWZ57" i="8"/>
  <c r="AWY57" i="8"/>
  <c r="AWX57" i="8"/>
  <c r="AWW57" i="8"/>
  <c r="AWV57" i="8"/>
  <c r="AWU57" i="8"/>
  <c r="AWT57" i="8"/>
  <c r="AWS57" i="8"/>
  <c r="AWR57" i="8"/>
  <c r="AWQ57" i="8"/>
  <c r="AWP57" i="8"/>
  <c r="AWO57" i="8"/>
  <c r="AWN57" i="8"/>
  <c r="AWM57" i="8"/>
  <c r="AWL57" i="8"/>
  <c r="AWK57" i="8"/>
  <c r="AWJ57" i="8"/>
  <c r="AWI57" i="8"/>
  <c r="AWH57" i="8"/>
  <c r="AWG57" i="8"/>
  <c r="AWF57" i="8"/>
  <c r="AWE57" i="8"/>
  <c r="AWD57" i="8"/>
  <c r="AWC57" i="8"/>
  <c r="AWB57" i="8"/>
  <c r="AWA57" i="8"/>
  <c r="AVZ57" i="8"/>
  <c r="AVY57" i="8"/>
  <c r="AVX57" i="8"/>
  <c r="AVW57" i="8"/>
  <c r="AVV57" i="8"/>
  <c r="AVU57" i="8"/>
  <c r="AVT57" i="8"/>
  <c r="AVS57" i="8"/>
  <c r="AVR57" i="8"/>
  <c r="AVQ57" i="8"/>
  <c r="AVP57" i="8"/>
  <c r="AVO57" i="8"/>
  <c r="AVN57" i="8"/>
  <c r="AVM57" i="8"/>
  <c r="AVL57" i="8"/>
  <c r="AVK57" i="8"/>
  <c r="AVJ57" i="8"/>
  <c r="AVI57" i="8"/>
  <c r="AVH57" i="8"/>
  <c r="AVG57" i="8"/>
  <c r="AVF57" i="8"/>
  <c r="AVE57" i="8"/>
  <c r="AVD57" i="8"/>
  <c r="AVC57" i="8"/>
  <c r="AVB57" i="8"/>
  <c r="AVA57" i="8"/>
  <c r="AUZ57" i="8"/>
  <c r="AUY57" i="8"/>
  <c r="AUX57" i="8"/>
  <c r="AUW57" i="8"/>
  <c r="AUV57" i="8"/>
  <c r="AUU57" i="8"/>
  <c r="AUT57" i="8"/>
  <c r="AUS57" i="8"/>
  <c r="AUR57" i="8"/>
  <c r="AUQ57" i="8"/>
  <c r="AUP57" i="8"/>
  <c r="AUO57" i="8"/>
  <c r="AUN57" i="8"/>
  <c r="AUM57" i="8"/>
  <c r="AUL57" i="8"/>
  <c r="AUK57" i="8"/>
  <c r="AUJ57" i="8"/>
  <c r="AUI57" i="8"/>
  <c r="AUH57" i="8"/>
  <c r="AUG57" i="8"/>
  <c r="AUF57" i="8"/>
  <c r="AUE57" i="8"/>
  <c r="AUD57" i="8"/>
  <c r="AUC57" i="8"/>
  <c r="AUB57" i="8"/>
  <c r="AUA57" i="8"/>
  <c r="ATZ57" i="8"/>
  <c r="ATY57" i="8"/>
  <c r="ATX57" i="8"/>
  <c r="ATW57" i="8"/>
  <c r="ATV57" i="8"/>
  <c r="ATU57" i="8"/>
  <c r="ATT57" i="8"/>
  <c r="ATS57" i="8"/>
  <c r="ATR57" i="8"/>
  <c r="ATQ57" i="8"/>
  <c r="ATP57" i="8"/>
  <c r="ATO57" i="8"/>
  <c r="ATN57" i="8"/>
  <c r="ATM57" i="8"/>
  <c r="ATL57" i="8"/>
  <c r="ATK57" i="8"/>
  <c r="ATJ57" i="8"/>
  <c r="ATI57" i="8"/>
  <c r="ATH57" i="8"/>
  <c r="ATG57" i="8"/>
  <c r="ATF57" i="8"/>
  <c r="ATE57" i="8"/>
  <c r="ATD57" i="8"/>
  <c r="ATC57" i="8"/>
  <c r="ATB57" i="8"/>
  <c r="ATA57" i="8"/>
  <c r="ASZ57" i="8"/>
  <c r="ASY57" i="8"/>
  <c r="ASX57" i="8"/>
  <c r="ASW57" i="8"/>
  <c r="ASV57" i="8"/>
  <c r="ASU57" i="8"/>
  <c r="AST57" i="8"/>
  <c r="ASS57" i="8"/>
  <c r="ASR57" i="8"/>
  <c r="ASQ57" i="8"/>
  <c r="ASP57" i="8"/>
  <c r="ASO57" i="8"/>
  <c r="ASN57" i="8"/>
  <c r="ASM57" i="8"/>
  <c r="ASL57" i="8"/>
  <c r="ASK57" i="8"/>
  <c r="ASJ57" i="8"/>
  <c r="ASI57" i="8"/>
  <c r="ASH57" i="8"/>
  <c r="ASG57" i="8"/>
  <c r="ASF57" i="8"/>
  <c r="ASE57" i="8"/>
  <c r="ASD57" i="8"/>
  <c r="ASC57" i="8"/>
  <c r="ASB57" i="8"/>
  <c r="ASA57" i="8"/>
  <c r="ARZ57" i="8"/>
  <c r="ARY57" i="8"/>
  <c r="ARX57" i="8"/>
  <c r="ARW57" i="8"/>
  <c r="ARV57" i="8"/>
  <c r="ARU57" i="8"/>
  <c r="ART57" i="8"/>
  <c r="ARS57" i="8"/>
  <c r="ARR57" i="8"/>
  <c r="ARQ57" i="8"/>
  <c r="ARP57" i="8"/>
  <c r="ARO57" i="8"/>
  <c r="ARN57" i="8"/>
  <c r="ARM57" i="8"/>
  <c r="ARL57" i="8"/>
  <c r="ARK57" i="8"/>
  <c r="ARJ57" i="8"/>
  <c r="ARI57" i="8"/>
  <c r="ARH57" i="8"/>
  <c r="ARG57" i="8"/>
  <c r="ARF57" i="8"/>
  <c r="ARE57" i="8"/>
  <c r="ARD57" i="8"/>
  <c r="ARC57" i="8"/>
  <c r="ARB57" i="8"/>
  <c r="ARA57" i="8"/>
  <c r="AQZ57" i="8"/>
  <c r="AQY57" i="8"/>
  <c r="AQX57" i="8"/>
  <c r="AQW57" i="8"/>
  <c r="AQV57" i="8"/>
  <c r="AQU57" i="8"/>
  <c r="AQT57" i="8"/>
  <c r="AQS57" i="8"/>
  <c r="AQR57" i="8"/>
  <c r="AQQ57" i="8"/>
  <c r="AQP57" i="8"/>
  <c r="AQO57" i="8"/>
  <c r="AQN57" i="8"/>
  <c r="AQM57" i="8"/>
  <c r="AQL57" i="8"/>
  <c r="AQK57" i="8"/>
  <c r="AQJ57" i="8"/>
  <c r="AQI57" i="8"/>
  <c r="AQH57" i="8"/>
  <c r="AQG57" i="8"/>
  <c r="AQF57" i="8"/>
  <c r="AQE57" i="8"/>
  <c r="AQD57" i="8"/>
  <c r="AQC57" i="8"/>
  <c r="AQB57" i="8"/>
  <c r="AQA57" i="8"/>
  <c r="APZ57" i="8"/>
  <c r="APY57" i="8"/>
  <c r="APX57" i="8"/>
  <c r="APW57" i="8"/>
  <c r="APV57" i="8"/>
  <c r="APU57" i="8"/>
  <c r="APT57" i="8"/>
  <c r="APS57" i="8"/>
  <c r="APR57" i="8"/>
  <c r="APQ57" i="8"/>
  <c r="APP57" i="8"/>
  <c r="APO57" i="8"/>
  <c r="APN57" i="8"/>
  <c r="APM57" i="8"/>
  <c r="APL57" i="8"/>
  <c r="APK57" i="8"/>
  <c r="APJ57" i="8"/>
  <c r="API57" i="8"/>
  <c r="APH57" i="8"/>
  <c r="APG57" i="8"/>
  <c r="APF57" i="8"/>
  <c r="APE57" i="8"/>
  <c r="APD57" i="8"/>
  <c r="APC57" i="8"/>
  <c r="APB57" i="8"/>
  <c r="APA57" i="8"/>
  <c r="AOZ57" i="8"/>
  <c r="AOY57" i="8"/>
  <c r="AOX57" i="8"/>
  <c r="AOW57" i="8"/>
  <c r="AOV57" i="8"/>
  <c r="AOU57" i="8"/>
  <c r="AOT57" i="8"/>
  <c r="AOS57" i="8"/>
  <c r="AOR57" i="8"/>
  <c r="AOQ57" i="8"/>
  <c r="AOP57" i="8"/>
  <c r="AOO57" i="8"/>
  <c r="AON57" i="8"/>
  <c r="AOM57" i="8"/>
  <c r="AOL57" i="8"/>
  <c r="AOK57" i="8"/>
  <c r="AOJ57" i="8"/>
  <c r="AOI57" i="8"/>
  <c r="AOH57" i="8"/>
  <c r="AOG57" i="8"/>
  <c r="AOF57" i="8"/>
  <c r="AOE57" i="8"/>
  <c r="AOD57" i="8"/>
  <c r="AOC57" i="8"/>
  <c r="AOB57" i="8"/>
  <c r="AOA57" i="8"/>
  <c r="ANZ57" i="8"/>
  <c r="ANY57" i="8"/>
  <c r="ANX57" i="8"/>
  <c r="ANW57" i="8"/>
  <c r="ANV57" i="8"/>
  <c r="ANU57" i="8"/>
  <c r="ANT57" i="8"/>
  <c r="ANS57" i="8"/>
  <c r="ANR57" i="8"/>
  <c r="ANQ57" i="8"/>
  <c r="ANP57" i="8"/>
  <c r="ANO57" i="8"/>
  <c r="ANN57" i="8"/>
  <c r="ANM57" i="8"/>
  <c r="ANL57" i="8"/>
  <c r="ANK57" i="8"/>
  <c r="ANJ57" i="8"/>
  <c r="ANI57" i="8"/>
  <c r="ANH57" i="8"/>
  <c r="ANG57" i="8"/>
  <c r="ANF57" i="8"/>
  <c r="ANE57" i="8"/>
  <c r="AND57" i="8"/>
  <c r="ANC57" i="8"/>
  <c r="ANB57" i="8"/>
  <c r="ANA57" i="8"/>
  <c r="AMZ57" i="8"/>
  <c r="AMY57" i="8"/>
  <c r="AMX57" i="8"/>
  <c r="AMW57" i="8"/>
  <c r="AMV57" i="8"/>
  <c r="AMU57" i="8"/>
  <c r="AMT57" i="8"/>
  <c r="AMS57" i="8"/>
  <c r="AMR57" i="8"/>
  <c r="AMQ57" i="8"/>
  <c r="AMP57" i="8"/>
  <c r="AMO57" i="8"/>
  <c r="AMN57" i="8"/>
  <c r="AMM57" i="8"/>
  <c r="AML57" i="8"/>
  <c r="AMK57" i="8"/>
  <c r="AMJ57" i="8"/>
  <c r="AMI57" i="8"/>
  <c r="AMH57" i="8"/>
  <c r="AMG57" i="8"/>
  <c r="AMF57" i="8"/>
  <c r="AME57" i="8"/>
  <c r="AMD57" i="8"/>
  <c r="AMC57" i="8"/>
  <c r="AMB57" i="8"/>
  <c r="AMA57" i="8"/>
  <c r="ALZ57" i="8"/>
  <c r="ALY57" i="8"/>
  <c r="ALX57" i="8"/>
  <c r="ALW57" i="8"/>
  <c r="ALV57" i="8"/>
  <c r="ALU57" i="8"/>
  <c r="ALT57" i="8"/>
  <c r="ALS57" i="8"/>
  <c r="ALR57" i="8"/>
  <c r="ALQ57" i="8"/>
  <c r="ALP57" i="8"/>
  <c r="ALO57" i="8"/>
  <c r="ALN57" i="8"/>
  <c r="ALM57" i="8"/>
  <c r="ALL57" i="8"/>
  <c r="ALK57" i="8"/>
  <c r="ALJ57" i="8"/>
  <c r="ALI57" i="8"/>
  <c r="ALH57" i="8"/>
  <c r="ALG57" i="8"/>
  <c r="ALF57" i="8"/>
  <c r="ALE57" i="8"/>
  <c r="ALD57" i="8"/>
  <c r="ALC57" i="8"/>
  <c r="ALB57" i="8"/>
  <c r="ALA57" i="8"/>
  <c r="AKZ57" i="8"/>
  <c r="AKY57" i="8"/>
  <c r="AKX57" i="8"/>
  <c r="AKW57" i="8"/>
  <c r="AKV57" i="8"/>
  <c r="AKU57" i="8"/>
  <c r="AKT57" i="8"/>
  <c r="AKS57" i="8"/>
  <c r="AKR57" i="8"/>
  <c r="AKQ57" i="8"/>
  <c r="AKP57" i="8"/>
  <c r="AKO57" i="8"/>
  <c r="AKN57" i="8"/>
  <c r="AKM57" i="8"/>
  <c r="AKL57" i="8"/>
  <c r="AKK57" i="8"/>
  <c r="AKJ57" i="8"/>
  <c r="AKI57" i="8"/>
  <c r="AKH57" i="8"/>
  <c r="AKG57" i="8"/>
  <c r="AKF57" i="8"/>
  <c r="AKE57" i="8"/>
  <c r="AKD57" i="8"/>
  <c r="AKC57" i="8"/>
  <c r="AKB57" i="8"/>
  <c r="AKA57" i="8"/>
  <c r="AJZ57" i="8"/>
  <c r="AJY57" i="8"/>
  <c r="AJX57" i="8"/>
  <c r="AJW57" i="8"/>
  <c r="AJV57" i="8"/>
  <c r="AJU57" i="8"/>
  <c r="AJT57" i="8"/>
  <c r="AJS57" i="8"/>
  <c r="AJR57" i="8"/>
  <c r="AJQ57" i="8"/>
  <c r="AJP57" i="8"/>
  <c r="AJO57" i="8"/>
  <c r="AJN57" i="8"/>
  <c r="AJM57" i="8"/>
  <c r="AJL57" i="8"/>
  <c r="AJK57" i="8"/>
  <c r="AJJ57" i="8"/>
  <c r="AJI57" i="8"/>
  <c r="AJH57" i="8"/>
  <c r="AJG57" i="8"/>
  <c r="AJF57" i="8"/>
  <c r="AJE57" i="8"/>
  <c r="AJD57" i="8"/>
  <c r="AJC57" i="8"/>
  <c r="AJB57" i="8"/>
  <c r="AJA57" i="8"/>
  <c r="AIZ57" i="8"/>
  <c r="AIY57" i="8"/>
  <c r="AIX57" i="8"/>
  <c r="AIW57" i="8"/>
  <c r="AIV57" i="8"/>
  <c r="AIU57" i="8"/>
  <c r="AIT57" i="8"/>
  <c r="AIS57" i="8"/>
  <c r="AIR57" i="8"/>
  <c r="AIQ57" i="8"/>
  <c r="AIP57" i="8"/>
  <c r="AIO57" i="8"/>
  <c r="AIN57" i="8"/>
  <c r="AIM57" i="8"/>
  <c r="AIL57" i="8"/>
  <c r="AIK57" i="8"/>
  <c r="AIJ57" i="8"/>
  <c r="AII57" i="8"/>
  <c r="AIH57" i="8"/>
  <c r="AIG57" i="8"/>
  <c r="AIF57" i="8"/>
  <c r="AIE57" i="8"/>
  <c r="AID57" i="8"/>
  <c r="AIC57" i="8"/>
  <c r="AIB57" i="8"/>
  <c r="AIA57" i="8"/>
  <c r="AHZ57" i="8"/>
  <c r="AHY57" i="8"/>
  <c r="AHX57" i="8"/>
  <c r="AHW57" i="8"/>
  <c r="AHV57" i="8"/>
  <c r="AHU57" i="8"/>
  <c r="AHT57" i="8"/>
  <c r="AHS57" i="8"/>
  <c r="AHR57" i="8"/>
  <c r="AHQ57" i="8"/>
  <c r="AHP57" i="8"/>
  <c r="AHO57" i="8"/>
  <c r="AHN57" i="8"/>
  <c r="AHM57" i="8"/>
  <c r="AHL57" i="8"/>
  <c r="AHK57" i="8"/>
  <c r="AHJ57" i="8"/>
  <c r="AHI57" i="8"/>
  <c r="AHH57" i="8"/>
  <c r="AHG57" i="8"/>
  <c r="AHF57" i="8"/>
  <c r="AHE57" i="8"/>
  <c r="AHD57" i="8"/>
  <c r="AHC57" i="8"/>
  <c r="AHB57" i="8"/>
  <c r="AHA57" i="8"/>
  <c r="AGZ57" i="8"/>
  <c r="AGY57" i="8"/>
  <c r="AGX57" i="8"/>
  <c r="AGW57" i="8"/>
  <c r="AGV57" i="8"/>
  <c r="AGU57" i="8"/>
  <c r="AGT57" i="8"/>
  <c r="AGS57" i="8"/>
  <c r="AGR57" i="8"/>
  <c r="AGQ57" i="8"/>
  <c r="AGP57" i="8"/>
  <c r="AGO57" i="8"/>
  <c r="AGN57" i="8"/>
  <c r="AGM57" i="8"/>
  <c r="AGL57" i="8"/>
  <c r="AGK57" i="8"/>
  <c r="AGJ57" i="8"/>
  <c r="AGI57" i="8"/>
  <c r="AGH57" i="8"/>
  <c r="AGG57" i="8"/>
  <c r="AGF57" i="8"/>
  <c r="AGE57" i="8"/>
  <c r="AGD57" i="8"/>
  <c r="AGC57" i="8"/>
  <c r="AGB57" i="8"/>
  <c r="AGA57" i="8"/>
  <c r="AFZ57" i="8"/>
  <c r="AFY57" i="8"/>
  <c r="AFX57" i="8"/>
  <c r="AFW57" i="8"/>
  <c r="AFV57" i="8"/>
  <c r="AFU57" i="8"/>
  <c r="AFT57" i="8"/>
  <c r="AFS57" i="8"/>
  <c r="AFR57" i="8"/>
  <c r="AFQ57" i="8"/>
  <c r="AFP57" i="8"/>
  <c r="AFO57" i="8"/>
  <c r="AFN57" i="8"/>
  <c r="AFM57" i="8"/>
  <c r="AFL57" i="8"/>
  <c r="AFK57" i="8"/>
  <c r="AFJ57" i="8"/>
  <c r="AFI57" i="8"/>
  <c r="AFH57" i="8"/>
  <c r="AFG57" i="8"/>
  <c r="AFF57" i="8"/>
  <c r="AFE57" i="8"/>
  <c r="AFD57" i="8"/>
  <c r="AFC57" i="8"/>
  <c r="AFB57" i="8"/>
  <c r="AFA57" i="8"/>
  <c r="AEZ57" i="8"/>
  <c r="AEY57" i="8"/>
  <c r="AEX57" i="8"/>
  <c r="AEW57" i="8"/>
  <c r="AEV57" i="8"/>
  <c r="AEU57" i="8"/>
  <c r="AET57" i="8"/>
  <c r="AES57" i="8"/>
  <c r="AER57" i="8"/>
  <c r="AEQ57" i="8"/>
  <c r="AEP57" i="8"/>
  <c r="AEO57" i="8"/>
  <c r="AEN57" i="8"/>
  <c r="AEM57" i="8"/>
  <c r="AEL57" i="8"/>
  <c r="AEK57" i="8"/>
  <c r="AEJ57" i="8"/>
  <c r="AEI57" i="8"/>
  <c r="AEH57" i="8"/>
  <c r="AEG57" i="8"/>
  <c r="AEF57" i="8"/>
  <c r="AEE57" i="8"/>
  <c r="AED57" i="8"/>
  <c r="AEC57" i="8"/>
  <c r="AEB57" i="8"/>
  <c r="AEA57" i="8"/>
  <c r="ADZ57" i="8"/>
  <c r="ADY57" i="8"/>
  <c r="ADX57" i="8"/>
  <c r="ADW57" i="8"/>
  <c r="ADV57" i="8"/>
  <c r="ADU57" i="8"/>
  <c r="ADT57" i="8"/>
  <c r="ADS57" i="8"/>
  <c r="ADR57" i="8"/>
  <c r="ADQ57" i="8"/>
  <c r="ADP57" i="8"/>
  <c r="ADO57" i="8"/>
  <c r="ADN57" i="8"/>
  <c r="ADM57" i="8"/>
  <c r="ADL57" i="8"/>
  <c r="ADK57" i="8"/>
  <c r="ADJ57" i="8"/>
  <c r="ADI57" i="8"/>
  <c r="ADH57" i="8"/>
  <c r="ADG57" i="8"/>
  <c r="ADF57" i="8"/>
  <c r="ADE57" i="8"/>
  <c r="ADD57" i="8"/>
  <c r="ADC57" i="8"/>
  <c r="ADB57" i="8"/>
  <c r="ADA57" i="8"/>
  <c r="ACZ57" i="8"/>
  <c r="ACY57" i="8"/>
  <c r="ACX57" i="8"/>
  <c r="ACW57" i="8"/>
  <c r="ACV57" i="8"/>
  <c r="ACU57" i="8"/>
  <c r="ACT57" i="8"/>
  <c r="ACS57" i="8"/>
  <c r="ACR57" i="8"/>
  <c r="ACQ57" i="8"/>
  <c r="ACP57" i="8"/>
  <c r="ACO57" i="8"/>
  <c r="ACN57" i="8"/>
  <c r="ACM57" i="8"/>
  <c r="ACL57" i="8"/>
  <c r="ACK57" i="8"/>
  <c r="ACJ57" i="8"/>
  <c r="ACI57" i="8"/>
  <c r="ACH57" i="8"/>
  <c r="ACG57" i="8"/>
  <c r="ACF57" i="8"/>
  <c r="ACE57" i="8"/>
  <c r="ACD57" i="8"/>
  <c r="ACC57" i="8"/>
  <c r="ACB57" i="8"/>
  <c r="ACA57" i="8"/>
  <c r="ABZ57" i="8"/>
  <c r="ABY57" i="8"/>
  <c r="ABX57" i="8"/>
  <c r="ABW57" i="8"/>
  <c r="ABV57" i="8"/>
  <c r="ABU57" i="8"/>
  <c r="ABT57" i="8"/>
  <c r="ABS57" i="8"/>
  <c r="ABR57" i="8"/>
  <c r="ABQ57" i="8"/>
  <c r="ABP57" i="8"/>
  <c r="ABO57" i="8"/>
  <c r="ABN57" i="8"/>
  <c r="ABM57" i="8"/>
  <c r="ABL57" i="8"/>
  <c r="ABK57" i="8"/>
  <c r="ABJ57" i="8"/>
  <c r="ABI57" i="8"/>
  <c r="ABH57" i="8"/>
  <c r="ABG57" i="8"/>
  <c r="ABF57" i="8"/>
  <c r="ABE57" i="8"/>
  <c r="ABD57" i="8"/>
  <c r="ABC57" i="8"/>
  <c r="ABB57" i="8"/>
  <c r="ABA57" i="8"/>
  <c r="AAZ57" i="8"/>
  <c r="AAY57" i="8"/>
  <c r="AAX57" i="8"/>
  <c r="AAW57" i="8"/>
  <c r="AAV57" i="8"/>
  <c r="AAU57" i="8"/>
  <c r="AAT57" i="8"/>
  <c r="AAS57" i="8"/>
  <c r="AAR57" i="8"/>
  <c r="AAQ57" i="8"/>
  <c r="AAP57" i="8"/>
  <c r="AAO57" i="8"/>
  <c r="AAN57" i="8"/>
  <c r="AAM57" i="8"/>
  <c r="AAL57" i="8"/>
  <c r="AAK57" i="8"/>
  <c r="AAJ57" i="8"/>
  <c r="AAI57" i="8"/>
  <c r="AAH57" i="8"/>
  <c r="AAG57" i="8"/>
  <c r="AAF57" i="8"/>
  <c r="AAE57" i="8"/>
  <c r="AAD57" i="8"/>
  <c r="AAC57" i="8"/>
  <c r="AAB57" i="8"/>
  <c r="AAA57" i="8"/>
  <c r="ZZ57" i="8"/>
  <c r="ZY57" i="8"/>
  <c r="ZX57" i="8"/>
  <c r="ZW57" i="8"/>
  <c r="ZV57" i="8"/>
  <c r="ZU57" i="8"/>
  <c r="ZT57" i="8"/>
  <c r="ZS57" i="8"/>
  <c r="ZR57" i="8"/>
  <c r="ZQ57" i="8"/>
  <c r="ZP57" i="8"/>
  <c r="ZO57" i="8"/>
  <c r="ZN57" i="8"/>
  <c r="ZM57" i="8"/>
  <c r="ZL57" i="8"/>
  <c r="ZK57" i="8"/>
  <c r="ZJ57" i="8"/>
  <c r="ZI57" i="8"/>
  <c r="ZH57" i="8"/>
  <c r="ZG57" i="8"/>
  <c r="ZF57" i="8"/>
  <c r="ZE57" i="8"/>
  <c r="ZD57" i="8"/>
  <c r="ZC57" i="8"/>
  <c r="ZB57" i="8"/>
  <c r="ZA57" i="8"/>
  <c r="YZ57" i="8"/>
  <c r="YY57" i="8"/>
  <c r="YX57" i="8"/>
  <c r="YW57" i="8"/>
  <c r="YV57" i="8"/>
  <c r="YU57" i="8"/>
  <c r="YT57" i="8"/>
  <c r="YS57" i="8"/>
  <c r="YR57" i="8"/>
  <c r="YQ57" i="8"/>
  <c r="YP57" i="8"/>
  <c r="YO57" i="8"/>
  <c r="YN57" i="8"/>
  <c r="YM57" i="8"/>
  <c r="YL57" i="8"/>
  <c r="YK57" i="8"/>
  <c r="YJ57" i="8"/>
  <c r="YI57" i="8"/>
  <c r="YH57" i="8"/>
  <c r="YG57" i="8"/>
  <c r="YF57" i="8"/>
  <c r="YE57" i="8"/>
  <c r="YD57" i="8"/>
  <c r="YC57" i="8"/>
  <c r="YB57" i="8"/>
  <c r="YA57" i="8"/>
  <c r="XZ57" i="8"/>
  <c r="XY57" i="8"/>
  <c r="XX57" i="8"/>
  <c r="XW57" i="8"/>
  <c r="XV57" i="8"/>
  <c r="XU57" i="8"/>
  <c r="XT57" i="8"/>
  <c r="XS57" i="8"/>
  <c r="XR57" i="8"/>
  <c r="XQ57" i="8"/>
  <c r="XP57" i="8"/>
  <c r="XO57" i="8"/>
  <c r="XN57" i="8"/>
  <c r="XM57" i="8"/>
  <c r="XL57" i="8"/>
  <c r="XK57" i="8"/>
  <c r="XJ57" i="8"/>
  <c r="XI57" i="8"/>
  <c r="XH57" i="8"/>
  <c r="XG57" i="8"/>
  <c r="XF57" i="8"/>
  <c r="XE57" i="8"/>
  <c r="XD57" i="8"/>
  <c r="XC57" i="8"/>
  <c r="XB57" i="8"/>
  <c r="XA57" i="8"/>
  <c r="WZ57" i="8"/>
  <c r="WY57" i="8"/>
  <c r="WX57" i="8"/>
  <c r="WW57" i="8"/>
  <c r="WV57" i="8"/>
  <c r="WU57" i="8"/>
  <c r="WT57" i="8"/>
  <c r="WS57" i="8"/>
  <c r="WR57" i="8"/>
  <c r="WQ57" i="8"/>
  <c r="WP57" i="8"/>
  <c r="WO57" i="8"/>
  <c r="WN57" i="8"/>
  <c r="WM57" i="8"/>
  <c r="WL57" i="8"/>
  <c r="WK57" i="8"/>
  <c r="WJ57" i="8"/>
  <c r="WI57" i="8"/>
  <c r="WH57" i="8"/>
  <c r="WG57" i="8"/>
  <c r="WF57" i="8"/>
  <c r="WE57" i="8"/>
  <c r="WD57" i="8"/>
  <c r="WC57" i="8"/>
  <c r="WB57" i="8"/>
  <c r="WA57" i="8"/>
  <c r="VZ57" i="8"/>
  <c r="VY57" i="8"/>
  <c r="VX57" i="8"/>
  <c r="VW57" i="8"/>
  <c r="VV57" i="8"/>
  <c r="VU57" i="8"/>
  <c r="VT57" i="8"/>
  <c r="VS57" i="8"/>
  <c r="VR57" i="8"/>
  <c r="VQ57" i="8"/>
  <c r="VP57" i="8"/>
  <c r="VO57" i="8"/>
  <c r="VN57" i="8"/>
  <c r="VM57" i="8"/>
  <c r="VL57" i="8"/>
  <c r="VK57" i="8"/>
  <c r="VJ57" i="8"/>
  <c r="VI57" i="8"/>
  <c r="VH57" i="8"/>
  <c r="VG57" i="8"/>
  <c r="VF57" i="8"/>
  <c r="VE57" i="8"/>
  <c r="VD57" i="8"/>
  <c r="VC57" i="8"/>
  <c r="VB57" i="8"/>
  <c r="VA57" i="8"/>
  <c r="UZ57" i="8"/>
  <c r="UY57" i="8"/>
  <c r="UX57" i="8"/>
  <c r="UW57" i="8"/>
  <c r="UV57" i="8"/>
  <c r="UU57" i="8"/>
  <c r="UT57" i="8"/>
  <c r="US57" i="8"/>
  <c r="UR57" i="8"/>
  <c r="UQ57" i="8"/>
  <c r="UP57" i="8"/>
  <c r="UO57" i="8"/>
  <c r="UN57" i="8"/>
  <c r="UM57" i="8"/>
  <c r="UL57" i="8"/>
  <c r="UK57" i="8"/>
  <c r="UJ57" i="8"/>
  <c r="UI57" i="8"/>
  <c r="UH57" i="8"/>
  <c r="UG57" i="8"/>
  <c r="UF57" i="8"/>
  <c r="UE57" i="8"/>
  <c r="UD57" i="8"/>
  <c r="UC57" i="8"/>
  <c r="UB57" i="8"/>
  <c r="UA57" i="8"/>
  <c r="TZ57" i="8"/>
  <c r="TY57" i="8"/>
  <c r="TX57" i="8"/>
  <c r="TW57" i="8"/>
  <c r="TV57" i="8"/>
  <c r="TU57" i="8"/>
  <c r="TT57" i="8"/>
  <c r="TS57" i="8"/>
  <c r="TR57" i="8"/>
  <c r="TQ57" i="8"/>
  <c r="TP57" i="8"/>
  <c r="TO57" i="8"/>
  <c r="TN57" i="8"/>
  <c r="TM57" i="8"/>
  <c r="TL57" i="8"/>
  <c r="TK57" i="8"/>
  <c r="TJ57" i="8"/>
  <c r="TI57" i="8"/>
  <c r="TH57" i="8"/>
  <c r="TG57" i="8"/>
  <c r="TF57" i="8"/>
  <c r="TE57" i="8"/>
  <c r="TD57" i="8"/>
  <c r="TC57" i="8"/>
  <c r="TB57" i="8"/>
  <c r="TA57" i="8"/>
  <c r="SZ57" i="8"/>
  <c r="SY57" i="8"/>
  <c r="SX57" i="8"/>
  <c r="SW57" i="8"/>
  <c r="SV57" i="8"/>
  <c r="SU57" i="8"/>
  <c r="ST57" i="8"/>
  <c r="SS57" i="8"/>
  <c r="SR57" i="8"/>
  <c r="SQ57" i="8"/>
  <c r="SP57" i="8"/>
  <c r="SO57" i="8"/>
  <c r="SN57" i="8"/>
  <c r="SM57" i="8"/>
  <c r="SL57" i="8"/>
  <c r="SK57" i="8"/>
  <c r="SJ57" i="8"/>
  <c r="SI57" i="8"/>
  <c r="SH57" i="8"/>
  <c r="SG57" i="8"/>
  <c r="SF57" i="8"/>
  <c r="SE57" i="8"/>
  <c r="SD57" i="8"/>
  <c r="SC57" i="8"/>
  <c r="SB57" i="8"/>
  <c r="SA57" i="8"/>
  <c r="RZ57" i="8"/>
  <c r="RY57" i="8"/>
  <c r="RX57" i="8"/>
  <c r="RW57" i="8"/>
  <c r="RV57" i="8"/>
  <c r="RU57" i="8"/>
  <c r="RT57" i="8"/>
  <c r="RS57" i="8"/>
  <c r="RR57" i="8"/>
  <c r="RQ57" i="8"/>
  <c r="RP57" i="8"/>
  <c r="RO57" i="8"/>
  <c r="RN57" i="8"/>
  <c r="RM57" i="8"/>
  <c r="RL57" i="8"/>
  <c r="RK57" i="8"/>
  <c r="RJ57" i="8"/>
  <c r="RI57" i="8"/>
  <c r="RH57" i="8"/>
  <c r="RG57" i="8"/>
  <c r="RF57" i="8"/>
  <c r="RE57" i="8"/>
  <c r="RD57" i="8"/>
  <c r="RC57" i="8"/>
  <c r="RB57" i="8"/>
  <c r="RA57" i="8"/>
  <c r="QZ57" i="8"/>
  <c r="QY57" i="8"/>
  <c r="QX57" i="8"/>
  <c r="QW57" i="8"/>
  <c r="QV57" i="8"/>
  <c r="QU57" i="8"/>
  <c r="QT57" i="8"/>
  <c r="QS57" i="8"/>
  <c r="QR57" i="8"/>
  <c r="QQ57" i="8"/>
  <c r="QP57" i="8"/>
  <c r="QO57" i="8"/>
  <c r="QN57" i="8"/>
  <c r="QM57" i="8"/>
  <c r="QL57" i="8"/>
  <c r="QK57" i="8"/>
  <c r="QJ57" i="8"/>
  <c r="QI57" i="8"/>
  <c r="QH57" i="8"/>
  <c r="QG57" i="8"/>
  <c r="QF57" i="8"/>
  <c r="QE57" i="8"/>
  <c r="QD57" i="8"/>
  <c r="QC57" i="8"/>
  <c r="QB57" i="8"/>
  <c r="QA57" i="8"/>
  <c r="PZ57" i="8"/>
  <c r="PY57" i="8"/>
  <c r="PX57" i="8"/>
  <c r="PW57" i="8"/>
  <c r="PV57" i="8"/>
  <c r="PU57" i="8"/>
  <c r="PT57" i="8"/>
  <c r="PS57" i="8"/>
  <c r="PR57" i="8"/>
  <c r="PQ57" i="8"/>
  <c r="PP57" i="8"/>
  <c r="PO57" i="8"/>
  <c r="PN57" i="8"/>
  <c r="PM57" i="8"/>
  <c r="PL57" i="8"/>
  <c r="PK57" i="8"/>
  <c r="PJ57" i="8"/>
  <c r="PI57" i="8"/>
  <c r="PH57" i="8"/>
  <c r="PG57" i="8"/>
  <c r="PF57" i="8"/>
  <c r="PE57" i="8"/>
  <c r="PD57" i="8"/>
  <c r="PC57" i="8"/>
  <c r="PB57" i="8"/>
  <c r="PA57" i="8"/>
  <c r="OZ57" i="8"/>
  <c r="OY57" i="8"/>
  <c r="OX57" i="8"/>
  <c r="OW57" i="8"/>
  <c r="OV57" i="8"/>
  <c r="OU57" i="8"/>
  <c r="OT57" i="8"/>
  <c r="OS57" i="8"/>
  <c r="OR57" i="8"/>
  <c r="OQ57" i="8"/>
  <c r="OP57" i="8"/>
  <c r="OO57" i="8"/>
  <c r="ON57" i="8"/>
  <c r="OM57" i="8"/>
  <c r="OL57" i="8"/>
  <c r="OK57" i="8"/>
  <c r="OJ57" i="8"/>
  <c r="OI57" i="8"/>
  <c r="OH57" i="8"/>
  <c r="OG57" i="8"/>
  <c r="OF57" i="8"/>
  <c r="OE57" i="8"/>
  <c r="OD57" i="8"/>
  <c r="OC57" i="8"/>
  <c r="OB57" i="8"/>
  <c r="OA57" i="8"/>
  <c r="NZ57" i="8"/>
  <c r="NY57" i="8"/>
  <c r="NX57" i="8"/>
  <c r="NW57" i="8"/>
  <c r="NV57" i="8"/>
  <c r="NU57" i="8"/>
  <c r="NT57" i="8"/>
  <c r="NS57" i="8"/>
  <c r="NR57" i="8"/>
  <c r="NQ57" i="8"/>
  <c r="NP57" i="8"/>
  <c r="NO57" i="8"/>
  <c r="NN57" i="8"/>
  <c r="NM57" i="8"/>
  <c r="NL57" i="8"/>
  <c r="NK57" i="8"/>
  <c r="NJ57" i="8"/>
  <c r="NI57" i="8"/>
  <c r="NH57" i="8"/>
  <c r="NG57" i="8"/>
  <c r="NF57" i="8"/>
  <c r="NE57" i="8"/>
  <c r="ND57" i="8"/>
  <c r="NC57" i="8"/>
  <c r="NB57" i="8"/>
  <c r="NA57" i="8"/>
  <c r="MZ57" i="8"/>
  <c r="MY57" i="8"/>
  <c r="MX57" i="8"/>
  <c r="MW57" i="8"/>
  <c r="MV57" i="8"/>
  <c r="MU57" i="8"/>
  <c r="MT57" i="8"/>
  <c r="MS57" i="8"/>
  <c r="MR57" i="8"/>
  <c r="MQ57" i="8"/>
  <c r="MP57" i="8"/>
  <c r="MO57" i="8"/>
  <c r="MN57" i="8"/>
  <c r="MM57" i="8"/>
  <c r="ML57" i="8"/>
  <c r="MK57" i="8"/>
  <c r="MJ57" i="8"/>
  <c r="MI57" i="8"/>
  <c r="MH57" i="8"/>
  <c r="MG57" i="8"/>
  <c r="MF57" i="8"/>
  <c r="ME57" i="8"/>
  <c r="MD57" i="8"/>
  <c r="MC57" i="8"/>
  <c r="MB57" i="8"/>
  <c r="MA57" i="8"/>
  <c r="LZ57" i="8"/>
  <c r="LY57" i="8"/>
  <c r="LX57" i="8"/>
  <c r="LW57" i="8"/>
  <c r="LV57" i="8"/>
  <c r="LU57" i="8"/>
  <c r="LT57" i="8"/>
  <c r="LS57" i="8"/>
  <c r="LR57" i="8"/>
  <c r="LQ57" i="8"/>
  <c r="LP57" i="8"/>
  <c r="LO57" i="8"/>
  <c r="LN57" i="8"/>
  <c r="LM57" i="8"/>
  <c r="LL57" i="8"/>
  <c r="LK57" i="8"/>
  <c r="LJ57" i="8"/>
  <c r="LI57" i="8"/>
  <c r="LH57" i="8"/>
  <c r="LG57" i="8"/>
  <c r="LF57" i="8"/>
  <c r="LE57" i="8"/>
  <c r="LD57" i="8"/>
  <c r="LC57" i="8"/>
  <c r="LB57" i="8"/>
  <c r="LA57" i="8"/>
  <c r="KZ57" i="8"/>
  <c r="KY57" i="8"/>
  <c r="KX57" i="8"/>
  <c r="KW57" i="8"/>
  <c r="KV57" i="8"/>
  <c r="KU57" i="8"/>
  <c r="KT57" i="8"/>
  <c r="KS57" i="8"/>
  <c r="KR57" i="8"/>
  <c r="KQ57" i="8"/>
  <c r="KP57" i="8"/>
  <c r="KO57" i="8"/>
  <c r="KN57" i="8"/>
  <c r="KM57" i="8"/>
  <c r="KL57" i="8"/>
  <c r="KK57" i="8"/>
  <c r="KJ57" i="8"/>
  <c r="KI57" i="8"/>
  <c r="KH57" i="8"/>
  <c r="KG57" i="8"/>
  <c r="KF57" i="8"/>
  <c r="KE57" i="8"/>
  <c r="KD57" i="8"/>
  <c r="KC57" i="8"/>
  <c r="KB57" i="8"/>
  <c r="KA57" i="8"/>
  <c r="JZ57" i="8"/>
  <c r="JY57" i="8"/>
  <c r="JX57" i="8"/>
  <c r="JW57" i="8"/>
  <c r="JV57" i="8"/>
  <c r="JU57" i="8"/>
  <c r="JT57" i="8"/>
  <c r="JS57" i="8"/>
  <c r="JR57" i="8"/>
  <c r="JQ57" i="8"/>
  <c r="JP57" i="8"/>
  <c r="JO57" i="8"/>
  <c r="JN57" i="8"/>
  <c r="JM57" i="8"/>
  <c r="JL57" i="8"/>
  <c r="JK57" i="8"/>
  <c r="JJ57" i="8"/>
  <c r="JI57" i="8"/>
  <c r="JH57" i="8"/>
  <c r="JG57" i="8"/>
  <c r="JF57" i="8"/>
  <c r="JE57" i="8"/>
  <c r="JD57" i="8"/>
  <c r="JC57" i="8"/>
  <c r="JB57" i="8"/>
  <c r="JA57" i="8"/>
  <c r="IZ57" i="8"/>
  <c r="IY57" i="8"/>
  <c r="IX57" i="8"/>
  <c r="IW57" i="8"/>
  <c r="IV57" i="8"/>
  <c r="IU57" i="8"/>
  <c r="IT57" i="8"/>
  <c r="IS57" i="8"/>
  <c r="IR57" i="8"/>
  <c r="IQ57" i="8"/>
  <c r="IP57" i="8"/>
  <c r="IO57" i="8"/>
  <c r="IN57" i="8"/>
  <c r="IM57" i="8"/>
  <c r="IL57" i="8"/>
  <c r="IK57" i="8"/>
  <c r="IJ57" i="8"/>
  <c r="II57" i="8"/>
  <c r="IH57" i="8"/>
  <c r="IG57" i="8"/>
  <c r="IF57" i="8"/>
  <c r="IE57" i="8"/>
  <c r="ID57" i="8"/>
  <c r="IC57" i="8"/>
  <c r="IB57" i="8"/>
  <c r="IA57" i="8"/>
  <c r="HZ57" i="8"/>
  <c r="HY57" i="8"/>
  <c r="HX57" i="8"/>
  <c r="HW57" i="8"/>
  <c r="HV57" i="8"/>
  <c r="HU57" i="8"/>
  <c r="HT57" i="8"/>
  <c r="HS57" i="8"/>
  <c r="HR57" i="8"/>
  <c r="HQ57" i="8"/>
  <c r="HP57" i="8"/>
  <c r="HO57" i="8"/>
  <c r="HN57" i="8"/>
  <c r="HM57" i="8"/>
  <c r="HL57" i="8"/>
  <c r="HK57" i="8"/>
  <c r="HJ57" i="8"/>
  <c r="HI57" i="8"/>
  <c r="HH57" i="8"/>
  <c r="HG57" i="8"/>
  <c r="HF57" i="8"/>
  <c r="HE57" i="8"/>
  <c r="HD57" i="8"/>
  <c r="HC57" i="8"/>
  <c r="HB57" i="8"/>
  <c r="HA57" i="8"/>
  <c r="GZ57" i="8"/>
  <c r="GY57" i="8"/>
  <c r="GX57" i="8"/>
  <c r="GW57" i="8"/>
  <c r="GV57" i="8"/>
  <c r="GU57" i="8"/>
  <c r="GT57" i="8"/>
  <c r="GS57" i="8"/>
  <c r="GR57" i="8"/>
  <c r="GQ57" i="8"/>
  <c r="GP57" i="8"/>
  <c r="GO57" i="8"/>
  <c r="GN57" i="8"/>
  <c r="GM57" i="8"/>
  <c r="GL57" i="8"/>
  <c r="GK57" i="8"/>
  <c r="GJ57" i="8"/>
  <c r="GI57" i="8"/>
  <c r="GH57" i="8"/>
  <c r="GG57" i="8"/>
  <c r="GF57" i="8"/>
  <c r="GE57" i="8"/>
  <c r="GD57" i="8"/>
  <c r="GC57" i="8"/>
  <c r="GB57" i="8"/>
  <c r="GA57" i="8"/>
  <c r="FZ57" i="8"/>
  <c r="FY57" i="8"/>
  <c r="FX57" i="8"/>
  <c r="FW57" i="8"/>
  <c r="FV57" i="8"/>
  <c r="FU57" i="8"/>
  <c r="FT57" i="8"/>
  <c r="FS57" i="8"/>
  <c r="FR57" i="8"/>
  <c r="FQ57" i="8"/>
  <c r="FP57" i="8"/>
  <c r="FO57" i="8"/>
  <c r="FN57" i="8"/>
  <c r="FM57" i="8"/>
  <c r="FL57" i="8"/>
  <c r="FK57" i="8"/>
  <c r="FJ57" i="8"/>
  <c r="FI57" i="8"/>
  <c r="FH57" i="8"/>
  <c r="FG57" i="8"/>
  <c r="FF57" i="8"/>
  <c r="FE57" i="8"/>
  <c r="FD57" i="8"/>
  <c r="FC57" i="8"/>
  <c r="FB57" i="8"/>
  <c r="FA57" i="8"/>
  <c r="EZ57" i="8"/>
  <c r="EY57" i="8"/>
  <c r="EX57" i="8"/>
  <c r="EW57" i="8"/>
  <c r="EV57" i="8"/>
  <c r="EU57" i="8"/>
  <c r="ET57" i="8"/>
  <c r="ES57" i="8"/>
  <c r="ER57" i="8"/>
  <c r="EQ57" i="8"/>
  <c r="EP57" i="8"/>
  <c r="EO57" i="8"/>
  <c r="EN57" i="8"/>
  <c r="EM57" i="8"/>
  <c r="EL57" i="8"/>
  <c r="EK57" i="8"/>
  <c r="EJ57" i="8"/>
  <c r="EI57" i="8"/>
  <c r="EH57" i="8"/>
  <c r="EG57" i="8"/>
  <c r="EF57" i="8"/>
  <c r="EE57" i="8"/>
  <c r="ED57" i="8"/>
  <c r="EC57" i="8"/>
  <c r="EB57" i="8"/>
  <c r="EA57" i="8"/>
  <c r="DZ57" i="8"/>
  <c r="DY57" i="8"/>
  <c r="DX57" i="8"/>
  <c r="DW57" i="8"/>
  <c r="DV57" i="8"/>
  <c r="DU57" i="8"/>
  <c r="DT57" i="8"/>
  <c r="DS57" i="8"/>
  <c r="DR57" i="8"/>
  <c r="DQ57" i="8"/>
  <c r="DP57" i="8"/>
  <c r="DO57" i="8"/>
  <c r="DN57" i="8"/>
  <c r="DM57" i="8"/>
  <c r="DL57" i="8"/>
  <c r="DK57" i="8"/>
  <c r="DJ57" i="8"/>
  <c r="DI57" i="8"/>
  <c r="DH57" i="8"/>
  <c r="DG57" i="8"/>
  <c r="DF57" i="8"/>
  <c r="DE57" i="8"/>
  <c r="DD57" i="8"/>
  <c r="DC57" i="8"/>
  <c r="DB57" i="8"/>
  <c r="DA57" i="8"/>
  <c r="CZ57" i="8"/>
  <c r="CY57" i="8"/>
  <c r="C26" i="8"/>
  <c r="C27" i="8"/>
  <c r="C28" i="8"/>
  <c r="C12" i="8"/>
  <c r="C29" i="8" l="1"/>
  <c r="D2" i="8"/>
  <c r="D82" i="7" s="1"/>
  <c r="D66" i="8" s="1"/>
  <c r="D69" i="8" s="1"/>
  <c r="C79" i="7"/>
  <c r="C14" i="8"/>
  <c r="C15" i="8" s="1"/>
  <c r="C76" i="8"/>
  <c r="C81" i="7"/>
  <c r="C61" i="8" s="1"/>
  <c r="B46" i="8"/>
  <c r="C80" i="7"/>
  <c r="B42" i="8"/>
  <c r="B35" i="8"/>
  <c r="C85" i="8"/>
  <c r="C69" i="8"/>
  <c r="D81" i="7"/>
  <c r="D61" i="8" s="1"/>
  <c r="D76" i="7"/>
  <c r="E2" i="8"/>
  <c r="E79" i="7" s="1"/>
  <c r="D14" i="8"/>
  <c r="D78" i="7"/>
  <c r="D13" i="8" l="1"/>
  <c r="D26" i="8"/>
  <c r="D77" i="7"/>
  <c r="D79" i="7"/>
  <c r="D28" i="8"/>
  <c r="E26" i="8" s="1"/>
  <c r="D85" i="8"/>
  <c r="D27" i="8"/>
  <c r="D29" i="8" s="1"/>
  <c r="D12" i="8"/>
  <c r="D15" i="8" s="1"/>
  <c r="C18" i="8"/>
  <c r="C59" i="8" s="1"/>
  <c r="C31" i="8"/>
  <c r="B73" i="8"/>
  <c r="B37" i="8"/>
  <c r="E14" i="8"/>
  <c r="E82" i="7"/>
  <c r="E66" i="8" s="1"/>
  <c r="E69" i="8" s="1"/>
  <c r="E13" i="8"/>
  <c r="F2" i="8"/>
  <c r="F79" i="7" s="1"/>
  <c r="E77" i="7"/>
  <c r="E85" i="8" s="1"/>
  <c r="E78" i="7"/>
  <c r="E27" i="8"/>
  <c r="E81" i="7"/>
  <c r="E61" i="8" s="1"/>
  <c r="E76" i="7"/>
  <c r="E28" i="8"/>
  <c r="E12" i="8"/>
  <c r="D80" i="7" l="1"/>
  <c r="D18" i="8"/>
  <c r="D59" i="8" s="1"/>
  <c r="D31" i="8"/>
  <c r="B62" i="8"/>
  <c r="B63" i="8" s="1"/>
  <c r="E64" i="8" s="1"/>
  <c r="C74" i="8"/>
  <c r="B54" i="8"/>
  <c r="B22" i="8"/>
  <c r="B23" i="8" s="1"/>
  <c r="E15" i="8"/>
  <c r="E18" i="8" s="1"/>
  <c r="E59" i="8" s="1"/>
  <c r="E29" i="8"/>
  <c r="E80" i="7"/>
  <c r="F78" i="7"/>
  <c r="F82" i="7"/>
  <c r="F66" i="8" s="1"/>
  <c r="F69" i="8" s="1"/>
  <c r="G2" i="8"/>
  <c r="G79" i="7" s="1"/>
  <c r="F13" i="8"/>
  <c r="F81" i="7"/>
  <c r="F61" i="8" s="1"/>
  <c r="F14" i="8"/>
  <c r="F26" i="8"/>
  <c r="F27" i="8"/>
  <c r="F77" i="7"/>
  <c r="F28" i="8"/>
  <c r="F76" i="7"/>
  <c r="F12" i="8"/>
  <c r="E31" i="8" l="1"/>
  <c r="F15" i="8"/>
  <c r="F29" i="8"/>
  <c r="B24" i="8"/>
  <c r="B31" i="8" s="1"/>
  <c r="F64" i="8"/>
  <c r="E70" i="8"/>
  <c r="F80" i="7"/>
  <c r="C64" i="8"/>
  <c r="C70" i="8" s="1"/>
  <c r="D64" i="8"/>
  <c r="D70" i="8" s="1"/>
  <c r="B80" i="8"/>
  <c r="B86" i="8" s="1"/>
  <c r="F31" i="8"/>
  <c r="F18" i="8"/>
  <c r="F59" i="8" s="1"/>
  <c r="G14" i="8"/>
  <c r="G77" i="7"/>
  <c r="G85" i="8" s="1"/>
  <c r="G78" i="7"/>
  <c r="G81" i="7"/>
  <c r="G61" i="8" s="1"/>
  <c r="G64" i="8" s="1"/>
  <c r="H2" i="8"/>
  <c r="H79" i="7" s="1"/>
  <c r="G13" i="8"/>
  <c r="G82" i="7"/>
  <c r="G66" i="8" s="1"/>
  <c r="G69" i="8" s="1"/>
  <c r="G76" i="7"/>
  <c r="G27" i="8"/>
  <c r="G26" i="8"/>
  <c r="G28" i="8"/>
  <c r="G12" i="8"/>
  <c r="F85" i="8"/>
  <c r="G15" i="8" l="1"/>
  <c r="G80" i="7"/>
  <c r="F70" i="8"/>
  <c r="G29" i="8"/>
  <c r="G31" i="8" s="1"/>
  <c r="G18" i="8"/>
  <c r="G59" i="8" s="1"/>
  <c r="G70" i="8" s="1"/>
  <c r="I2" i="8"/>
  <c r="I79" i="7" s="1"/>
  <c r="H27" i="8"/>
  <c r="H81" i="7"/>
  <c r="H61" i="8" s="1"/>
  <c r="H64" i="8" s="1"/>
  <c r="H76" i="7"/>
  <c r="H26" i="8"/>
  <c r="H13" i="8"/>
  <c r="H14" i="8"/>
  <c r="H82" i="7"/>
  <c r="H66" i="8" s="1"/>
  <c r="H69" i="8" s="1"/>
  <c r="H28" i="8"/>
  <c r="H77" i="7"/>
  <c r="H78" i="7"/>
  <c r="H12" i="8"/>
  <c r="H15" i="8" l="1"/>
  <c r="H18" i="8" s="1"/>
  <c r="H59" i="8" s="1"/>
  <c r="H70" i="8" s="1"/>
  <c r="H29" i="8"/>
  <c r="H31" i="8"/>
  <c r="H80" i="7"/>
  <c r="J2" i="8"/>
  <c r="J79" i="7" s="1"/>
  <c r="I81" i="7"/>
  <c r="I61" i="8" s="1"/>
  <c r="I64" i="8" s="1"/>
  <c r="I76" i="7"/>
  <c r="I14" i="8"/>
  <c r="I78" i="7"/>
  <c r="I13" i="8"/>
  <c r="I77" i="7"/>
  <c r="I27" i="8"/>
  <c r="I82" i="7"/>
  <c r="I66" i="8" s="1"/>
  <c r="I69" i="8" s="1"/>
  <c r="I26" i="8"/>
  <c r="I28" i="8"/>
  <c r="I12" i="8"/>
  <c r="I15" i="8" s="1"/>
  <c r="H85" i="8"/>
  <c r="I29" i="8" l="1"/>
  <c r="I31" i="8" s="1"/>
  <c r="I18" i="8"/>
  <c r="I59" i="8" s="1"/>
  <c r="I70" i="8" s="1"/>
  <c r="I80" i="7"/>
  <c r="I85" i="8"/>
  <c r="K2" i="8"/>
  <c r="K79" i="7" s="1"/>
  <c r="J76" i="7"/>
  <c r="J27" i="8"/>
  <c r="J14" i="8"/>
  <c r="J78" i="7"/>
  <c r="J77" i="7"/>
  <c r="J26" i="8"/>
  <c r="J81" i="7"/>
  <c r="J61" i="8" s="1"/>
  <c r="J64" i="8" s="1"/>
  <c r="J28" i="8"/>
  <c r="J82" i="7"/>
  <c r="J66" i="8" s="1"/>
  <c r="J69" i="8" s="1"/>
  <c r="J12" i="8"/>
  <c r="J13" i="8"/>
  <c r="J80" i="7" l="1"/>
  <c r="J15" i="8"/>
  <c r="J29" i="8"/>
  <c r="J31" i="8" s="1"/>
  <c r="J18" i="8"/>
  <c r="J59" i="8" s="1"/>
  <c r="J70" i="8" s="1"/>
  <c r="L2" i="8"/>
  <c r="L79" i="7" s="1"/>
  <c r="K78" i="7"/>
  <c r="K27" i="8"/>
  <c r="K26" i="8"/>
  <c r="K82" i="7"/>
  <c r="K66" i="8" s="1"/>
  <c r="K69" i="8" s="1"/>
  <c r="K77" i="7"/>
  <c r="K81" i="7"/>
  <c r="K61" i="8" s="1"/>
  <c r="K64" i="8" s="1"/>
  <c r="K28" i="8"/>
  <c r="K14" i="8"/>
  <c r="K13" i="8"/>
  <c r="K85" i="8"/>
  <c r="K12" i="8"/>
  <c r="K15" i="8" s="1"/>
  <c r="K76" i="7"/>
  <c r="J85" i="8"/>
  <c r="K29" i="8" l="1"/>
  <c r="K31" i="8" s="1"/>
  <c r="K80" i="7"/>
  <c r="K18" i="8"/>
  <c r="K59" i="8" s="1"/>
  <c r="K70" i="8" s="1"/>
  <c r="M2" i="8"/>
  <c r="M79" i="7" s="1"/>
  <c r="L14" i="8"/>
  <c r="L13" i="8"/>
  <c r="L27" i="8"/>
  <c r="L78" i="7"/>
  <c r="L28" i="8"/>
  <c r="L26" i="8"/>
  <c r="L82" i="7"/>
  <c r="L66" i="8" s="1"/>
  <c r="L69" i="8" s="1"/>
  <c r="L76" i="7"/>
  <c r="L81" i="7"/>
  <c r="L61" i="8" s="1"/>
  <c r="L64" i="8" s="1"/>
  <c r="L77" i="7"/>
  <c r="L12" i="8"/>
  <c r="L80" i="7" l="1"/>
  <c r="L15" i="8"/>
  <c r="L18" i="8" s="1"/>
  <c r="L59" i="8" s="1"/>
  <c r="L70" i="8" s="1"/>
  <c r="L29" i="8"/>
  <c r="N2" i="8"/>
  <c r="N79" i="7" s="1"/>
  <c r="M78" i="7"/>
  <c r="M28" i="8"/>
  <c r="M81" i="7"/>
  <c r="M61" i="8" s="1"/>
  <c r="M64" i="8" s="1"/>
  <c r="M26" i="8"/>
  <c r="M27" i="8"/>
  <c r="M76" i="7"/>
  <c r="M14" i="8"/>
  <c r="M82" i="7"/>
  <c r="M66" i="8" s="1"/>
  <c r="M69" i="8" s="1"/>
  <c r="M13" i="8"/>
  <c r="M77" i="7"/>
  <c r="M80" i="7" s="1"/>
  <c r="M12" i="8"/>
  <c r="M53" i="8"/>
  <c r="M54" i="8" s="1"/>
  <c r="L85" i="8"/>
  <c r="L31" i="8" l="1"/>
  <c r="M15" i="8"/>
  <c r="M29" i="8"/>
  <c r="M18" i="8"/>
  <c r="M59" i="8" s="1"/>
  <c r="M70" i="8" s="1"/>
  <c r="M31" i="8"/>
  <c r="M85" i="8"/>
  <c r="N13" i="8"/>
  <c r="N27" i="8"/>
  <c r="N29" i="8" s="1"/>
  <c r="O2" i="8"/>
  <c r="O79" i="7" s="1"/>
  <c r="N82" i="7"/>
  <c r="N66" i="8" s="1"/>
  <c r="N26" i="8"/>
  <c r="N69" i="8"/>
  <c r="N76" i="7"/>
  <c r="N14" i="8"/>
  <c r="N77" i="7"/>
  <c r="N85" i="8" s="1"/>
  <c r="N78" i="7"/>
  <c r="N81" i="7"/>
  <c r="N61" i="8" s="1"/>
  <c r="N64" i="8" s="1"/>
  <c r="N28" i="8"/>
  <c r="N53" i="8"/>
  <c r="N54" i="8" s="1"/>
  <c r="N12" i="8"/>
  <c r="M57" i="8"/>
  <c r="N15" i="8" l="1"/>
  <c r="N31" i="8" s="1"/>
  <c r="N57" i="8"/>
  <c r="M71" i="8"/>
  <c r="M72" i="8" s="1"/>
  <c r="M77" i="8" s="1"/>
  <c r="M80" i="8" s="1"/>
  <c r="N18" i="8"/>
  <c r="N59" i="8" s="1"/>
  <c r="N70" i="8" s="1"/>
  <c r="N71" i="8" s="1"/>
  <c r="N72" i="8" s="1"/>
  <c r="N77" i="8" s="1"/>
  <c r="P2" i="8"/>
  <c r="P79" i="7" s="1"/>
  <c r="O81" i="7"/>
  <c r="O61" i="8" s="1"/>
  <c r="O64" i="8" s="1"/>
  <c r="O26" i="8"/>
  <c r="O27" i="8"/>
  <c r="O82" i="7"/>
  <c r="O66" i="8" s="1"/>
  <c r="O69" i="8" s="1"/>
  <c r="O78" i="7"/>
  <c r="O14" i="8"/>
  <c r="O77" i="7"/>
  <c r="O76" i="7"/>
  <c r="O28" i="8"/>
  <c r="O13" i="8"/>
  <c r="O12" i="8"/>
  <c r="O53" i="8"/>
  <c r="O54" i="8" s="1"/>
  <c r="N80" i="7"/>
  <c r="O15" i="8" l="1"/>
  <c r="O18" i="8" s="1"/>
  <c r="O59" i="8" s="1"/>
  <c r="O29" i="8"/>
  <c r="O31" i="8" s="1"/>
  <c r="O70" i="8"/>
  <c r="O80" i="7"/>
  <c r="O57" i="8"/>
  <c r="O71" i="8" s="1"/>
  <c r="O72" i="8" s="1"/>
  <c r="O77" i="8" s="1"/>
  <c r="O85" i="8"/>
  <c r="P28" i="8"/>
  <c r="Q2" i="8"/>
  <c r="Q79" i="7" s="1"/>
  <c r="P27" i="8"/>
  <c r="P81" i="7"/>
  <c r="P61" i="8" s="1"/>
  <c r="P64" i="8" s="1"/>
  <c r="P14" i="8"/>
  <c r="P77" i="7"/>
  <c r="P85" i="8" s="1"/>
  <c r="P26" i="8"/>
  <c r="P76" i="7"/>
  <c r="P78" i="7"/>
  <c r="P82" i="7"/>
  <c r="P66" i="8" s="1"/>
  <c r="P69" i="8" s="1"/>
  <c r="P53" i="8"/>
  <c r="P54" i="8" s="1"/>
  <c r="P13" i="8"/>
  <c r="P12" i="8"/>
  <c r="P15" i="8" s="1"/>
  <c r="M86" i="8"/>
  <c r="N80" i="8"/>
  <c r="P29" i="8" l="1"/>
  <c r="O80" i="8"/>
  <c r="O86" i="8" s="1"/>
  <c r="P31" i="8"/>
  <c r="P18" i="8"/>
  <c r="P59" i="8" s="1"/>
  <c r="P70" i="8" s="1"/>
  <c r="R2" i="8"/>
  <c r="R79" i="7" s="1"/>
  <c r="Q27" i="8"/>
  <c r="Q82" i="7"/>
  <c r="Q66" i="8" s="1"/>
  <c r="Q69" i="8" s="1"/>
  <c r="Q13" i="8"/>
  <c r="Q14" i="8"/>
  <c r="Q76" i="7"/>
  <c r="Q78" i="7"/>
  <c r="Q77" i="7"/>
  <c r="Q81" i="7"/>
  <c r="Q61" i="8" s="1"/>
  <c r="Q64" i="8" s="1"/>
  <c r="Q57" i="8"/>
  <c r="Q28" i="8"/>
  <c r="Q26" i="8"/>
  <c r="Q12" i="8"/>
  <c r="Q53" i="8"/>
  <c r="Q54" i="8" s="1"/>
  <c r="N86" i="8"/>
  <c r="P57" i="8"/>
  <c r="P80" i="7"/>
  <c r="Q15" i="8" l="1"/>
  <c r="Q29" i="8"/>
  <c r="P71" i="8"/>
  <c r="P72" i="8" s="1"/>
  <c r="P77" i="8" s="1"/>
  <c r="P80" i="8" s="1"/>
  <c r="Q18" i="8"/>
  <c r="Q59" i="8" s="1"/>
  <c r="Q70" i="8" s="1"/>
  <c r="Q71" i="8" s="1"/>
  <c r="Q72" i="8" s="1"/>
  <c r="Q77" i="8" s="1"/>
  <c r="S2" i="8"/>
  <c r="S79" i="7" s="1"/>
  <c r="R27" i="8"/>
  <c r="R77" i="7"/>
  <c r="R85" i="8" s="1"/>
  <c r="R28" i="8"/>
  <c r="R81" i="7"/>
  <c r="R61" i="8" s="1"/>
  <c r="R64" i="8" s="1"/>
  <c r="R76" i="7"/>
  <c r="R26" i="8"/>
  <c r="R14" i="8"/>
  <c r="R13" i="8"/>
  <c r="R78" i="7"/>
  <c r="R53" i="8"/>
  <c r="R54" i="8" s="1"/>
  <c r="R82" i="7"/>
  <c r="R66" i="8" s="1"/>
  <c r="R69" i="8" s="1"/>
  <c r="R12" i="8"/>
  <c r="Q80" i="7"/>
  <c r="Q85" i="8"/>
  <c r="R15" i="8" l="1"/>
  <c r="Q31" i="8"/>
  <c r="Q80" i="8" s="1"/>
  <c r="R57" i="8"/>
  <c r="R29" i="8"/>
  <c r="R18" i="8"/>
  <c r="R59" i="8" s="1"/>
  <c r="R70" i="8" s="1"/>
  <c r="R71" i="8" s="1"/>
  <c r="R72" i="8" s="1"/>
  <c r="R77" i="8" s="1"/>
  <c r="R80" i="7"/>
  <c r="P86" i="8"/>
  <c r="T2" i="8"/>
  <c r="T79" i="7" s="1"/>
  <c r="S28" i="8"/>
  <c r="S81" i="7"/>
  <c r="S61" i="8" s="1"/>
  <c r="S27" i="8"/>
  <c r="S64" i="8"/>
  <c r="S82" i="7"/>
  <c r="S66" i="8" s="1"/>
  <c r="S69" i="8" s="1"/>
  <c r="S77" i="7"/>
  <c r="S85" i="8" s="1"/>
  <c r="S14" i="8"/>
  <c r="S13" i="8"/>
  <c r="S26" i="8"/>
  <c r="S78" i="7"/>
  <c r="S76" i="7"/>
  <c r="S53" i="8"/>
  <c r="S54" i="8" s="1"/>
  <c r="S57" i="8"/>
  <c r="S12" i="8"/>
  <c r="S15" i="8" l="1"/>
  <c r="R31" i="8"/>
  <c r="S29" i="8"/>
  <c r="S31" i="8"/>
  <c r="S18" i="8"/>
  <c r="S59" i="8" s="1"/>
  <c r="S70" i="8" s="1"/>
  <c r="S71" i="8" s="1"/>
  <c r="S72" i="8" s="1"/>
  <c r="S77" i="8" s="1"/>
  <c r="Q86" i="8"/>
  <c r="R80" i="8"/>
  <c r="U2" i="8"/>
  <c r="U79" i="7" s="1"/>
  <c r="T77" i="7"/>
  <c r="T85" i="8" s="1"/>
  <c r="T82" i="7"/>
  <c r="T66" i="8" s="1"/>
  <c r="T78" i="7"/>
  <c r="T76" i="7"/>
  <c r="T26" i="8"/>
  <c r="T81" i="7"/>
  <c r="T61" i="8" s="1"/>
  <c r="T64" i="8" s="1"/>
  <c r="T69" i="8"/>
  <c r="T27" i="8"/>
  <c r="T28" i="8"/>
  <c r="T14" i="8"/>
  <c r="T13" i="8"/>
  <c r="T12" i="8"/>
  <c r="T15" i="8" s="1"/>
  <c r="T53" i="8"/>
  <c r="T54" i="8" s="1"/>
  <c r="T57" i="8"/>
  <c r="S80" i="7"/>
  <c r="T29" i="8" l="1"/>
  <c r="T31" i="8" s="1"/>
  <c r="S80" i="8"/>
  <c r="S86" i="8" s="1"/>
  <c r="T18" i="8"/>
  <c r="T59" i="8" s="1"/>
  <c r="T70" i="8" s="1"/>
  <c r="T71" i="8" s="1"/>
  <c r="T72" i="8" s="1"/>
  <c r="T77" i="8" s="1"/>
  <c r="T80" i="7"/>
  <c r="V2" i="8"/>
  <c r="V79" i="7" s="1"/>
  <c r="U82" i="7"/>
  <c r="U66" i="8" s="1"/>
  <c r="U69" i="8" s="1"/>
  <c r="U27" i="8"/>
  <c r="U14" i="8"/>
  <c r="U13" i="8"/>
  <c r="U28" i="8"/>
  <c r="U76" i="7"/>
  <c r="U26" i="8"/>
  <c r="U77" i="7"/>
  <c r="U85" i="8" s="1"/>
  <c r="U78" i="7"/>
  <c r="U81" i="7"/>
  <c r="U61" i="8" s="1"/>
  <c r="U64" i="8" s="1"/>
  <c r="U12" i="8"/>
  <c r="U53" i="8"/>
  <c r="U54" i="8" s="1"/>
  <c r="R86" i="8"/>
  <c r="U15" i="8" l="1"/>
  <c r="U29" i="8"/>
  <c r="U31" i="8" s="1"/>
  <c r="U80" i="7"/>
  <c r="U18" i="8"/>
  <c r="U59" i="8" s="1"/>
  <c r="U70" i="8" s="1"/>
  <c r="U57" i="8"/>
  <c r="V14" i="8"/>
  <c r="V81" i="7"/>
  <c r="V61" i="8" s="1"/>
  <c r="V64" i="8" s="1"/>
  <c r="W2" i="8"/>
  <c r="W79" i="7" s="1"/>
  <c r="V26" i="8"/>
  <c r="V78" i="7"/>
  <c r="V76" i="7"/>
  <c r="V13" i="8"/>
  <c r="V27" i="8"/>
  <c r="V77" i="7"/>
  <c r="V28" i="8"/>
  <c r="V53" i="8"/>
  <c r="V54" i="8" s="1"/>
  <c r="V82" i="7"/>
  <c r="V66" i="8" s="1"/>
  <c r="V69" i="8" s="1"/>
  <c r="V12" i="8"/>
  <c r="T80" i="8"/>
  <c r="V15" i="8" l="1"/>
  <c r="V29" i="8"/>
  <c r="U71" i="8"/>
  <c r="U72" i="8" s="1"/>
  <c r="U77" i="8" s="1"/>
  <c r="U80" i="8" s="1"/>
  <c r="U86" i="8" s="1"/>
  <c r="V31" i="8"/>
  <c r="V18" i="8"/>
  <c r="V59" i="8" s="1"/>
  <c r="V70" i="8" s="1"/>
  <c r="V80" i="7"/>
  <c r="W28" i="8"/>
  <c r="X2" i="8"/>
  <c r="X79" i="7" s="1"/>
  <c r="W82" i="7"/>
  <c r="W66" i="8" s="1"/>
  <c r="W13" i="8"/>
  <c r="W81" i="7"/>
  <c r="W61" i="8" s="1"/>
  <c r="W64" i="8" s="1"/>
  <c r="W27" i="8"/>
  <c r="W69" i="8"/>
  <c r="W77" i="7"/>
  <c r="W85" i="8"/>
  <c r="W14" i="8"/>
  <c r="W26" i="8"/>
  <c r="W78" i="7"/>
  <c r="W76" i="7"/>
  <c r="W12" i="8"/>
  <c r="W53" i="8"/>
  <c r="W54" i="8" s="1"/>
  <c r="T86" i="8"/>
  <c r="V57" i="8"/>
  <c r="V85" i="8"/>
  <c r="W15" i="8" l="1"/>
  <c r="W57" i="8"/>
  <c r="W29" i="8"/>
  <c r="W31" i="8" s="1"/>
  <c r="V71" i="8"/>
  <c r="V72" i="8" s="1"/>
  <c r="V77" i="8" s="1"/>
  <c r="V80" i="8" s="1"/>
  <c r="W18" i="8"/>
  <c r="W59" i="8" s="1"/>
  <c r="W70" i="8" s="1"/>
  <c r="W71" i="8" s="1"/>
  <c r="W72" i="8" s="1"/>
  <c r="W77" i="8" s="1"/>
  <c r="W80" i="7"/>
  <c r="Y2" i="8"/>
  <c r="Y79" i="7" s="1"/>
  <c r="X81" i="7"/>
  <c r="X61" i="8" s="1"/>
  <c r="X64" i="8" s="1"/>
  <c r="X14" i="8"/>
  <c r="X78" i="7"/>
  <c r="X82" i="7"/>
  <c r="X66" i="8" s="1"/>
  <c r="X69" i="8" s="1"/>
  <c r="X77" i="7"/>
  <c r="X76" i="7"/>
  <c r="X27" i="8"/>
  <c r="X28" i="8"/>
  <c r="X13" i="8"/>
  <c r="X26" i="8"/>
  <c r="X53" i="8"/>
  <c r="X54" i="8" s="1"/>
  <c r="X12" i="8"/>
  <c r="X15" i="8" l="1"/>
  <c r="X29" i="8"/>
  <c r="X18" i="8"/>
  <c r="X59" i="8" s="1"/>
  <c r="X70" i="8" s="1"/>
  <c r="X31" i="8"/>
  <c r="X57" i="8"/>
  <c r="Y78" i="7"/>
  <c r="Z2" i="8"/>
  <c r="Z79" i="7" s="1"/>
  <c r="Y82" i="7"/>
  <c r="Y66" i="8" s="1"/>
  <c r="Y69" i="8" s="1"/>
  <c r="Y26" i="8"/>
  <c r="Y27" i="8"/>
  <c r="Y13" i="8"/>
  <c r="Y14" i="8"/>
  <c r="Y28" i="8"/>
  <c r="Y77" i="7"/>
  <c r="Y76" i="7"/>
  <c r="Y81" i="7"/>
  <c r="Y61" i="8" s="1"/>
  <c r="Y64" i="8" s="1"/>
  <c r="Y53" i="8"/>
  <c r="Y54" i="8" s="1"/>
  <c r="Y12" i="8"/>
  <c r="X80" i="7"/>
  <c r="X85" i="8"/>
  <c r="V86" i="8"/>
  <c r="W80" i="8"/>
  <c r="Y15" i="8" l="1"/>
  <c r="Y80" i="7"/>
  <c r="Y29" i="8"/>
  <c r="Y31" i="8" s="1"/>
  <c r="X71" i="8"/>
  <c r="X72" i="8" s="1"/>
  <c r="X77" i="8" s="1"/>
  <c r="X80" i="8" s="1"/>
  <c r="Y18" i="8"/>
  <c r="Y59" i="8" s="1"/>
  <c r="Y70" i="8" s="1"/>
  <c r="W86" i="8"/>
  <c r="Y57" i="8"/>
  <c r="Y85" i="8"/>
  <c r="AA2" i="8"/>
  <c r="AA79" i="7" s="1"/>
  <c r="Z13" i="8"/>
  <c r="Z82" i="7"/>
  <c r="Z66" i="8" s="1"/>
  <c r="Z26" i="8"/>
  <c r="Z14" i="8"/>
  <c r="Z69" i="8"/>
  <c r="Z81" i="7"/>
  <c r="Z61" i="8" s="1"/>
  <c r="Z64" i="8" s="1"/>
  <c r="Z28" i="8"/>
  <c r="Z29" i="8" s="1"/>
  <c r="Z27" i="8"/>
  <c r="Z78" i="7"/>
  <c r="Z76" i="7"/>
  <c r="Z77" i="7"/>
  <c r="Z80" i="7" s="1"/>
  <c r="Z12" i="8"/>
  <c r="Z53" i="8"/>
  <c r="Z54" i="8" s="1"/>
  <c r="Z15" i="8" l="1"/>
  <c r="Y71" i="8"/>
  <c r="Y72" i="8" s="1"/>
  <c r="Y77" i="8" s="1"/>
  <c r="Y80" i="8" s="1"/>
  <c r="Z31" i="8"/>
  <c r="Z18" i="8"/>
  <c r="Z59" i="8" s="1"/>
  <c r="Z70" i="8" s="1"/>
  <c r="Z57" i="8"/>
  <c r="AB2" i="8"/>
  <c r="AB79" i="7" s="1"/>
  <c r="AA82" i="7"/>
  <c r="AA66" i="8" s="1"/>
  <c r="AA69" i="8" s="1"/>
  <c r="AA13" i="8"/>
  <c r="AA14" i="8"/>
  <c r="AA26" i="8"/>
  <c r="AA76" i="7"/>
  <c r="AA27" i="8"/>
  <c r="AA77" i="7"/>
  <c r="AA78" i="7"/>
  <c r="AA81" i="7"/>
  <c r="AA61" i="8" s="1"/>
  <c r="AA64" i="8" s="1"/>
  <c r="AA28" i="8"/>
  <c r="AA12" i="8"/>
  <c r="AA53" i="8"/>
  <c r="AA54" i="8" s="1"/>
  <c r="Z85" i="8"/>
  <c r="X86" i="8"/>
  <c r="AA80" i="7" l="1"/>
  <c r="B8" i="8" s="1" a="1"/>
  <c r="AA8" i="8" s="1"/>
  <c r="AA81" i="8" s="1"/>
  <c r="AA29" i="8"/>
  <c r="AA15" i="8"/>
  <c r="Z71" i="8"/>
  <c r="Z72" i="8" s="1"/>
  <c r="Z77" i="8" s="1"/>
  <c r="Z80" i="8" s="1"/>
  <c r="AA18" i="8"/>
  <c r="AA59" i="8" s="1"/>
  <c r="AA70" i="8" s="1"/>
  <c r="AA31" i="8"/>
  <c r="AA85" i="8"/>
  <c r="Y86" i="8"/>
  <c r="AA57" i="8"/>
  <c r="AB69" i="8"/>
  <c r="AC2" i="8"/>
  <c r="AC79" i="7" s="1"/>
  <c r="AB64" i="8"/>
  <c r="AB77" i="8"/>
  <c r="AB57" i="8"/>
  <c r="AB31" i="8"/>
  <c r="AB72" i="8"/>
  <c r="AB82" i="7"/>
  <c r="AB66" i="8" s="1"/>
  <c r="AB53" i="8"/>
  <c r="AB54" i="8" s="1"/>
  <c r="AB76" i="7"/>
  <c r="AB14" i="8"/>
  <c r="AB77" i="7"/>
  <c r="AB71" i="8"/>
  <c r="AB78" i="7"/>
  <c r="AB15" i="8"/>
  <c r="AB86" i="8"/>
  <c r="AB13" i="8"/>
  <c r="AB12" i="8"/>
  <c r="AB82" i="8"/>
  <c r="AB81" i="7"/>
  <c r="AB61" i="8" s="1"/>
  <c r="AB70" i="8"/>
  <c r="AB80" i="8"/>
  <c r="AB85" i="8"/>
  <c r="AB81" i="8"/>
  <c r="AB18" i="8"/>
  <c r="AB59" i="8" s="1"/>
  <c r="CN8" i="8" l="1"/>
  <c r="D8" i="8"/>
  <c r="D81" i="8" s="1"/>
  <c r="CX8" i="8"/>
  <c r="BO8" i="8"/>
  <c r="AZ8" i="8"/>
  <c r="CI8" i="8"/>
  <c r="AK8" i="8"/>
  <c r="BM8" i="8"/>
  <c r="J8" i="8"/>
  <c r="J81" i="8" s="1"/>
  <c r="BC8" i="8"/>
  <c r="BN8" i="8"/>
  <c r="CT8" i="8"/>
  <c r="BS8" i="8"/>
  <c r="CS8" i="8"/>
  <c r="AS8" i="8"/>
  <c r="W8" i="8"/>
  <c r="W81" i="8" s="1"/>
  <c r="W82" i="8" s="1"/>
  <c r="AJ8" i="8"/>
  <c r="K8" i="8"/>
  <c r="K81" i="8" s="1"/>
  <c r="Q8" i="8"/>
  <c r="Q81" i="8" s="1"/>
  <c r="Q82" i="8" s="1"/>
  <c r="Z8" i="8"/>
  <c r="Z81" i="8" s="1"/>
  <c r="AP8" i="8"/>
  <c r="Y8" i="8"/>
  <c r="Y81" i="8" s="1"/>
  <c r="Y82" i="8" s="1"/>
  <c r="BE8" i="8"/>
  <c r="BJ8" i="8"/>
  <c r="BW8" i="8"/>
  <c r="BQ8" i="8"/>
  <c r="AL8" i="8"/>
  <c r="BR8" i="8"/>
  <c r="BH8" i="8"/>
  <c r="M8" i="8"/>
  <c r="M81" i="8" s="1"/>
  <c r="M82" i="8" s="1"/>
  <c r="CV8" i="8"/>
  <c r="CW8" i="8"/>
  <c r="F8" i="8"/>
  <c r="F81" i="8" s="1"/>
  <c r="AQ8" i="8"/>
  <c r="AM8" i="8"/>
  <c r="AB8" i="8"/>
  <c r="CJ8" i="8"/>
  <c r="AT8" i="8"/>
  <c r="CE8" i="8"/>
  <c r="CM8" i="8"/>
  <c r="CC8" i="8"/>
  <c r="BP8" i="8"/>
  <c r="N8" i="8"/>
  <c r="N81" i="8" s="1"/>
  <c r="N82" i="8" s="1"/>
  <c r="P8" i="8"/>
  <c r="P81" i="8" s="1"/>
  <c r="P82" i="8" s="1"/>
  <c r="CK8" i="8"/>
  <c r="S8" i="8"/>
  <c r="S81" i="8" s="1"/>
  <c r="S82" i="8" s="1"/>
  <c r="CQ8" i="8"/>
  <c r="AH8" i="8"/>
  <c r="AE8" i="8"/>
  <c r="BI8" i="8"/>
  <c r="AY8" i="8"/>
  <c r="AX8" i="8"/>
  <c r="BX8" i="8"/>
  <c r="AV8" i="8"/>
  <c r="I8" i="8"/>
  <c r="I81" i="8" s="1"/>
  <c r="AU8" i="8"/>
  <c r="BT8" i="8"/>
  <c r="C8" i="8"/>
  <c r="C81" i="8" s="1"/>
  <c r="BF8" i="8"/>
  <c r="BY8" i="8"/>
  <c r="G8" i="8"/>
  <c r="G81" i="8" s="1"/>
  <c r="CP8" i="8"/>
  <c r="CU8" i="8"/>
  <c r="AF8" i="8"/>
  <c r="CB8" i="8"/>
  <c r="R8" i="8"/>
  <c r="R81" i="8" s="1"/>
  <c r="R82" i="8" s="1"/>
  <c r="AR8" i="8"/>
  <c r="BZ8" i="8"/>
  <c r="BU8" i="8"/>
  <c r="AC8" i="8"/>
  <c r="AW8" i="8"/>
  <c r="AI8" i="8"/>
  <c r="CR8" i="8"/>
  <c r="BA8" i="8"/>
  <c r="BK8" i="8"/>
  <c r="CF8" i="8"/>
  <c r="CA8" i="8"/>
  <c r="BG8" i="8"/>
  <c r="V8" i="8"/>
  <c r="V81" i="8" s="1"/>
  <c r="V82" i="8" s="1"/>
  <c r="BB8" i="8"/>
  <c r="L8" i="8"/>
  <c r="L81" i="8" s="1"/>
  <c r="BL8" i="8"/>
  <c r="BV8" i="8"/>
  <c r="CL8" i="8"/>
  <c r="O8" i="8"/>
  <c r="O81" i="8" s="1"/>
  <c r="O82" i="8" s="1"/>
  <c r="AD8" i="8"/>
  <c r="CO8" i="8"/>
  <c r="B8" i="8"/>
  <c r="B82" i="8" s="1"/>
  <c r="CD8" i="8"/>
  <c r="E8" i="8"/>
  <c r="E81" i="8" s="1"/>
  <c r="AN8" i="8"/>
  <c r="H8" i="8"/>
  <c r="H81" i="8" s="1"/>
  <c r="T8" i="8"/>
  <c r="T81" i="8" s="1"/>
  <c r="T82" i="8" s="1"/>
  <c r="U8" i="8"/>
  <c r="U81" i="8" s="1"/>
  <c r="U82" i="8" s="1"/>
  <c r="CG8" i="8"/>
  <c r="CH8" i="8"/>
  <c r="AO8" i="8"/>
  <c r="X8" i="8"/>
  <c r="X81" i="8" s="1"/>
  <c r="X82" i="8" s="1"/>
  <c r="BD8" i="8"/>
  <c r="AG8" i="8"/>
  <c r="AA71" i="8"/>
  <c r="AA72" i="8" s="1"/>
  <c r="AA77" i="8" s="1"/>
  <c r="AA80" i="8" s="1"/>
  <c r="Z86" i="8"/>
  <c r="Z82" i="8"/>
  <c r="AC12" i="8"/>
  <c r="AC70" i="8"/>
  <c r="AC57" i="8"/>
  <c r="AC69" i="8"/>
  <c r="AD2" i="8"/>
  <c r="AD79" i="7" s="1"/>
  <c r="AC64" i="8"/>
  <c r="AC13" i="8"/>
  <c r="AC77" i="8"/>
  <c r="AC31" i="8"/>
  <c r="AC78" i="7"/>
  <c r="AC82" i="8"/>
  <c r="AC86" i="8"/>
  <c r="AC15" i="8"/>
  <c r="AC14" i="8"/>
  <c r="AC85" i="8"/>
  <c r="AC82" i="7"/>
  <c r="AC66" i="8" s="1"/>
  <c r="AC72" i="8"/>
  <c r="AC80" i="8"/>
  <c r="AC81" i="8"/>
  <c r="AC53" i="8"/>
  <c r="AC54" i="8" s="1"/>
  <c r="AC71" i="8"/>
  <c r="AC77" i="7"/>
  <c r="AC18" i="8"/>
  <c r="AC59" i="8" s="1"/>
  <c r="AC81" i="7"/>
  <c r="AC61" i="8" s="1"/>
  <c r="AC76" i="7"/>
  <c r="AA82" i="8" l="1"/>
  <c r="AA86" i="8"/>
  <c r="AD14" i="8"/>
  <c r="AD76" i="7"/>
  <c r="AD69" i="8"/>
  <c r="AE2" i="8"/>
  <c r="AE79" i="7" s="1"/>
  <c r="AD78" i="7"/>
  <c r="AD85" i="8"/>
  <c r="AD64" i="8"/>
  <c r="AD81" i="7"/>
  <c r="AD61" i="8" s="1"/>
  <c r="AD81" i="8"/>
  <c r="AD15" i="8"/>
  <c r="AD53" i="8"/>
  <c r="AD54" i="8" s="1"/>
  <c r="AD71" i="8"/>
  <c r="AD70" i="8"/>
  <c r="AD31" i="8"/>
  <c r="AD80" i="8"/>
  <c r="AD82" i="8"/>
  <c r="AD77" i="7"/>
  <c r="AD82" i="7"/>
  <c r="AD66" i="8" s="1"/>
  <c r="AD77" i="8"/>
  <c r="AD86" i="8"/>
  <c r="AD18" i="8"/>
  <c r="AD59" i="8" s="1"/>
  <c r="AD57" i="8"/>
  <c r="AD72" i="8"/>
  <c r="AD13" i="8"/>
  <c r="AD12" i="8"/>
  <c r="AE69" i="8" l="1"/>
  <c r="AF2" i="8"/>
  <c r="AF79" i="7" s="1"/>
  <c r="AE13" i="8"/>
  <c r="AE82" i="7"/>
  <c r="AE66" i="8" s="1"/>
  <c r="AE53" i="8"/>
  <c r="AE54" i="8" s="1"/>
  <c r="AE18" i="8"/>
  <c r="AE59" i="8" s="1"/>
  <c r="AE14" i="8"/>
  <c r="AE12" i="8"/>
  <c r="AE70" i="8"/>
  <c r="AE57" i="8"/>
  <c r="AE71" i="8"/>
  <c r="AE81" i="7"/>
  <c r="AE61" i="8" s="1"/>
  <c r="AE76" i="7"/>
  <c r="AE15" i="8"/>
  <c r="AE77" i="7"/>
  <c r="AE86" i="8"/>
  <c r="AE81" i="8"/>
  <c r="AE82" i="8"/>
  <c r="AE78" i="7"/>
  <c r="AE72" i="8"/>
  <c r="AE64" i="8"/>
  <c r="AE31" i="8"/>
  <c r="AE77" i="8"/>
  <c r="AE80" i="8"/>
  <c r="AE85" i="8"/>
  <c r="AF69" i="8" l="1"/>
  <c r="AG2" i="8"/>
  <c r="AG79" i="7" s="1"/>
  <c r="AF86" i="8"/>
  <c r="AF82" i="8"/>
  <c r="AF14" i="8"/>
  <c r="AF81" i="7"/>
  <c r="AF61" i="8" s="1"/>
  <c r="AF85" i="8"/>
  <c r="AF72" i="8"/>
  <c r="AF13" i="8"/>
  <c r="AF81" i="8"/>
  <c r="AF71" i="8"/>
  <c r="AF15" i="8"/>
  <c r="AF12" i="8"/>
  <c r="AF18" i="8"/>
  <c r="AF59" i="8" s="1"/>
  <c r="AF82" i="7"/>
  <c r="AF66" i="8" s="1"/>
  <c r="AF57" i="8"/>
  <c r="AF77" i="7"/>
  <c r="AF76" i="7"/>
  <c r="AF64" i="8"/>
  <c r="AF70" i="8"/>
  <c r="AF31" i="8"/>
  <c r="AF77" i="8"/>
  <c r="AF80" i="8"/>
  <c r="AF53" i="8"/>
  <c r="AF54" i="8" s="1"/>
  <c r="AF78" i="7"/>
  <c r="AG69" i="8" l="1"/>
  <c r="AH2" i="8"/>
  <c r="AH79" i="7" s="1"/>
  <c r="AG82" i="7"/>
  <c r="AG66" i="8" s="1"/>
  <c r="AG85" i="8"/>
  <c r="AG72" i="8"/>
  <c r="AG81" i="8"/>
  <c r="AG13" i="8"/>
  <c r="AG81" i="7"/>
  <c r="AG61" i="8" s="1"/>
  <c r="AG53" i="8"/>
  <c r="AG54" i="8" s="1"/>
  <c r="AG76" i="7"/>
  <c r="AG77" i="7"/>
  <c r="AG18" i="8"/>
  <c r="AG59" i="8" s="1"/>
  <c r="AG14" i="8"/>
  <c r="AG80" i="8"/>
  <c r="AG15" i="8"/>
  <c r="AG77" i="8"/>
  <c r="AG86" i="8"/>
  <c r="AG82" i="8"/>
  <c r="AG12" i="8"/>
  <c r="AG71" i="8"/>
  <c r="AG64" i="8"/>
  <c r="AG78" i="7"/>
  <c r="AG31" i="8"/>
  <c r="AG57" i="8"/>
  <c r="AG70" i="8"/>
  <c r="AI2" i="8" l="1"/>
  <c r="AI79" i="7" s="1"/>
  <c r="AH77" i="7"/>
  <c r="AH69" i="8"/>
  <c r="AH64" i="8"/>
  <c r="AH81" i="7"/>
  <c r="AH61" i="8" s="1"/>
  <c r="AH57" i="8"/>
  <c r="AH86" i="8"/>
  <c r="AH77" i="8"/>
  <c r="AH53" i="8"/>
  <c r="AH54" i="8" s="1"/>
  <c r="AH13" i="8"/>
  <c r="AH70" i="8"/>
  <c r="AH76" i="7"/>
  <c r="AH31" i="8"/>
  <c r="AH14" i="8"/>
  <c r="AH71" i="8"/>
  <c r="AH12" i="8"/>
  <c r="AH15" i="8"/>
  <c r="AH78" i="7"/>
  <c r="AH82" i="8"/>
  <c r="AH82" i="7"/>
  <c r="AH66" i="8" s="1"/>
  <c r="AH80" i="8"/>
  <c r="AH18" i="8"/>
  <c r="AH59" i="8" s="1"/>
  <c r="AH81" i="8"/>
  <c r="AH85" i="8"/>
  <c r="AH72" i="8"/>
  <c r="AI69" i="8" l="1"/>
  <c r="AJ2" i="8"/>
  <c r="AJ79" i="7" s="1"/>
  <c r="AI12" i="8"/>
  <c r="AI70" i="8"/>
  <c r="AI18" i="8"/>
  <c r="AI59" i="8" s="1"/>
  <c r="AI78" i="7"/>
  <c r="AI81" i="8"/>
  <c r="AI82" i="8"/>
  <c r="AI77" i="7"/>
  <c r="AI86" i="8"/>
  <c r="AI53" i="8"/>
  <c r="AI54" i="8" s="1"/>
  <c r="AI13" i="8"/>
  <c r="AI80" i="8"/>
  <c r="AI72" i="8"/>
  <c r="AI85" i="8"/>
  <c r="AI14" i="8"/>
  <c r="AI57" i="8"/>
  <c r="AI71" i="8"/>
  <c r="AI82" i="7"/>
  <c r="AI66" i="8" s="1"/>
  <c r="AI76" i="7"/>
  <c r="AI77" i="8"/>
  <c r="AI31" i="8"/>
  <c r="AI64" i="8"/>
  <c r="AI15" i="8"/>
  <c r="AI81" i="7"/>
  <c r="AI61" i="8" s="1"/>
  <c r="AJ69" i="8" l="1"/>
  <c r="AK2" i="8"/>
  <c r="AK79" i="7" s="1"/>
  <c r="AJ64" i="8"/>
  <c r="AJ13" i="8"/>
  <c r="AJ15" i="8"/>
  <c r="AJ76" i="7"/>
  <c r="AJ78" i="7"/>
  <c r="AJ86" i="8"/>
  <c r="AJ31" i="8"/>
  <c r="AJ82" i="7"/>
  <c r="AJ66" i="8" s="1"/>
  <c r="AJ70" i="8"/>
  <c r="AJ72" i="8"/>
  <c r="AJ14" i="8"/>
  <c r="AJ77" i="8"/>
  <c r="AJ57" i="8"/>
  <c r="AJ12" i="8"/>
  <c r="AJ80" i="8"/>
  <c r="AJ82" i="8"/>
  <c r="AJ85" i="8"/>
  <c r="AJ71" i="8"/>
  <c r="AJ81" i="7"/>
  <c r="AJ61" i="8" s="1"/>
  <c r="AJ81" i="8"/>
  <c r="AJ77" i="7"/>
  <c r="AJ53" i="8"/>
  <c r="AJ54" i="8" s="1"/>
  <c r="AJ18" i="8"/>
  <c r="AJ59" i="8" s="1"/>
  <c r="AK69" i="8" l="1"/>
  <c r="AL2" i="8"/>
  <c r="AL79" i="7" s="1"/>
  <c r="AK78" i="7"/>
  <c r="AK86" i="8"/>
  <c r="AK82" i="8"/>
  <c r="AK13" i="8"/>
  <c r="AK31" i="8"/>
  <c r="AK18" i="8"/>
  <c r="AK59" i="8" s="1"/>
  <c r="AK12" i="8"/>
  <c r="AK80" i="8"/>
  <c r="AK77" i="7"/>
  <c r="AK85" i="8"/>
  <c r="AK15" i="8"/>
  <c r="AK81" i="8"/>
  <c r="AK81" i="7"/>
  <c r="AK61" i="8" s="1"/>
  <c r="AK76" i="7"/>
  <c r="AK72" i="8"/>
  <c r="AK82" i="7"/>
  <c r="AK66" i="8" s="1"/>
  <c r="AK70" i="8"/>
  <c r="AK77" i="8"/>
  <c r="AK64" i="8"/>
  <c r="AK57" i="8"/>
  <c r="AK14" i="8"/>
  <c r="AK71" i="8"/>
  <c r="AK53" i="8"/>
  <c r="AK54" i="8" s="1"/>
  <c r="AM2" i="8" l="1"/>
  <c r="AM79" i="7" s="1"/>
  <c r="AL69" i="8"/>
  <c r="AL14" i="8"/>
  <c r="AL15" i="8"/>
  <c r="AL78" i="7"/>
  <c r="AL86" i="8"/>
  <c r="AL57" i="8"/>
  <c r="AL81" i="7"/>
  <c r="AL61" i="8" s="1"/>
  <c r="AL18" i="8"/>
  <c r="AL59" i="8" s="1"/>
  <c r="AL71" i="8"/>
  <c r="AL82" i="7"/>
  <c r="AL66" i="8" s="1"/>
  <c r="AL76" i="7"/>
  <c r="AL77" i="8"/>
  <c r="AL31" i="8"/>
  <c r="AL64" i="8"/>
  <c r="AL13" i="8"/>
  <c r="AL70" i="8"/>
  <c r="AL72" i="8"/>
  <c r="AL80" i="8"/>
  <c r="AL85" i="8"/>
  <c r="AL81" i="8"/>
  <c r="AL82" i="8"/>
  <c r="AL77" i="7"/>
  <c r="AL53" i="8"/>
  <c r="AL54" i="8" s="1"/>
  <c r="AL12" i="8"/>
  <c r="AM69" i="8" l="1"/>
  <c r="AN2" i="8"/>
  <c r="AN79" i="7" s="1"/>
  <c r="AM86" i="8"/>
  <c r="AM76" i="7"/>
  <c r="AM13" i="8"/>
  <c r="AM82" i="8"/>
  <c r="AM53" i="8"/>
  <c r="AM54" i="8" s="1"/>
  <c r="AM70" i="8"/>
  <c r="AM64" i="8"/>
  <c r="AM14" i="8"/>
  <c r="AM77" i="8"/>
  <c r="AM31" i="8"/>
  <c r="AM12" i="8"/>
  <c r="AM80" i="8"/>
  <c r="AM78" i="7"/>
  <c r="AM85" i="8"/>
  <c r="AM71" i="8"/>
  <c r="AM77" i="7"/>
  <c r="AM81" i="8"/>
  <c r="AM82" i="7"/>
  <c r="AM66" i="8" s="1"/>
  <c r="AM57" i="8"/>
  <c r="AM72" i="8"/>
  <c r="AM81" i="7"/>
  <c r="AM61" i="8" s="1"/>
  <c r="AM18" i="8"/>
  <c r="AM59" i="8" s="1"/>
  <c r="AM15" i="8"/>
  <c r="AN69" i="8" l="1"/>
  <c r="AO2" i="8"/>
  <c r="AO79" i="7" s="1"/>
  <c r="AN13" i="8"/>
  <c r="AN18" i="8"/>
  <c r="AN59" i="8" s="1"/>
  <c r="AN78" i="7"/>
  <c r="AN86" i="8"/>
  <c r="AN82" i="8"/>
  <c r="AN77" i="7"/>
  <c r="AN85" i="8"/>
  <c r="AN15" i="8"/>
  <c r="AN81" i="8"/>
  <c r="AN64" i="8"/>
  <c r="AN82" i="7"/>
  <c r="AN66" i="8" s="1"/>
  <c r="AN31" i="8"/>
  <c r="AN71" i="8"/>
  <c r="AN76" i="7"/>
  <c r="AN81" i="7"/>
  <c r="AN61" i="8" s="1"/>
  <c r="AN53" i="8"/>
  <c r="AN54" i="8" s="1"/>
  <c r="AN70" i="8"/>
  <c r="AN77" i="8"/>
  <c r="AN80" i="8"/>
  <c r="AN14" i="8"/>
  <c r="AN12" i="8"/>
  <c r="AN72" i="8"/>
  <c r="AN57" i="8"/>
  <c r="AO69" i="8" l="1"/>
  <c r="AP2" i="8"/>
  <c r="AP79" i="7" s="1"/>
  <c r="AO64" i="8"/>
  <c r="AO86" i="8"/>
  <c r="AO14" i="8"/>
  <c r="AO57" i="8"/>
  <c r="AO71" i="8"/>
  <c r="AO18" i="8"/>
  <c r="AO59" i="8" s="1"/>
  <c r="AO81" i="7"/>
  <c r="AO61" i="8" s="1"/>
  <c r="AO70" i="8"/>
  <c r="AO53" i="8"/>
  <c r="AO54" i="8" s="1"/>
  <c r="AO13" i="8"/>
  <c r="AO77" i="8"/>
  <c r="AO82" i="8"/>
  <c r="AO12" i="8"/>
  <c r="AO80" i="8"/>
  <c r="AO31" i="8"/>
  <c r="AO82" i="7"/>
  <c r="AO66" i="8" s="1"/>
  <c r="AO85" i="8"/>
  <c r="AO81" i="8"/>
  <c r="AO15" i="8"/>
  <c r="AO78" i="7"/>
  <c r="AO77" i="7"/>
  <c r="AO76" i="7"/>
  <c r="AO72" i="8"/>
  <c r="AQ2" i="8" l="1"/>
  <c r="AQ79" i="7" s="1"/>
  <c r="AP69" i="8"/>
  <c r="AP14" i="8"/>
  <c r="AP72" i="8"/>
  <c r="AP77" i="7"/>
  <c r="AP86" i="8"/>
  <c r="AP71" i="8"/>
  <c r="AP13" i="8"/>
  <c r="AP70" i="8"/>
  <c r="AP31" i="8"/>
  <c r="AP12" i="8"/>
  <c r="AP80" i="8"/>
  <c r="AP18" i="8"/>
  <c r="AP59" i="8" s="1"/>
  <c r="AP78" i="7"/>
  <c r="AP85" i="8"/>
  <c r="AP81" i="8"/>
  <c r="AP57" i="8"/>
  <c r="AP82" i="7"/>
  <c r="AP66" i="8" s="1"/>
  <c r="AP76" i="7"/>
  <c r="AP15" i="8"/>
  <c r="AP81" i="7"/>
  <c r="AP61" i="8" s="1"/>
  <c r="AP77" i="8"/>
  <c r="AP53" i="8"/>
  <c r="AP54" i="8" s="1"/>
  <c r="AP64" i="8"/>
  <c r="AP82" i="8"/>
  <c r="AQ69" i="8" l="1"/>
  <c r="AR2" i="8"/>
  <c r="AR79" i="7" s="1"/>
  <c r="AQ64" i="8"/>
  <c r="AQ77" i="7"/>
  <c r="AQ81" i="8"/>
  <c r="AQ78" i="7"/>
  <c r="AQ80" i="8"/>
  <c r="AQ57" i="8"/>
  <c r="AQ86" i="8"/>
  <c r="AQ76" i="7"/>
  <c r="AQ82" i="7"/>
  <c r="AQ66" i="8" s="1"/>
  <c r="AQ85" i="8"/>
  <c r="AQ72" i="8"/>
  <c r="AQ71" i="8"/>
  <c r="AQ53" i="8"/>
  <c r="AQ54" i="8" s="1"/>
  <c r="AQ81" i="7"/>
  <c r="AQ61" i="8" s="1"/>
  <c r="AQ31" i="8"/>
  <c r="AQ70" i="8"/>
  <c r="AQ77" i="8"/>
  <c r="AQ14" i="8"/>
  <c r="AQ12" i="8"/>
  <c r="AQ15" i="8"/>
  <c r="AQ18" i="8"/>
  <c r="AQ59" i="8" s="1"/>
  <c r="AQ13" i="8"/>
  <c r="AQ82" i="8"/>
  <c r="AR69" i="8" l="1"/>
  <c r="AS2" i="8"/>
  <c r="AS79" i="7" s="1"/>
  <c r="AR13" i="8"/>
  <c r="AR15" i="8"/>
  <c r="AR31" i="8"/>
  <c r="AR80" i="8"/>
  <c r="AR71" i="8"/>
  <c r="AR78" i="7"/>
  <c r="AR86" i="8"/>
  <c r="AR53" i="8"/>
  <c r="AR54" i="8" s="1"/>
  <c r="AR77" i="7"/>
  <c r="AR85" i="8"/>
  <c r="AR81" i="7"/>
  <c r="AR61" i="8" s="1"/>
  <c r="AR81" i="8"/>
  <c r="AR72" i="8"/>
  <c r="AR76" i="7"/>
  <c r="AR57" i="8"/>
  <c r="AR12" i="8"/>
  <c r="AR82" i="7"/>
  <c r="AR66" i="8" s="1"/>
  <c r="AR70" i="8"/>
  <c r="AR64" i="8"/>
  <c r="AR77" i="8"/>
  <c r="AR82" i="8"/>
  <c r="AR14" i="8"/>
  <c r="AR18" i="8"/>
  <c r="AR59" i="8" s="1"/>
  <c r="AS69" i="8" l="1"/>
  <c r="AT2" i="8"/>
  <c r="AT79" i="7" s="1"/>
  <c r="AS78" i="7"/>
  <c r="AS86" i="8"/>
  <c r="AS15" i="8"/>
  <c r="AS12" i="8"/>
  <c r="AS77" i="8"/>
  <c r="AS80" i="8"/>
  <c r="AS57" i="8"/>
  <c r="AS77" i="7"/>
  <c r="AS85" i="8"/>
  <c r="AS72" i="8"/>
  <c r="AS81" i="7"/>
  <c r="AS61" i="8" s="1"/>
  <c r="AS81" i="8"/>
  <c r="AS53" i="8"/>
  <c r="AS54" i="8" s="1"/>
  <c r="AS76" i="7"/>
  <c r="AS14" i="8"/>
  <c r="AS18" i="8"/>
  <c r="AS59" i="8" s="1"/>
  <c r="AS13" i="8"/>
  <c r="AS82" i="7"/>
  <c r="AS66" i="8" s="1"/>
  <c r="AS64" i="8"/>
  <c r="AS70" i="8"/>
  <c r="AS82" i="8"/>
  <c r="AS31" i="8"/>
  <c r="AS71" i="8"/>
  <c r="AU2" i="8" l="1"/>
  <c r="AU79" i="7" s="1"/>
  <c r="AT69" i="8"/>
  <c r="AT13" i="8"/>
  <c r="AT31" i="8"/>
  <c r="AT64" i="8"/>
  <c r="AT12" i="8"/>
  <c r="AT70" i="8"/>
  <c r="AT77" i="7"/>
  <c r="AT80" i="8"/>
  <c r="AT57" i="8"/>
  <c r="AT85" i="8"/>
  <c r="AT82" i="8"/>
  <c r="AT78" i="7"/>
  <c r="AT86" i="8"/>
  <c r="AT71" i="8"/>
  <c r="AT81" i="7"/>
  <c r="AT61" i="8" s="1"/>
  <c r="AT81" i="8"/>
  <c r="AT53" i="8"/>
  <c r="AT54" i="8" s="1"/>
  <c r="AT15" i="8"/>
  <c r="AT14" i="8"/>
  <c r="AT72" i="8"/>
  <c r="AT76" i="7"/>
  <c r="AT18" i="8"/>
  <c r="AT59" i="8" s="1"/>
  <c r="AT77" i="8"/>
  <c r="AT82" i="7"/>
  <c r="AT66" i="8" s="1"/>
  <c r="AU69" i="8" l="1"/>
  <c r="AV2" i="8"/>
  <c r="AV79" i="7" s="1"/>
  <c r="AU85" i="8"/>
  <c r="AU64" i="8"/>
  <c r="AU13" i="8"/>
  <c r="AU77" i="7"/>
  <c r="AU80" i="8"/>
  <c r="AU57" i="8"/>
  <c r="AU81" i="7"/>
  <c r="AU61" i="8" s="1"/>
  <c r="AU81" i="8"/>
  <c r="AU53" i="8"/>
  <c r="AU54" i="8" s="1"/>
  <c r="AU70" i="8"/>
  <c r="AU76" i="7"/>
  <c r="AU77" i="8"/>
  <c r="AU72" i="8"/>
  <c r="AU14" i="8"/>
  <c r="AU86" i="8"/>
  <c r="AU18" i="8"/>
  <c r="AU59" i="8" s="1"/>
  <c r="AU15" i="8"/>
  <c r="AU31" i="8"/>
  <c r="AU12" i="8"/>
  <c r="AU78" i="7"/>
  <c r="AU82" i="7"/>
  <c r="AU66" i="8" s="1"/>
  <c r="AU71" i="8"/>
  <c r="AU82" i="8"/>
  <c r="AV69" i="8" l="1"/>
  <c r="AW2" i="8"/>
  <c r="AW79" i="7" s="1"/>
  <c r="AV13" i="8"/>
  <c r="AV77" i="7"/>
  <c r="AV77" i="8"/>
  <c r="AV15" i="8"/>
  <c r="AV72" i="8"/>
  <c r="AV64" i="8"/>
  <c r="AV86" i="8"/>
  <c r="AV18" i="8"/>
  <c r="AV59" i="8" s="1"/>
  <c r="AV82" i="7"/>
  <c r="AV66" i="8" s="1"/>
  <c r="AV76" i="7"/>
  <c r="AV71" i="8"/>
  <c r="AV81" i="7"/>
  <c r="AV61" i="8" s="1"/>
  <c r="AV82" i="8"/>
  <c r="AV85" i="8"/>
  <c r="AV81" i="8"/>
  <c r="AV14" i="8"/>
  <c r="AV57" i="8"/>
  <c r="AV80" i="8"/>
  <c r="AV31" i="8"/>
  <c r="AV53" i="8"/>
  <c r="AV54" i="8" s="1"/>
  <c r="AV12" i="8"/>
  <c r="AV78" i="7"/>
  <c r="AV70" i="8"/>
  <c r="AW69" i="8" l="1"/>
  <c r="AX2" i="8"/>
  <c r="AX79" i="7" s="1"/>
  <c r="AW81" i="8"/>
  <c r="AW57" i="8"/>
  <c r="AW14" i="8"/>
  <c r="AW15" i="8"/>
  <c r="AW70" i="8"/>
  <c r="AW13" i="8"/>
  <c r="AW77" i="8"/>
  <c r="AW18" i="8"/>
  <c r="AW59" i="8" s="1"/>
  <c r="AW64" i="8"/>
  <c r="AW12" i="8"/>
  <c r="AW80" i="8"/>
  <c r="AW78" i="7"/>
  <c r="AW86" i="8"/>
  <c r="AW76" i="7"/>
  <c r="AW82" i="7"/>
  <c r="AW66" i="8" s="1"/>
  <c r="AW81" i="7"/>
  <c r="AW61" i="8" s="1"/>
  <c r="AW85" i="8"/>
  <c r="AW53" i="8"/>
  <c r="AW54" i="8" s="1"/>
  <c r="AW72" i="8"/>
  <c r="AW77" i="7"/>
  <c r="AW82" i="8"/>
  <c r="AW71" i="8"/>
  <c r="AW31" i="8"/>
  <c r="AY2" i="8" l="1"/>
  <c r="AY79" i="7" s="1"/>
  <c r="AX69" i="8"/>
  <c r="AX78" i="7"/>
  <c r="AX70" i="8"/>
  <c r="AX18" i="8"/>
  <c r="AX59" i="8" s="1"/>
  <c r="AX86" i="8"/>
  <c r="AX71" i="8"/>
  <c r="AX64" i="8"/>
  <c r="AX12" i="8"/>
  <c r="AX81" i="8"/>
  <c r="AX72" i="8"/>
  <c r="AX77" i="7"/>
  <c r="AX85" i="8"/>
  <c r="AX31" i="8"/>
  <c r="AX81" i="7"/>
  <c r="AX61" i="8" s="1"/>
  <c r="AX53" i="8"/>
  <c r="AX54" i="8" s="1"/>
  <c r="AX15" i="8"/>
  <c r="AX13" i="8"/>
  <c r="AX76" i="7"/>
  <c r="AX14" i="8"/>
  <c r="AX82" i="8"/>
  <c r="AX82" i="7"/>
  <c r="AX66" i="8" s="1"/>
  <c r="AX77" i="8"/>
  <c r="AX80" i="8"/>
  <c r="AX57" i="8"/>
  <c r="AY69" i="8" l="1"/>
  <c r="AZ2" i="8"/>
  <c r="AZ79" i="7" s="1"/>
  <c r="AY14" i="8"/>
  <c r="AY57" i="8"/>
  <c r="AY31" i="8"/>
  <c r="AY82" i="7"/>
  <c r="AY66" i="8" s="1"/>
  <c r="AY85" i="8"/>
  <c r="AY71" i="8"/>
  <c r="AY18" i="8"/>
  <c r="AY59" i="8" s="1"/>
  <c r="AY64" i="8"/>
  <c r="AY81" i="7"/>
  <c r="AY61" i="8" s="1"/>
  <c r="AY15" i="8"/>
  <c r="AY13" i="8"/>
  <c r="AY70" i="8"/>
  <c r="AY76" i="7"/>
  <c r="AY86" i="8"/>
  <c r="AY81" i="8"/>
  <c r="AY12" i="8"/>
  <c r="AY72" i="8"/>
  <c r="AY78" i="7"/>
  <c r="AY80" i="8"/>
  <c r="AY82" i="8"/>
  <c r="AY53" i="8"/>
  <c r="AY54" i="8" s="1"/>
  <c r="AY77" i="7"/>
  <c r="AY77" i="8"/>
  <c r="AZ69" i="8" l="1"/>
  <c r="BA2" i="8"/>
  <c r="BA79" i="7" s="1"/>
  <c r="AZ78" i="7"/>
  <c r="AZ86" i="8"/>
  <c r="AZ81" i="7"/>
  <c r="AZ61" i="8" s="1"/>
  <c r="AZ85" i="8"/>
  <c r="AZ71" i="8"/>
  <c r="AZ81" i="8"/>
  <c r="AZ53" i="8"/>
  <c r="AZ54" i="8" s="1"/>
  <c r="AZ14" i="8"/>
  <c r="AZ82" i="7"/>
  <c r="AZ66" i="8" s="1"/>
  <c r="AZ76" i="7"/>
  <c r="AZ77" i="7"/>
  <c r="AZ15" i="8"/>
  <c r="AZ72" i="8"/>
  <c r="AZ64" i="8"/>
  <c r="AZ70" i="8"/>
  <c r="AZ31" i="8"/>
  <c r="AZ18" i="8"/>
  <c r="AZ59" i="8" s="1"/>
  <c r="AZ82" i="8"/>
  <c r="AZ13" i="8"/>
  <c r="AZ12" i="8"/>
  <c r="AZ80" i="8"/>
  <c r="AZ77" i="8"/>
  <c r="AZ57" i="8"/>
  <c r="BA69" i="8" l="1"/>
  <c r="BB2" i="8"/>
  <c r="BB79" i="7" s="1"/>
  <c r="BA64" i="8"/>
  <c r="BA13" i="8"/>
  <c r="BA76" i="7"/>
  <c r="BA71" i="8"/>
  <c r="BA12" i="8"/>
  <c r="BA70" i="8"/>
  <c r="BA31" i="8"/>
  <c r="BA53" i="8"/>
  <c r="BA54" i="8" s="1"/>
  <c r="BA77" i="8"/>
  <c r="BA18" i="8"/>
  <c r="BA59" i="8" s="1"/>
  <c r="BA77" i="7"/>
  <c r="BA80" i="8"/>
  <c r="BA82" i="8"/>
  <c r="BA82" i="7"/>
  <c r="BA66" i="8" s="1"/>
  <c r="BA57" i="8"/>
  <c r="BA86" i="8"/>
  <c r="BA85" i="8"/>
  <c r="BA15" i="8"/>
  <c r="BA14" i="8"/>
  <c r="BA78" i="7"/>
  <c r="BA81" i="7"/>
  <c r="BA61" i="8" s="1"/>
  <c r="BA81" i="8"/>
  <c r="BA72" i="8"/>
  <c r="BC2" i="8" l="1"/>
  <c r="BC79" i="7" s="1"/>
  <c r="BB69" i="8"/>
  <c r="BB78" i="7"/>
  <c r="BB85" i="8"/>
  <c r="BB53" i="8"/>
  <c r="BB54" i="8" s="1"/>
  <c r="BB81" i="7"/>
  <c r="BB61" i="8" s="1"/>
  <c r="BB81" i="8"/>
  <c r="BB86" i="8"/>
  <c r="BB72" i="8"/>
  <c r="BB14" i="8"/>
  <c r="BB82" i="7"/>
  <c r="BB66" i="8" s="1"/>
  <c r="BB18" i="8"/>
  <c r="BB59" i="8" s="1"/>
  <c r="BB70" i="8"/>
  <c r="BB82" i="8"/>
  <c r="BB80" i="8"/>
  <c r="BB13" i="8"/>
  <c r="BB15" i="8"/>
  <c r="BB12" i="8"/>
  <c r="BB31" i="8"/>
  <c r="BB71" i="8"/>
  <c r="BB77" i="7"/>
  <c r="BB64" i="8"/>
  <c r="BB77" i="8"/>
  <c r="BB76" i="7"/>
  <c r="BB57" i="8"/>
  <c r="BC69" i="8" l="1"/>
  <c r="BD2" i="8"/>
  <c r="BD79" i="7" s="1"/>
  <c r="BC13" i="8"/>
  <c r="BC76" i="7"/>
  <c r="BC72" i="8"/>
  <c r="BC12" i="8"/>
  <c r="BC70" i="8"/>
  <c r="BC18" i="8"/>
  <c r="BC59" i="8" s="1"/>
  <c r="BC71" i="8"/>
  <c r="BC77" i="7"/>
  <c r="BC77" i="8"/>
  <c r="BC31" i="8"/>
  <c r="BC64" i="8"/>
  <c r="BC80" i="8"/>
  <c r="BC86" i="8"/>
  <c r="BC14" i="8"/>
  <c r="BC57" i="8"/>
  <c r="BC78" i="7"/>
  <c r="BC15" i="8"/>
  <c r="BC81" i="7"/>
  <c r="BC61" i="8" s="1"/>
  <c r="BC53" i="8"/>
  <c r="BC54" i="8" s="1"/>
  <c r="BC82" i="7"/>
  <c r="BC66" i="8" s="1"/>
  <c r="BC85" i="8"/>
  <c r="BC81" i="8"/>
  <c r="BC82" i="8"/>
  <c r="BD69" i="8" l="1"/>
  <c r="BE2" i="8"/>
  <c r="BE79" i="7" s="1"/>
  <c r="BD78" i="7"/>
  <c r="BD86" i="8"/>
  <c r="BD82" i="7"/>
  <c r="BD66" i="8" s="1"/>
  <c r="BD85" i="8"/>
  <c r="BD72" i="8"/>
  <c r="BD81" i="8"/>
  <c r="BD15" i="8"/>
  <c r="BD64" i="8"/>
  <c r="BD14" i="8"/>
  <c r="BD81" i="7"/>
  <c r="BD61" i="8" s="1"/>
  <c r="BD57" i="8"/>
  <c r="BD77" i="7"/>
  <c r="BD71" i="8"/>
  <c r="BD53" i="8"/>
  <c r="BD54" i="8" s="1"/>
  <c r="BD31" i="8"/>
  <c r="BD70" i="8"/>
  <c r="BD18" i="8"/>
  <c r="BD59" i="8" s="1"/>
  <c r="BD12" i="8"/>
  <c r="BD77" i="8"/>
  <c r="BD80" i="8"/>
  <c r="BD76" i="7"/>
  <c r="BD13" i="8"/>
  <c r="BD82" i="8"/>
  <c r="BE69" i="8" l="1"/>
  <c r="BF2" i="8"/>
  <c r="BF79" i="7" s="1"/>
  <c r="BE14" i="8"/>
  <c r="BE31" i="8"/>
  <c r="BE12" i="8"/>
  <c r="BE70" i="8"/>
  <c r="BE18" i="8"/>
  <c r="BE59" i="8" s="1"/>
  <c r="BE78" i="7"/>
  <c r="BE77" i="8"/>
  <c r="BE82" i="8"/>
  <c r="BE64" i="8"/>
  <c r="BE77" i="7"/>
  <c r="BE80" i="8"/>
  <c r="BE71" i="8"/>
  <c r="BE76" i="7"/>
  <c r="BE81" i="7"/>
  <c r="BE61" i="8" s="1"/>
  <c r="BE72" i="8"/>
  <c r="BE86" i="8"/>
  <c r="BE85" i="8"/>
  <c r="BE82" i="7"/>
  <c r="BE66" i="8" s="1"/>
  <c r="BE81" i="8"/>
  <c r="BE53" i="8"/>
  <c r="BE54" i="8" s="1"/>
  <c r="BE57" i="8"/>
  <c r="BE15" i="8"/>
  <c r="BE13" i="8"/>
  <c r="BG2" i="8" l="1"/>
  <c r="BG79" i="7" s="1"/>
  <c r="BF69" i="8"/>
  <c r="BF86" i="8"/>
  <c r="BF31" i="8"/>
  <c r="BF64" i="8"/>
  <c r="BF82" i="7"/>
  <c r="BF66" i="8" s="1"/>
  <c r="BF85" i="8"/>
  <c r="BF53" i="8"/>
  <c r="BF54" i="8" s="1"/>
  <c r="BF81" i="8"/>
  <c r="BF14" i="8"/>
  <c r="BF81" i="7"/>
  <c r="BF61" i="8" s="1"/>
  <c r="BF15" i="8"/>
  <c r="BF70" i="8"/>
  <c r="BF71" i="8"/>
  <c r="BF80" i="8"/>
  <c r="BF13" i="8"/>
  <c r="BF82" i="8"/>
  <c r="BF12" i="8"/>
  <c r="BF57" i="8"/>
  <c r="BF77" i="8"/>
  <c r="BF76" i="7"/>
  <c r="BF72" i="8"/>
  <c r="BF18" i="8"/>
  <c r="BF59" i="8" s="1"/>
  <c r="BF78" i="7"/>
  <c r="BF77" i="7"/>
  <c r="BG69" i="8" l="1"/>
  <c r="BH2" i="8"/>
  <c r="BH79" i="7" s="1"/>
  <c r="BG14" i="8"/>
  <c r="BG76" i="7"/>
  <c r="BG12" i="8"/>
  <c r="BG70" i="8"/>
  <c r="BG72" i="8"/>
  <c r="BG15" i="8"/>
  <c r="BG78" i="7"/>
  <c r="BG77" i="8"/>
  <c r="BG31" i="8"/>
  <c r="BG82" i="8"/>
  <c r="BG64" i="8"/>
  <c r="BG77" i="7"/>
  <c r="BG80" i="8"/>
  <c r="BG71" i="8"/>
  <c r="BG85" i="8"/>
  <c r="BG13" i="8"/>
  <c r="BG53" i="8"/>
  <c r="BG54" i="8" s="1"/>
  <c r="BG82" i="7"/>
  <c r="BG66" i="8" s="1"/>
  <c r="BG18" i="8"/>
  <c r="BG59" i="8" s="1"/>
  <c r="BG86" i="8"/>
  <c r="BG57" i="8"/>
  <c r="BG81" i="7"/>
  <c r="BG61" i="8" s="1"/>
  <c r="BG81" i="8"/>
  <c r="BH69" i="8" l="1"/>
  <c r="BI2" i="8"/>
  <c r="BI79" i="7" s="1"/>
  <c r="BH77" i="7"/>
  <c r="BH86" i="8"/>
  <c r="BH81" i="7"/>
  <c r="BH61" i="8" s="1"/>
  <c r="BH85" i="8"/>
  <c r="BH53" i="8"/>
  <c r="BH54" i="8" s="1"/>
  <c r="BH81" i="8"/>
  <c r="BH14" i="8"/>
  <c r="BH82" i="7"/>
  <c r="BH66" i="8" s="1"/>
  <c r="BH57" i="8"/>
  <c r="BH15" i="8"/>
  <c r="BH78" i="7"/>
  <c r="BH76" i="7"/>
  <c r="BH64" i="8"/>
  <c r="BH71" i="8"/>
  <c r="BH70" i="8"/>
  <c r="BH82" i="8"/>
  <c r="BH18" i="8"/>
  <c r="BH59" i="8" s="1"/>
  <c r="BH31" i="8"/>
  <c r="BH13" i="8"/>
  <c r="BH12" i="8"/>
  <c r="BH77" i="8"/>
  <c r="BH80" i="8"/>
  <c r="BH72" i="8"/>
  <c r="BI69" i="8" l="1"/>
  <c r="BJ2" i="8"/>
  <c r="BJ79" i="7" s="1"/>
  <c r="BI64" i="8"/>
  <c r="BI13" i="8"/>
  <c r="BI71" i="8"/>
  <c r="BI12" i="8"/>
  <c r="BI70" i="8"/>
  <c r="BI15" i="8"/>
  <c r="BI31" i="8"/>
  <c r="BI77" i="8"/>
  <c r="BI82" i="8"/>
  <c r="BI78" i="7"/>
  <c r="BI80" i="8"/>
  <c r="BI72" i="8"/>
  <c r="BI57" i="8"/>
  <c r="BI82" i="7"/>
  <c r="BI66" i="8" s="1"/>
  <c r="BI76" i="7"/>
  <c r="BI86" i="8"/>
  <c r="BI85" i="8"/>
  <c r="BI14" i="8"/>
  <c r="BI77" i="7"/>
  <c r="BI81" i="7"/>
  <c r="BI61" i="8" s="1"/>
  <c r="BI53" i="8"/>
  <c r="BI54" i="8" s="1"/>
  <c r="BI18" i="8"/>
  <c r="BI59" i="8" s="1"/>
  <c r="BI81" i="8"/>
  <c r="BK2" i="8" l="1"/>
  <c r="BK79" i="7" s="1"/>
  <c r="BJ69" i="8"/>
  <c r="BJ78" i="7"/>
  <c r="BJ85" i="8"/>
  <c r="BJ76" i="7"/>
  <c r="BJ82" i="7"/>
  <c r="BJ66" i="8" s="1"/>
  <c r="BJ86" i="8"/>
  <c r="BJ64" i="8"/>
  <c r="BJ81" i="8"/>
  <c r="BJ15" i="8"/>
  <c r="BJ14" i="8"/>
  <c r="BJ81" i="7"/>
  <c r="BJ61" i="8" s="1"/>
  <c r="BJ53" i="8"/>
  <c r="BJ54" i="8" s="1"/>
  <c r="BJ57" i="8"/>
  <c r="BJ70" i="8"/>
  <c r="BJ71" i="8"/>
  <c r="BJ80" i="8"/>
  <c r="BJ13" i="8"/>
  <c r="BJ12" i="8"/>
  <c r="BJ31" i="8"/>
  <c r="BJ72" i="8"/>
  <c r="BJ77" i="7"/>
  <c r="BJ77" i="8"/>
  <c r="BJ18" i="8"/>
  <c r="BJ59" i="8" s="1"/>
  <c r="BJ82" i="8"/>
  <c r="BK69" i="8" l="1"/>
  <c r="BL2" i="8"/>
  <c r="BL79" i="7" s="1"/>
  <c r="BK14" i="8"/>
  <c r="BK31" i="8"/>
  <c r="BK82" i="8"/>
  <c r="BK64" i="8"/>
  <c r="BK12" i="8"/>
  <c r="BK70" i="8"/>
  <c r="BK18" i="8"/>
  <c r="BK59" i="8" s="1"/>
  <c r="BK77" i="7"/>
  <c r="BK77" i="8"/>
  <c r="BK71" i="8"/>
  <c r="BK80" i="8"/>
  <c r="BK53" i="8"/>
  <c r="BK54" i="8" s="1"/>
  <c r="BK81" i="8"/>
  <c r="BK13" i="8"/>
  <c r="BK57" i="8"/>
  <c r="BK78" i="7"/>
  <c r="BK81" i="7"/>
  <c r="BK61" i="8" s="1"/>
  <c r="BK76" i="7"/>
  <c r="BK82" i="7"/>
  <c r="BK66" i="8" s="1"/>
  <c r="BK85" i="8"/>
  <c r="BK86" i="8"/>
  <c r="BK15" i="8"/>
  <c r="BK72" i="8"/>
  <c r="BL69" i="8" l="1"/>
  <c r="BM2" i="8"/>
  <c r="BM79" i="7" s="1"/>
  <c r="BL86" i="8"/>
  <c r="BL64" i="8"/>
  <c r="BL82" i="7"/>
  <c r="BL66" i="8" s="1"/>
  <c r="BL85" i="8"/>
  <c r="BL81" i="8"/>
  <c r="BL14" i="8"/>
  <c r="BL81" i="7"/>
  <c r="BL61" i="8" s="1"/>
  <c r="BL57" i="8"/>
  <c r="BL82" i="8"/>
  <c r="BL78" i="7"/>
  <c r="BL15" i="8"/>
  <c r="BL77" i="7"/>
  <c r="BL18" i="8"/>
  <c r="BL59" i="8" s="1"/>
  <c r="BL53" i="8"/>
  <c r="BL54" i="8" s="1"/>
  <c r="BL70" i="8"/>
  <c r="BL31" i="8"/>
  <c r="BL12" i="8"/>
  <c r="BL77" i="8"/>
  <c r="BL80" i="8"/>
  <c r="BL72" i="8"/>
  <c r="BL71" i="8"/>
  <c r="BL76" i="7"/>
  <c r="BL13" i="8"/>
  <c r="BM69" i="8" l="1"/>
  <c r="BN2" i="8"/>
  <c r="BN79" i="7" s="1"/>
  <c r="BM12" i="8"/>
  <c r="BM70" i="8"/>
  <c r="BM15" i="8"/>
  <c r="BM18" i="8"/>
  <c r="BM59" i="8" s="1"/>
  <c r="BM78" i="7"/>
  <c r="BM77" i="8"/>
  <c r="BM72" i="8"/>
  <c r="BM77" i="7"/>
  <c r="BM80" i="8"/>
  <c r="BM71" i="8"/>
  <c r="BM86" i="8"/>
  <c r="BM57" i="8"/>
  <c r="BM14" i="8"/>
  <c r="BM82" i="7"/>
  <c r="BM66" i="8" s="1"/>
  <c r="BM82" i="8"/>
  <c r="BM31" i="8"/>
  <c r="BM81" i="7"/>
  <c r="BM61" i="8" s="1"/>
  <c r="BM76" i="7"/>
  <c r="BM64" i="8"/>
  <c r="BM13" i="8"/>
  <c r="BM81" i="8"/>
  <c r="BM85" i="8"/>
  <c r="BM53" i="8"/>
  <c r="BM54" i="8" s="1"/>
  <c r="BO2" i="8" l="1"/>
  <c r="BO79" i="7" s="1"/>
  <c r="BN69" i="8"/>
  <c r="BN81" i="7"/>
  <c r="BN61" i="8" s="1"/>
  <c r="BN81" i="8"/>
  <c r="BN57" i="8"/>
  <c r="BN85" i="8"/>
  <c r="BN72" i="8"/>
  <c r="BN13" i="8"/>
  <c r="BN82" i="7"/>
  <c r="BN66" i="8" s="1"/>
  <c r="BN53" i="8"/>
  <c r="BN54" i="8" s="1"/>
  <c r="BN82" i="8"/>
  <c r="BN14" i="8"/>
  <c r="BN31" i="8"/>
  <c r="BN77" i="7"/>
  <c r="BN77" i="8"/>
  <c r="BN15" i="8"/>
  <c r="BN70" i="8"/>
  <c r="BN71" i="8"/>
  <c r="BN64" i="8"/>
  <c r="BN80" i="8"/>
  <c r="BN12" i="8"/>
  <c r="BN78" i="7"/>
  <c r="BN86" i="8"/>
  <c r="BN18" i="8"/>
  <c r="BN59" i="8" s="1"/>
  <c r="BN76" i="7"/>
  <c r="BO69" i="8" l="1"/>
  <c r="BP2" i="8"/>
  <c r="BP79" i="7" s="1"/>
  <c r="BO12" i="8"/>
  <c r="BO70" i="8"/>
  <c r="BO18" i="8"/>
  <c r="BO59" i="8" s="1"/>
  <c r="BO76" i="7"/>
  <c r="BO77" i="7"/>
  <c r="BO77" i="8"/>
  <c r="BO71" i="8"/>
  <c r="BO78" i="7"/>
  <c r="BO80" i="8"/>
  <c r="BO31" i="8"/>
  <c r="BO86" i="8"/>
  <c r="BO64" i="8"/>
  <c r="BO82" i="8"/>
  <c r="BO81" i="8"/>
  <c r="BO85" i="8"/>
  <c r="BO13" i="8"/>
  <c r="BO57" i="8"/>
  <c r="BO14" i="8"/>
  <c r="BO82" i="7"/>
  <c r="BO66" i="8" s="1"/>
  <c r="BO81" i="7"/>
  <c r="BO61" i="8" s="1"/>
  <c r="BO15" i="8"/>
  <c r="BO53" i="8"/>
  <c r="BO54" i="8" s="1"/>
  <c r="BO72" i="8"/>
  <c r="BP69" i="8" l="1"/>
  <c r="BQ2" i="8"/>
  <c r="BQ79" i="7" s="1"/>
  <c r="BP81" i="7"/>
  <c r="BP61" i="8" s="1"/>
  <c r="BP85" i="8"/>
  <c r="BP82" i="8"/>
  <c r="BP81" i="8"/>
  <c r="BP53" i="8"/>
  <c r="BP54" i="8" s="1"/>
  <c r="BP14" i="8"/>
  <c r="BP82" i="7"/>
  <c r="BP66" i="8" s="1"/>
  <c r="BP57" i="8"/>
  <c r="BP64" i="8"/>
  <c r="BP13" i="8"/>
  <c r="BP76" i="7"/>
  <c r="BP15" i="8"/>
  <c r="BP86" i="8"/>
  <c r="BP12" i="8"/>
  <c r="BP71" i="8"/>
  <c r="BP31" i="8"/>
  <c r="BP77" i="7"/>
  <c r="BP78" i="7"/>
  <c r="BP70" i="8"/>
  <c r="BP77" i="8"/>
  <c r="BP80" i="8"/>
  <c r="BP72" i="8"/>
  <c r="BP18" i="8"/>
  <c r="BP59" i="8" s="1"/>
  <c r="BQ69" i="8" l="1"/>
  <c r="BR2" i="8"/>
  <c r="BR79" i="7" s="1"/>
  <c r="BQ12" i="8"/>
  <c r="BQ70" i="8"/>
  <c r="BQ15" i="8"/>
  <c r="BQ31" i="8"/>
  <c r="BQ77" i="8"/>
  <c r="BQ18" i="8"/>
  <c r="BQ59" i="8" s="1"/>
  <c r="BQ72" i="8"/>
  <c r="BQ78" i="7"/>
  <c r="BQ80" i="8"/>
  <c r="BQ77" i="7"/>
  <c r="BQ86" i="8"/>
  <c r="BQ14" i="8"/>
  <c r="BQ81" i="7"/>
  <c r="BQ61" i="8" s="1"/>
  <c r="BQ71" i="8"/>
  <c r="BQ57" i="8"/>
  <c r="BQ64" i="8"/>
  <c r="BQ82" i="7"/>
  <c r="BQ66" i="8" s="1"/>
  <c r="BQ76" i="7"/>
  <c r="BQ85" i="8"/>
  <c r="BQ81" i="8"/>
  <c r="BQ53" i="8"/>
  <c r="BQ54" i="8" s="1"/>
  <c r="BQ82" i="8"/>
  <c r="BQ13" i="8"/>
  <c r="BS2" i="8" l="1"/>
  <c r="BS79" i="7" s="1"/>
  <c r="BR69" i="8"/>
  <c r="BR81" i="7"/>
  <c r="BR61" i="8" s="1"/>
  <c r="BR81" i="8"/>
  <c r="BR86" i="8"/>
  <c r="BR13" i="8"/>
  <c r="BR82" i="7"/>
  <c r="BR66" i="8" s="1"/>
  <c r="BR57" i="8"/>
  <c r="BR82" i="8"/>
  <c r="BR64" i="8"/>
  <c r="BR14" i="8"/>
  <c r="BR76" i="7"/>
  <c r="BR53" i="8"/>
  <c r="BR54" i="8" s="1"/>
  <c r="BR78" i="7"/>
  <c r="BR18" i="8"/>
  <c r="BR59" i="8" s="1"/>
  <c r="BR77" i="8"/>
  <c r="BR70" i="8"/>
  <c r="BR31" i="8"/>
  <c r="BR80" i="8"/>
  <c r="BR85" i="8"/>
  <c r="BR15" i="8"/>
  <c r="BR72" i="8"/>
  <c r="BR71" i="8"/>
  <c r="BR77" i="7"/>
  <c r="BR12" i="8"/>
  <c r="BS69" i="8" l="1"/>
  <c r="BT2" i="8"/>
  <c r="BT79" i="7" s="1"/>
  <c r="BS12" i="8"/>
  <c r="BS70" i="8"/>
  <c r="BS18" i="8"/>
  <c r="BS59" i="8" s="1"/>
  <c r="BS57" i="8"/>
  <c r="BS64" i="8"/>
  <c r="BS77" i="7"/>
  <c r="BS77" i="8"/>
  <c r="BS82" i="8"/>
  <c r="BS80" i="8"/>
  <c r="BS78" i="7"/>
  <c r="BS85" i="8"/>
  <c r="BS15" i="8"/>
  <c r="BS31" i="8"/>
  <c r="BS81" i="8"/>
  <c r="BS86" i="8"/>
  <c r="BS13" i="8"/>
  <c r="BS76" i="7"/>
  <c r="BS71" i="8"/>
  <c r="BS53" i="8"/>
  <c r="BS54" i="8" s="1"/>
  <c r="BS72" i="8"/>
  <c r="BS14" i="8"/>
  <c r="BS81" i="7"/>
  <c r="BS61" i="8" s="1"/>
  <c r="BS82" i="7"/>
  <c r="BS66" i="8" s="1"/>
  <c r="BT69" i="8" l="1"/>
  <c r="BU2" i="8"/>
  <c r="BU79" i="7" s="1"/>
  <c r="BT82" i="7"/>
  <c r="BT66" i="8" s="1"/>
  <c r="BT85" i="8"/>
  <c r="BT81" i="8"/>
  <c r="BT72" i="8"/>
  <c r="BT64" i="8"/>
  <c r="BT14" i="8"/>
  <c r="BT81" i="7"/>
  <c r="BT61" i="8" s="1"/>
  <c r="BT71" i="8"/>
  <c r="BT57" i="8"/>
  <c r="BT13" i="8"/>
  <c r="BT15" i="8"/>
  <c r="BT82" i="8"/>
  <c r="BT86" i="8"/>
  <c r="BT12" i="8"/>
  <c r="BT77" i="7"/>
  <c r="BT76" i="7"/>
  <c r="BT78" i="7"/>
  <c r="BT31" i="8"/>
  <c r="BT53" i="8"/>
  <c r="BT54" i="8" s="1"/>
  <c r="BT18" i="8"/>
  <c r="BT59" i="8" s="1"/>
  <c r="BT77" i="8"/>
  <c r="BT70" i="8"/>
  <c r="BT80" i="8"/>
  <c r="BU69" i="8" l="1"/>
  <c r="BV2" i="8"/>
  <c r="BV79" i="7" s="1"/>
  <c r="BU12" i="8"/>
  <c r="BU70" i="8"/>
  <c r="BU78" i="7"/>
  <c r="BU77" i="8"/>
  <c r="BU31" i="8"/>
  <c r="BU71" i="8"/>
  <c r="BU77" i="7"/>
  <c r="BU80" i="8"/>
  <c r="BU86" i="8"/>
  <c r="BU15" i="8"/>
  <c r="BU14" i="8"/>
  <c r="BU18" i="8"/>
  <c r="BU59" i="8" s="1"/>
  <c r="BU64" i="8"/>
  <c r="BU82" i="7"/>
  <c r="BU66" i="8" s="1"/>
  <c r="BU57" i="8"/>
  <c r="BU82" i="8"/>
  <c r="BU81" i="7"/>
  <c r="BU61" i="8" s="1"/>
  <c r="BU72" i="8"/>
  <c r="BU53" i="8"/>
  <c r="BU54" i="8" s="1"/>
  <c r="BU13" i="8"/>
  <c r="BU81" i="8"/>
  <c r="BU76" i="7"/>
  <c r="BU85" i="8"/>
  <c r="BW2" i="8" l="1"/>
  <c r="BW79" i="7" s="1"/>
  <c r="BV69" i="8"/>
  <c r="BV82" i="7"/>
  <c r="BV66" i="8" s="1"/>
  <c r="BV85" i="8"/>
  <c r="BV82" i="8"/>
  <c r="BV81" i="8"/>
  <c r="BV15" i="8"/>
  <c r="BV64" i="8"/>
  <c r="BV13" i="8"/>
  <c r="BV81" i="7"/>
  <c r="BV61" i="8" s="1"/>
  <c r="BV57" i="8"/>
  <c r="BV14" i="8"/>
  <c r="BV72" i="8"/>
  <c r="BV76" i="7"/>
  <c r="BV77" i="8"/>
  <c r="BV71" i="8"/>
  <c r="BV70" i="8"/>
  <c r="BV31" i="8"/>
  <c r="BV80" i="8"/>
  <c r="BV12" i="8"/>
  <c r="BV78" i="7"/>
  <c r="BV77" i="7"/>
  <c r="BV86" i="8"/>
  <c r="BV18" i="8"/>
  <c r="BV59" i="8" s="1"/>
  <c r="BV53" i="8"/>
  <c r="BV54" i="8" s="1"/>
  <c r="BW69" i="8" l="1"/>
  <c r="BX2" i="8"/>
  <c r="BX79" i="7" s="1"/>
  <c r="BW12" i="8"/>
  <c r="BW70" i="8"/>
  <c r="BW15" i="8"/>
  <c r="BW77" i="7"/>
  <c r="BW77" i="8"/>
  <c r="BW31" i="8"/>
  <c r="BW64" i="8"/>
  <c r="BW80" i="8"/>
  <c r="BW72" i="8"/>
  <c r="BW78" i="7"/>
  <c r="BW81" i="8"/>
  <c r="BW53" i="8"/>
  <c r="BW54" i="8" s="1"/>
  <c r="BW76" i="7"/>
  <c r="BW86" i="8"/>
  <c r="BW85" i="8"/>
  <c r="BW13" i="8"/>
  <c r="BW82" i="8"/>
  <c r="BW14" i="8"/>
  <c r="BW82" i="7"/>
  <c r="BW66" i="8" s="1"/>
  <c r="BW81" i="7"/>
  <c r="BW61" i="8" s="1"/>
  <c r="BW18" i="8"/>
  <c r="BW59" i="8" s="1"/>
  <c r="BW71" i="8"/>
  <c r="BW57" i="8"/>
  <c r="BX69" i="8" l="1"/>
  <c r="BY2" i="8"/>
  <c r="BY79" i="7" s="1"/>
  <c r="BX81" i="7"/>
  <c r="BX61" i="8" s="1"/>
  <c r="BX85" i="8"/>
  <c r="BX53" i="8"/>
  <c r="BX54" i="8" s="1"/>
  <c r="BX64" i="8"/>
  <c r="BX81" i="8"/>
  <c r="BX14" i="8"/>
  <c r="BX82" i="7"/>
  <c r="BX66" i="8" s="1"/>
  <c r="BX76" i="7"/>
  <c r="BX57" i="8"/>
  <c r="BX13" i="8"/>
  <c r="BX15" i="8"/>
  <c r="BX82" i="8"/>
  <c r="BX86" i="8"/>
  <c r="BX12" i="8"/>
  <c r="BX72" i="8"/>
  <c r="BX18" i="8"/>
  <c r="BX59" i="8" s="1"/>
  <c r="BX78" i="7"/>
  <c r="BX77" i="7"/>
  <c r="BX70" i="8"/>
  <c r="BX77" i="8"/>
  <c r="BX80" i="8"/>
  <c r="BX31" i="8"/>
  <c r="BX71" i="8"/>
  <c r="BY69" i="8" l="1"/>
  <c r="BZ2" i="8"/>
  <c r="BZ79" i="7" s="1"/>
  <c r="BY12" i="8"/>
  <c r="BY70" i="8"/>
  <c r="BY77" i="8"/>
  <c r="BY72" i="8"/>
  <c r="BY77" i="7"/>
  <c r="BY80" i="8"/>
  <c r="BY15" i="8"/>
  <c r="BY78" i="7"/>
  <c r="BY86" i="8"/>
  <c r="BY13" i="8"/>
  <c r="BY71" i="8"/>
  <c r="BY81" i="7"/>
  <c r="BY61" i="8" s="1"/>
  <c r="BY57" i="8"/>
  <c r="BY82" i="7"/>
  <c r="BY66" i="8" s="1"/>
  <c r="BY82" i="8"/>
  <c r="BY85" i="8"/>
  <c r="BY81" i="8"/>
  <c r="BY76" i="7"/>
  <c r="BY64" i="8"/>
  <c r="BY53" i="8"/>
  <c r="BY54" i="8" s="1"/>
  <c r="BY31" i="8"/>
  <c r="BY18" i="8"/>
  <c r="BY59" i="8" s="1"/>
  <c r="BY14" i="8"/>
  <c r="CA2" i="8" l="1"/>
  <c r="CA79" i="7" s="1"/>
  <c r="BZ69" i="8"/>
  <c r="BZ81" i="8"/>
  <c r="BZ13" i="8"/>
  <c r="BZ82" i="7"/>
  <c r="BZ66" i="8" s="1"/>
  <c r="BZ76" i="7"/>
  <c r="BZ15" i="8"/>
  <c r="BZ14" i="8"/>
  <c r="BZ70" i="8"/>
  <c r="BZ72" i="8"/>
  <c r="BZ64" i="8"/>
  <c r="BZ12" i="8"/>
  <c r="BZ80" i="8"/>
  <c r="BZ53" i="8"/>
  <c r="BZ54" i="8" s="1"/>
  <c r="BZ77" i="7"/>
  <c r="BZ85" i="8"/>
  <c r="BZ71" i="8"/>
  <c r="BZ86" i="8"/>
  <c r="BZ57" i="8"/>
  <c r="BZ78" i="7"/>
  <c r="BZ82" i="8"/>
  <c r="BZ81" i="7"/>
  <c r="BZ61" i="8" s="1"/>
  <c r="BZ77" i="8"/>
  <c r="BZ31" i="8"/>
  <c r="BZ18" i="8"/>
  <c r="BZ59" i="8" s="1"/>
  <c r="CA69" i="8" l="1"/>
  <c r="CB2" i="8"/>
  <c r="CB79" i="7" s="1"/>
  <c r="CA77" i="7"/>
  <c r="CA77" i="8"/>
  <c r="CA31" i="8"/>
  <c r="CA78" i="7"/>
  <c r="CA80" i="8"/>
  <c r="CA53" i="8"/>
  <c r="CA54" i="8" s="1"/>
  <c r="CA81" i="8"/>
  <c r="CA82" i="8"/>
  <c r="CA81" i="7"/>
  <c r="CA61" i="8" s="1"/>
  <c r="CA71" i="8"/>
  <c r="CA18" i="8"/>
  <c r="CA59" i="8" s="1"/>
  <c r="CA82" i="7"/>
  <c r="CA66" i="8" s="1"/>
  <c r="CA72" i="8"/>
  <c r="CA14" i="8"/>
  <c r="CA76" i="7"/>
  <c r="CA13" i="8"/>
  <c r="CA15" i="8"/>
  <c r="CA12" i="8"/>
  <c r="CA57" i="8"/>
  <c r="CA85" i="8"/>
  <c r="CA64" i="8"/>
  <c r="CA70" i="8"/>
  <c r="CA86" i="8"/>
  <c r="CB69" i="8" l="1"/>
  <c r="CC2" i="8"/>
  <c r="CC79" i="7" s="1"/>
  <c r="CB14" i="8"/>
  <c r="CB81" i="7"/>
  <c r="CB61" i="8" s="1"/>
  <c r="CB76" i="7"/>
  <c r="CB15" i="8"/>
  <c r="CB71" i="8"/>
  <c r="CB57" i="8"/>
  <c r="CB64" i="8"/>
  <c r="CB13" i="8"/>
  <c r="CB70" i="8"/>
  <c r="CB31" i="8"/>
  <c r="CB18" i="8"/>
  <c r="CB59" i="8" s="1"/>
  <c r="CB12" i="8"/>
  <c r="CB77" i="8"/>
  <c r="CB72" i="8"/>
  <c r="CB80" i="8"/>
  <c r="CB86" i="8"/>
  <c r="CB85" i="8"/>
  <c r="CB81" i="8"/>
  <c r="CB78" i="7"/>
  <c r="CB53" i="8"/>
  <c r="CB54" i="8" s="1"/>
  <c r="CB77" i="7"/>
  <c r="CB82" i="7"/>
  <c r="CB66" i="8" s="1"/>
  <c r="CB82" i="8"/>
  <c r="CC69" i="8" l="1"/>
  <c r="CD2" i="8"/>
  <c r="CD79" i="7" s="1"/>
  <c r="CC77" i="7"/>
  <c r="CC80" i="8"/>
  <c r="CC72" i="8"/>
  <c r="CC86" i="8"/>
  <c r="CC53" i="8"/>
  <c r="CC54" i="8" s="1"/>
  <c r="CC82" i="7"/>
  <c r="CC66" i="8" s="1"/>
  <c r="CC85" i="8"/>
  <c r="CC81" i="8"/>
  <c r="CC18" i="8"/>
  <c r="CC59" i="8" s="1"/>
  <c r="CC13" i="8"/>
  <c r="CC76" i="7"/>
  <c r="CC14" i="8"/>
  <c r="CC71" i="8"/>
  <c r="CC12" i="8"/>
  <c r="CC31" i="8"/>
  <c r="CC78" i="7"/>
  <c r="CC64" i="8"/>
  <c r="CC81" i="7"/>
  <c r="CC61" i="8" s="1"/>
  <c r="CC70" i="8"/>
  <c r="CC82" i="8"/>
  <c r="CC77" i="8"/>
  <c r="CC57" i="8"/>
  <c r="CC15" i="8"/>
  <c r="CE2" i="8" l="1"/>
  <c r="CE79" i="7" s="1"/>
  <c r="CD69" i="8"/>
  <c r="CD13" i="8"/>
  <c r="CD82" i="7"/>
  <c r="CD66" i="8" s="1"/>
  <c r="CD76" i="7"/>
  <c r="CD31" i="8"/>
  <c r="CD14" i="8"/>
  <c r="CD82" i="8"/>
  <c r="CD57" i="8"/>
  <c r="CD12" i="8"/>
  <c r="CD77" i="8"/>
  <c r="CD71" i="8"/>
  <c r="CD18" i="8"/>
  <c r="CD59" i="8" s="1"/>
  <c r="CD78" i="7"/>
  <c r="CD70" i="8"/>
  <c r="CD15" i="8"/>
  <c r="CD77" i="7"/>
  <c r="CD72" i="8"/>
  <c r="CD81" i="7"/>
  <c r="CD61" i="8" s="1"/>
  <c r="CD53" i="8"/>
  <c r="CD54" i="8" s="1"/>
  <c r="CD64" i="8"/>
  <c r="CD80" i="8"/>
  <c r="CD81" i="8"/>
  <c r="CD86" i="8"/>
  <c r="CD85" i="8"/>
  <c r="CE69" i="8" l="1"/>
  <c r="CF2" i="8"/>
  <c r="CF79" i="7" s="1"/>
  <c r="CE78" i="7"/>
  <c r="CE80" i="8"/>
  <c r="CE82" i="8"/>
  <c r="CE77" i="7"/>
  <c r="CE86" i="8"/>
  <c r="CE82" i="7"/>
  <c r="CE66" i="8" s="1"/>
  <c r="CE81" i="8"/>
  <c r="CE15" i="8"/>
  <c r="CE64" i="8"/>
  <c r="CE85" i="8"/>
  <c r="CE57" i="8"/>
  <c r="CE81" i="7"/>
  <c r="CE61" i="8" s="1"/>
  <c r="CE72" i="8"/>
  <c r="CE53" i="8"/>
  <c r="CE54" i="8" s="1"/>
  <c r="CE70" i="8"/>
  <c r="CE77" i="8"/>
  <c r="CE31" i="8"/>
  <c r="CE13" i="8"/>
  <c r="CE76" i="7"/>
  <c r="CE12" i="8"/>
  <c r="CE18" i="8"/>
  <c r="CE59" i="8" s="1"/>
  <c r="CE71" i="8"/>
  <c r="CE14" i="8"/>
  <c r="CF69" i="8" l="1"/>
  <c r="CG2" i="8"/>
  <c r="CG79" i="7" s="1"/>
  <c r="CF14" i="8"/>
  <c r="CF82" i="7"/>
  <c r="CF66" i="8" s="1"/>
  <c r="CF18" i="8"/>
  <c r="CF59" i="8" s="1"/>
  <c r="CF31" i="8"/>
  <c r="CF64" i="8"/>
  <c r="CF13" i="8"/>
  <c r="CF57" i="8"/>
  <c r="CF12" i="8"/>
  <c r="CF70" i="8"/>
  <c r="CF72" i="8"/>
  <c r="CF77" i="8"/>
  <c r="CF71" i="8"/>
  <c r="CF15" i="8"/>
  <c r="CF80" i="8"/>
  <c r="CF86" i="8"/>
  <c r="CF85" i="8"/>
  <c r="CF81" i="8"/>
  <c r="CF77" i="7"/>
  <c r="CF53" i="8"/>
  <c r="CF54" i="8" s="1"/>
  <c r="CF81" i="7"/>
  <c r="CF61" i="8" s="1"/>
  <c r="CF76" i="7"/>
  <c r="CF78" i="7"/>
  <c r="CF82" i="8"/>
  <c r="CG69" i="8" l="1"/>
  <c r="CH2" i="8"/>
  <c r="CH79" i="7" s="1"/>
  <c r="CG80" i="8"/>
  <c r="CG82" i="8"/>
  <c r="CG78" i="7"/>
  <c r="CG86" i="8"/>
  <c r="CG71" i="8"/>
  <c r="CG64" i="8"/>
  <c r="CG81" i="7"/>
  <c r="CG61" i="8" s="1"/>
  <c r="CG85" i="8"/>
  <c r="CG57" i="8"/>
  <c r="CG81" i="8"/>
  <c r="CG15" i="8"/>
  <c r="CG14" i="8"/>
  <c r="CG72" i="8"/>
  <c r="CG13" i="8"/>
  <c r="CG18" i="8"/>
  <c r="CG59" i="8" s="1"/>
  <c r="CG12" i="8"/>
  <c r="CG77" i="7"/>
  <c r="CG82" i="7"/>
  <c r="CG66" i="8" s="1"/>
  <c r="CG53" i="8"/>
  <c r="CG54" i="8" s="1"/>
  <c r="CG70" i="8"/>
  <c r="CG76" i="7"/>
  <c r="CG77" i="8"/>
  <c r="CG31" i="8"/>
  <c r="CI2" i="8" l="1"/>
  <c r="CI79" i="7" s="1"/>
  <c r="CH69" i="8"/>
  <c r="CH14" i="8"/>
  <c r="CH82" i="7"/>
  <c r="CH66" i="8" s="1"/>
  <c r="CH31" i="8"/>
  <c r="CH76" i="7"/>
  <c r="CH13" i="8"/>
  <c r="CH18" i="8"/>
  <c r="CH59" i="8" s="1"/>
  <c r="CH15" i="8"/>
  <c r="CH12" i="8"/>
  <c r="CH77" i="8"/>
  <c r="CH72" i="8"/>
  <c r="CH77" i="7"/>
  <c r="CH70" i="8"/>
  <c r="CH57" i="8"/>
  <c r="CH82" i="8"/>
  <c r="CH78" i="7"/>
  <c r="CH71" i="8"/>
  <c r="CH81" i="7"/>
  <c r="CH61" i="8" s="1"/>
  <c r="CH53" i="8"/>
  <c r="CH54" i="8" s="1"/>
  <c r="CH64" i="8"/>
  <c r="CH80" i="8"/>
  <c r="CH81" i="8"/>
  <c r="CH85" i="8"/>
  <c r="CH86" i="8"/>
  <c r="CI69" i="8" l="1"/>
  <c r="CJ2" i="8"/>
  <c r="CJ79" i="7" s="1"/>
  <c r="CI77" i="7"/>
  <c r="CI80" i="8"/>
  <c r="CI53" i="8"/>
  <c r="CI54" i="8" s="1"/>
  <c r="CI85" i="8"/>
  <c r="CI81" i="7"/>
  <c r="CI61" i="8" s="1"/>
  <c r="CI81" i="8"/>
  <c r="CI82" i="8"/>
  <c r="CI64" i="8"/>
  <c r="CI86" i="8"/>
  <c r="CI15" i="8"/>
  <c r="CI82" i="7"/>
  <c r="CI66" i="8" s="1"/>
  <c r="CI31" i="8"/>
  <c r="CI57" i="8"/>
  <c r="CI70" i="8"/>
  <c r="CI71" i="8"/>
  <c r="CI77" i="8"/>
  <c r="CI72" i="8"/>
  <c r="CI13" i="8"/>
  <c r="CI76" i="7"/>
  <c r="CI12" i="8"/>
  <c r="CI14" i="8"/>
  <c r="CI78" i="7"/>
  <c r="CI18" i="8"/>
  <c r="CI59" i="8" s="1"/>
  <c r="CJ69" i="8" l="1"/>
  <c r="CK2" i="8"/>
  <c r="CK79" i="7" s="1"/>
  <c r="CJ14" i="8"/>
  <c r="CJ81" i="7"/>
  <c r="CJ61" i="8" s="1"/>
  <c r="CJ57" i="8"/>
  <c r="CJ13" i="8"/>
  <c r="CJ31" i="8"/>
  <c r="CJ53" i="8"/>
  <c r="CJ54" i="8" s="1"/>
  <c r="CJ12" i="8"/>
  <c r="CJ70" i="8"/>
  <c r="CJ71" i="8"/>
  <c r="CJ77" i="7"/>
  <c r="CJ77" i="8"/>
  <c r="CJ15" i="8"/>
  <c r="CJ72" i="8"/>
  <c r="CJ80" i="8"/>
  <c r="CJ86" i="8"/>
  <c r="CJ85" i="8"/>
  <c r="CJ81" i="8"/>
  <c r="CJ82" i="8"/>
  <c r="CJ82" i="7"/>
  <c r="CJ66" i="8" s="1"/>
  <c r="CJ76" i="7"/>
  <c r="CJ64" i="8"/>
  <c r="CJ78" i="7"/>
  <c r="CJ18" i="8"/>
  <c r="CJ59" i="8" s="1"/>
  <c r="CK69" i="8" l="1"/>
  <c r="CL2" i="8"/>
  <c r="CL79" i="7" s="1"/>
  <c r="CK77" i="7"/>
  <c r="CK80" i="8"/>
  <c r="CK71" i="8"/>
  <c r="CK86" i="8"/>
  <c r="CK72" i="8"/>
  <c r="CK82" i="7"/>
  <c r="CK66" i="8" s="1"/>
  <c r="CK85" i="8"/>
  <c r="CK81" i="8"/>
  <c r="CK82" i="8"/>
  <c r="CK13" i="8"/>
  <c r="CK57" i="8"/>
  <c r="CK14" i="8"/>
  <c r="CK18" i="8"/>
  <c r="CK59" i="8" s="1"/>
  <c r="CK12" i="8"/>
  <c r="CK78" i="7"/>
  <c r="CK76" i="7"/>
  <c r="CK81" i="7"/>
  <c r="CK61" i="8" s="1"/>
  <c r="CK53" i="8"/>
  <c r="CK54" i="8" s="1"/>
  <c r="CK70" i="8"/>
  <c r="CK15" i="8"/>
  <c r="CK31" i="8"/>
  <c r="CK64" i="8"/>
  <c r="CK77" i="8"/>
  <c r="CM2" i="8" l="1"/>
  <c r="CM79" i="7" s="1"/>
  <c r="CL69" i="8"/>
  <c r="CL13" i="8"/>
  <c r="CL81" i="7"/>
  <c r="CL61" i="8" s="1"/>
  <c r="CL57" i="8"/>
  <c r="CL53" i="8"/>
  <c r="CL54" i="8" s="1"/>
  <c r="CL14" i="8"/>
  <c r="CL72" i="8"/>
  <c r="CL64" i="8"/>
  <c r="CL12" i="8"/>
  <c r="CL77" i="8"/>
  <c r="CL15" i="8"/>
  <c r="CL76" i="7"/>
  <c r="CL78" i="7"/>
  <c r="CL70" i="8"/>
  <c r="CL18" i="8"/>
  <c r="CL59" i="8" s="1"/>
  <c r="CL82" i="8"/>
  <c r="CL77" i="7"/>
  <c r="CL31" i="8"/>
  <c r="CL82" i="7"/>
  <c r="CL66" i="8" s="1"/>
  <c r="CL71" i="8"/>
  <c r="CL80" i="8"/>
  <c r="CL85" i="8"/>
  <c r="CL86" i="8"/>
  <c r="CL81" i="8"/>
  <c r="CM69" i="8" l="1"/>
  <c r="CN2" i="8"/>
  <c r="CN79" i="7" s="1"/>
  <c r="CM77" i="7"/>
  <c r="CM80" i="8"/>
  <c r="CM81" i="8"/>
  <c r="CM15" i="8"/>
  <c r="CM82" i="7"/>
  <c r="CM66" i="8" s="1"/>
  <c r="CM86" i="8"/>
  <c r="CM31" i="8"/>
  <c r="CM85" i="8"/>
  <c r="CM53" i="8"/>
  <c r="CM54" i="8" s="1"/>
  <c r="CM81" i="7"/>
  <c r="CM61" i="8" s="1"/>
  <c r="CM76" i="7"/>
  <c r="CM64" i="8"/>
  <c r="CM70" i="8"/>
  <c r="CM18" i="8"/>
  <c r="CM59" i="8" s="1"/>
  <c r="CM77" i="8"/>
  <c r="CM13" i="8"/>
  <c r="CM57" i="8"/>
  <c r="CM12" i="8"/>
  <c r="CM82" i="8"/>
  <c r="CM14" i="8"/>
  <c r="CM78" i="7"/>
  <c r="CM71" i="8"/>
  <c r="CM72" i="8"/>
  <c r="CN69" i="8" l="1"/>
  <c r="CO2" i="8"/>
  <c r="CO79" i="7" s="1"/>
  <c r="CN64" i="8"/>
  <c r="CN14" i="8"/>
  <c r="CN82" i="7"/>
  <c r="CN66" i="8" s="1"/>
  <c r="CN57" i="8"/>
  <c r="CN15" i="8"/>
  <c r="CN13" i="8"/>
  <c r="CN72" i="8"/>
  <c r="CN71" i="8"/>
  <c r="CN12" i="8"/>
  <c r="CN70" i="8"/>
  <c r="CN31" i="8"/>
  <c r="CN53" i="8"/>
  <c r="CN54" i="8" s="1"/>
  <c r="CN77" i="8"/>
  <c r="CN76" i="7"/>
  <c r="CN80" i="8"/>
  <c r="CN86" i="8"/>
  <c r="CN85" i="8"/>
  <c r="CN81" i="8"/>
  <c r="CN78" i="7"/>
  <c r="CN82" i="8"/>
  <c r="CN81" i="7"/>
  <c r="CN61" i="8" s="1"/>
  <c r="CN18" i="8"/>
  <c r="CN59" i="8" s="1"/>
  <c r="CN77" i="7"/>
  <c r="CO69" i="8" l="1"/>
  <c r="CP2" i="8"/>
  <c r="CP79" i="7" s="1"/>
  <c r="CO77" i="7"/>
  <c r="CO80" i="8"/>
  <c r="CO18" i="8"/>
  <c r="CO59" i="8" s="1"/>
  <c r="CO78" i="7"/>
  <c r="CO86" i="8"/>
  <c r="CO81" i="7"/>
  <c r="CO61" i="8" s="1"/>
  <c r="CO85" i="8"/>
  <c r="CO81" i="8"/>
  <c r="CO76" i="7"/>
  <c r="CO14" i="8"/>
  <c r="CO53" i="8"/>
  <c r="CO54" i="8" s="1"/>
  <c r="CO13" i="8"/>
  <c r="CO12" i="8"/>
  <c r="CO15" i="8"/>
  <c r="CO31" i="8"/>
  <c r="CO82" i="7"/>
  <c r="CO66" i="8" s="1"/>
  <c r="CO71" i="8"/>
  <c r="CO70" i="8"/>
  <c r="CO72" i="8"/>
  <c r="CO64" i="8"/>
  <c r="CO57" i="8"/>
  <c r="CO77" i="8"/>
  <c r="CO82" i="8"/>
  <c r="CQ2" i="8" l="1"/>
  <c r="CQ79" i="7" s="1"/>
  <c r="CP69" i="8"/>
  <c r="CP14" i="8"/>
  <c r="CP82" i="7"/>
  <c r="CP66" i="8" s="1"/>
  <c r="CP57" i="8"/>
  <c r="CP53" i="8"/>
  <c r="CP54" i="8" s="1"/>
  <c r="CP13" i="8"/>
  <c r="CP71" i="8"/>
  <c r="CP64" i="8"/>
  <c r="CP12" i="8"/>
  <c r="CP77" i="8"/>
  <c r="CP72" i="8"/>
  <c r="CP82" i="8"/>
  <c r="CP77" i="7"/>
  <c r="CP70" i="8"/>
  <c r="CP76" i="7"/>
  <c r="CP31" i="8"/>
  <c r="CP15" i="8"/>
  <c r="CP78" i="7"/>
  <c r="CP18" i="8"/>
  <c r="CP59" i="8" s="1"/>
  <c r="CP81" i="7"/>
  <c r="CP61" i="8" s="1"/>
  <c r="CP80" i="8"/>
  <c r="CP86" i="8"/>
  <c r="CP81" i="8"/>
  <c r="CP85" i="8"/>
  <c r="CQ69" i="8" l="1"/>
  <c r="CR2" i="8"/>
  <c r="CR79" i="7" s="1"/>
  <c r="CQ80" i="8"/>
  <c r="CQ15" i="8"/>
  <c r="CQ78" i="7"/>
  <c r="CQ81" i="8"/>
  <c r="CQ81" i="7"/>
  <c r="CQ61" i="8" s="1"/>
  <c r="CQ85" i="8"/>
  <c r="CQ76" i="7"/>
  <c r="CQ86" i="8"/>
  <c r="CQ71" i="8"/>
  <c r="CQ82" i="7"/>
  <c r="CQ66" i="8" s="1"/>
  <c r="CQ31" i="8"/>
  <c r="CQ53" i="8"/>
  <c r="CQ54" i="8" s="1"/>
  <c r="CQ70" i="8"/>
  <c r="CQ64" i="8"/>
  <c r="CQ77" i="8"/>
  <c r="CQ82" i="8"/>
  <c r="CQ14" i="8"/>
  <c r="CQ57" i="8"/>
  <c r="CQ12" i="8"/>
  <c r="CQ18" i="8"/>
  <c r="CQ59" i="8" s="1"/>
  <c r="CQ13" i="8"/>
  <c r="CQ72" i="8"/>
  <c r="CQ77" i="7"/>
  <c r="CR69" i="8" l="1"/>
  <c r="CS2" i="8"/>
  <c r="CS79" i="7" s="1"/>
  <c r="CR14" i="8"/>
  <c r="CR81" i="7"/>
  <c r="CR61" i="8" s="1"/>
  <c r="CR57" i="8"/>
  <c r="CR53" i="8"/>
  <c r="CR54" i="8" s="1"/>
  <c r="CR64" i="8"/>
  <c r="CR13" i="8"/>
  <c r="CR31" i="8"/>
  <c r="CR12" i="8"/>
  <c r="CR70" i="8"/>
  <c r="CR76" i="7"/>
  <c r="CR15" i="8"/>
  <c r="CR77" i="7"/>
  <c r="CR77" i="8"/>
  <c r="CR71" i="8"/>
  <c r="CR82" i="8"/>
  <c r="CR80" i="8"/>
  <c r="CR86" i="8"/>
  <c r="CR85" i="8"/>
  <c r="CR81" i="8"/>
  <c r="CR78" i="7"/>
  <c r="CR72" i="8"/>
  <c r="CR82" i="7"/>
  <c r="CR66" i="8" s="1"/>
  <c r="CR18" i="8"/>
  <c r="CR59" i="8" s="1"/>
  <c r="CS69" i="8" l="1"/>
  <c r="CT2" i="8"/>
  <c r="CT79" i="7" s="1"/>
  <c r="CS77" i="7"/>
  <c r="CS80" i="8"/>
  <c r="CS72" i="8"/>
  <c r="CS86" i="8"/>
  <c r="CS71" i="8"/>
  <c r="CS82" i="7"/>
  <c r="CS66" i="8" s="1"/>
  <c r="CS85" i="8"/>
  <c r="CS81" i="8"/>
  <c r="CS18" i="8"/>
  <c r="CS59" i="8" s="1"/>
  <c r="CS13" i="8"/>
  <c r="CS57" i="8"/>
  <c r="CS14" i="8"/>
  <c r="CS15" i="8"/>
  <c r="CS12" i="8"/>
  <c r="CS31" i="8"/>
  <c r="CS78" i="7"/>
  <c r="CS76" i="7"/>
  <c r="CS81" i="7"/>
  <c r="CS61" i="8" s="1"/>
  <c r="CS70" i="8"/>
  <c r="CS77" i="8"/>
  <c r="CS53" i="8"/>
  <c r="CS54" i="8" s="1"/>
  <c r="CS82" i="8"/>
  <c r="CS64" i="8"/>
  <c r="CU2" i="8" l="1"/>
  <c r="CU79" i="7" s="1"/>
  <c r="CT69" i="8"/>
  <c r="CT13" i="8"/>
  <c r="CT81" i="7"/>
  <c r="CT61" i="8" s="1"/>
  <c r="CT57" i="8"/>
  <c r="CT53" i="8"/>
  <c r="CT54" i="8" s="1"/>
  <c r="CT14" i="8"/>
  <c r="CT31" i="8"/>
  <c r="CT64" i="8"/>
  <c r="CT12" i="8"/>
  <c r="CT77" i="8"/>
  <c r="CT76" i="7"/>
  <c r="CT15" i="8"/>
  <c r="CT70" i="8"/>
  <c r="CT82" i="8"/>
  <c r="CT72" i="8"/>
  <c r="CT78" i="7"/>
  <c r="CT18" i="8"/>
  <c r="CT59" i="8" s="1"/>
  <c r="CT77" i="7"/>
  <c r="CT82" i="7"/>
  <c r="CT66" i="8" s="1"/>
  <c r="CT71" i="8"/>
  <c r="CT80" i="8"/>
  <c r="CT81" i="8"/>
  <c r="CT86" i="8"/>
  <c r="CT85" i="8"/>
  <c r="CU69" i="8" l="1"/>
  <c r="CV2" i="8"/>
  <c r="CV79" i="7" s="1"/>
  <c r="CU77" i="7"/>
  <c r="CU80" i="8"/>
  <c r="CU76" i="7"/>
  <c r="CU86" i="8"/>
  <c r="CU82" i="8"/>
  <c r="CU82" i="7"/>
  <c r="CU66" i="8" s="1"/>
  <c r="CU81" i="8"/>
  <c r="CU18" i="8"/>
  <c r="CU59" i="8" s="1"/>
  <c r="CU85" i="8"/>
  <c r="CU81" i="7"/>
  <c r="CU61" i="8" s="1"/>
  <c r="CU72" i="8"/>
  <c r="CU70" i="8"/>
  <c r="CU57" i="8"/>
  <c r="CU64" i="8"/>
  <c r="CU77" i="8"/>
  <c r="CU15" i="8"/>
  <c r="CU13" i="8"/>
  <c r="CU53" i="8"/>
  <c r="CU54" i="8" s="1"/>
  <c r="CU12" i="8"/>
  <c r="CU71" i="8"/>
  <c r="CU78" i="7"/>
  <c r="CU31" i="8"/>
  <c r="CU14" i="8"/>
  <c r="CV69" i="8" l="1"/>
  <c r="CW2" i="8"/>
  <c r="CW79" i="7" s="1"/>
  <c r="CV14" i="8"/>
  <c r="CV82" i="7"/>
  <c r="CV66" i="8" s="1"/>
  <c r="CV57" i="8"/>
  <c r="CV13" i="8"/>
  <c r="CV82" i="8"/>
  <c r="CV53" i="8"/>
  <c r="CV54" i="8" s="1"/>
  <c r="CV12" i="8"/>
  <c r="CV70" i="8"/>
  <c r="CV72" i="8"/>
  <c r="CV77" i="8"/>
  <c r="CV31" i="8"/>
  <c r="CV15" i="8"/>
  <c r="CV64" i="8"/>
  <c r="CV80" i="8"/>
  <c r="CV86" i="8"/>
  <c r="CV85" i="8"/>
  <c r="CV81" i="8"/>
  <c r="CV77" i="7"/>
  <c r="CV71" i="8"/>
  <c r="CV81" i="7"/>
  <c r="CV61" i="8" s="1"/>
  <c r="CV76" i="7"/>
  <c r="CV78" i="7"/>
  <c r="CV18" i="8"/>
  <c r="CV59" i="8" s="1"/>
  <c r="CW69" i="8" l="1"/>
  <c r="CX2" i="8"/>
  <c r="CX79" i="7" s="1"/>
  <c r="CW77" i="7"/>
  <c r="CW80" i="8"/>
  <c r="CW78" i="7"/>
  <c r="CW86" i="8"/>
  <c r="CW76" i="7"/>
  <c r="CW81" i="7"/>
  <c r="CW61" i="8" s="1"/>
  <c r="CW85" i="8"/>
  <c r="CW81" i="8"/>
  <c r="CW15" i="8"/>
  <c r="CW14" i="8"/>
  <c r="CW53" i="8"/>
  <c r="CW54" i="8" s="1"/>
  <c r="CW13" i="8"/>
  <c r="CW12" i="8"/>
  <c r="CW72" i="8"/>
  <c r="CW18" i="8"/>
  <c r="CW59" i="8" s="1"/>
  <c r="CW82" i="7"/>
  <c r="CW66" i="8" s="1"/>
  <c r="CW31" i="8"/>
  <c r="CW70" i="8"/>
  <c r="CW71" i="8"/>
  <c r="CW77" i="8"/>
  <c r="CW57" i="8"/>
  <c r="CW82" i="8"/>
  <c r="CW64" i="8"/>
  <c r="CX69" i="8" l="1"/>
  <c r="CX14" i="8"/>
  <c r="CX82" i="7"/>
  <c r="CX66" i="8" s="1"/>
  <c r="CX86" i="8"/>
  <c r="CX18" i="8"/>
  <c r="CX59" i="8" s="1"/>
  <c r="CX13" i="8"/>
  <c r="CX76" i="7"/>
  <c r="B5" i="8" s="1" a="1"/>
  <c r="CX64" i="8"/>
  <c r="CX12" i="8"/>
  <c r="CX77" i="8"/>
  <c r="CX57" i="8"/>
  <c r="CX77" i="7"/>
  <c r="CX70" i="8"/>
  <c r="CX72" i="8"/>
  <c r="CX15" i="8"/>
  <c r="CX31" i="8"/>
  <c r="CX78" i="7"/>
  <c r="CX71" i="8"/>
  <c r="CX81" i="7"/>
  <c r="CX61" i="8" s="1"/>
  <c r="CX53" i="8"/>
  <c r="CX54" i="8" s="1"/>
  <c r="CX80" i="8"/>
  <c r="CX82" i="8"/>
  <c r="CX85" i="8"/>
  <c r="E8" i="7" s="1"/>
  <c r="CX81" i="8"/>
  <c r="AP5" i="8" l="1"/>
  <c r="AV5" i="8"/>
  <c r="CX5" i="8"/>
  <c r="AI5" i="8"/>
  <c r="CE5" i="8"/>
  <c r="AL5" i="8"/>
  <c r="Y5" i="8"/>
  <c r="BR5" i="8"/>
  <c r="CC5" i="8"/>
  <c r="CH5" i="8"/>
  <c r="BB5" i="8"/>
  <c r="CJ5" i="8"/>
  <c r="CU5" i="8"/>
  <c r="CW5" i="8"/>
  <c r="BH5" i="8"/>
  <c r="BI5" i="8"/>
  <c r="I5" i="8"/>
  <c r="I53" i="8" s="1"/>
  <c r="BE5" i="8"/>
  <c r="CQ5" i="8"/>
  <c r="AB5" i="8"/>
  <c r="CB5" i="8"/>
  <c r="AE5" i="8"/>
  <c r="AR5" i="8"/>
  <c r="BK5" i="8"/>
  <c r="L5" i="8"/>
  <c r="L53" i="8" s="1"/>
  <c r="BO5" i="8"/>
  <c r="V5" i="8"/>
  <c r="CN5" i="8"/>
  <c r="AU5" i="8"/>
  <c r="X5" i="8"/>
  <c r="O5" i="8"/>
  <c r="CD5" i="8"/>
  <c r="CG5" i="8"/>
  <c r="AX5" i="8"/>
  <c r="CF5" i="8"/>
  <c r="R5" i="8"/>
  <c r="AK5" i="8"/>
  <c r="AN5" i="8"/>
  <c r="E5" i="8"/>
  <c r="E53" i="8" s="1"/>
  <c r="AO5" i="8"/>
  <c r="CT5" i="8"/>
  <c r="BA5" i="8"/>
  <c r="AH5" i="8"/>
  <c r="BX5" i="8"/>
  <c r="K5" i="8"/>
  <c r="K53" i="8" s="1"/>
  <c r="U5" i="8"/>
  <c r="BZ5" i="8"/>
  <c r="AT5" i="8"/>
  <c r="CO5" i="8"/>
  <c r="B5" i="8"/>
  <c r="BN5" i="8"/>
  <c r="CA5" i="8"/>
  <c r="H5" i="8"/>
  <c r="H53" i="8" s="1"/>
  <c r="BW5" i="8"/>
  <c r="AQ5" i="8"/>
  <c r="T5" i="8"/>
  <c r="CI5" i="8"/>
  <c r="N5" i="8"/>
  <c r="BD5" i="8"/>
  <c r="AG5" i="8"/>
  <c r="CR5" i="8"/>
  <c r="AZ5" i="8"/>
  <c r="C5" i="8"/>
  <c r="C53" i="8" s="1"/>
  <c r="BQ5" i="8"/>
  <c r="BT5" i="8"/>
  <c r="BF5" i="8"/>
  <c r="Z5" i="8"/>
  <c r="BU5" i="8"/>
  <c r="BY5" i="8"/>
  <c r="BC5" i="8"/>
  <c r="W5" i="8"/>
  <c r="AC5" i="8"/>
  <c r="CL5" i="8"/>
  <c r="P5" i="8"/>
  <c r="AY5" i="8"/>
  <c r="S5" i="8"/>
  <c r="BJ5" i="8"/>
  <c r="BM5" i="8"/>
  <c r="CK5" i="8"/>
  <c r="CM5" i="8"/>
  <c r="G5" i="8"/>
  <c r="G53" i="8" s="1"/>
  <c r="AA5" i="8"/>
  <c r="Q5" i="8"/>
  <c r="AJ5" i="8"/>
  <c r="M5" i="8"/>
  <c r="BS5" i="8"/>
  <c r="BV5" i="8"/>
  <c r="BL5" i="8"/>
  <c r="BP5" i="8"/>
  <c r="CV5" i="8"/>
  <c r="AF5" i="8"/>
  <c r="BG5" i="8"/>
  <c r="CP5" i="8"/>
  <c r="AD5" i="8"/>
  <c r="CS5" i="8"/>
  <c r="F5" i="8"/>
  <c r="F53" i="8" s="1"/>
  <c r="AM5" i="8"/>
  <c r="J5" i="8"/>
  <c r="J53" i="8" s="1"/>
  <c r="AS5" i="8"/>
  <c r="AW5" i="8"/>
  <c r="D5" i="8"/>
  <c r="D53" i="8" s="1"/>
  <c r="F54" i="8" l="1"/>
  <c r="F57" i="8"/>
  <c r="F71" i="8" s="1"/>
  <c r="F72" i="8" s="1"/>
  <c r="F77" i="8" s="1"/>
  <c r="E54" i="8"/>
  <c r="E57" i="8"/>
  <c r="E71" i="8" s="1"/>
  <c r="E72" i="8" s="1"/>
  <c r="E77" i="8" s="1"/>
  <c r="D54" i="8"/>
  <c r="D57" i="8"/>
  <c r="D71" i="8" s="1"/>
  <c r="D72" i="8" s="1"/>
  <c r="D77" i="8" s="1"/>
  <c r="K54" i="8"/>
  <c r="K57" i="8"/>
  <c r="K71" i="8" s="1"/>
  <c r="K72" i="8" s="1"/>
  <c r="K77" i="8" s="1"/>
  <c r="H54" i="8"/>
  <c r="H57" i="8"/>
  <c r="H71" i="8" s="1"/>
  <c r="H72" i="8" s="1"/>
  <c r="H77" i="8" s="1"/>
  <c r="J54" i="8"/>
  <c r="J57" i="8"/>
  <c r="J71" i="8" s="1"/>
  <c r="J72" i="8" s="1"/>
  <c r="J77" i="8" s="1"/>
  <c r="C54" i="8"/>
  <c r="C57" i="8"/>
  <c r="C71" i="8" s="1"/>
  <c r="C72" i="8" s="1"/>
  <c r="C77" i="8" s="1"/>
  <c r="G54" i="8"/>
  <c r="G57" i="8"/>
  <c r="G71" i="8" s="1"/>
  <c r="G72" i="8" s="1"/>
  <c r="G77" i="8" s="1"/>
  <c r="L54" i="8"/>
  <c r="L57" i="8"/>
  <c r="L71" i="8" s="1"/>
  <c r="L72" i="8" s="1"/>
  <c r="L77" i="8" s="1"/>
  <c r="I54" i="8"/>
  <c r="I57" i="8"/>
  <c r="I71" i="8" s="1"/>
  <c r="I72" i="8" s="1"/>
  <c r="I77" i="8" s="1"/>
  <c r="G80" i="8" l="1"/>
  <c r="G82" i="8" s="1"/>
  <c r="K80" i="8"/>
  <c r="J80" i="8"/>
  <c r="J82" i="8" s="1"/>
  <c r="E80" i="8"/>
  <c r="E82" i="8" s="1"/>
  <c r="K86" i="8"/>
  <c r="K82" i="8"/>
  <c r="C80" i="8"/>
  <c r="D80" i="8"/>
  <c r="I80" i="8"/>
  <c r="L80" i="8"/>
  <c r="H80" i="8"/>
  <c r="F80" i="8"/>
  <c r="G86" i="8" l="1"/>
  <c r="E86" i="8"/>
  <c r="J86" i="8"/>
  <c r="D82" i="8"/>
  <c r="D86" i="8"/>
  <c r="H82" i="8"/>
  <c r="H86" i="8"/>
  <c r="C86" i="8"/>
  <c r="C82" i="8"/>
  <c r="L86" i="8"/>
  <c r="L82" i="8"/>
  <c r="F86" i="8"/>
  <c r="F82" i="8"/>
  <c r="I86" i="8"/>
  <c r="I82" i="8"/>
  <c r="E9" i="7" l="1"/>
  <c r="E11" i="7"/>
  <c r="E10" i="7"/>
</calcChain>
</file>

<file path=xl/sharedStrings.xml><?xml version="1.0" encoding="utf-8"?>
<sst xmlns="http://schemas.openxmlformats.org/spreadsheetml/2006/main" count="514" uniqueCount="150">
  <si>
    <t>Amount</t>
  </si>
  <si>
    <t>Federal</t>
  </si>
  <si>
    <t>%</t>
  </si>
  <si>
    <t>Federal CBI</t>
  </si>
  <si>
    <t>State CBI</t>
  </si>
  <si>
    <t>Utility CBI</t>
  </si>
  <si>
    <t>Maximum</t>
  </si>
  <si>
    <t>Fixed O&amp;M ($/kW-yr)</t>
  </si>
  <si>
    <t>Income Taxes</t>
  </si>
  <si>
    <t>State IBI</t>
  </si>
  <si>
    <t>Utility IBI</t>
  </si>
  <si>
    <t>SYSTEM DESIGN</t>
  </si>
  <si>
    <t>SYSTEM COSTS</t>
  </si>
  <si>
    <t>TAX AND INSURANCE RATES</t>
  </si>
  <si>
    <t>LOAN PARAMETERS</t>
  </si>
  <si>
    <t>ANALYSIS PARAMETERS</t>
  </si>
  <si>
    <t>KEY</t>
  </si>
  <si>
    <t>Calculated</t>
  </si>
  <si>
    <t>As percentage</t>
  </si>
  <si>
    <t>Federal ($/W)</t>
  </si>
  <si>
    <t>State  ($/W)</t>
  </si>
  <si>
    <t>Utility  ($/W)</t>
  </si>
  <si>
    <t>RESULTS</t>
  </si>
  <si>
    <t>Operation and Maintenance (O&amp;M)</t>
  </si>
  <si>
    <t>Total operating expenses</t>
  </si>
  <si>
    <t>Total deductible expenses</t>
  </si>
  <si>
    <t>Total</t>
  </si>
  <si>
    <t>Capacity cost in $/kW</t>
  </si>
  <si>
    <t>DEPRECIATION AND DEBT INTEREST DEDUCTION</t>
  </si>
  <si>
    <t>Deductions</t>
  </si>
  <si>
    <t>Total taxable income before deductions</t>
  </si>
  <si>
    <t>Deductible operating expenses</t>
  </si>
  <si>
    <t>Total deductions</t>
  </si>
  <si>
    <t>Equity</t>
  </si>
  <si>
    <t>Value of electricity savings ($)</t>
  </si>
  <si>
    <t>ANNUAL VALUES</t>
  </si>
  <si>
    <t>Federal tax savings/liability</t>
  </si>
  <si>
    <t>Percentage</t>
  </si>
  <si>
    <t>Basis</t>
  </si>
  <si>
    <t>After-tax annual costs</t>
  </si>
  <si>
    <t>After-tax cash flow</t>
  </si>
  <si>
    <t>State (% of total installed cost)</t>
  </si>
  <si>
    <t>Utility (% of total installed cost)</t>
  </si>
  <si>
    <t>Investment based incentive (IBI)</t>
  </si>
  <si>
    <t>Capacity based incentive (CBI)</t>
  </si>
  <si>
    <t>Amount ($/W)</t>
  </si>
  <si>
    <t>Maximum ($)</t>
  </si>
  <si>
    <t>Investment tax credit (ITC)</t>
  </si>
  <si>
    <t>Incentive is taxable</t>
  </si>
  <si>
    <t>Annual energy (kWh)</t>
  </si>
  <si>
    <t>Debt fraction (% of total installed cost)</t>
  </si>
  <si>
    <t>Loan term (years)</t>
  </si>
  <si>
    <t>Loan rate (%/year)</t>
  </si>
  <si>
    <t>Analysis period (years)</t>
  </si>
  <si>
    <t>Nominal discount rate (%/year)</t>
  </si>
  <si>
    <t>Total Installed Cost ($)</t>
  </si>
  <si>
    <t>Federal income tax rate (%)</t>
  </si>
  <si>
    <t>Total installed cost less IBI and CBI</t>
  </si>
  <si>
    <t>Yes</t>
  </si>
  <si>
    <t>No</t>
  </si>
  <si>
    <t>Debt amount</t>
  </si>
  <si>
    <t>Debt sizing</t>
  </si>
  <si>
    <t>Debt payments</t>
  </si>
  <si>
    <t>Balance</t>
  </si>
  <si>
    <t>Interest</t>
  </si>
  <si>
    <t>Total P&amp;I Payment</t>
  </si>
  <si>
    <t>Principal</t>
  </si>
  <si>
    <t>Pre-tax cash flow</t>
  </si>
  <si>
    <t>Operating Year</t>
  </si>
  <si>
    <t>Savings</t>
  </si>
  <si>
    <t>Production</t>
  </si>
  <si>
    <t>Annual energy (AC kWh)</t>
  </si>
  <si>
    <t>Operating Expenses</t>
  </si>
  <si>
    <t>Tax Deductible Operating Expenses</t>
  </si>
  <si>
    <t>Project Debt</t>
  </si>
  <si>
    <t>Direct Cash Incentives</t>
  </si>
  <si>
    <t>Federal Income Tax</t>
  </si>
  <si>
    <t>Total taxable income less deductions</t>
  </si>
  <si>
    <t>After-tax value of energy generated by system</t>
  </si>
  <si>
    <t>Reduces depreciation and ITC basis</t>
  </si>
  <si>
    <t>IRR, %</t>
  </si>
  <si>
    <t>Input from REopt</t>
  </si>
  <si>
    <t>Battery power (kW)</t>
  </si>
  <si>
    <t>Battery capacity (kWh)</t>
  </si>
  <si>
    <t>Battery replacement cost ($/kW)</t>
  </si>
  <si>
    <t>Battery replacement cost ($/kWh)</t>
  </si>
  <si>
    <t xml:space="preserve">Battery kW replacement cost </t>
  </si>
  <si>
    <t xml:space="preserve">Battery kWh replacement cost </t>
  </si>
  <si>
    <t>Battery kW replacement year</t>
  </si>
  <si>
    <t>Battery kWh replacement year</t>
  </si>
  <si>
    <t>Commercial Inputs</t>
  </si>
  <si>
    <t>Commercial Cash Flow</t>
  </si>
  <si>
    <t/>
  </si>
  <si>
    <t>LCC with system, $</t>
  </si>
  <si>
    <t>LCC without system, $</t>
  </si>
  <si>
    <t>Electricity bill without system ($)</t>
  </si>
  <si>
    <t>LCC Calculation</t>
  </si>
  <si>
    <t>Net annual costs with system (after tax)</t>
  </si>
  <si>
    <t>Net annual costs without system (after tax)</t>
  </si>
  <si>
    <t>PV degradation rate (%/year)</t>
  </si>
  <si>
    <t>Federal bonus fraction</t>
  </si>
  <si>
    <t>NPV, $</t>
  </si>
  <si>
    <t>Production based incentive (PBI)</t>
  </si>
  <si>
    <t>Combined ($/kWh)</t>
  </si>
  <si>
    <t>Amount ($/kWh)</t>
  </si>
  <si>
    <t>Maximum ($/year)</t>
  </si>
  <si>
    <t>Federal Taxable</t>
  </si>
  <si>
    <t>Term (years)</t>
  </si>
  <si>
    <t>Combined PBI</t>
  </si>
  <si>
    <t>System Size Limit (kW)</t>
  </si>
  <si>
    <t>Electricity bill with system before export credits ($)</t>
  </si>
  <si>
    <t>Export credits with system ($)</t>
  </si>
  <si>
    <t>Nominal escalation rate (%/year)</t>
  </si>
  <si>
    <t>YEAR 1 RESULTS</t>
  </si>
  <si>
    <t>Year 1 utility bill without system ($/year)</t>
  </si>
  <si>
    <t>Year 1 utility bill with system ($/year)</t>
  </si>
  <si>
    <t>Year 1 export credits with system ($/year)</t>
  </si>
  <si>
    <t>Year 1 net energy produced with system (kWh/year)</t>
  </si>
  <si>
    <t>PV TAX CREDITS</t>
  </si>
  <si>
    <t>PV DIRECT CASH INCENTIVES</t>
  </si>
  <si>
    <t>PV</t>
  </si>
  <si>
    <t>Battery</t>
  </si>
  <si>
    <t>BATTERY TAX CREDITS</t>
  </si>
  <si>
    <t>Battery Federal depreciation percentages (fraction)</t>
  </si>
  <si>
    <t>PV Installed Cost ($)</t>
  </si>
  <si>
    <t>Battery Installed Cost ($)</t>
  </si>
  <si>
    <t>PV Depreciation, Commercial only</t>
  </si>
  <si>
    <t>Battery Depreciation, Commercial only</t>
  </si>
  <si>
    <t>Federal ITC basis: PV</t>
  </si>
  <si>
    <t>Federal ITC amount: PV</t>
  </si>
  <si>
    <t>Federal ITC basis: Battery</t>
  </si>
  <si>
    <t>Federal ITC amount: Battery</t>
  </si>
  <si>
    <t>PV Investment-based incentives (IBI)</t>
  </si>
  <si>
    <t>PV Capacity-based incentives (CBI)</t>
  </si>
  <si>
    <t>Battery Investment-based incentives (IBI)</t>
  </si>
  <si>
    <t>Battery Capacity-based incentives (CBI)</t>
  </si>
  <si>
    <t>Production-based incentives (PBI)</t>
  </si>
  <si>
    <t>Federal (years)</t>
  </si>
  <si>
    <t>MACRS SCHEDULES (INFORMATIONAL ONLY)</t>
  </si>
  <si>
    <t>5-year</t>
  </si>
  <si>
    <t>7-year</t>
  </si>
  <si>
    <t>Year</t>
  </si>
  <si>
    <t>PV Federal depreciation percentages (fraction)</t>
  </si>
  <si>
    <t>None</t>
  </si>
  <si>
    <t>BATTERY DIRECT CASH INCENTIVES</t>
  </si>
  <si>
    <t>Total (IBI, CBI, PBI)</t>
  </si>
  <si>
    <t>Bonus Basis</t>
  </si>
  <si>
    <t>O&amp;M cost escalation rate (nominal) (%/year)</t>
  </si>
  <si>
    <t>PV Nameplate capacity (kW), existing</t>
  </si>
  <si>
    <t>PV Nameplate capacity (kW), purchased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</si>
</sst>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.00"/>
    <numFmt numFmtId="165" formatCode="#,##0.00000"/>
    <numFmt numFmtId="166" formatCode="&quot;$&quot;#,##0"/>
    <numFmt numFmtId="167" formatCode="#,##0.000000000"/>
  </numFmts>
  <fonts count="3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Times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4"/>
      <color theme="0"/>
      <name val="Segoe UI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68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3" fillId="0" borderId="0"/>
    <xf numFmtId="0" fontId="3" fillId="0" borderId="0"/>
    <xf numFmtId="0" fontId="3" fillId="23" borderId="7" applyNumberFormat="0" applyFont="0" applyAlignment="0" applyProtection="0"/>
    <xf numFmtId="0" fontId="18" fillId="20" borderId="8" applyNumberFormat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8" fillId="20" borderId="29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7" borderId="29" applyNumberFormat="0" applyAlignment="0" applyProtection="0"/>
    <xf numFmtId="0" fontId="1" fillId="0" borderId="0"/>
    <xf numFmtId="0" fontId="1" fillId="0" borderId="0"/>
    <xf numFmtId="0" fontId="1" fillId="23" borderId="30" applyNumberFormat="0" applyFont="0" applyAlignment="0" applyProtection="0"/>
    <xf numFmtId="0" fontId="18" fillId="20" borderId="3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32" applyNumberFormat="0" applyFill="0" applyAlignment="0" applyProtection="0"/>
    <xf numFmtId="0" fontId="1" fillId="23" borderId="7" applyNumberFormat="0" applyFon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97">
    <xf numFmtId="0" fontId="0" fillId="0" borderId="0" xfId="0"/>
    <xf numFmtId="0" fontId="0" fillId="0" borderId="0" xfId="0" applyFill="1" applyBorder="1"/>
    <xf numFmtId="0" fontId="0" fillId="0" borderId="0" xfId="0" applyFill="1"/>
    <xf numFmtId="4" fontId="0" fillId="0" borderId="0" xfId="0" applyNumberFormat="1" applyFill="1" applyBorder="1"/>
    <xf numFmtId="0" fontId="4" fillId="0" borderId="0" xfId="0" applyFont="1" applyBorder="1"/>
    <xf numFmtId="0" fontId="0" fillId="0" borderId="0" xfId="0" applyAlignment="1">
      <alignment horizontal="right"/>
    </xf>
    <xf numFmtId="4" fontId="0" fillId="0" borderId="0" xfId="0" applyNumberFormat="1" applyAlignment="1">
      <alignment horizontal="right"/>
    </xf>
    <xf numFmtId="0" fontId="3" fillId="0" borderId="0" xfId="40" applyFont="1" applyBorder="1" applyAlignment="1">
      <alignment horizontal="right"/>
    </xf>
    <xf numFmtId="4" fontId="3" fillId="0" borderId="0" xfId="40" applyNumberFormat="1" applyFont="1" applyBorder="1" applyAlignment="1">
      <alignment horizontal="right"/>
    </xf>
    <xf numFmtId="0" fontId="0" fillId="0" borderId="0" xfId="0" applyFill="1" applyBorder="1" applyAlignment="1">
      <alignment horizontal="right"/>
    </xf>
    <xf numFmtId="4" fontId="0" fillId="0" borderId="0" xfId="0" applyNumberFormat="1" applyFill="1" applyBorder="1" applyAlignment="1">
      <alignment horizontal="right"/>
    </xf>
    <xf numFmtId="4" fontId="0" fillId="0" borderId="0" xfId="0" applyNumberFormat="1" applyBorder="1" applyAlignment="1">
      <alignment horizontal="right"/>
    </xf>
    <xf numFmtId="0" fontId="2" fillId="0" borderId="0" xfId="40" applyFont="1" applyFill="1" applyBorder="1" applyAlignment="1">
      <alignment horizontal="left"/>
    </xf>
    <xf numFmtId="0" fontId="2" fillId="0" borderId="0" xfId="40" applyNumberFormat="1" applyFont="1" applyFill="1" applyBorder="1" applyAlignment="1">
      <alignment horizontal="right"/>
    </xf>
    <xf numFmtId="0" fontId="3" fillId="0" borderId="0" xfId="40" applyFont="1" applyBorder="1"/>
    <xf numFmtId="0" fontId="2" fillId="0" borderId="0" xfId="40" applyFont="1" applyFill="1"/>
    <xf numFmtId="0" fontId="3" fillId="0" borderId="0" xfId="40" applyFont="1" applyFill="1" applyBorder="1" applyAlignment="1">
      <alignment horizontal="right"/>
    </xf>
    <xf numFmtId="4" fontId="3" fillId="0" borderId="0" xfId="40" applyNumberFormat="1" applyFont="1" applyFill="1" applyBorder="1" applyAlignment="1">
      <alignment horizontal="right"/>
    </xf>
    <xf numFmtId="0" fontId="23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Fill="1" applyBorder="1"/>
    <xf numFmtId="0" fontId="23" fillId="0" borderId="0" xfId="0" applyFont="1" applyFill="1" applyBorder="1" applyAlignment="1"/>
    <xf numFmtId="0" fontId="23" fillId="0" borderId="0" xfId="0" applyFont="1" applyFill="1"/>
    <xf numFmtId="164" fontId="23" fillId="0" borderId="0" xfId="40" applyNumberFormat="1" applyFont="1" applyFill="1" applyBorder="1" applyAlignment="1">
      <alignment horizontal="center"/>
    </xf>
    <xf numFmtId="0" fontId="23" fillId="0" borderId="0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right"/>
    </xf>
    <xf numFmtId="0" fontId="23" fillId="0" borderId="0" xfId="40" applyFont="1" applyFill="1" applyBorder="1"/>
    <xf numFmtId="0" fontId="23" fillId="0" borderId="0" xfId="0" applyFont="1" applyFill="1" applyBorder="1" applyAlignment="1">
      <alignment horizontal="center"/>
    </xf>
    <xf numFmtId="0" fontId="24" fillId="0" borderId="0" xfId="40" applyFont="1" applyFill="1" applyBorder="1"/>
    <xf numFmtId="0" fontId="24" fillId="0" borderId="0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left"/>
    </xf>
    <xf numFmtId="0" fontId="23" fillId="0" borderId="16" xfId="40" applyFont="1" applyFill="1" applyBorder="1" applyAlignment="1">
      <alignment horizontal="center"/>
    </xf>
    <xf numFmtId="0" fontId="24" fillId="25" borderId="10" xfId="40" applyFont="1" applyFill="1" applyBorder="1" applyAlignment="1">
      <alignment horizontal="left"/>
    </xf>
    <xf numFmtId="0" fontId="24" fillId="25" borderId="12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left"/>
    </xf>
    <xf numFmtId="0" fontId="23" fillId="0" borderId="13" xfId="40" applyFont="1" applyFill="1" applyBorder="1" applyAlignment="1">
      <alignment horizontal="left" indent="1"/>
    </xf>
    <xf numFmtId="0" fontId="23" fillId="0" borderId="13" xfId="40" applyFont="1" applyFill="1" applyBorder="1" applyAlignment="1">
      <alignment horizontal="left" indent="2"/>
    </xf>
    <xf numFmtId="0" fontId="23" fillId="0" borderId="13" xfId="0" applyFont="1" applyFill="1" applyBorder="1" applyAlignment="1">
      <alignment horizontal="left" indent="1"/>
    </xf>
    <xf numFmtId="0" fontId="23" fillId="0" borderId="12" xfId="0" applyFont="1" applyFill="1" applyBorder="1"/>
    <xf numFmtId="0" fontId="23" fillId="0" borderId="14" xfId="0" applyFont="1" applyFill="1" applyBorder="1"/>
    <xf numFmtId="164" fontId="23" fillId="0" borderId="16" xfId="40" applyNumberFormat="1" applyFont="1" applyFill="1" applyBorder="1" applyAlignment="1">
      <alignment horizontal="center"/>
    </xf>
    <xf numFmtId="0" fontId="24" fillId="0" borderId="10" xfId="0" applyFont="1" applyFill="1" applyBorder="1"/>
    <xf numFmtId="0" fontId="23" fillId="0" borderId="0" xfId="0" applyFont="1" applyFill="1" applyBorder="1" applyAlignment="1">
      <alignment horizontal="left"/>
    </xf>
    <xf numFmtId="0" fontId="23" fillId="0" borderId="13" xfId="40" applyNumberFormat="1" applyFont="1" applyFill="1" applyBorder="1" applyAlignment="1">
      <alignment horizontal="center"/>
    </xf>
    <xf numFmtId="0" fontId="24" fillId="25" borderId="17" xfId="40" applyFont="1" applyFill="1" applyBorder="1" applyAlignment="1">
      <alignment horizontal="left"/>
    </xf>
    <xf numFmtId="0" fontId="25" fillId="25" borderId="13" xfId="0" applyFont="1" applyFill="1" applyBorder="1"/>
    <xf numFmtId="0" fontId="26" fillId="24" borderId="13" xfId="0" applyFont="1" applyFill="1" applyBorder="1"/>
    <xf numFmtId="0" fontId="23" fillId="27" borderId="13" xfId="0" applyFont="1" applyFill="1" applyBorder="1"/>
    <xf numFmtId="165" fontId="0" fillId="0" borderId="0" xfId="0" applyNumberFormat="1" applyFill="1" applyBorder="1" applyAlignment="1">
      <alignment horizontal="right"/>
    </xf>
    <xf numFmtId="164" fontId="23" fillId="0" borderId="0" xfId="40" applyNumberFormat="1" applyFont="1" applyFill="1" applyBorder="1" applyAlignment="1">
      <alignment horizontal="left"/>
    </xf>
    <xf numFmtId="164" fontId="23" fillId="0" borderId="13" xfId="40" applyNumberFormat="1" applyFont="1" applyFill="1" applyBorder="1" applyAlignment="1">
      <alignment horizontal="left" indent="2"/>
    </xf>
    <xf numFmtId="0" fontId="23" fillId="27" borderId="13" xfId="40" applyNumberFormat="1" applyFont="1" applyFill="1" applyBorder="1" applyAlignment="1">
      <alignment horizontal="center"/>
    </xf>
    <xf numFmtId="0" fontId="24" fillId="25" borderId="15" xfId="40" applyFont="1" applyFill="1" applyBorder="1" applyAlignment="1">
      <alignment horizontal="center"/>
    </xf>
    <xf numFmtId="0" fontId="23" fillId="0" borderId="10" xfId="40" applyFont="1" applyFill="1" applyBorder="1" applyAlignment="1">
      <alignment horizontal="left"/>
    </xf>
    <xf numFmtId="0" fontId="23" fillId="0" borderId="11" xfId="40" applyFont="1" applyFill="1" applyBorder="1" applyAlignment="1">
      <alignment horizontal="center"/>
    </xf>
    <xf numFmtId="0" fontId="23" fillId="0" borderId="11" xfId="40" applyNumberFormat="1" applyFont="1" applyFill="1" applyBorder="1" applyAlignment="1">
      <alignment horizontal="center"/>
    </xf>
    <xf numFmtId="0" fontId="1" fillId="0" borderId="0" xfId="40" applyFont="1" applyFill="1" applyBorder="1"/>
    <xf numFmtId="0" fontId="1" fillId="0" borderId="0" xfId="40" applyFont="1" applyFill="1" applyBorder="1" applyAlignment="1">
      <alignment horizontal="left"/>
    </xf>
    <xf numFmtId="0" fontId="0" fillId="28" borderId="11" xfId="0" applyFill="1" applyBorder="1"/>
    <xf numFmtId="4" fontId="0" fillId="28" borderId="11" xfId="0" applyNumberFormat="1" applyFill="1" applyBorder="1"/>
    <xf numFmtId="4" fontId="0" fillId="28" borderId="12" xfId="0" applyNumberFormat="1" applyFill="1" applyBorder="1"/>
    <xf numFmtId="0" fontId="2" fillId="28" borderId="10" xfId="40" applyFont="1" applyFill="1" applyBorder="1"/>
    <xf numFmtId="0" fontId="1" fillId="0" borderId="0" xfId="40" applyFont="1" applyFill="1" applyBorder="1" applyAlignment="1">
      <alignment horizontal="left" indent="1"/>
    </xf>
    <xf numFmtId="0" fontId="1" fillId="0" borderId="0" xfId="40" applyFont="1" applyFill="1" applyBorder="1" applyAlignment="1">
      <alignment horizontal="left" indent="2"/>
    </xf>
    <xf numFmtId="0" fontId="3" fillId="0" borderId="0" xfId="40" applyFont="1" applyFill="1" applyBorder="1" applyAlignment="1">
      <alignment horizontal="left" indent="1"/>
    </xf>
    <xf numFmtId="0" fontId="3" fillId="0" borderId="0" xfId="40" applyFont="1" applyFill="1" applyBorder="1" applyAlignment="1">
      <alignment horizontal="left"/>
    </xf>
    <xf numFmtId="0" fontId="3" fillId="0" borderId="11" xfId="40" applyFont="1" applyFill="1" applyBorder="1" applyAlignment="1">
      <alignment horizontal="right"/>
    </xf>
    <xf numFmtId="0" fontId="1" fillId="0" borderId="11" xfId="40" applyFont="1" applyFill="1" applyBorder="1" applyAlignment="1">
      <alignment horizontal="left"/>
    </xf>
    <xf numFmtId="0" fontId="3" fillId="28" borderId="11" xfId="40" applyFont="1" applyFill="1" applyBorder="1" applyAlignment="1">
      <alignment horizontal="right"/>
    </xf>
    <xf numFmtId="4" fontId="3" fillId="28" borderId="11" xfId="40" applyNumberFormat="1" applyFont="1" applyFill="1" applyBorder="1" applyAlignment="1">
      <alignment horizontal="right"/>
    </xf>
    <xf numFmtId="4" fontId="3" fillId="28" borderId="12" xfId="40" applyNumberFormat="1" applyFont="1" applyFill="1" applyBorder="1" applyAlignment="1">
      <alignment horizontal="right"/>
    </xf>
    <xf numFmtId="0" fontId="0" fillId="0" borderId="0" xfId="0" applyFill="1" applyAlignment="1">
      <alignment horizontal="center"/>
    </xf>
    <xf numFmtId="0" fontId="22" fillId="28" borderId="11" xfId="40" applyFont="1" applyFill="1" applyBorder="1" applyAlignment="1">
      <alignment horizontal="right"/>
    </xf>
    <xf numFmtId="4" fontId="22" fillId="28" borderId="11" xfId="40" applyNumberFormat="1" applyFont="1" applyFill="1" applyBorder="1" applyAlignment="1">
      <alignment horizontal="right"/>
    </xf>
    <xf numFmtId="0" fontId="1" fillId="0" borderId="0" xfId="0" applyFont="1"/>
    <xf numFmtId="4" fontId="1" fillId="0" borderId="0" xfId="40" applyNumberFormat="1" applyFont="1" applyFill="1" applyBorder="1" applyAlignment="1">
      <alignment horizontal="right"/>
    </xf>
    <xf numFmtId="3" fontId="3" fillId="0" borderId="0" xfId="40" applyNumberFormat="1" applyFont="1" applyFill="1" applyBorder="1" applyAlignment="1">
      <alignment horizontal="right"/>
    </xf>
    <xf numFmtId="3" fontId="3" fillId="0" borderId="11" xfId="40" applyNumberFormat="1" applyFont="1" applyFill="1" applyBorder="1" applyAlignment="1">
      <alignment horizontal="right"/>
    </xf>
    <xf numFmtId="3" fontId="3" fillId="0" borderId="19" xfId="40" applyNumberFormat="1" applyFont="1" applyFill="1" applyBorder="1" applyAlignment="1">
      <alignment horizontal="right"/>
    </xf>
    <xf numFmtId="0" fontId="2" fillId="0" borderId="0" xfId="40" applyFont="1" applyFill="1" applyBorder="1"/>
    <xf numFmtId="0" fontId="1" fillId="0" borderId="0" xfId="40" applyFont="1" applyFill="1" applyBorder="1" applyAlignment="1">
      <alignment horizontal="right"/>
    </xf>
    <xf numFmtId="3" fontId="1" fillId="0" borderId="0" xfId="40" applyNumberFormat="1" applyFont="1" applyFill="1" applyBorder="1" applyAlignment="1">
      <alignment horizontal="right"/>
    </xf>
    <xf numFmtId="0" fontId="1" fillId="0" borderId="0" xfId="0" applyFont="1" applyFill="1" applyBorder="1"/>
    <xf numFmtId="0" fontId="1" fillId="0" borderId="0" xfId="0" applyFont="1" applyFill="1"/>
    <xf numFmtId="0" fontId="23" fillId="0" borderId="16" xfId="40" applyNumberFormat="1" applyFont="1" applyFill="1" applyBorder="1" applyAlignment="1">
      <alignment horizontal="center"/>
    </xf>
    <xf numFmtId="0" fontId="24" fillId="0" borderId="10" xfId="40" applyFont="1" applyFill="1" applyBorder="1" applyAlignment="1">
      <alignment horizontal="left"/>
    </xf>
    <xf numFmtId="0" fontId="24" fillId="0" borderId="18" xfId="40" applyFont="1" applyFill="1" applyBorder="1" applyAlignment="1">
      <alignment horizontal="left"/>
    </xf>
    <xf numFmtId="164" fontId="23" fillId="0" borderId="20" xfId="40" applyNumberFormat="1" applyFont="1" applyFill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24" fillId="0" borderId="21" xfId="40" applyFont="1" applyFill="1" applyBorder="1" applyAlignment="1">
      <alignment horizontal="center"/>
    </xf>
    <xf numFmtId="3" fontId="3" fillId="0" borderId="0" xfId="40" applyNumberFormat="1" applyFont="1" applyFill="1" applyAlignment="1">
      <alignment horizontal="right"/>
    </xf>
    <xf numFmtId="0" fontId="23" fillId="0" borderId="13" xfId="0" applyNumberFormat="1" applyFont="1" applyBorder="1" applyAlignment="1">
      <alignment horizontal="center"/>
    </xf>
    <xf numFmtId="3" fontId="3" fillId="0" borderId="0" xfId="40" applyNumberFormat="1" applyFont="1" applyFill="1" applyBorder="1"/>
    <xf numFmtId="0" fontId="24" fillId="0" borderId="0" xfId="40" applyFont="1" applyFill="1" applyBorder="1" applyAlignment="1">
      <alignment horizontal="left"/>
    </xf>
    <xf numFmtId="9" fontId="23" fillId="0" borderId="0" xfId="0" applyNumberFormat="1" applyFont="1" applyFill="1" applyBorder="1" applyAlignment="1">
      <alignment horizontal="center"/>
    </xf>
    <xf numFmtId="0" fontId="2" fillId="28" borderId="23" xfId="40" applyNumberFormat="1" applyFont="1" applyFill="1" applyBorder="1" applyAlignment="1">
      <alignment horizontal="right"/>
    </xf>
    <xf numFmtId="0" fontId="2" fillId="28" borderId="24" xfId="40" applyNumberFormat="1" applyFont="1" applyFill="1" applyBorder="1" applyAlignment="1">
      <alignment horizontal="right"/>
    </xf>
    <xf numFmtId="0" fontId="2" fillId="28" borderId="25" xfId="40" applyNumberFormat="1" applyFont="1" applyFill="1" applyBorder="1" applyAlignment="1">
      <alignment horizontal="right"/>
    </xf>
    <xf numFmtId="0" fontId="25" fillId="28" borderId="22" xfId="0" applyFont="1" applyFill="1" applyBorder="1"/>
    <xf numFmtId="3" fontId="3" fillId="28" borderId="24" xfId="40" applyNumberFormat="1" applyFont="1" applyFill="1" applyBorder="1"/>
    <xf numFmtId="3" fontId="3" fillId="28" borderId="25" xfId="40" applyNumberFormat="1" applyFont="1" applyFill="1" applyBorder="1"/>
    <xf numFmtId="0" fontId="23" fillId="0" borderId="10" xfId="0" applyFont="1" applyFill="1" applyBorder="1" applyAlignment="1">
      <alignment horizontal="left"/>
    </xf>
    <xf numFmtId="0" fontId="23" fillId="0" borderId="22" xfId="0" applyFont="1" applyFill="1" applyBorder="1"/>
    <xf numFmtId="3" fontId="27" fillId="24" borderId="13" xfId="40" applyNumberFormat="1" applyFont="1" applyFill="1" applyBorder="1" applyAlignment="1">
      <alignment horizontal="center"/>
    </xf>
    <xf numFmtId="10" fontId="23" fillId="0" borderId="0" xfId="40" applyNumberFormat="1" applyFont="1" applyFill="1" applyBorder="1" applyAlignment="1">
      <alignment horizontal="center"/>
    </xf>
    <xf numFmtId="164" fontId="23" fillId="0" borderId="27" xfId="40" applyNumberFormat="1" applyFont="1" applyFill="1" applyBorder="1" applyAlignment="1">
      <alignment horizontal="left"/>
    </xf>
    <xf numFmtId="2" fontId="23" fillId="0" borderId="13" xfId="40" applyNumberFormat="1" applyFont="1" applyFill="1" applyBorder="1" applyAlignment="1">
      <alignment horizontal="right"/>
    </xf>
    <xf numFmtId="0" fontId="23" fillId="0" borderId="13" xfId="40" applyFont="1" applyFill="1" applyBorder="1" applyAlignment="1">
      <alignment horizontal="right"/>
    </xf>
    <xf numFmtId="0" fontId="23" fillId="0" borderId="13" xfId="40" applyNumberFormat="1" applyFont="1" applyFill="1" applyBorder="1" applyAlignment="1">
      <alignment horizontal="right"/>
    </xf>
    <xf numFmtId="0" fontId="23" fillId="0" borderId="22" xfId="40" applyFont="1" applyFill="1" applyBorder="1" applyAlignment="1">
      <alignment horizontal="right"/>
    </xf>
    <xf numFmtId="3" fontId="23" fillId="0" borderId="22" xfId="40" applyNumberFormat="1" applyFont="1" applyFill="1" applyBorder="1" applyAlignment="1">
      <alignment horizontal="right"/>
    </xf>
    <xf numFmtId="3" fontId="23" fillId="0" borderId="14" xfId="40" applyNumberFormat="1" applyFont="1" applyFill="1" applyBorder="1" applyAlignment="1">
      <alignment horizontal="right"/>
    </xf>
    <xf numFmtId="3" fontId="23" fillId="0" borderId="13" xfId="40" applyNumberFormat="1" applyFont="1" applyFill="1" applyBorder="1" applyAlignment="1">
      <alignment horizontal="right"/>
    </xf>
    <xf numFmtId="0" fontId="23" fillId="29" borderId="0" xfId="0" applyFont="1" applyFill="1" applyBorder="1"/>
    <xf numFmtId="0" fontId="28" fillId="29" borderId="28" xfId="40" applyFont="1" applyFill="1" applyBorder="1" applyAlignment="1">
      <alignment horizontal="left"/>
    </xf>
    <xf numFmtId="0" fontId="28" fillId="29" borderId="26" xfId="40" applyFont="1" applyFill="1" applyBorder="1" applyAlignment="1">
      <alignment horizontal="left"/>
    </xf>
    <xf numFmtId="11" fontId="23" fillId="0" borderId="13" xfId="40" applyNumberFormat="1" applyFont="1" applyFill="1" applyBorder="1" applyAlignment="1">
      <alignment horizontal="right"/>
    </xf>
    <xf numFmtId="164" fontId="23" fillId="0" borderId="23" xfId="40" applyNumberFormat="1" applyFont="1" applyFill="1" applyBorder="1" applyAlignment="1">
      <alignment horizontal="center"/>
    </xf>
    <xf numFmtId="0" fontId="24" fillId="0" borderId="18" xfId="0" applyFont="1" applyFill="1" applyBorder="1"/>
    <xf numFmtId="0" fontId="23" fillId="0" borderId="19" xfId="0" applyFont="1" applyFill="1" applyBorder="1"/>
    <xf numFmtId="0" fontId="24" fillId="25" borderId="23" xfId="40" applyFont="1" applyFill="1" applyBorder="1" applyAlignment="1">
      <alignment horizontal="left"/>
    </xf>
    <xf numFmtId="0" fontId="24" fillId="25" borderId="24" xfId="40" applyFont="1" applyFill="1" applyBorder="1" applyAlignment="1">
      <alignment horizontal="center"/>
    </xf>
    <xf numFmtId="0" fontId="23" fillId="0" borderId="22" xfId="0" applyNumberFormat="1" applyFont="1" applyFill="1" applyBorder="1" applyAlignment="1">
      <alignment horizontal="center"/>
    </xf>
    <xf numFmtId="0" fontId="23" fillId="27" borderId="0" xfId="0" applyFont="1" applyFill="1" applyBorder="1"/>
    <xf numFmtId="2" fontId="23" fillId="0" borderId="35" xfId="57" applyNumberFormat="1" applyFont="1" applyFill="1" applyBorder="1" applyAlignment="1">
      <alignment horizontal="right"/>
    </xf>
    <xf numFmtId="0" fontId="23" fillId="0" borderId="36" xfId="51" applyFont="1" applyBorder="1" applyAlignment="1">
      <alignment horizontal="left"/>
    </xf>
    <xf numFmtId="0" fontId="24" fillId="28" borderId="33" xfId="51" applyFont="1" applyFill="1" applyBorder="1" applyAlignment="1">
      <alignment horizontal="left"/>
    </xf>
    <xf numFmtId="0" fontId="24" fillId="28" borderId="34" xfId="51" applyFont="1" applyFill="1" applyBorder="1" applyAlignment="1">
      <alignment horizontal="center"/>
    </xf>
    <xf numFmtId="3" fontId="23" fillId="30" borderId="36" xfId="51" applyNumberFormat="1" applyFont="1" applyFill="1" applyBorder="1" applyAlignment="1">
      <alignment horizontal="right"/>
    </xf>
    <xf numFmtId="4" fontId="23" fillId="30" borderId="36" xfId="51" applyNumberFormat="1" applyFont="1" applyFill="1" applyBorder="1"/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4" fontId="1" fillId="0" borderId="0" xfId="57" applyNumberFormat="1" applyFont="1" applyFill="1" applyBorder="1" applyAlignment="1">
      <alignment horizontal="right"/>
    </xf>
    <xf numFmtId="0" fontId="2" fillId="28" borderId="33" xfId="57" applyFont="1" applyFill="1" applyBorder="1"/>
    <xf numFmtId="0" fontId="1" fillId="0" borderId="0" xfId="57" applyFont="1" applyFill="1" applyBorder="1" applyAlignment="1">
      <alignment horizontal="left" indent="1"/>
    </xf>
    <xf numFmtId="0" fontId="1" fillId="0" borderId="34" xfId="57" applyFont="1" applyFill="1" applyBorder="1" applyAlignment="1">
      <alignment horizontal="right"/>
    </xf>
    <xf numFmtId="0" fontId="1" fillId="28" borderId="34" xfId="57" applyFont="1" applyFill="1" applyBorder="1" applyAlignment="1">
      <alignment horizontal="right"/>
    </xf>
    <xf numFmtId="4" fontId="1" fillId="28" borderId="35" xfId="57" applyNumberFormat="1" applyFont="1" applyFill="1" applyBorder="1" applyAlignment="1">
      <alignment horizontal="right"/>
    </xf>
    <xf numFmtId="0" fontId="1" fillId="0" borderId="34" xfId="57" applyFont="1" applyFill="1" applyBorder="1"/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3" fontId="1" fillId="0" borderId="19" xfId="57" applyNumberFormat="1" applyFont="1" applyFill="1" applyBorder="1" applyAlignment="1">
      <alignment horizontal="right"/>
    </xf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0" fontId="23" fillId="0" borderId="36" xfId="57" applyFont="1" applyFill="1" applyBorder="1" applyAlignment="1">
      <alignment horizontal="left"/>
    </xf>
    <xf numFmtId="0" fontId="24" fillId="25" borderId="33" xfId="57" applyFont="1" applyFill="1" applyBorder="1" applyAlignment="1">
      <alignment horizontal="left"/>
    </xf>
    <xf numFmtId="0" fontId="24" fillId="25" borderId="35" xfId="57" applyFont="1" applyFill="1" applyBorder="1" applyAlignment="1">
      <alignment horizontal="center"/>
    </xf>
    <xf numFmtId="0" fontId="23" fillId="0" borderId="33" xfId="57" applyFont="1" applyFill="1" applyBorder="1" applyAlignment="1">
      <alignment horizontal="left"/>
    </xf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2" fontId="23" fillId="0" borderId="36" xfId="57" applyNumberFormat="1" applyFont="1" applyFill="1" applyBorder="1" applyAlignment="1">
      <alignment horizontal="right"/>
    </xf>
    <xf numFmtId="0" fontId="23" fillId="0" borderId="36" xfId="57" applyFont="1" applyFill="1" applyBorder="1" applyAlignment="1">
      <alignment horizontal="right"/>
    </xf>
    <xf numFmtId="3" fontId="0" fillId="0" borderId="0" xfId="0" applyNumberFormat="1"/>
    <xf numFmtId="11" fontId="23" fillId="0" borderId="0" xfId="0" applyNumberFormat="1" applyFont="1" applyAlignment="1">
      <alignment horizontal="center"/>
    </xf>
    <xf numFmtId="11" fontId="23" fillId="0" borderId="0" xfId="0" applyNumberFormat="1" applyFont="1" applyFill="1" applyBorder="1"/>
    <xf numFmtId="3" fontId="23" fillId="0" borderId="36" xfId="51" applyNumberFormat="1" applyFont="1" applyBorder="1" applyAlignment="1">
      <alignment horizontal="center"/>
    </xf>
    <xf numFmtId="4" fontId="23" fillId="0" borderId="36" xfId="51" applyNumberFormat="1" applyFont="1" applyBorder="1" applyAlignment="1">
      <alignment horizontal="center"/>
    </xf>
    <xf numFmtId="2" fontId="23" fillId="0" borderId="0" xfId="0" applyNumberFormat="1" applyFont="1" applyFill="1" applyBorder="1"/>
    <xf numFmtId="166" fontId="27" fillId="24" borderId="13" xfId="40" applyNumberFormat="1" applyFont="1" applyFill="1" applyBorder="1" applyAlignment="1">
      <alignment horizontal="center"/>
    </xf>
    <xf numFmtId="166" fontId="23" fillId="0" borderId="0" xfId="0" applyNumberFormat="1" applyFont="1" applyFill="1" applyBorder="1"/>
    <xf numFmtId="167" fontId="23" fillId="0" borderId="0" xfId="0" applyNumberFormat="1" applyFont="1" applyFill="1" applyBorder="1"/>
    <xf numFmtId="0" fontId="23" fillId="0" borderId="37" xfId="0" applyFont="1" applyFill="1" applyBorder="1"/>
    <xf numFmtId="0" fontId="23" fillId="0" borderId="37" xfId="40" applyFont="1" applyFill="1" applyBorder="1" applyAlignment="1">
      <alignment horizontal="right"/>
    </xf>
    <xf numFmtId="3" fontId="23" fillId="26" borderId="36" xfId="51" applyNumberFormat="1" applyFont="1" applyFill="1" applyBorder="1" applyAlignment="1">
      <alignment horizontal="center"/>
    </xf>
    <xf numFmtId="10" fontId="27" fillId="24" borderId="22" xfId="44" applyNumberFormat="1" applyFont="1" applyFill="1" applyBorder="1" applyAlignment="1">
      <alignment horizontal="center"/>
    </xf>
    <xf numFmtId="0" fontId="23" fillId="0" borderId="37" xfId="40" applyFont="1" applyFill="1" applyBorder="1" applyAlignment="1">
      <alignment horizontal="left" wrapText="1"/>
    </xf>
    <xf numFmtId="0" fontId="23" fillId="0" borderId="37" xfId="0" applyFont="1" applyBorder="1" applyAlignment="1">
      <alignment horizontal="center"/>
    </xf>
    <xf numFmtId="11" fontId="23" fillId="0" borderId="14" xfId="40" applyNumberFormat="1" applyFont="1" applyFill="1" applyBorder="1" applyAlignment="1">
      <alignment horizontal="right"/>
    </xf>
    <xf numFmtId="0" fontId="23" fillId="0" borderId="14" xfId="40" applyNumberFormat="1" applyFont="1" applyFill="1" applyBorder="1" applyAlignment="1">
      <alignment horizontal="center"/>
    </xf>
    <xf numFmtId="0" fontId="23" fillId="0" borderId="14" xfId="0" applyNumberFormat="1" applyFont="1" applyBorder="1" applyAlignment="1">
      <alignment horizontal="center"/>
    </xf>
    <xf numFmtId="0" fontId="23" fillId="0" borderId="37" xfId="40" applyNumberFormat="1" applyFont="1" applyFill="1" applyBorder="1" applyAlignment="1">
      <alignment horizontal="center"/>
    </xf>
    <xf numFmtId="11" fontId="23" fillId="0" borderId="37" xfId="40" applyNumberFormat="1" applyFont="1" applyFill="1" applyBorder="1" applyAlignment="1">
      <alignment horizontal="right"/>
    </xf>
    <xf numFmtId="0" fontId="23" fillId="0" borderId="37" xfId="0" applyNumberFormat="1" applyFont="1" applyBorder="1" applyAlignment="1">
      <alignment horizontal="center"/>
    </xf>
    <xf numFmtId="164" fontId="23" fillId="0" borderId="37" xfId="40" applyNumberFormat="1" applyFont="1" applyFill="1" applyBorder="1" applyAlignment="1">
      <alignment horizontal="center"/>
    </xf>
    <xf numFmtId="0" fontId="23" fillId="0" borderId="37" xfId="0" applyFont="1" applyBorder="1"/>
    <xf numFmtId="11" fontId="23" fillId="0" borderId="37" xfId="40" applyNumberFormat="1" applyFont="1" applyFill="1" applyBorder="1" applyAlignment="1">
      <alignment horizontal="center"/>
    </xf>
    <xf numFmtId="0" fontId="24" fillId="25" borderId="35" xfId="40" applyFont="1" applyFill="1" applyBorder="1" applyAlignment="1">
      <alignment horizontal="center"/>
    </xf>
    <xf numFmtId="164" fontId="23" fillId="0" borderId="23" xfId="40" applyNumberFormat="1" applyFont="1" applyFill="1" applyBorder="1" applyAlignment="1">
      <alignment horizontal="left"/>
    </xf>
    <xf numFmtId="0" fontId="23" fillId="0" borderId="18" xfId="0" applyFont="1" applyFill="1" applyBorder="1" applyAlignment="1">
      <alignment horizontal="left"/>
    </xf>
    <xf numFmtId="3" fontId="23" fillId="0" borderId="36" xfId="0" applyNumberFormat="1" applyFont="1" applyBorder="1" applyAlignment="1">
      <alignment horizontal="right"/>
    </xf>
    <xf numFmtId="3" fontId="23" fillId="0" borderId="37" xfId="0" applyNumberFormat="1" applyFont="1" applyBorder="1" applyAlignment="1">
      <alignment horizontal="right"/>
    </xf>
    <xf numFmtId="0" fontId="23" fillId="0" borderId="0" xfId="40" applyFont="1" applyFill="1" applyBorder="1" applyAlignment="1">
      <alignment horizontal="left" indent="2"/>
    </xf>
    <xf numFmtId="0" fontId="23" fillId="0" borderId="0" xfId="40" applyNumberFormat="1" applyFont="1" applyFill="1" applyBorder="1" applyAlignment="1">
      <alignment horizontal="right"/>
    </xf>
    <xf numFmtId="11" fontId="23" fillId="0" borderId="0" xfId="40" applyNumberFormat="1" applyFont="1" applyFill="1" applyBorder="1" applyAlignment="1">
      <alignment horizontal="right"/>
    </xf>
    <xf numFmtId="0" fontId="23" fillId="0" borderId="0" xfId="40" applyNumberFormat="1" applyFont="1" applyFill="1" applyBorder="1" applyAlignment="1">
      <alignment horizontal="center"/>
    </xf>
    <xf numFmtId="0" fontId="23" fillId="0" borderId="0" xfId="0" applyNumberFormat="1" applyFont="1" applyBorder="1" applyAlignment="1">
      <alignment horizontal="center"/>
    </xf>
    <xf numFmtId="11" fontId="23" fillId="0" borderId="0" xfId="40" applyNumberFormat="1" applyFont="1" applyFill="1" applyBorder="1" applyAlignment="1">
      <alignment horizontal="center"/>
    </xf>
    <xf numFmtId="0" fontId="23" fillId="0" borderId="13" xfId="0" applyFont="1" applyFill="1" applyBorder="1"/>
    <xf numFmtId="0" fontId="24" fillId="25" borderId="38" xfId="40" applyFont="1" applyFill="1" applyBorder="1" applyAlignment="1">
      <alignment horizontal="left"/>
    </xf>
    <xf numFmtId="0" fontId="24" fillId="25" borderId="40" xfId="40" applyFont="1" applyFill="1" applyBorder="1" applyAlignment="1">
      <alignment horizontal="center"/>
    </xf>
    <xf numFmtId="0" fontId="24" fillId="25" borderId="39" xfId="40" applyFont="1" applyFill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24" fillId="0" borderId="13" xfId="0" applyFont="1" applyFill="1" applyBorder="1" applyAlignment="1">
      <alignment horizontal="center"/>
    </xf>
    <xf numFmtId="4" fontId="23" fillId="0" borderId="13" xfId="51" applyNumberFormat="1" applyFont="1" applyBorder="1" applyAlignment="1">
      <alignment horizontal="center"/>
    </xf>
    <xf numFmtId="2" fontId="23" fillId="0" borderId="13" xfId="44" applyNumberFormat="1" applyFont="1" applyFill="1" applyBorder="1" applyAlignment="1">
      <alignment horizontal="right"/>
    </xf>
  </cellXfs>
  <cellStyles count="68">
    <cellStyle name="20% - Accent1 2" xfId="1" xr:uid="{00000000-0005-0000-0000-000000000000}"/>
    <cellStyle name="20% - Accent2 2" xfId="2" xr:uid="{00000000-0005-0000-0000-000001000000}"/>
    <cellStyle name="20% - Accent3 2" xfId="3" xr:uid="{00000000-0005-0000-0000-000002000000}"/>
    <cellStyle name="20% - Accent4 2" xfId="4" xr:uid="{00000000-0005-0000-0000-000003000000}"/>
    <cellStyle name="20% - Accent5 2" xfId="5" xr:uid="{00000000-0005-0000-0000-000004000000}"/>
    <cellStyle name="20% - Accent6 2" xfId="6" xr:uid="{00000000-0005-0000-0000-000005000000}"/>
    <cellStyle name="40% - Accent1 2" xfId="7" xr:uid="{00000000-0005-0000-0000-000006000000}"/>
    <cellStyle name="40% - Accent2 2" xfId="8" xr:uid="{00000000-0005-0000-0000-000007000000}"/>
    <cellStyle name="40% - Accent3 2" xfId="9" xr:uid="{00000000-0005-0000-0000-000008000000}"/>
    <cellStyle name="40% - Accent4 2" xfId="10" xr:uid="{00000000-0005-0000-0000-000009000000}"/>
    <cellStyle name="40% - Accent5 2" xfId="11" xr:uid="{00000000-0005-0000-0000-00000A000000}"/>
    <cellStyle name="40% - Accent6 2" xfId="12" xr:uid="{00000000-0005-0000-0000-00000B000000}"/>
    <cellStyle name="60% - Accent1 2" xfId="13" xr:uid="{00000000-0005-0000-0000-00000C000000}"/>
    <cellStyle name="60% - Accent2 2" xfId="14" xr:uid="{00000000-0005-0000-0000-00000D000000}"/>
    <cellStyle name="60% - Accent3 2" xfId="15" xr:uid="{00000000-0005-0000-0000-00000E000000}"/>
    <cellStyle name="60% - Accent4 2" xfId="16" xr:uid="{00000000-0005-0000-0000-00000F000000}"/>
    <cellStyle name="60% - Accent5 2" xfId="17" xr:uid="{00000000-0005-0000-0000-000010000000}"/>
    <cellStyle name="60% - Accent6 2" xfId="18" xr:uid="{00000000-0005-0000-0000-000011000000}"/>
    <cellStyle name="Accent1 2" xfId="19" xr:uid="{00000000-0005-0000-0000-000012000000}"/>
    <cellStyle name="Accent2 2" xfId="20" xr:uid="{00000000-0005-0000-0000-000013000000}"/>
    <cellStyle name="Accent3 2" xfId="21" xr:uid="{00000000-0005-0000-0000-000014000000}"/>
    <cellStyle name="Accent4 2" xfId="22" xr:uid="{00000000-0005-0000-0000-000015000000}"/>
    <cellStyle name="Accent5 2" xfId="23" xr:uid="{00000000-0005-0000-0000-000016000000}"/>
    <cellStyle name="Accent6 2" xfId="24" xr:uid="{00000000-0005-0000-0000-000017000000}"/>
    <cellStyle name="Bad 2" xfId="25" xr:uid="{00000000-0005-0000-0000-000018000000}"/>
    <cellStyle name="Calculation 2" xfId="26" xr:uid="{00000000-0005-0000-0000-000019000000}"/>
    <cellStyle name="Calculation 2 2" xfId="52" xr:uid="{00000000-0005-0000-0000-00001A000000}"/>
    <cellStyle name="Check Cell 2" xfId="27" xr:uid="{00000000-0005-0000-0000-00001B000000}"/>
    <cellStyle name="Currency 2" xfId="28" xr:uid="{00000000-0005-0000-0000-00001C000000}"/>
    <cellStyle name="Currency 2 2" xfId="29" xr:uid="{00000000-0005-0000-0000-00001D000000}"/>
    <cellStyle name="Currency 2 2 2" xfId="54" xr:uid="{00000000-0005-0000-0000-00001E000000}"/>
    <cellStyle name="Currency 2 3" xfId="53" xr:uid="{00000000-0005-0000-0000-00001F000000}"/>
    <cellStyle name="Currency 3" xfId="30" xr:uid="{00000000-0005-0000-0000-000020000000}"/>
    <cellStyle name="Currency 3 2" xfId="55" xr:uid="{00000000-0005-0000-0000-000021000000}"/>
    <cellStyle name="Explanatory Text 2" xfId="31" xr:uid="{00000000-0005-0000-0000-000022000000}"/>
    <cellStyle name="Followed Hyperlink" xfId="67" builtinId="9" hidden="1"/>
    <cellStyle name="Good 2" xfId="32" xr:uid="{00000000-0005-0000-0000-000024000000}"/>
    <cellStyle name="Heading 1 2" xfId="33" xr:uid="{00000000-0005-0000-0000-000025000000}"/>
    <cellStyle name="Heading 2 2" xfId="34" xr:uid="{00000000-0005-0000-0000-000026000000}"/>
    <cellStyle name="Heading 3 2" xfId="35" xr:uid="{00000000-0005-0000-0000-000027000000}"/>
    <cellStyle name="Heading 4 2" xfId="36" xr:uid="{00000000-0005-0000-0000-000028000000}"/>
    <cellStyle name="Hyperlink" xfId="66" builtinId="8" hidden="1"/>
    <cellStyle name="Input 2" xfId="37" xr:uid="{00000000-0005-0000-0000-00002A000000}"/>
    <cellStyle name="Input 2 2" xfId="56" xr:uid="{00000000-0005-0000-0000-00002B000000}"/>
    <cellStyle name="Linked Cell 2" xfId="38" xr:uid="{00000000-0005-0000-0000-00002C000000}"/>
    <cellStyle name="Neutral 2" xfId="39" xr:uid="{00000000-0005-0000-0000-00002D000000}"/>
    <cellStyle name="Normal" xfId="0" builtinId="0"/>
    <cellStyle name="Normal 2" xfId="40" xr:uid="{00000000-0005-0000-0000-00002F000000}"/>
    <cellStyle name="Normal 2 2" xfId="57" xr:uid="{00000000-0005-0000-0000-000030000000}"/>
    <cellStyle name="Normal 3" xfId="41" xr:uid="{00000000-0005-0000-0000-000031000000}"/>
    <cellStyle name="Normal 3 2" xfId="58" xr:uid="{00000000-0005-0000-0000-000032000000}"/>
    <cellStyle name="Normal 4" xfId="51" xr:uid="{00000000-0005-0000-0000-000033000000}"/>
    <cellStyle name="Note 2" xfId="42" xr:uid="{00000000-0005-0000-0000-000034000000}"/>
    <cellStyle name="Note 2 2" xfId="59" xr:uid="{00000000-0005-0000-0000-000035000000}"/>
    <cellStyle name="Note 2 3" xfId="65" xr:uid="{00000000-0005-0000-0000-000036000000}"/>
    <cellStyle name="Output 2" xfId="43" xr:uid="{00000000-0005-0000-0000-000037000000}"/>
    <cellStyle name="Output 2 2" xfId="60" xr:uid="{00000000-0005-0000-0000-000038000000}"/>
    <cellStyle name="Percent" xfId="44" builtinId="5"/>
    <cellStyle name="Percent 2" xfId="45" xr:uid="{00000000-0005-0000-0000-00003A000000}"/>
    <cellStyle name="Percent 2 2" xfId="46" xr:uid="{00000000-0005-0000-0000-00003B000000}"/>
    <cellStyle name="Percent 2 2 2" xfId="62" xr:uid="{00000000-0005-0000-0000-00003C000000}"/>
    <cellStyle name="Percent 2 3" xfId="61" xr:uid="{00000000-0005-0000-0000-00003D000000}"/>
    <cellStyle name="Percent 3" xfId="47" xr:uid="{00000000-0005-0000-0000-00003E000000}"/>
    <cellStyle name="Percent 3 2" xfId="63" xr:uid="{00000000-0005-0000-0000-00003F000000}"/>
    <cellStyle name="Title 2" xfId="48" xr:uid="{00000000-0005-0000-0000-000040000000}"/>
    <cellStyle name="Total 2" xfId="49" xr:uid="{00000000-0005-0000-0000-000041000000}"/>
    <cellStyle name="Total 2 2" xfId="64" xr:uid="{00000000-0005-0000-0000-000042000000}"/>
    <cellStyle name="Warning Text 2" xfId="50" xr:uid="{00000000-0005-0000-0000-000043000000}"/>
  </cellStyles>
  <dxfs count="6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CX129"/>
  <sheetViews>
    <sheetView tabSelected="1" topLeftCell="A46" workbookViewId="0">
      <selection activeCell="B86" sqref="B86"/>
    </sheetView>
  </sheetViews>
  <sheetFormatPr baseColWidth="10" defaultColWidth="15.6640625" defaultRowHeight="14"/>
  <cols>
    <col min="1" max="1" width="41" style="18" customWidth="1"/>
    <col min="2" max="2" width="14.33203125" style="19" customWidth="1"/>
    <col min="3" max="3" width="16.5" style="18" customWidth="1"/>
    <col min="4" max="4" width="19.83203125" style="19" customWidth="1"/>
    <col min="5" max="5" width="19.6640625" style="19" customWidth="1"/>
    <col min="6" max="6" width="19.6640625" style="18" customWidth="1"/>
    <col min="7" max="7" width="19.6640625" style="19" customWidth="1"/>
    <col min="8" max="8" width="18.83203125" style="19" customWidth="1"/>
    <col min="9" max="9" width="15.5" style="19" customWidth="1"/>
    <col min="10" max="10" width="21.83203125" style="19" customWidth="1"/>
    <col min="11" max="33" width="16" style="19" customWidth="1"/>
    <col min="34" max="34" width="15.6640625" style="19" customWidth="1"/>
    <col min="35" max="16384" width="15.6640625" style="19"/>
  </cols>
  <sheetData>
    <row r="1" spans="1:100" ht="22" thickBot="1">
      <c r="A1" s="115" t="s">
        <v>90</v>
      </c>
      <c r="B1" s="114"/>
      <c r="C1" s="27"/>
    </row>
    <row r="2" spans="1:100">
      <c r="A2" s="33" t="s">
        <v>11</v>
      </c>
      <c r="B2" s="34"/>
      <c r="C2" s="20"/>
      <c r="F2" s="20"/>
      <c r="L2" s="21"/>
      <c r="Q2" s="20"/>
    </row>
    <row r="3" spans="1:100" s="22" customFormat="1">
      <c r="A3" s="103" t="s">
        <v>149</v>
      </c>
      <c r="B3" s="110">
        <v>219.58600000000001</v>
      </c>
      <c r="C3" s="20"/>
      <c r="D3" s="46" t="s">
        <v>16</v>
      </c>
      <c r="F3" s="20"/>
      <c r="L3" s="21"/>
      <c r="M3" s="19"/>
      <c r="N3" s="19"/>
      <c r="Q3" s="20"/>
    </row>
    <row r="4" spans="1:100" s="22" customFormat="1">
      <c r="A4" s="162" t="s">
        <v>148</v>
      </c>
      <c r="B4" s="163"/>
      <c r="C4" s="20"/>
      <c r="D4" s="47" t="s">
        <v>17</v>
      </c>
      <c r="F4" s="20"/>
      <c r="L4" s="21"/>
      <c r="M4" s="19"/>
      <c r="N4" s="19"/>
      <c r="Q4" s="20"/>
      <c r="CV4" s="22" t="s">
        <v>143</v>
      </c>
    </row>
    <row r="5" spans="1:100" s="22" customFormat="1">
      <c r="A5" s="162" t="s">
        <v>99</v>
      </c>
      <c r="B5" s="163">
        <v>0.5</v>
      </c>
      <c r="C5" s="20"/>
      <c r="D5" s="48" t="s">
        <v>81</v>
      </c>
      <c r="F5" s="20"/>
      <c r="L5" s="21"/>
      <c r="M5" s="19"/>
      <c r="N5" s="19"/>
      <c r="Q5" s="20"/>
      <c r="CV5" s="22">
        <v>5</v>
      </c>
    </row>
    <row r="6" spans="1:100" s="22" customFormat="1">
      <c r="A6" s="103" t="s">
        <v>82</v>
      </c>
      <c r="B6" s="103">
        <v>100</v>
      </c>
      <c r="C6" s="20"/>
      <c r="D6" s="124"/>
      <c r="F6" s="20"/>
      <c r="L6" s="21"/>
      <c r="M6" s="19"/>
      <c r="N6" s="19"/>
      <c r="Q6" s="20"/>
      <c r="CV6" s="22">
        <v>7</v>
      </c>
    </row>
    <row r="7" spans="1:100" s="22" customFormat="1">
      <c r="A7" s="103" t="s">
        <v>83</v>
      </c>
      <c r="B7" s="111">
        <v>50</v>
      </c>
      <c r="D7" s="33" t="s">
        <v>22</v>
      </c>
      <c r="E7" s="34"/>
      <c r="J7" s="21"/>
      <c r="K7" s="19"/>
      <c r="L7" s="19"/>
      <c r="O7" s="20"/>
    </row>
    <row r="8" spans="1:100" s="22" customFormat="1">
      <c r="A8" s="20"/>
      <c r="B8" s="124"/>
      <c r="C8" s="20"/>
      <c r="D8" s="102" t="s">
        <v>94</v>
      </c>
      <c r="E8" s="159">
        <f>-('Cash Flow'!B85+NPV(NominalDiscountRate/100, 'Cash Flow'!C85:CX85))</f>
        <v>6485951.605314292</v>
      </c>
      <c r="F8" s="20"/>
      <c r="L8" s="21"/>
      <c r="M8" s="19"/>
      <c r="N8" s="19"/>
      <c r="Q8" s="20"/>
    </row>
    <row r="9" spans="1:100" s="22" customFormat="1">
      <c r="A9" s="33" t="s">
        <v>113</v>
      </c>
      <c r="B9" s="34"/>
      <c r="C9" s="20"/>
      <c r="D9" s="102" t="s">
        <v>93</v>
      </c>
      <c r="E9" s="159">
        <f>-('Cash Flow'!B86+NPV(NominalDiscountRate/100, 'Cash Flow'!C86:CX86))</f>
        <v>6362442.5031388523</v>
      </c>
      <c r="F9" s="20"/>
      <c r="L9" s="21"/>
      <c r="M9" s="19"/>
      <c r="N9" s="19"/>
      <c r="Q9" s="20"/>
    </row>
    <row r="10" spans="1:100" s="22" customFormat="1">
      <c r="A10" s="103" t="s">
        <v>114</v>
      </c>
      <c r="B10" s="180">
        <v>826030</v>
      </c>
      <c r="C10" s="20"/>
      <c r="D10" s="102" t="s">
        <v>101</v>
      </c>
      <c r="E10" s="104">
        <f>'Cash Flow'!B82+NPV(NominalDiscountRate/100,'Cash Flow'!C82:CX82)</f>
        <v>123509.1021754411</v>
      </c>
      <c r="F10" s="20"/>
      <c r="L10" s="21"/>
      <c r="M10" s="19"/>
      <c r="N10" s="19"/>
      <c r="Q10" s="20"/>
    </row>
    <row r="11" spans="1:100" s="22" customFormat="1">
      <c r="A11" s="103" t="s">
        <v>115</v>
      </c>
      <c r="B11" s="180">
        <v>783215</v>
      </c>
      <c r="C11" s="20"/>
      <c r="D11" s="103" t="s">
        <v>80</v>
      </c>
      <c r="E11" s="165">
        <f>IF(loan_term=0,IRR('Cash Flow'!B82:CX82, NominalDiscountRate/100),IRR('Cash Flow'!C82:CX82, NominalDiscountRate/100))</f>
        <v>0.13865566155495213</v>
      </c>
      <c r="F11" s="20"/>
      <c r="L11" s="21"/>
      <c r="M11" s="19"/>
      <c r="N11" s="19"/>
      <c r="Q11" s="20"/>
    </row>
    <row r="12" spans="1:100" s="22" customFormat="1">
      <c r="A12" s="103" t="s">
        <v>116</v>
      </c>
      <c r="B12" s="181">
        <v>-10500</v>
      </c>
      <c r="C12" s="20"/>
      <c r="F12" s="20"/>
      <c r="L12" s="21"/>
      <c r="M12" s="19"/>
      <c r="N12" s="19"/>
      <c r="Q12" s="20"/>
    </row>
    <row r="13" spans="1:100">
      <c r="A13" s="103" t="s">
        <v>117</v>
      </c>
      <c r="B13" s="111">
        <v>411626</v>
      </c>
      <c r="C13" s="20"/>
      <c r="F13" s="158"/>
      <c r="L13" s="21"/>
      <c r="Q13" s="20"/>
    </row>
    <row r="14" spans="1:100">
      <c r="A14" s="35"/>
      <c r="B14" s="105"/>
      <c r="C14" s="20"/>
      <c r="F14" s="160"/>
      <c r="G14" s="94"/>
      <c r="H14" s="29"/>
      <c r="L14" s="21"/>
      <c r="Q14" s="20"/>
    </row>
    <row r="15" spans="1:100">
      <c r="A15" s="33" t="s">
        <v>12</v>
      </c>
      <c r="B15" s="34"/>
      <c r="C15" s="20"/>
      <c r="F15" s="160"/>
      <c r="G15" s="161"/>
      <c r="H15" s="95"/>
      <c r="L15" s="21"/>
      <c r="Q15" s="20"/>
    </row>
    <row r="16" spans="1:100">
      <c r="A16" s="40" t="s">
        <v>55</v>
      </c>
      <c r="B16" s="112">
        <v>542718</v>
      </c>
      <c r="C16" s="20"/>
      <c r="F16" s="160"/>
      <c r="G16" s="161"/>
      <c r="H16" s="95"/>
      <c r="L16" s="21"/>
      <c r="Q16" s="20"/>
    </row>
    <row r="17" spans="1:17">
      <c r="A17" s="188" t="s">
        <v>124</v>
      </c>
      <c r="B17" s="113">
        <v>442718</v>
      </c>
      <c r="C17" s="20"/>
      <c r="F17" s="160"/>
      <c r="G17" s="161"/>
      <c r="H17" s="95"/>
      <c r="L17" s="21"/>
      <c r="Q17" s="20"/>
    </row>
    <row r="18" spans="1:17">
      <c r="A18" s="188" t="s">
        <v>125</v>
      </c>
      <c r="B18" s="113">
        <v>100000</v>
      </c>
      <c r="C18" s="20"/>
      <c r="F18" s="20"/>
      <c r="G18" s="20"/>
      <c r="H18" s="23"/>
      <c r="L18" s="21"/>
      <c r="Q18" s="20"/>
    </row>
    <row r="19" spans="1:17">
      <c r="A19" s="42" t="s">
        <v>23</v>
      </c>
      <c r="B19" s="39"/>
      <c r="C19" s="20"/>
      <c r="F19" s="20"/>
      <c r="G19" s="20"/>
      <c r="H19" s="23"/>
      <c r="L19" s="21"/>
      <c r="Q19" s="20"/>
    </row>
    <row r="20" spans="1:17">
      <c r="A20" s="36" t="s">
        <v>7</v>
      </c>
      <c r="B20" s="113">
        <v>20</v>
      </c>
      <c r="C20" s="20"/>
      <c r="H20" s="23"/>
      <c r="L20" s="21"/>
      <c r="Q20" s="20"/>
    </row>
    <row r="21" spans="1:17">
      <c r="A21" s="36" t="s">
        <v>84</v>
      </c>
      <c r="B21" s="113">
        <v>500</v>
      </c>
      <c r="C21" s="20"/>
      <c r="F21" s="19"/>
      <c r="I21" s="20"/>
    </row>
    <row r="22" spans="1:17">
      <c r="A22" s="36" t="s">
        <v>88</v>
      </c>
      <c r="B22" s="113">
        <v>10</v>
      </c>
      <c r="C22" s="20"/>
      <c r="F22" s="19"/>
      <c r="I22" s="20"/>
    </row>
    <row r="23" spans="1:17">
      <c r="A23" s="36" t="s">
        <v>85</v>
      </c>
      <c r="B23" s="113">
        <v>500</v>
      </c>
      <c r="C23" s="20"/>
      <c r="F23" s="19"/>
      <c r="I23" s="20"/>
    </row>
    <row r="24" spans="1:17">
      <c r="A24" s="36" t="s">
        <v>89</v>
      </c>
      <c r="B24" s="113">
        <v>10</v>
      </c>
      <c r="C24" s="20"/>
      <c r="D24" s="21"/>
      <c r="F24" s="19"/>
      <c r="I24" s="20"/>
    </row>
    <row r="25" spans="1:17">
      <c r="A25" s="25"/>
      <c r="B25" s="25"/>
      <c r="C25" s="20"/>
      <c r="D25" s="21"/>
      <c r="F25" s="19"/>
      <c r="I25" s="20"/>
    </row>
    <row r="26" spans="1:17">
      <c r="A26" s="146" t="s">
        <v>14</v>
      </c>
      <c r="B26" s="147"/>
      <c r="C26" s="20"/>
      <c r="D26" s="21"/>
      <c r="F26" s="19"/>
      <c r="I26" s="20"/>
    </row>
    <row r="27" spans="1:17">
      <c r="A27" s="145" t="s">
        <v>50</v>
      </c>
      <c r="B27" s="151">
        <v>0</v>
      </c>
      <c r="C27" s="20"/>
      <c r="D27" s="21"/>
      <c r="F27" s="19"/>
      <c r="I27" s="20"/>
    </row>
    <row r="28" spans="1:17">
      <c r="A28" s="145" t="s">
        <v>51</v>
      </c>
      <c r="B28" s="152">
        <v>0</v>
      </c>
      <c r="C28" s="20"/>
      <c r="D28" s="21"/>
      <c r="F28" s="19"/>
      <c r="I28" s="20"/>
    </row>
    <row r="29" spans="1:17">
      <c r="A29" s="145" t="s">
        <v>52</v>
      </c>
      <c r="B29" s="151">
        <v>0</v>
      </c>
      <c r="C29" s="20"/>
      <c r="D29" s="21"/>
      <c r="F29" s="19"/>
      <c r="I29" s="20"/>
    </row>
    <row r="30" spans="1:17" s="20" customFormat="1">
      <c r="A30" s="148"/>
      <c r="B30" s="125"/>
      <c r="L30" s="19"/>
    </row>
    <row r="31" spans="1:17" s="20" customFormat="1">
      <c r="A31" s="33" t="s">
        <v>15</v>
      </c>
      <c r="B31" s="34"/>
      <c r="L31" s="19"/>
    </row>
    <row r="32" spans="1:17" s="20" customFormat="1">
      <c r="A32" s="31" t="s">
        <v>53</v>
      </c>
      <c r="B32" s="109">
        <v>25</v>
      </c>
      <c r="L32" s="19"/>
    </row>
    <row r="33" spans="1:14" s="20" customFormat="1">
      <c r="A33" s="31" t="s">
        <v>147</v>
      </c>
      <c r="B33" s="107">
        <v>2.5</v>
      </c>
      <c r="L33" s="19"/>
    </row>
    <row r="34" spans="1:14" s="20" customFormat="1">
      <c r="A34" s="31" t="s">
        <v>112</v>
      </c>
      <c r="B34" s="196">
        <v>3.0125000000000002</v>
      </c>
      <c r="L34" s="19"/>
      <c r="M34" s="19"/>
      <c r="N34" s="19"/>
    </row>
    <row r="35" spans="1:14" s="20" customFormat="1">
      <c r="A35" s="31" t="s">
        <v>54</v>
      </c>
      <c r="B35" s="196">
        <v>9.4700000000000006</v>
      </c>
    </row>
    <row r="36" spans="1:14" s="20" customFormat="1">
      <c r="A36" s="43"/>
    </row>
    <row r="37" spans="1:14" s="20" customFormat="1">
      <c r="A37" s="33" t="s">
        <v>13</v>
      </c>
      <c r="B37" s="34"/>
    </row>
    <row r="38" spans="1:14" s="20" customFormat="1">
      <c r="A38" s="31" t="s">
        <v>56</v>
      </c>
      <c r="B38" s="107">
        <v>37</v>
      </c>
    </row>
    <row r="39" spans="1:14" s="20" customFormat="1">
      <c r="C39" s="26"/>
    </row>
    <row r="40" spans="1:14" s="20" customFormat="1">
      <c r="A40" s="121" t="s">
        <v>118</v>
      </c>
      <c r="B40" s="122"/>
      <c r="C40" s="122"/>
      <c r="D40" s="177"/>
    </row>
    <row r="41" spans="1:14" s="20" customFormat="1">
      <c r="A41" s="119" t="s">
        <v>47</v>
      </c>
      <c r="B41" s="120"/>
      <c r="D41" s="179" t="s">
        <v>79</v>
      </c>
      <c r="E41" s="90"/>
    </row>
    <row r="42" spans="1:14" s="20" customFormat="1">
      <c r="A42" s="38" t="s">
        <v>18</v>
      </c>
      <c r="B42" s="89" t="s">
        <v>2</v>
      </c>
      <c r="C42" s="89" t="s">
        <v>6</v>
      </c>
      <c r="D42" s="123" t="s">
        <v>1</v>
      </c>
    </row>
    <row r="43" spans="1:14" s="20" customFormat="1">
      <c r="A43" s="51" t="s">
        <v>1</v>
      </c>
      <c r="B43" s="109">
        <v>30</v>
      </c>
      <c r="C43" s="117">
        <v>9.9999999999999998E+37</v>
      </c>
      <c r="D43" s="92" t="s">
        <v>58</v>
      </c>
      <c r="E43" s="28"/>
      <c r="G43" s="50"/>
      <c r="M43" s="50"/>
    </row>
    <row r="44" spans="1:14" s="20" customFormat="1">
      <c r="A44" s="18"/>
      <c r="B44" s="19"/>
      <c r="C44" s="18"/>
      <c r="D44" s="19"/>
      <c r="E44" s="19"/>
      <c r="F44" s="50"/>
    </row>
    <row r="45" spans="1:14" s="20" customFormat="1">
      <c r="A45" s="45" t="s">
        <v>119</v>
      </c>
      <c r="B45" s="53"/>
      <c r="C45" s="53"/>
      <c r="D45" s="53"/>
      <c r="E45" s="177"/>
    </row>
    <row r="46" spans="1:14" s="20" customFormat="1">
      <c r="A46" s="86" t="s">
        <v>43</v>
      </c>
      <c r="B46" s="55"/>
      <c r="C46" s="56"/>
      <c r="D46" s="118" t="s">
        <v>48</v>
      </c>
      <c r="E46" s="178" t="s">
        <v>79</v>
      </c>
    </row>
    <row r="47" spans="1:14" s="20" customFormat="1">
      <c r="A47" s="36" t="s">
        <v>18</v>
      </c>
      <c r="B47" s="30" t="s">
        <v>2</v>
      </c>
      <c r="C47" s="85" t="s">
        <v>46</v>
      </c>
      <c r="D47" s="88" t="s">
        <v>1</v>
      </c>
      <c r="E47" s="41" t="s">
        <v>1</v>
      </c>
    </row>
    <row r="48" spans="1:14" s="20" customFormat="1">
      <c r="A48" s="37" t="s">
        <v>41</v>
      </c>
      <c r="B48" s="108">
        <v>0</v>
      </c>
      <c r="C48" s="117">
        <v>9.9999999999999998E+37</v>
      </c>
      <c r="D48" s="44" t="s">
        <v>59</v>
      </c>
      <c r="E48" s="92" t="s">
        <v>58</v>
      </c>
    </row>
    <row r="49" spans="1:15" ht="12.75" customHeight="1" thickBot="1">
      <c r="A49" s="37" t="s">
        <v>42</v>
      </c>
      <c r="B49" s="108">
        <v>0</v>
      </c>
      <c r="C49" s="117">
        <v>9.9999999999999998E+37</v>
      </c>
      <c r="D49" s="44" t="s">
        <v>59</v>
      </c>
      <c r="E49" s="92" t="s">
        <v>58</v>
      </c>
      <c r="F49" s="20"/>
      <c r="G49" s="26"/>
      <c r="M49" s="24"/>
    </row>
    <row r="50" spans="1:15" ht="12.75" customHeight="1">
      <c r="A50" s="87" t="s">
        <v>44</v>
      </c>
      <c r="B50" s="32" t="s">
        <v>45</v>
      </c>
      <c r="C50" s="85" t="s">
        <v>46</v>
      </c>
      <c r="D50" s="106"/>
      <c r="E50" s="106"/>
      <c r="F50" s="24"/>
      <c r="G50" s="23"/>
      <c r="M50" s="50"/>
    </row>
    <row r="51" spans="1:15" ht="12.75" customHeight="1">
      <c r="A51" s="37" t="s">
        <v>19</v>
      </c>
      <c r="B51" s="109">
        <v>0</v>
      </c>
      <c r="C51" s="117">
        <v>9.9999999999999998E+37</v>
      </c>
      <c r="D51" s="44" t="s">
        <v>59</v>
      </c>
      <c r="E51" s="92" t="s">
        <v>59</v>
      </c>
      <c r="F51" s="50"/>
      <c r="G51" s="23"/>
      <c r="M51" s="50"/>
    </row>
    <row r="52" spans="1:15" ht="12.75" customHeight="1">
      <c r="A52" s="37" t="s">
        <v>20</v>
      </c>
      <c r="B52" s="109">
        <v>0</v>
      </c>
      <c r="C52" s="117">
        <v>9.9999999999999998E+37</v>
      </c>
      <c r="D52" s="44" t="s">
        <v>59</v>
      </c>
      <c r="E52" s="92" t="s">
        <v>58</v>
      </c>
      <c r="F52" s="50"/>
      <c r="G52" s="23"/>
      <c r="M52" s="50"/>
    </row>
    <row r="53" spans="1:15" ht="12.75" customHeight="1">
      <c r="A53" s="37" t="s">
        <v>21</v>
      </c>
      <c r="B53" s="109">
        <v>0</v>
      </c>
      <c r="C53" s="168">
        <v>9.9999999999999998E+37</v>
      </c>
      <c r="D53" s="169" t="s">
        <v>59</v>
      </c>
      <c r="E53" s="170" t="s">
        <v>58</v>
      </c>
      <c r="F53" s="50"/>
      <c r="G53" s="50"/>
    </row>
    <row r="54" spans="1:15" ht="12.75" customHeight="1">
      <c r="A54" s="87" t="s">
        <v>102</v>
      </c>
      <c r="B54" s="32" t="s">
        <v>104</v>
      </c>
      <c r="C54" s="171" t="s">
        <v>105</v>
      </c>
      <c r="D54" s="174" t="s">
        <v>106</v>
      </c>
      <c r="E54" s="174" t="s">
        <v>107</v>
      </c>
      <c r="F54" s="175" t="s">
        <v>109</v>
      </c>
      <c r="G54" s="50"/>
    </row>
    <row r="55" spans="1:15" ht="12.75" customHeight="1">
      <c r="A55" s="37" t="s">
        <v>103</v>
      </c>
      <c r="B55" s="109">
        <v>0</v>
      </c>
      <c r="C55" s="172">
        <v>9.9999999999999998E+37</v>
      </c>
      <c r="D55" s="171" t="s">
        <v>58</v>
      </c>
      <c r="E55" s="173">
        <v>10</v>
      </c>
      <c r="F55" s="176">
        <v>9.9999999999999998E+37</v>
      </c>
      <c r="G55" s="50"/>
    </row>
    <row r="56" spans="1:15" ht="12.75" customHeight="1">
      <c r="A56" s="182"/>
      <c r="B56" s="183"/>
      <c r="C56" s="184"/>
      <c r="D56" s="185"/>
      <c r="E56" s="186"/>
      <c r="F56" s="187"/>
      <c r="G56" s="50"/>
    </row>
    <row r="57" spans="1:15" ht="12.75" customHeight="1">
      <c r="A57" s="121" t="s">
        <v>122</v>
      </c>
      <c r="B57" s="122"/>
      <c r="C57" s="122"/>
      <c r="D57" s="177"/>
      <c r="E57" s="20"/>
      <c r="F57" s="187"/>
      <c r="G57" s="50"/>
    </row>
    <row r="58" spans="1:15" ht="12.75" customHeight="1">
      <c r="A58" s="119" t="s">
        <v>47</v>
      </c>
      <c r="B58" s="120"/>
      <c r="C58" s="20"/>
      <c r="D58" s="179" t="s">
        <v>79</v>
      </c>
      <c r="E58" s="90"/>
      <c r="F58" s="187"/>
      <c r="G58" s="50"/>
    </row>
    <row r="59" spans="1:15" ht="12.75" customHeight="1">
      <c r="A59" s="38" t="s">
        <v>18</v>
      </c>
      <c r="B59" s="89" t="s">
        <v>2</v>
      </c>
      <c r="C59" s="89" t="s">
        <v>6</v>
      </c>
      <c r="D59" s="123" t="s">
        <v>1</v>
      </c>
      <c r="E59" s="20"/>
      <c r="F59" s="187"/>
      <c r="G59" s="50"/>
    </row>
    <row r="60" spans="1:15" ht="12.75" customHeight="1">
      <c r="A60" s="51" t="s">
        <v>1</v>
      </c>
      <c r="B60" s="109">
        <v>30</v>
      </c>
      <c r="C60" s="117">
        <v>9.9999999999999998E+37</v>
      </c>
      <c r="D60" s="92" t="s">
        <v>58</v>
      </c>
      <c r="E60" s="28"/>
      <c r="F60" s="187"/>
      <c r="G60" s="50"/>
    </row>
    <row r="61" spans="1:15" ht="12.75" customHeight="1">
      <c r="F61" s="187"/>
      <c r="G61" s="189" t="s">
        <v>138</v>
      </c>
      <c r="H61" s="190"/>
      <c r="I61" s="190"/>
      <c r="J61" s="190"/>
      <c r="K61" s="191"/>
      <c r="L61" s="191"/>
      <c r="M61" s="191"/>
      <c r="N61" s="191"/>
      <c r="O61" s="191"/>
    </row>
    <row r="62" spans="1:15" ht="12.75" customHeight="1">
      <c r="A62" s="45" t="s">
        <v>144</v>
      </c>
      <c r="B62" s="53"/>
      <c r="C62" s="53"/>
      <c r="D62" s="53"/>
      <c r="E62" s="177"/>
      <c r="F62" s="187"/>
      <c r="G62" s="192" t="s">
        <v>141</v>
      </c>
      <c r="H62" s="193">
        <v>1</v>
      </c>
      <c r="I62" s="193">
        <v>2</v>
      </c>
      <c r="J62" s="193">
        <v>3</v>
      </c>
      <c r="K62" s="193">
        <v>4</v>
      </c>
      <c r="L62" s="193">
        <v>5</v>
      </c>
      <c r="M62" s="193">
        <v>6</v>
      </c>
      <c r="N62" s="193">
        <v>7</v>
      </c>
      <c r="O62" s="193">
        <v>8</v>
      </c>
    </row>
    <row r="63" spans="1:15" ht="12.75" customHeight="1">
      <c r="A63" s="86" t="s">
        <v>43</v>
      </c>
      <c r="B63" s="55"/>
      <c r="C63" s="56"/>
      <c r="D63" s="118" t="s">
        <v>48</v>
      </c>
      <c r="E63" s="178" t="s">
        <v>79</v>
      </c>
      <c r="F63" s="187"/>
      <c r="G63" s="194" t="s">
        <v>139</v>
      </c>
      <c r="H63" s="195">
        <v>0.2</v>
      </c>
      <c r="I63" s="195">
        <v>0.32</v>
      </c>
      <c r="J63" s="195">
        <v>0.192</v>
      </c>
      <c r="K63" s="195">
        <v>0.1152</v>
      </c>
      <c r="L63" s="195">
        <v>0.1152</v>
      </c>
      <c r="M63" s="195">
        <v>5.7599999999999998E-2</v>
      </c>
      <c r="N63" s="193">
        <v>0</v>
      </c>
      <c r="O63" s="193">
        <v>0</v>
      </c>
    </row>
    <row r="64" spans="1:15" ht="12.75" customHeight="1">
      <c r="A64" s="36" t="s">
        <v>18</v>
      </c>
      <c r="B64" s="30" t="s">
        <v>2</v>
      </c>
      <c r="C64" s="85" t="s">
        <v>46</v>
      </c>
      <c r="D64" s="88" t="s">
        <v>1</v>
      </c>
      <c r="E64" s="41" t="s">
        <v>1</v>
      </c>
      <c r="F64" s="187"/>
      <c r="G64" s="194" t="s">
        <v>140</v>
      </c>
      <c r="H64" s="193">
        <v>0.1429</v>
      </c>
      <c r="I64" s="193">
        <v>0.24490000000000001</v>
      </c>
      <c r="J64" s="193">
        <v>0.1749</v>
      </c>
      <c r="K64" s="193">
        <v>0.1249</v>
      </c>
      <c r="L64" s="193">
        <v>8.9300000000000004E-2</v>
      </c>
      <c r="M64" s="193">
        <v>8.9200000000000002E-2</v>
      </c>
      <c r="N64" s="193">
        <v>8.9300000000000004E-2</v>
      </c>
      <c r="O64" s="193">
        <v>4.4600000000000001E-2</v>
      </c>
    </row>
    <row r="65" spans="1:102" ht="12.75" customHeight="1">
      <c r="A65" s="37" t="s">
        <v>41</v>
      </c>
      <c r="B65" s="108">
        <v>0</v>
      </c>
      <c r="C65" s="117">
        <v>9.9999999999999998E+37</v>
      </c>
      <c r="D65" s="44" t="s">
        <v>59</v>
      </c>
      <c r="E65" s="92" t="s">
        <v>59</v>
      </c>
      <c r="F65" s="187"/>
      <c r="G65" s="23"/>
      <c r="H65" s="18"/>
      <c r="I65" s="18"/>
      <c r="J65" s="18"/>
      <c r="K65" s="18"/>
      <c r="L65" s="18"/>
      <c r="M65" s="18"/>
      <c r="N65" s="18"/>
      <c r="O65" s="18"/>
    </row>
    <row r="66" spans="1:102" ht="12.75" customHeight="1" thickBot="1">
      <c r="A66" s="37" t="s">
        <v>42</v>
      </c>
      <c r="B66" s="108">
        <v>0</v>
      </c>
      <c r="C66" s="117">
        <v>9.9999999999999998E+37</v>
      </c>
      <c r="D66" s="44" t="s">
        <v>59</v>
      </c>
      <c r="E66" s="92" t="s">
        <v>59</v>
      </c>
      <c r="F66" s="187"/>
      <c r="G66" s="50"/>
    </row>
    <row r="67" spans="1:102" ht="12.75" customHeight="1">
      <c r="A67" s="87" t="s">
        <v>44</v>
      </c>
      <c r="B67" s="32" t="s">
        <v>45</v>
      </c>
      <c r="C67" s="85" t="s">
        <v>46</v>
      </c>
      <c r="D67" s="106"/>
      <c r="E67" s="106"/>
      <c r="F67" s="187"/>
      <c r="G67" s="50"/>
    </row>
    <row r="68" spans="1:102" ht="12.75" customHeight="1">
      <c r="A68" s="37" t="s">
        <v>19</v>
      </c>
      <c r="B68" s="109">
        <v>0.1</v>
      </c>
      <c r="C68" s="117">
        <v>9.9999999999999998E+37</v>
      </c>
      <c r="D68" s="44" t="s">
        <v>59</v>
      </c>
      <c r="E68" s="92" t="s">
        <v>59</v>
      </c>
      <c r="F68" s="187"/>
      <c r="G68" s="50"/>
    </row>
    <row r="69" spans="1:102" ht="12.75" customHeight="1">
      <c r="A69" s="37" t="s">
        <v>20</v>
      </c>
      <c r="B69" s="109">
        <v>0</v>
      </c>
      <c r="C69" s="117">
        <v>9.9999999999999998E+37</v>
      </c>
      <c r="D69" s="44" t="s">
        <v>59</v>
      </c>
      <c r="E69" s="92" t="s">
        <v>59</v>
      </c>
      <c r="F69" s="187"/>
      <c r="H69" s="18"/>
      <c r="J69" s="18"/>
      <c r="M69" s="18"/>
    </row>
    <row r="70" spans="1:102" ht="12.75" customHeight="1">
      <c r="A70" s="37" t="s">
        <v>21</v>
      </c>
      <c r="B70" s="109">
        <v>0</v>
      </c>
      <c r="C70" s="117">
        <v>9.9999999999999998E+37</v>
      </c>
      <c r="D70" s="44" t="s">
        <v>59</v>
      </c>
      <c r="E70" s="92" t="s">
        <v>59</v>
      </c>
      <c r="H70" s="18"/>
      <c r="J70" s="18"/>
      <c r="M70" s="18"/>
    </row>
    <row r="71" spans="1:102" ht="12.75" customHeight="1">
      <c r="H71" s="18"/>
      <c r="K71" s="18"/>
    </row>
    <row r="72" spans="1:102" ht="12.75" customHeight="1">
      <c r="A72" s="45" t="s">
        <v>28</v>
      </c>
      <c r="B72" s="34" t="s">
        <v>120</v>
      </c>
      <c r="C72" s="34" t="s">
        <v>121</v>
      </c>
      <c r="H72" s="18"/>
      <c r="K72" s="18"/>
    </row>
    <row r="73" spans="1:102" ht="12.75" customHeight="1">
      <c r="A73" s="54" t="s">
        <v>137</v>
      </c>
      <c r="B73" s="52">
        <v>5</v>
      </c>
      <c r="C73" s="52">
        <v>5</v>
      </c>
      <c r="H73" s="18"/>
      <c r="K73" s="18"/>
    </row>
    <row r="74" spans="1:102" ht="12.75" customHeight="1">
      <c r="A74" s="166" t="s">
        <v>100</v>
      </c>
      <c r="B74" s="167">
        <v>0.5</v>
      </c>
      <c r="C74" s="167">
        <v>0.5</v>
      </c>
      <c r="H74" s="50"/>
      <c r="I74" s="23"/>
      <c r="J74" s="23"/>
      <c r="K74" s="26"/>
      <c r="L74" s="24"/>
    </row>
    <row r="75" spans="1:102" ht="12.75" customHeight="1">
      <c r="A75" s="127" t="s">
        <v>35</v>
      </c>
      <c r="B75" s="128">
        <v>0</v>
      </c>
      <c r="C75" s="128">
        <v>1</v>
      </c>
      <c r="D75" s="128">
        <v>2</v>
      </c>
      <c r="E75" s="128">
        <v>3</v>
      </c>
      <c r="F75" s="128">
        <v>4</v>
      </c>
      <c r="G75" s="128">
        <v>5</v>
      </c>
      <c r="H75" s="128">
        <v>6</v>
      </c>
      <c r="I75" s="128">
        <v>7</v>
      </c>
      <c r="J75" s="128">
        <v>8</v>
      </c>
      <c r="K75" s="128">
        <v>9</v>
      </c>
      <c r="L75" s="128">
        <v>10</v>
      </c>
      <c r="M75" s="128">
        <v>11</v>
      </c>
      <c r="N75" s="128">
        <v>12</v>
      </c>
      <c r="O75" s="128">
        <v>13</v>
      </c>
      <c r="P75" s="128">
        <v>14</v>
      </c>
      <c r="Q75" s="128">
        <v>15</v>
      </c>
      <c r="R75" s="128">
        <v>16</v>
      </c>
      <c r="S75" s="128">
        <v>17</v>
      </c>
      <c r="T75" s="128">
        <v>18</v>
      </c>
      <c r="U75" s="128">
        <v>19</v>
      </c>
      <c r="V75" s="128">
        <v>20</v>
      </c>
      <c r="W75" s="128">
        <v>21</v>
      </c>
      <c r="X75" s="128">
        <v>22</v>
      </c>
      <c r="Y75" s="128">
        <v>23</v>
      </c>
      <c r="Z75" s="128">
        <v>24</v>
      </c>
      <c r="AA75" s="128">
        <v>25</v>
      </c>
      <c r="AB75" s="128">
        <v>26</v>
      </c>
      <c r="AC75" s="128">
        <v>27</v>
      </c>
      <c r="AD75" s="128">
        <v>28</v>
      </c>
      <c r="AE75" s="128">
        <v>29</v>
      </c>
      <c r="AF75" s="128">
        <v>30</v>
      </c>
      <c r="AG75" s="128">
        <v>31</v>
      </c>
      <c r="AH75" s="128">
        <v>32</v>
      </c>
      <c r="AI75" s="128">
        <v>33</v>
      </c>
      <c r="AJ75" s="128">
        <v>34</v>
      </c>
      <c r="AK75" s="128">
        <v>35</v>
      </c>
      <c r="AL75" s="128">
        <v>36</v>
      </c>
      <c r="AM75" s="128">
        <v>37</v>
      </c>
      <c r="AN75" s="128">
        <v>38</v>
      </c>
      <c r="AO75" s="128">
        <v>39</v>
      </c>
      <c r="AP75" s="128">
        <v>40</v>
      </c>
      <c r="AQ75" s="128">
        <v>41</v>
      </c>
      <c r="AR75" s="128">
        <v>42</v>
      </c>
      <c r="AS75" s="128">
        <v>43</v>
      </c>
      <c r="AT75" s="128">
        <v>44</v>
      </c>
      <c r="AU75" s="128">
        <v>45</v>
      </c>
      <c r="AV75" s="128">
        <v>46</v>
      </c>
      <c r="AW75" s="128">
        <v>47</v>
      </c>
      <c r="AX75" s="128">
        <v>48</v>
      </c>
      <c r="AY75" s="128">
        <v>49</v>
      </c>
      <c r="AZ75" s="128">
        <v>50</v>
      </c>
      <c r="BA75" s="128">
        <v>51</v>
      </c>
      <c r="BB75" s="128">
        <v>52</v>
      </c>
      <c r="BC75" s="128">
        <v>53</v>
      </c>
      <c r="BD75" s="128">
        <v>54</v>
      </c>
      <c r="BE75" s="128">
        <v>55</v>
      </c>
      <c r="BF75" s="128">
        <v>56</v>
      </c>
      <c r="BG75" s="128">
        <v>57</v>
      </c>
      <c r="BH75" s="128">
        <v>58</v>
      </c>
      <c r="BI75" s="128">
        <v>59</v>
      </c>
      <c r="BJ75" s="128">
        <v>60</v>
      </c>
      <c r="BK75" s="128">
        <v>61</v>
      </c>
      <c r="BL75" s="128">
        <v>62</v>
      </c>
      <c r="BM75" s="128">
        <v>63</v>
      </c>
      <c r="BN75" s="128">
        <v>64</v>
      </c>
      <c r="BO75" s="128">
        <v>65</v>
      </c>
      <c r="BP75" s="128">
        <v>66</v>
      </c>
      <c r="BQ75" s="128">
        <v>67</v>
      </c>
      <c r="BR75" s="128">
        <v>68</v>
      </c>
      <c r="BS75" s="128">
        <v>69</v>
      </c>
      <c r="BT75" s="128">
        <v>70</v>
      </c>
      <c r="BU75" s="128">
        <v>71</v>
      </c>
      <c r="BV75" s="128">
        <v>72</v>
      </c>
      <c r="BW75" s="128">
        <v>73</v>
      </c>
      <c r="BX75" s="128">
        <v>74</v>
      </c>
      <c r="BY75" s="128">
        <v>75</v>
      </c>
      <c r="BZ75" s="128">
        <v>76</v>
      </c>
      <c r="CA75" s="128">
        <v>77</v>
      </c>
      <c r="CB75" s="128">
        <v>78</v>
      </c>
      <c r="CC75" s="128">
        <v>79</v>
      </c>
      <c r="CD75" s="128">
        <v>80</v>
      </c>
      <c r="CE75" s="128">
        <v>81</v>
      </c>
      <c r="CF75" s="128">
        <v>82</v>
      </c>
      <c r="CG75" s="128">
        <v>83</v>
      </c>
      <c r="CH75" s="128">
        <v>84</v>
      </c>
      <c r="CI75" s="128">
        <v>85</v>
      </c>
      <c r="CJ75" s="128">
        <v>86</v>
      </c>
      <c r="CK75" s="128">
        <v>87</v>
      </c>
      <c r="CL75" s="128">
        <v>88</v>
      </c>
      <c r="CM75" s="128">
        <v>89</v>
      </c>
      <c r="CN75" s="128">
        <v>90</v>
      </c>
      <c r="CO75" s="128">
        <v>91</v>
      </c>
      <c r="CP75" s="128">
        <v>92</v>
      </c>
      <c r="CQ75" s="128">
        <v>93</v>
      </c>
      <c r="CR75" s="128">
        <v>94</v>
      </c>
      <c r="CS75" s="128">
        <v>95</v>
      </c>
      <c r="CT75" s="128">
        <v>96</v>
      </c>
      <c r="CU75" s="128">
        <v>97</v>
      </c>
      <c r="CV75" s="128">
        <v>98</v>
      </c>
      <c r="CW75" s="128">
        <v>99</v>
      </c>
      <c r="CX75" s="128">
        <v>100</v>
      </c>
    </row>
    <row r="76" spans="1:102" ht="12.75" customHeight="1">
      <c r="A76" s="126" t="s">
        <v>49</v>
      </c>
      <c r="B76" s="129">
        <v>0</v>
      </c>
      <c r="C76" s="156">
        <f>B13</f>
        <v>411626</v>
      </c>
      <c r="D76" s="164">
        <f>IF(ISNUMBER(outYear),C76*(1-pv_degradation_rate/100),"")</f>
        <v>409567.87</v>
      </c>
      <c r="E76" s="164">
        <f t="shared" ref="E76:AI76" si="0">IF(ISNUMBER(outYear),D76*(1-pv_degradation_rate/100),"")</f>
        <v>407520.03064999997</v>
      </c>
      <c r="F76" s="164">
        <f t="shared" si="0"/>
        <v>405482.43049674999</v>
      </c>
      <c r="G76" s="164">
        <f>IF(ISNUMBER(outYear),F76*(1-pv_degradation_rate/100),"")</f>
        <v>403455.01834426622</v>
      </c>
      <c r="H76" s="164">
        <f t="shared" si="0"/>
        <v>401437.7432525449</v>
      </c>
      <c r="I76" s="164">
        <f t="shared" si="0"/>
        <v>399430.55453628214</v>
      </c>
      <c r="J76" s="164">
        <f t="shared" si="0"/>
        <v>397433.4017636007</v>
      </c>
      <c r="K76" s="164">
        <f t="shared" si="0"/>
        <v>395446.23475478269</v>
      </c>
      <c r="L76" s="164">
        <f t="shared" si="0"/>
        <v>393469.00358100876</v>
      </c>
      <c r="M76" s="164">
        <f t="shared" si="0"/>
        <v>391501.6585631037</v>
      </c>
      <c r="N76" s="164">
        <f t="shared" si="0"/>
        <v>389544.15027028817</v>
      </c>
      <c r="O76" s="164">
        <f t="shared" si="0"/>
        <v>387596.42951893673</v>
      </c>
      <c r="P76" s="164">
        <f t="shared" si="0"/>
        <v>385658.44737134204</v>
      </c>
      <c r="Q76" s="164">
        <f t="shared" si="0"/>
        <v>383730.15513448534</v>
      </c>
      <c r="R76" s="164">
        <f t="shared" si="0"/>
        <v>381811.50435881293</v>
      </c>
      <c r="S76" s="164">
        <f t="shared" si="0"/>
        <v>379902.44683701888</v>
      </c>
      <c r="T76" s="164">
        <f t="shared" si="0"/>
        <v>378002.93460283376</v>
      </c>
      <c r="U76" s="164">
        <f t="shared" si="0"/>
        <v>376112.91992981959</v>
      </c>
      <c r="V76" s="164">
        <f t="shared" si="0"/>
        <v>374232.35533017048</v>
      </c>
      <c r="W76" s="164">
        <f t="shared" si="0"/>
        <v>372361.19355351961</v>
      </c>
      <c r="X76" s="164">
        <f t="shared" si="0"/>
        <v>370499.387585752</v>
      </c>
      <c r="Y76" s="164">
        <f t="shared" si="0"/>
        <v>368646.89064782322</v>
      </c>
      <c r="Z76" s="164">
        <f t="shared" si="0"/>
        <v>366803.65619458409</v>
      </c>
      <c r="AA76" s="164">
        <f t="shared" si="0"/>
        <v>364969.63791361119</v>
      </c>
      <c r="AB76" s="164" t="str">
        <f t="shared" si="0"/>
        <v/>
      </c>
      <c r="AC76" s="164" t="str">
        <f t="shared" si="0"/>
        <v/>
      </c>
      <c r="AD76" s="164" t="str">
        <f t="shared" si="0"/>
        <v/>
      </c>
      <c r="AE76" s="164" t="str">
        <f t="shared" si="0"/>
        <v/>
      </c>
      <c r="AF76" s="164" t="str">
        <f t="shared" si="0"/>
        <v/>
      </c>
      <c r="AG76" s="164" t="str">
        <f t="shared" si="0"/>
        <v/>
      </c>
      <c r="AH76" s="164" t="str">
        <f t="shared" si="0"/>
        <v/>
      </c>
      <c r="AI76" s="164" t="str">
        <f t="shared" si="0"/>
        <v/>
      </c>
      <c r="AJ76" s="164" t="str">
        <f t="shared" ref="AJ76:BO76" si="1">IF(ISNUMBER(outYear),AI76*(1-pv_degradation_rate/100),"")</f>
        <v/>
      </c>
      <c r="AK76" s="164" t="str">
        <f t="shared" si="1"/>
        <v/>
      </c>
      <c r="AL76" s="164" t="str">
        <f t="shared" si="1"/>
        <v/>
      </c>
      <c r="AM76" s="164" t="str">
        <f t="shared" si="1"/>
        <v/>
      </c>
      <c r="AN76" s="164" t="str">
        <f t="shared" si="1"/>
        <v/>
      </c>
      <c r="AO76" s="164" t="str">
        <f t="shared" si="1"/>
        <v/>
      </c>
      <c r="AP76" s="164" t="str">
        <f t="shared" si="1"/>
        <v/>
      </c>
      <c r="AQ76" s="164" t="str">
        <f t="shared" si="1"/>
        <v/>
      </c>
      <c r="AR76" s="164" t="str">
        <f t="shared" si="1"/>
        <v/>
      </c>
      <c r="AS76" s="164" t="str">
        <f t="shared" si="1"/>
        <v/>
      </c>
      <c r="AT76" s="164" t="str">
        <f t="shared" si="1"/>
        <v/>
      </c>
      <c r="AU76" s="164" t="str">
        <f t="shared" si="1"/>
        <v/>
      </c>
      <c r="AV76" s="164" t="str">
        <f t="shared" si="1"/>
        <v/>
      </c>
      <c r="AW76" s="164" t="str">
        <f t="shared" si="1"/>
        <v/>
      </c>
      <c r="AX76" s="164" t="str">
        <f t="shared" si="1"/>
        <v/>
      </c>
      <c r="AY76" s="164" t="str">
        <f t="shared" si="1"/>
        <v/>
      </c>
      <c r="AZ76" s="164" t="str">
        <f t="shared" si="1"/>
        <v/>
      </c>
      <c r="BA76" s="164" t="str">
        <f t="shared" si="1"/>
        <v/>
      </c>
      <c r="BB76" s="164" t="str">
        <f t="shared" si="1"/>
        <v/>
      </c>
      <c r="BC76" s="164" t="str">
        <f t="shared" si="1"/>
        <v/>
      </c>
      <c r="BD76" s="164" t="str">
        <f t="shared" si="1"/>
        <v/>
      </c>
      <c r="BE76" s="164" t="str">
        <f t="shared" si="1"/>
        <v/>
      </c>
      <c r="BF76" s="164" t="str">
        <f t="shared" si="1"/>
        <v/>
      </c>
      <c r="BG76" s="164" t="str">
        <f t="shared" si="1"/>
        <v/>
      </c>
      <c r="BH76" s="164" t="str">
        <f t="shared" si="1"/>
        <v/>
      </c>
      <c r="BI76" s="164" t="str">
        <f t="shared" si="1"/>
        <v/>
      </c>
      <c r="BJ76" s="164" t="str">
        <f t="shared" si="1"/>
        <v/>
      </c>
      <c r="BK76" s="164" t="str">
        <f t="shared" si="1"/>
        <v/>
      </c>
      <c r="BL76" s="164" t="str">
        <f t="shared" si="1"/>
        <v/>
      </c>
      <c r="BM76" s="164" t="str">
        <f t="shared" si="1"/>
        <v/>
      </c>
      <c r="BN76" s="164" t="str">
        <f t="shared" si="1"/>
        <v/>
      </c>
      <c r="BO76" s="164" t="str">
        <f t="shared" si="1"/>
        <v/>
      </c>
      <c r="BP76" s="164" t="str">
        <f t="shared" ref="BP76:CX76" si="2">IF(ISNUMBER(outYear),BO76*(1-pv_degradation_rate/100),"")</f>
        <v/>
      </c>
      <c r="BQ76" s="164" t="str">
        <f t="shared" si="2"/>
        <v/>
      </c>
      <c r="BR76" s="164" t="str">
        <f t="shared" si="2"/>
        <v/>
      </c>
      <c r="BS76" s="164" t="str">
        <f t="shared" si="2"/>
        <v/>
      </c>
      <c r="BT76" s="164" t="str">
        <f t="shared" si="2"/>
        <v/>
      </c>
      <c r="BU76" s="164" t="str">
        <f t="shared" si="2"/>
        <v/>
      </c>
      <c r="BV76" s="164" t="str">
        <f t="shared" si="2"/>
        <v/>
      </c>
      <c r="BW76" s="164" t="str">
        <f t="shared" si="2"/>
        <v/>
      </c>
      <c r="BX76" s="164" t="str">
        <f t="shared" si="2"/>
        <v/>
      </c>
      <c r="BY76" s="164" t="str">
        <f t="shared" si="2"/>
        <v/>
      </c>
      <c r="BZ76" s="164" t="str">
        <f t="shared" si="2"/>
        <v/>
      </c>
      <c r="CA76" s="164" t="str">
        <f t="shared" si="2"/>
        <v/>
      </c>
      <c r="CB76" s="164" t="str">
        <f t="shared" si="2"/>
        <v/>
      </c>
      <c r="CC76" s="164" t="str">
        <f t="shared" si="2"/>
        <v/>
      </c>
      <c r="CD76" s="164" t="str">
        <f t="shared" si="2"/>
        <v/>
      </c>
      <c r="CE76" s="164" t="str">
        <f t="shared" si="2"/>
        <v/>
      </c>
      <c r="CF76" s="164" t="str">
        <f t="shared" si="2"/>
        <v/>
      </c>
      <c r="CG76" s="164" t="str">
        <f t="shared" si="2"/>
        <v/>
      </c>
      <c r="CH76" s="164" t="str">
        <f t="shared" si="2"/>
        <v/>
      </c>
      <c r="CI76" s="164" t="str">
        <f t="shared" si="2"/>
        <v/>
      </c>
      <c r="CJ76" s="164" t="str">
        <f t="shared" si="2"/>
        <v/>
      </c>
      <c r="CK76" s="164" t="str">
        <f t="shared" si="2"/>
        <v/>
      </c>
      <c r="CL76" s="164" t="str">
        <f t="shared" si="2"/>
        <v/>
      </c>
      <c r="CM76" s="164" t="str">
        <f t="shared" si="2"/>
        <v/>
      </c>
      <c r="CN76" s="164" t="str">
        <f t="shared" si="2"/>
        <v/>
      </c>
      <c r="CO76" s="164" t="str">
        <f t="shared" si="2"/>
        <v/>
      </c>
      <c r="CP76" s="164" t="str">
        <f t="shared" si="2"/>
        <v/>
      </c>
      <c r="CQ76" s="164" t="str">
        <f t="shared" si="2"/>
        <v/>
      </c>
      <c r="CR76" s="164" t="str">
        <f t="shared" si="2"/>
        <v/>
      </c>
      <c r="CS76" s="164" t="str">
        <f t="shared" si="2"/>
        <v/>
      </c>
      <c r="CT76" s="164" t="str">
        <f t="shared" si="2"/>
        <v/>
      </c>
      <c r="CU76" s="164" t="str">
        <f t="shared" si="2"/>
        <v/>
      </c>
      <c r="CV76" s="164" t="str">
        <f t="shared" si="2"/>
        <v/>
      </c>
      <c r="CW76" s="164" t="str">
        <f t="shared" si="2"/>
        <v/>
      </c>
      <c r="CX76" s="164" t="str">
        <f t="shared" si="2"/>
        <v/>
      </c>
    </row>
    <row r="77" spans="1:102" ht="12.75" customHeight="1">
      <c r="A77" s="126" t="s">
        <v>95</v>
      </c>
      <c r="B77" s="129"/>
      <c r="C77" s="156">
        <f t="shared" ref="C77:AH77" si="3">IF(ISNUMBER(outYear),$B$10*(1+escalation_rate_nominal/100)^C75,"")</f>
        <v>850914.15374999994</v>
      </c>
      <c r="D77" s="164">
        <f t="shared" si="3"/>
        <v>876547.9426317187</v>
      </c>
      <c r="E77" s="164">
        <f t="shared" si="3"/>
        <v>902953.94940349914</v>
      </c>
      <c r="F77" s="164">
        <f t="shared" si="3"/>
        <v>930155.4371292796</v>
      </c>
      <c r="G77" s="164">
        <f t="shared" si="3"/>
        <v>958176.36967279925</v>
      </c>
      <c r="H77" s="164">
        <f t="shared" si="3"/>
        <v>987041.43280919222</v>
      </c>
      <c r="I77" s="164">
        <f t="shared" si="3"/>
        <v>1016776.055972569</v>
      </c>
      <c r="J77" s="164">
        <f t="shared" si="3"/>
        <v>1047406.4346587427</v>
      </c>
      <c r="K77" s="164">
        <f t="shared" si="3"/>
        <v>1078959.5535028374</v>
      </c>
      <c r="L77" s="164">
        <f t="shared" si="3"/>
        <v>1111463.2100521103</v>
      </c>
      <c r="M77" s="164">
        <f t="shared" si="3"/>
        <v>1144946.0392549301</v>
      </c>
      <c r="N77" s="164">
        <f t="shared" si="3"/>
        <v>1179437.5386874848</v>
      </c>
      <c r="O77" s="164">
        <f t="shared" si="3"/>
        <v>1214968.0945404454</v>
      </c>
      <c r="P77" s="164">
        <f t="shared" si="3"/>
        <v>1251569.0083884762</v>
      </c>
      <c r="Q77" s="164">
        <f t="shared" si="3"/>
        <v>1289272.5247661788</v>
      </c>
      <c r="R77" s="164">
        <f t="shared" si="3"/>
        <v>1328111.8595747603</v>
      </c>
      <c r="S77" s="164">
        <f t="shared" si="3"/>
        <v>1368121.2293444497</v>
      </c>
      <c r="T77" s="164">
        <f t="shared" si="3"/>
        <v>1409335.8813784514</v>
      </c>
      <c r="U77" s="164">
        <f t="shared" si="3"/>
        <v>1451792.1248049771</v>
      </c>
      <c r="V77" s="164">
        <f t="shared" si="3"/>
        <v>1495527.3625647272</v>
      </c>
      <c r="W77" s="164">
        <f t="shared" si="3"/>
        <v>1540580.1243619896</v>
      </c>
      <c r="X77" s="164">
        <f t="shared" si="3"/>
        <v>1586990.1006083945</v>
      </c>
      <c r="Y77" s="164">
        <f t="shared" si="3"/>
        <v>1634798.177389222</v>
      </c>
      <c r="Z77" s="164">
        <f t="shared" si="3"/>
        <v>1684046.4724830724</v>
      </c>
      <c r="AA77" s="164">
        <f t="shared" si="3"/>
        <v>1734778.3724666254</v>
      </c>
      <c r="AB77" s="164" t="str">
        <f t="shared" si="3"/>
        <v/>
      </c>
      <c r="AC77" s="164" t="str">
        <f t="shared" si="3"/>
        <v/>
      </c>
      <c r="AD77" s="164" t="str">
        <f t="shared" si="3"/>
        <v/>
      </c>
      <c r="AE77" s="164" t="str">
        <f t="shared" si="3"/>
        <v/>
      </c>
      <c r="AF77" s="164" t="str">
        <f t="shared" si="3"/>
        <v/>
      </c>
      <c r="AG77" s="164" t="str">
        <f t="shared" si="3"/>
        <v/>
      </c>
      <c r="AH77" s="164" t="str">
        <f t="shared" si="3"/>
        <v/>
      </c>
      <c r="AI77" s="164" t="str">
        <f t="shared" ref="AI77:BN77" si="4">IF(ISNUMBER(outYear),$B$10*(1+escalation_rate_nominal/100)^AI75,"")</f>
        <v/>
      </c>
      <c r="AJ77" s="164" t="str">
        <f t="shared" si="4"/>
        <v/>
      </c>
      <c r="AK77" s="164" t="str">
        <f t="shared" si="4"/>
        <v/>
      </c>
      <c r="AL77" s="164" t="str">
        <f t="shared" si="4"/>
        <v/>
      </c>
      <c r="AM77" s="164" t="str">
        <f t="shared" si="4"/>
        <v/>
      </c>
      <c r="AN77" s="164" t="str">
        <f t="shared" si="4"/>
        <v/>
      </c>
      <c r="AO77" s="164" t="str">
        <f t="shared" si="4"/>
        <v/>
      </c>
      <c r="AP77" s="164" t="str">
        <f t="shared" si="4"/>
        <v/>
      </c>
      <c r="AQ77" s="164" t="str">
        <f t="shared" si="4"/>
        <v/>
      </c>
      <c r="AR77" s="164" t="str">
        <f t="shared" si="4"/>
        <v/>
      </c>
      <c r="AS77" s="164" t="str">
        <f t="shared" si="4"/>
        <v/>
      </c>
      <c r="AT77" s="164" t="str">
        <f t="shared" si="4"/>
        <v/>
      </c>
      <c r="AU77" s="164" t="str">
        <f t="shared" si="4"/>
        <v/>
      </c>
      <c r="AV77" s="164" t="str">
        <f t="shared" si="4"/>
        <v/>
      </c>
      <c r="AW77" s="164" t="str">
        <f t="shared" si="4"/>
        <v/>
      </c>
      <c r="AX77" s="164" t="str">
        <f t="shared" si="4"/>
        <v/>
      </c>
      <c r="AY77" s="164" t="str">
        <f t="shared" si="4"/>
        <v/>
      </c>
      <c r="AZ77" s="164" t="str">
        <f t="shared" si="4"/>
        <v/>
      </c>
      <c r="BA77" s="164" t="str">
        <f t="shared" si="4"/>
        <v/>
      </c>
      <c r="BB77" s="164" t="str">
        <f t="shared" si="4"/>
        <v/>
      </c>
      <c r="BC77" s="164" t="str">
        <f t="shared" si="4"/>
        <v/>
      </c>
      <c r="BD77" s="164" t="str">
        <f t="shared" si="4"/>
        <v/>
      </c>
      <c r="BE77" s="164" t="str">
        <f t="shared" si="4"/>
        <v/>
      </c>
      <c r="BF77" s="164" t="str">
        <f t="shared" si="4"/>
        <v/>
      </c>
      <c r="BG77" s="164" t="str">
        <f t="shared" si="4"/>
        <v/>
      </c>
      <c r="BH77" s="164" t="str">
        <f t="shared" si="4"/>
        <v/>
      </c>
      <c r="BI77" s="164" t="str">
        <f t="shared" si="4"/>
        <v/>
      </c>
      <c r="BJ77" s="164" t="str">
        <f t="shared" si="4"/>
        <v/>
      </c>
      <c r="BK77" s="164" t="str">
        <f t="shared" si="4"/>
        <v/>
      </c>
      <c r="BL77" s="164" t="str">
        <f t="shared" si="4"/>
        <v/>
      </c>
      <c r="BM77" s="164" t="str">
        <f t="shared" si="4"/>
        <v/>
      </c>
      <c r="BN77" s="164" t="str">
        <f t="shared" si="4"/>
        <v/>
      </c>
      <c r="BO77" s="164" t="str">
        <f t="shared" ref="BO77:CX77" si="5">IF(ISNUMBER(outYear),$B$10*(1+escalation_rate_nominal/100)^BO75,"")</f>
        <v/>
      </c>
      <c r="BP77" s="164" t="str">
        <f t="shared" si="5"/>
        <v/>
      </c>
      <c r="BQ77" s="164" t="str">
        <f t="shared" si="5"/>
        <v/>
      </c>
      <c r="BR77" s="164" t="str">
        <f t="shared" si="5"/>
        <v/>
      </c>
      <c r="BS77" s="164" t="str">
        <f t="shared" si="5"/>
        <v/>
      </c>
      <c r="BT77" s="164" t="str">
        <f t="shared" si="5"/>
        <v/>
      </c>
      <c r="BU77" s="164" t="str">
        <f t="shared" si="5"/>
        <v/>
      </c>
      <c r="BV77" s="164" t="str">
        <f t="shared" si="5"/>
        <v/>
      </c>
      <c r="BW77" s="164" t="str">
        <f t="shared" si="5"/>
        <v/>
      </c>
      <c r="BX77" s="164" t="str">
        <f t="shared" si="5"/>
        <v/>
      </c>
      <c r="BY77" s="164" t="str">
        <f t="shared" si="5"/>
        <v/>
      </c>
      <c r="BZ77" s="164" t="str">
        <f t="shared" si="5"/>
        <v/>
      </c>
      <c r="CA77" s="164" t="str">
        <f t="shared" si="5"/>
        <v/>
      </c>
      <c r="CB77" s="164" t="str">
        <f t="shared" si="5"/>
        <v/>
      </c>
      <c r="CC77" s="164" t="str">
        <f t="shared" si="5"/>
        <v/>
      </c>
      <c r="CD77" s="164" t="str">
        <f t="shared" si="5"/>
        <v/>
      </c>
      <c r="CE77" s="164" t="str">
        <f t="shared" si="5"/>
        <v/>
      </c>
      <c r="CF77" s="164" t="str">
        <f t="shared" si="5"/>
        <v/>
      </c>
      <c r="CG77" s="164" t="str">
        <f t="shared" si="5"/>
        <v/>
      </c>
      <c r="CH77" s="164" t="str">
        <f t="shared" si="5"/>
        <v/>
      </c>
      <c r="CI77" s="164" t="str">
        <f t="shared" si="5"/>
        <v/>
      </c>
      <c r="CJ77" s="164" t="str">
        <f t="shared" si="5"/>
        <v/>
      </c>
      <c r="CK77" s="164" t="str">
        <f t="shared" si="5"/>
        <v/>
      </c>
      <c r="CL77" s="164" t="str">
        <f t="shared" si="5"/>
        <v/>
      </c>
      <c r="CM77" s="164" t="str">
        <f t="shared" si="5"/>
        <v/>
      </c>
      <c r="CN77" s="164" t="str">
        <f t="shared" si="5"/>
        <v/>
      </c>
      <c r="CO77" s="164" t="str">
        <f t="shared" si="5"/>
        <v/>
      </c>
      <c r="CP77" s="164" t="str">
        <f t="shared" si="5"/>
        <v/>
      </c>
      <c r="CQ77" s="164" t="str">
        <f t="shared" si="5"/>
        <v/>
      </c>
      <c r="CR77" s="164" t="str">
        <f t="shared" si="5"/>
        <v/>
      </c>
      <c r="CS77" s="164" t="str">
        <f t="shared" si="5"/>
        <v/>
      </c>
      <c r="CT77" s="164" t="str">
        <f t="shared" si="5"/>
        <v/>
      </c>
      <c r="CU77" s="164" t="str">
        <f t="shared" si="5"/>
        <v/>
      </c>
      <c r="CV77" s="164" t="str">
        <f t="shared" si="5"/>
        <v/>
      </c>
      <c r="CW77" s="164" t="str">
        <f t="shared" si="5"/>
        <v/>
      </c>
      <c r="CX77" s="164" t="str">
        <f t="shared" si="5"/>
        <v/>
      </c>
    </row>
    <row r="78" spans="1:102" ht="12.75" customHeight="1">
      <c r="A78" s="126" t="s">
        <v>110</v>
      </c>
      <c r="B78" s="129"/>
      <c r="C78" s="156">
        <f t="shared" ref="C78:AH78" si="6">IF(ISNUMBER(outYear),$B$11*(1+escalation_rate_nominal/100)^C75,"")</f>
        <v>806809.35187499993</v>
      </c>
      <c r="D78" s="164">
        <f t="shared" si="6"/>
        <v>831114.48360023438</v>
      </c>
      <c r="E78" s="164">
        <f t="shared" si="6"/>
        <v>856151.80741869134</v>
      </c>
      <c r="F78" s="164">
        <f t="shared" si="6"/>
        <v>881943.38061717944</v>
      </c>
      <c r="G78" s="164">
        <f t="shared" si="6"/>
        <v>908511.92495827202</v>
      </c>
      <c r="H78" s="164">
        <f t="shared" si="6"/>
        <v>935880.84669763991</v>
      </c>
      <c r="I78" s="164">
        <f t="shared" si="6"/>
        <v>964074.2572044062</v>
      </c>
      <c r="J78" s="164">
        <f t="shared" si="6"/>
        <v>993116.99420268903</v>
      </c>
      <c r="K78" s="164">
        <f t="shared" si="6"/>
        <v>1023034.6436530451</v>
      </c>
      <c r="L78" s="164">
        <f t="shared" si="6"/>
        <v>1053853.562293093</v>
      </c>
      <c r="M78" s="164">
        <f t="shared" si="6"/>
        <v>1085600.9008571724</v>
      </c>
      <c r="N78" s="164">
        <f t="shared" si="6"/>
        <v>1118304.6279954945</v>
      </c>
      <c r="O78" s="164">
        <f t="shared" si="6"/>
        <v>1151993.5549138591</v>
      </c>
      <c r="P78" s="164">
        <f t="shared" si="6"/>
        <v>1186697.3607556389</v>
      </c>
      <c r="Q78" s="164">
        <f t="shared" si="6"/>
        <v>1222446.6187484025</v>
      </c>
      <c r="R78" s="164">
        <f t="shared" si="6"/>
        <v>1259272.8231381981</v>
      </c>
      <c r="S78" s="164">
        <f t="shared" si="6"/>
        <v>1297208.4169352364</v>
      </c>
      <c r="T78" s="164">
        <f t="shared" si="6"/>
        <v>1336286.8204954104</v>
      </c>
      <c r="U78" s="164">
        <f t="shared" si="6"/>
        <v>1376542.4609628345</v>
      </c>
      <c r="V78" s="164">
        <f t="shared" si="6"/>
        <v>1418010.80259934</v>
      </c>
      <c r="W78" s="164">
        <f t="shared" si="6"/>
        <v>1460728.3780276452</v>
      </c>
      <c r="X78" s="164">
        <f t="shared" si="6"/>
        <v>1504732.8204157278</v>
      </c>
      <c r="Y78" s="164">
        <f t="shared" si="6"/>
        <v>1550062.8966307514</v>
      </c>
      <c r="Z78" s="164">
        <f t="shared" si="6"/>
        <v>1596758.5413917529</v>
      </c>
      <c r="AA78" s="164">
        <f t="shared" si="6"/>
        <v>1644860.8924511797</v>
      </c>
      <c r="AB78" s="164" t="str">
        <f t="shared" si="6"/>
        <v/>
      </c>
      <c r="AC78" s="164" t="str">
        <f t="shared" si="6"/>
        <v/>
      </c>
      <c r="AD78" s="164" t="str">
        <f t="shared" si="6"/>
        <v/>
      </c>
      <c r="AE78" s="164" t="str">
        <f t="shared" si="6"/>
        <v/>
      </c>
      <c r="AF78" s="164" t="str">
        <f t="shared" si="6"/>
        <v/>
      </c>
      <c r="AG78" s="164" t="str">
        <f t="shared" si="6"/>
        <v/>
      </c>
      <c r="AH78" s="164" t="str">
        <f t="shared" si="6"/>
        <v/>
      </c>
      <c r="AI78" s="164" t="str">
        <f t="shared" ref="AI78:BN78" si="7">IF(ISNUMBER(outYear),$B$11*(1+escalation_rate_nominal/100)^AI75,"")</f>
        <v/>
      </c>
      <c r="AJ78" s="164" t="str">
        <f t="shared" si="7"/>
        <v/>
      </c>
      <c r="AK78" s="164" t="str">
        <f t="shared" si="7"/>
        <v/>
      </c>
      <c r="AL78" s="164" t="str">
        <f t="shared" si="7"/>
        <v/>
      </c>
      <c r="AM78" s="164" t="str">
        <f t="shared" si="7"/>
        <v/>
      </c>
      <c r="AN78" s="164" t="str">
        <f t="shared" si="7"/>
        <v/>
      </c>
      <c r="AO78" s="164" t="str">
        <f t="shared" si="7"/>
        <v/>
      </c>
      <c r="AP78" s="164" t="str">
        <f t="shared" si="7"/>
        <v/>
      </c>
      <c r="AQ78" s="164" t="str">
        <f t="shared" si="7"/>
        <v/>
      </c>
      <c r="AR78" s="164" t="str">
        <f t="shared" si="7"/>
        <v/>
      </c>
      <c r="AS78" s="164" t="str">
        <f t="shared" si="7"/>
        <v/>
      </c>
      <c r="AT78" s="164" t="str">
        <f t="shared" si="7"/>
        <v/>
      </c>
      <c r="AU78" s="164" t="str">
        <f t="shared" si="7"/>
        <v/>
      </c>
      <c r="AV78" s="164" t="str">
        <f t="shared" si="7"/>
        <v/>
      </c>
      <c r="AW78" s="164" t="str">
        <f t="shared" si="7"/>
        <v/>
      </c>
      <c r="AX78" s="164" t="str">
        <f t="shared" si="7"/>
        <v/>
      </c>
      <c r="AY78" s="164" t="str">
        <f t="shared" si="7"/>
        <v/>
      </c>
      <c r="AZ78" s="164" t="str">
        <f t="shared" si="7"/>
        <v/>
      </c>
      <c r="BA78" s="164" t="str">
        <f t="shared" si="7"/>
        <v/>
      </c>
      <c r="BB78" s="164" t="str">
        <f t="shared" si="7"/>
        <v/>
      </c>
      <c r="BC78" s="164" t="str">
        <f t="shared" si="7"/>
        <v/>
      </c>
      <c r="BD78" s="164" t="str">
        <f t="shared" si="7"/>
        <v/>
      </c>
      <c r="BE78" s="164" t="str">
        <f t="shared" si="7"/>
        <v/>
      </c>
      <c r="BF78" s="164" t="str">
        <f t="shared" si="7"/>
        <v/>
      </c>
      <c r="BG78" s="164" t="str">
        <f t="shared" si="7"/>
        <v/>
      </c>
      <c r="BH78" s="164" t="str">
        <f t="shared" si="7"/>
        <v/>
      </c>
      <c r="BI78" s="164" t="str">
        <f t="shared" si="7"/>
        <v/>
      </c>
      <c r="BJ78" s="164" t="str">
        <f t="shared" si="7"/>
        <v/>
      </c>
      <c r="BK78" s="164" t="str">
        <f t="shared" si="7"/>
        <v/>
      </c>
      <c r="BL78" s="164" t="str">
        <f t="shared" si="7"/>
        <v/>
      </c>
      <c r="BM78" s="164" t="str">
        <f t="shared" si="7"/>
        <v/>
      </c>
      <c r="BN78" s="164" t="str">
        <f t="shared" si="7"/>
        <v/>
      </c>
      <c r="BO78" s="164" t="str">
        <f t="shared" ref="BO78:CX78" si="8">IF(ISNUMBER(outYear),$B$11*(1+escalation_rate_nominal/100)^BO75,"")</f>
        <v/>
      </c>
      <c r="BP78" s="164" t="str">
        <f t="shared" si="8"/>
        <v/>
      </c>
      <c r="BQ78" s="164" t="str">
        <f t="shared" si="8"/>
        <v/>
      </c>
      <c r="BR78" s="164" t="str">
        <f t="shared" si="8"/>
        <v/>
      </c>
      <c r="BS78" s="164" t="str">
        <f t="shared" si="8"/>
        <v/>
      </c>
      <c r="BT78" s="164" t="str">
        <f t="shared" si="8"/>
        <v/>
      </c>
      <c r="BU78" s="164" t="str">
        <f t="shared" si="8"/>
        <v/>
      </c>
      <c r="BV78" s="164" t="str">
        <f t="shared" si="8"/>
        <v/>
      </c>
      <c r="BW78" s="164" t="str">
        <f t="shared" si="8"/>
        <v/>
      </c>
      <c r="BX78" s="164" t="str">
        <f t="shared" si="8"/>
        <v/>
      </c>
      <c r="BY78" s="164" t="str">
        <f t="shared" si="8"/>
        <v/>
      </c>
      <c r="BZ78" s="164" t="str">
        <f t="shared" si="8"/>
        <v/>
      </c>
      <c r="CA78" s="164" t="str">
        <f t="shared" si="8"/>
        <v/>
      </c>
      <c r="CB78" s="164" t="str">
        <f t="shared" si="8"/>
        <v/>
      </c>
      <c r="CC78" s="164" t="str">
        <f t="shared" si="8"/>
        <v/>
      </c>
      <c r="CD78" s="164" t="str">
        <f t="shared" si="8"/>
        <v/>
      </c>
      <c r="CE78" s="164" t="str">
        <f t="shared" si="8"/>
        <v/>
      </c>
      <c r="CF78" s="164" t="str">
        <f t="shared" si="8"/>
        <v/>
      </c>
      <c r="CG78" s="164" t="str">
        <f t="shared" si="8"/>
        <v/>
      </c>
      <c r="CH78" s="164" t="str">
        <f t="shared" si="8"/>
        <v/>
      </c>
      <c r="CI78" s="164" t="str">
        <f t="shared" si="8"/>
        <v/>
      </c>
      <c r="CJ78" s="164" t="str">
        <f t="shared" si="8"/>
        <v/>
      </c>
      <c r="CK78" s="164" t="str">
        <f t="shared" si="8"/>
        <v/>
      </c>
      <c r="CL78" s="164" t="str">
        <f t="shared" si="8"/>
        <v/>
      </c>
      <c r="CM78" s="164" t="str">
        <f t="shared" si="8"/>
        <v/>
      </c>
      <c r="CN78" s="164" t="str">
        <f t="shared" si="8"/>
        <v/>
      </c>
      <c r="CO78" s="164" t="str">
        <f t="shared" si="8"/>
        <v/>
      </c>
      <c r="CP78" s="164" t="str">
        <f t="shared" si="8"/>
        <v/>
      </c>
      <c r="CQ78" s="164" t="str">
        <f t="shared" si="8"/>
        <v/>
      </c>
      <c r="CR78" s="164" t="str">
        <f t="shared" si="8"/>
        <v/>
      </c>
      <c r="CS78" s="164" t="str">
        <f t="shared" si="8"/>
        <v/>
      </c>
      <c r="CT78" s="164" t="str">
        <f t="shared" si="8"/>
        <v/>
      </c>
      <c r="CU78" s="164" t="str">
        <f t="shared" si="8"/>
        <v/>
      </c>
      <c r="CV78" s="164" t="str">
        <f t="shared" si="8"/>
        <v/>
      </c>
      <c r="CW78" s="164" t="str">
        <f t="shared" si="8"/>
        <v/>
      </c>
      <c r="CX78" s="164" t="str">
        <f t="shared" si="8"/>
        <v/>
      </c>
    </row>
    <row r="79" spans="1:102" ht="12.75" customHeight="1">
      <c r="A79" s="126" t="s">
        <v>111</v>
      </c>
      <c r="B79" s="129"/>
      <c r="C79" s="156">
        <f t="shared" ref="C79:AH79" si="9">IF(ISNUMBER(outYear),$B$12*((1+escalation_rate_nominal/100)^C75)*(1-pv_degradation/100)^C75,"")</f>
        <v>-10762.2309375</v>
      </c>
      <c r="D79" s="164">
        <f t="shared" si="9"/>
        <v>-11031.010928769727</v>
      </c>
      <c r="E79" s="164">
        <f t="shared" si="9"/>
        <v>-11306.50353233392</v>
      </c>
      <c r="F79" s="164">
        <f t="shared" si="9"/>
        <v>-11588.876391489253</v>
      </c>
      <c r="G79" s="164">
        <f t="shared" si="9"/>
        <v>-11878.301336318951</v>
      </c>
      <c r="H79" s="164">
        <f t="shared" si="9"/>
        <v>-12174.954488255182</v>
      </c>
      <c r="I79" s="164">
        <f t="shared" si="9"/>
        <v>-12479.016367252798</v>
      </c>
      <c r="J79" s="164">
        <f t="shared" si="9"/>
        <v>-12790.672001639708</v>
      </c>
      <c r="K79" s="164">
        <f t="shared" si="9"/>
        <v>-13110.111040710659</v>
      </c>
      <c r="L79" s="164">
        <f t="shared" si="9"/>
        <v>-13437.527870133006</v>
      </c>
      <c r="M79" s="164">
        <f t="shared" si="9"/>
        <v>-13773.121730234658</v>
      </c>
      <c r="N79" s="164">
        <f t="shared" si="9"/>
        <v>-14117.096837246188</v>
      </c>
      <c r="O79" s="164">
        <f t="shared" si="9"/>
        <v>-14469.662507570891</v>
      </c>
      <c r="P79" s="164">
        <f t="shared" si="9"/>
        <v>-14831.033285158408</v>
      </c>
      <c r="Q79" s="164">
        <f t="shared" si="9"/>
        <v>-15201.429072059433</v>
      </c>
      <c r="R79" s="164">
        <f t="shared" si="9"/>
        <v>-15581.075262240947</v>
      </c>
      <c r="S79" s="164">
        <f t="shared" si="9"/>
        <v>-15970.202878743376</v>
      </c>
      <c r="T79" s="164">
        <f t="shared" si="9"/>
        <v>-16369.04871426319</v>
      </c>
      <c r="U79" s="164">
        <f t="shared" si="9"/>
        <v>-16777.85547524647</v>
      </c>
      <c r="V79" s="164">
        <f t="shared" si="9"/>
        <v>-17196.871929581077</v>
      </c>
      <c r="W79" s="164">
        <f t="shared" si="9"/>
        <v>-17626.353057977409</v>
      </c>
      <c r="X79" s="164">
        <f t="shared" si="9"/>
        <v>-18066.560209129733</v>
      </c>
      <c r="Y79" s="164">
        <f t="shared" si="9"/>
        <v>-18517.761258752616</v>
      </c>
      <c r="Z79" s="164">
        <f t="shared" si="9"/>
        <v>-18980.230772589177</v>
      </c>
      <c r="AA79" s="164">
        <f t="shared" si="9"/>
        <v>-19454.250173490364</v>
      </c>
      <c r="AB79" s="164" t="str">
        <f t="shared" si="9"/>
        <v/>
      </c>
      <c r="AC79" s="164" t="str">
        <f t="shared" si="9"/>
        <v/>
      </c>
      <c r="AD79" s="164" t="str">
        <f t="shared" si="9"/>
        <v/>
      </c>
      <c r="AE79" s="164" t="str">
        <f t="shared" si="9"/>
        <v/>
      </c>
      <c r="AF79" s="164" t="str">
        <f t="shared" si="9"/>
        <v/>
      </c>
      <c r="AG79" s="164" t="str">
        <f t="shared" si="9"/>
        <v/>
      </c>
      <c r="AH79" s="164" t="str">
        <f t="shared" si="9"/>
        <v/>
      </c>
      <c r="AI79" s="164" t="str">
        <f t="shared" ref="AI79:BN79" si="10">IF(ISNUMBER(outYear),$B$12*((1+escalation_rate_nominal/100)^AI75)*(1-pv_degradation/100)^AI75,"")</f>
        <v/>
      </c>
      <c r="AJ79" s="164" t="str">
        <f t="shared" si="10"/>
        <v/>
      </c>
      <c r="AK79" s="164" t="str">
        <f t="shared" si="10"/>
        <v/>
      </c>
      <c r="AL79" s="164" t="str">
        <f t="shared" si="10"/>
        <v/>
      </c>
      <c r="AM79" s="164" t="str">
        <f t="shared" si="10"/>
        <v/>
      </c>
      <c r="AN79" s="164" t="str">
        <f t="shared" si="10"/>
        <v/>
      </c>
      <c r="AO79" s="164" t="str">
        <f t="shared" si="10"/>
        <v/>
      </c>
      <c r="AP79" s="164" t="str">
        <f t="shared" si="10"/>
        <v/>
      </c>
      <c r="AQ79" s="164" t="str">
        <f t="shared" si="10"/>
        <v/>
      </c>
      <c r="AR79" s="164" t="str">
        <f t="shared" si="10"/>
        <v/>
      </c>
      <c r="AS79" s="164" t="str">
        <f t="shared" si="10"/>
        <v/>
      </c>
      <c r="AT79" s="164" t="str">
        <f t="shared" si="10"/>
        <v/>
      </c>
      <c r="AU79" s="164" t="str">
        <f t="shared" si="10"/>
        <v/>
      </c>
      <c r="AV79" s="164" t="str">
        <f t="shared" si="10"/>
        <v/>
      </c>
      <c r="AW79" s="164" t="str">
        <f t="shared" si="10"/>
        <v/>
      </c>
      <c r="AX79" s="164" t="str">
        <f t="shared" si="10"/>
        <v/>
      </c>
      <c r="AY79" s="164" t="str">
        <f t="shared" si="10"/>
        <v/>
      </c>
      <c r="AZ79" s="164" t="str">
        <f t="shared" si="10"/>
        <v/>
      </c>
      <c r="BA79" s="164" t="str">
        <f t="shared" si="10"/>
        <v/>
      </c>
      <c r="BB79" s="164" t="str">
        <f t="shared" si="10"/>
        <v/>
      </c>
      <c r="BC79" s="164" t="str">
        <f t="shared" si="10"/>
        <v/>
      </c>
      <c r="BD79" s="164" t="str">
        <f t="shared" si="10"/>
        <v/>
      </c>
      <c r="BE79" s="164" t="str">
        <f t="shared" si="10"/>
        <v/>
      </c>
      <c r="BF79" s="164" t="str">
        <f t="shared" si="10"/>
        <v/>
      </c>
      <c r="BG79" s="164" t="str">
        <f t="shared" si="10"/>
        <v/>
      </c>
      <c r="BH79" s="164" t="str">
        <f t="shared" si="10"/>
        <v/>
      </c>
      <c r="BI79" s="164" t="str">
        <f t="shared" si="10"/>
        <v/>
      </c>
      <c r="BJ79" s="164" t="str">
        <f t="shared" si="10"/>
        <v/>
      </c>
      <c r="BK79" s="164" t="str">
        <f t="shared" si="10"/>
        <v/>
      </c>
      <c r="BL79" s="164" t="str">
        <f t="shared" si="10"/>
        <v/>
      </c>
      <c r="BM79" s="164" t="str">
        <f t="shared" si="10"/>
        <v/>
      </c>
      <c r="BN79" s="164" t="str">
        <f t="shared" si="10"/>
        <v/>
      </c>
      <c r="BO79" s="164" t="str">
        <f t="shared" ref="BO79:CX79" si="11">IF(ISNUMBER(outYear),$B$12*((1+escalation_rate_nominal/100)^BO75)*(1-pv_degradation/100)^BO75,"")</f>
        <v/>
      </c>
      <c r="BP79" s="164" t="str">
        <f t="shared" si="11"/>
        <v/>
      </c>
      <c r="BQ79" s="164" t="str">
        <f t="shared" si="11"/>
        <v/>
      </c>
      <c r="BR79" s="164" t="str">
        <f t="shared" si="11"/>
        <v/>
      </c>
      <c r="BS79" s="164" t="str">
        <f t="shared" si="11"/>
        <v/>
      </c>
      <c r="BT79" s="164" t="str">
        <f t="shared" si="11"/>
        <v/>
      </c>
      <c r="BU79" s="164" t="str">
        <f t="shared" si="11"/>
        <v/>
      </c>
      <c r="BV79" s="164" t="str">
        <f t="shared" si="11"/>
        <v/>
      </c>
      <c r="BW79" s="164" t="str">
        <f t="shared" si="11"/>
        <v/>
      </c>
      <c r="BX79" s="164" t="str">
        <f t="shared" si="11"/>
        <v/>
      </c>
      <c r="BY79" s="164" t="str">
        <f t="shared" si="11"/>
        <v/>
      </c>
      <c r="BZ79" s="164" t="str">
        <f t="shared" si="11"/>
        <v/>
      </c>
      <c r="CA79" s="164" t="str">
        <f t="shared" si="11"/>
        <v/>
      </c>
      <c r="CB79" s="164" t="str">
        <f t="shared" si="11"/>
        <v/>
      </c>
      <c r="CC79" s="164" t="str">
        <f t="shared" si="11"/>
        <v/>
      </c>
      <c r="CD79" s="164" t="str">
        <f t="shared" si="11"/>
        <v/>
      </c>
      <c r="CE79" s="164" t="str">
        <f t="shared" si="11"/>
        <v/>
      </c>
      <c r="CF79" s="164" t="str">
        <f t="shared" si="11"/>
        <v/>
      </c>
      <c r="CG79" s="164" t="str">
        <f t="shared" si="11"/>
        <v/>
      </c>
      <c r="CH79" s="164" t="str">
        <f t="shared" si="11"/>
        <v/>
      </c>
      <c r="CI79" s="164" t="str">
        <f t="shared" si="11"/>
        <v/>
      </c>
      <c r="CJ79" s="164" t="str">
        <f t="shared" si="11"/>
        <v/>
      </c>
      <c r="CK79" s="164" t="str">
        <f t="shared" si="11"/>
        <v/>
      </c>
      <c r="CL79" s="164" t="str">
        <f t="shared" si="11"/>
        <v/>
      </c>
      <c r="CM79" s="164" t="str">
        <f t="shared" si="11"/>
        <v/>
      </c>
      <c r="CN79" s="164" t="str">
        <f t="shared" si="11"/>
        <v/>
      </c>
      <c r="CO79" s="164" t="str">
        <f t="shared" si="11"/>
        <v/>
      </c>
      <c r="CP79" s="164" t="str">
        <f t="shared" si="11"/>
        <v/>
      </c>
      <c r="CQ79" s="164" t="str">
        <f t="shared" si="11"/>
        <v/>
      </c>
      <c r="CR79" s="164" t="str">
        <f t="shared" si="11"/>
        <v/>
      </c>
      <c r="CS79" s="164" t="str">
        <f t="shared" si="11"/>
        <v/>
      </c>
      <c r="CT79" s="164" t="str">
        <f t="shared" si="11"/>
        <v/>
      </c>
      <c r="CU79" s="164" t="str">
        <f t="shared" si="11"/>
        <v/>
      </c>
      <c r="CV79" s="164" t="str">
        <f t="shared" si="11"/>
        <v/>
      </c>
      <c r="CW79" s="164" t="str">
        <f t="shared" si="11"/>
        <v/>
      </c>
      <c r="CX79" s="164" t="str">
        <f t="shared" si="11"/>
        <v/>
      </c>
    </row>
    <row r="80" spans="1:102" ht="12.75" customHeight="1">
      <c r="A80" s="126" t="s">
        <v>34</v>
      </c>
      <c r="B80" s="129">
        <v>0</v>
      </c>
      <c r="C80" s="156">
        <f t="shared" ref="C80:AH80" si="12">IF(C75&lt;=analysis_period,C77-(C78 + C79),"")</f>
        <v>54867.032812500023</v>
      </c>
      <c r="D80" s="164">
        <f t="shared" si="12"/>
        <v>56464.469960254035</v>
      </c>
      <c r="E80" s="164">
        <f t="shared" si="12"/>
        <v>58108.645517141675</v>
      </c>
      <c r="F80" s="164">
        <f t="shared" si="12"/>
        <v>59800.932903589448</v>
      </c>
      <c r="G80" s="164">
        <f t="shared" si="12"/>
        <v>61542.746050846181</v>
      </c>
      <c r="H80" s="164">
        <f t="shared" si="12"/>
        <v>63335.540599807515</v>
      </c>
      <c r="I80" s="164">
        <f t="shared" si="12"/>
        <v>65180.815135415643</v>
      </c>
      <c r="J80" s="164">
        <f t="shared" si="12"/>
        <v>67080.112457693438</v>
      </c>
      <c r="K80" s="164">
        <f t="shared" si="12"/>
        <v>69035.020890503074</v>
      </c>
      <c r="L80" s="164">
        <f t="shared" si="12"/>
        <v>71047.175629150355</v>
      </c>
      <c r="M80" s="164">
        <f t="shared" si="12"/>
        <v>73118.260127992369</v>
      </c>
      <c r="N80" s="164">
        <f t="shared" si="12"/>
        <v>75250.007529236376</v>
      </c>
      <c r="O80" s="164">
        <f t="shared" si="12"/>
        <v>77444.202134157065</v>
      </c>
      <c r="P80" s="164">
        <f t="shared" si="12"/>
        <v>79702.680917995749</v>
      </c>
      <c r="Q80" s="164">
        <f t="shared" si="12"/>
        <v>82027.335089835804</v>
      </c>
      <c r="R80" s="164">
        <f t="shared" si="12"/>
        <v>84420.111698803026</v>
      </c>
      <c r="S80" s="164">
        <f t="shared" si="12"/>
        <v>86883.015287956689</v>
      </c>
      <c r="T80" s="164">
        <f t="shared" si="12"/>
        <v>89418.109597304137</v>
      </c>
      <c r="U80" s="164">
        <f t="shared" si="12"/>
        <v>92027.519317389</v>
      </c>
      <c r="V80" s="164">
        <f t="shared" si="12"/>
        <v>94713.431894968264</v>
      </c>
      <c r="W80" s="164">
        <f t="shared" si="12"/>
        <v>97478.099392321892</v>
      </c>
      <c r="X80" s="164">
        <f t="shared" si="12"/>
        <v>100323.84040179639</v>
      </c>
      <c r="Y80" s="164">
        <f t="shared" si="12"/>
        <v>103253.04201722308</v>
      </c>
      <c r="Z80" s="164">
        <f t="shared" si="12"/>
        <v>106268.16186390864</v>
      </c>
      <c r="AA80" s="164">
        <f t="shared" si="12"/>
        <v>109371.730188936</v>
      </c>
      <c r="AB80" s="164" t="str">
        <f t="shared" si="12"/>
        <v/>
      </c>
      <c r="AC80" s="164" t="str">
        <f t="shared" si="12"/>
        <v/>
      </c>
      <c r="AD80" s="164" t="str">
        <f t="shared" si="12"/>
        <v/>
      </c>
      <c r="AE80" s="164" t="str">
        <f t="shared" si="12"/>
        <v/>
      </c>
      <c r="AF80" s="164" t="str">
        <f t="shared" si="12"/>
        <v/>
      </c>
      <c r="AG80" s="164" t="str">
        <f t="shared" si="12"/>
        <v/>
      </c>
      <c r="AH80" s="164" t="str">
        <f t="shared" si="12"/>
        <v/>
      </c>
      <c r="AI80" s="164" t="str">
        <f t="shared" ref="AI80:BN80" si="13">IF(AI75&lt;=analysis_period,AI77-(AI78 + AI79),"")</f>
        <v/>
      </c>
      <c r="AJ80" s="164" t="str">
        <f t="shared" si="13"/>
        <v/>
      </c>
      <c r="AK80" s="164" t="str">
        <f t="shared" si="13"/>
        <v/>
      </c>
      <c r="AL80" s="164" t="str">
        <f t="shared" si="13"/>
        <v/>
      </c>
      <c r="AM80" s="164" t="str">
        <f t="shared" si="13"/>
        <v/>
      </c>
      <c r="AN80" s="164" t="str">
        <f t="shared" si="13"/>
        <v/>
      </c>
      <c r="AO80" s="164" t="str">
        <f t="shared" si="13"/>
        <v/>
      </c>
      <c r="AP80" s="164" t="str">
        <f t="shared" si="13"/>
        <v/>
      </c>
      <c r="AQ80" s="164" t="str">
        <f t="shared" si="13"/>
        <v/>
      </c>
      <c r="AR80" s="164" t="str">
        <f t="shared" si="13"/>
        <v/>
      </c>
      <c r="AS80" s="164" t="str">
        <f t="shared" si="13"/>
        <v/>
      </c>
      <c r="AT80" s="164" t="str">
        <f t="shared" si="13"/>
        <v/>
      </c>
      <c r="AU80" s="164" t="str">
        <f t="shared" si="13"/>
        <v/>
      </c>
      <c r="AV80" s="164" t="str">
        <f t="shared" si="13"/>
        <v/>
      </c>
      <c r="AW80" s="164" t="str">
        <f t="shared" si="13"/>
        <v/>
      </c>
      <c r="AX80" s="164" t="str">
        <f t="shared" si="13"/>
        <v/>
      </c>
      <c r="AY80" s="164" t="str">
        <f t="shared" si="13"/>
        <v/>
      </c>
      <c r="AZ80" s="164" t="str">
        <f t="shared" si="13"/>
        <v/>
      </c>
      <c r="BA80" s="164" t="str">
        <f t="shared" si="13"/>
        <v/>
      </c>
      <c r="BB80" s="164" t="str">
        <f t="shared" si="13"/>
        <v/>
      </c>
      <c r="BC80" s="164" t="str">
        <f t="shared" si="13"/>
        <v/>
      </c>
      <c r="BD80" s="164" t="str">
        <f t="shared" si="13"/>
        <v/>
      </c>
      <c r="BE80" s="164" t="str">
        <f t="shared" si="13"/>
        <v/>
      </c>
      <c r="BF80" s="164" t="str">
        <f t="shared" si="13"/>
        <v/>
      </c>
      <c r="BG80" s="164" t="str">
        <f t="shared" si="13"/>
        <v/>
      </c>
      <c r="BH80" s="164" t="str">
        <f t="shared" si="13"/>
        <v/>
      </c>
      <c r="BI80" s="164" t="str">
        <f t="shared" si="13"/>
        <v/>
      </c>
      <c r="BJ80" s="164" t="str">
        <f t="shared" si="13"/>
        <v/>
      </c>
      <c r="BK80" s="164" t="str">
        <f t="shared" si="13"/>
        <v/>
      </c>
      <c r="BL80" s="164" t="str">
        <f t="shared" si="13"/>
        <v/>
      </c>
      <c r="BM80" s="164" t="str">
        <f t="shared" si="13"/>
        <v/>
      </c>
      <c r="BN80" s="164" t="str">
        <f t="shared" si="13"/>
        <v/>
      </c>
      <c r="BO80" s="164" t="str">
        <f t="shared" ref="BO80:CT80" si="14">IF(BO75&lt;=analysis_period,BO77-(BO78 + BO79),"")</f>
        <v/>
      </c>
      <c r="BP80" s="164" t="str">
        <f t="shared" si="14"/>
        <v/>
      </c>
      <c r="BQ80" s="164" t="str">
        <f t="shared" si="14"/>
        <v/>
      </c>
      <c r="BR80" s="164" t="str">
        <f t="shared" si="14"/>
        <v/>
      </c>
      <c r="BS80" s="164" t="str">
        <f t="shared" si="14"/>
        <v/>
      </c>
      <c r="BT80" s="164" t="str">
        <f t="shared" si="14"/>
        <v/>
      </c>
      <c r="BU80" s="164" t="str">
        <f t="shared" si="14"/>
        <v/>
      </c>
      <c r="BV80" s="164" t="str">
        <f t="shared" si="14"/>
        <v/>
      </c>
      <c r="BW80" s="164" t="str">
        <f t="shared" si="14"/>
        <v/>
      </c>
      <c r="BX80" s="164" t="str">
        <f t="shared" si="14"/>
        <v/>
      </c>
      <c r="BY80" s="164" t="str">
        <f t="shared" si="14"/>
        <v/>
      </c>
      <c r="BZ80" s="164" t="str">
        <f t="shared" si="14"/>
        <v/>
      </c>
      <c r="CA80" s="164" t="str">
        <f t="shared" si="14"/>
        <v/>
      </c>
      <c r="CB80" s="164" t="str">
        <f t="shared" si="14"/>
        <v/>
      </c>
      <c r="CC80" s="164" t="str">
        <f t="shared" si="14"/>
        <v/>
      </c>
      <c r="CD80" s="164" t="str">
        <f t="shared" si="14"/>
        <v/>
      </c>
      <c r="CE80" s="164" t="str">
        <f t="shared" si="14"/>
        <v/>
      </c>
      <c r="CF80" s="164" t="str">
        <f t="shared" si="14"/>
        <v/>
      </c>
      <c r="CG80" s="164" t="str">
        <f t="shared" si="14"/>
        <v/>
      </c>
      <c r="CH80" s="164" t="str">
        <f t="shared" si="14"/>
        <v/>
      </c>
      <c r="CI80" s="164" t="str">
        <f t="shared" si="14"/>
        <v/>
      </c>
      <c r="CJ80" s="164" t="str">
        <f t="shared" si="14"/>
        <v/>
      </c>
      <c r="CK80" s="164" t="str">
        <f t="shared" si="14"/>
        <v/>
      </c>
      <c r="CL80" s="164" t="str">
        <f t="shared" si="14"/>
        <v/>
      </c>
      <c r="CM80" s="164" t="str">
        <f t="shared" si="14"/>
        <v/>
      </c>
      <c r="CN80" s="164" t="str">
        <f t="shared" si="14"/>
        <v/>
      </c>
      <c r="CO80" s="164" t="str">
        <f t="shared" si="14"/>
        <v/>
      </c>
      <c r="CP80" s="164" t="str">
        <f t="shared" si="14"/>
        <v/>
      </c>
      <c r="CQ80" s="164" t="str">
        <f t="shared" si="14"/>
        <v/>
      </c>
      <c r="CR80" s="164" t="str">
        <f t="shared" si="14"/>
        <v/>
      </c>
      <c r="CS80" s="164" t="str">
        <f t="shared" si="14"/>
        <v/>
      </c>
      <c r="CT80" s="164" t="str">
        <f t="shared" si="14"/>
        <v/>
      </c>
      <c r="CU80" s="164" t="str">
        <f t="shared" ref="CU80:CX80" si="15">IF(CU75&lt;=analysis_period,CU77-(CU78 + CU79),"")</f>
        <v/>
      </c>
      <c r="CV80" s="164" t="str">
        <f t="shared" si="15"/>
        <v/>
      </c>
      <c r="CW80" s="164" t="str">
        <f t="shared" si="15"/>
        <v/>
      </c>
      <c r="CX80" s="164" t="str">
        <f t="shared" si="15"/>
        <v/>
      </c>
    </row>
    <row r="81" spans="1:102" ht="12.75" customHeight="1">
      <c r="A81" s="126" t="s">
        <v>142</v>
      </c>
      <c r="B81" s="130">
        <v>0</v>
      </c>
      <c r="C81" s="157">
        <f>IF(ISNUMBER(outYear),IF(FederalDepreciation=5,H63,IF(FederalDepreciation=7,H64,0)),"")</f>
        <v>0.2</v>
      </c>
      <c r="D81" s="157">
        <f>IF(ISNUMBER(outYear),IF(FederalDepreciation=5,I63,IF(FederalDepreciation=7,I64,0)),"")</f>
        <v>0.32</v>
      </c>
      <c r="E81" s="157">
        <f>IF(ISNUMBER(outYear),IF(FederalDepreciation=5,J63,IF(FederalDepreciation=7,J64,0)),"")</f>
        <v>0.192</v>
      </c>
      <c r="F81" s="157">
        <f>IF(ISNUMBER(outYear),IF(FederalDepreciation=5,K63,IF(FederalDepreciation=7,K64,0)),"")</f>
        <v>0.1152</v>
      </c>
      <c r="G81" s="157">
        <f t="shared" ref="G81:AH81" si="16">IF(ISNUMBER(outYear),IF(FederalDepreciation=5,L63,IF(FederalDepreciation=7,L64,0)),"")</f>
        <v>0.1152</v>
      </c>
      <c r="H81" s="157">
        <f t="shared" si="16"/>
        <v>5.7599999999999998E-2</v>
      </c>
      <c r="I81" s="157">
        <f t="shared" si="16"/>
        <v>0</v>
      </c>
      <c r="J81" s="157">
        <f t="shared" si="16"/>
        <v>0</v>
      </c>
      <c r="K81" s="157">
        <f t="shared" si="16"/>
        <v>0</v>
      </c>
      <c r="L81" s="157">
        <f t="shared" si="16"/>
        <v>0</v>
      </c>
      <c r="M81" s="157">
        <f t="shared" si="16"/>
        <v>0</v>
      </c>
      <c r="N81" s="157">
        <f t="shared" si="16"/>
        <v>0</v>
      </c>
      <c r="O81" s="157">
        <f t="shared" si="16"/>
        <v>0</v>
      </c>
      <c r="P81" s="157">
        <f t="shared" si="16"/>
        <v>0</v>
      </c>
      <c r="Q81" s="157">
        <f t="shared" si="16"/>
        <v>0</v>
      </c>
      <c r="R81" s="157">
        <f t="shared" si="16"/>
        <v>0</v>
      </c>
      <c r="S81" s="157">
        <f t="shared" si="16"/>
        <v>0</v>
      </c>
      <c r="T81" s="157">
        <f t="shared" si="16"/>
        <v>0</v>
      </c>
      <c r="U81" s="157">
        <f t="shared" si="16"/>
        <v>0</v>
      </c>
      <c r="V81" s="157">
        <f t="shared" si="16"/>
        <v>0</v>
      </c>
      <c r="W81" s="157">
        <f t="shared" si="16"/>
        <v>0</v>
      </c>
      <c r="X81" s="157">
        <f t="shared" si="16"/>
        <v>0</v>
      </c>
      <c r="Y81" s="157">
        <f t="shared" si="16"/>
        <v>0</v>
      </c>
      <c r="Z81" s="157">
        <f t="shared" si="16"/>
        <v>0</v>
      </c>
      <c r="AA81" s="157">
        <f t="shared" si="16"/>
        <v>0</v>
      </c>
      <c r="AB81" s="157" t="str">
        <f t="shared" si="16"/>
        <v/>
      </c>
      <c r="AC81" s="157" t="str">
        <f t="shared" si="16"/>
        <v/>
      </c>
      <c r="AD81" s="157" t="str">
        <f t="shared" si="16"/>
        <v/>
      </c>
      <c r="AE81" s="157" t="str">
        <f t="shared" si="16"/>
        <v/>
      </c>
      <c r="AF81" s="157" t="str">
        <f t="shared" si="16"/>
        <v/>
      </c>
      <c r="AG81" s="157" t="str">
        <f t="shared" si="16"/>
        <v/>
      </c>
      <c r="AH81" s="157" t="str">
        <f t="shared" si="16"/>
        <v/>
      </c>
      <c r="AI81" s="157" t="str">
        <f t="shared" ref="AI81:BN81" si="17">IF(ISNUMBER(outYear),IF(FederalDepreciation=5,AN63,IF(FederalDepreciation=7,AN64,0)),"")</f>
        <v/>
      </c>
      <c r="AJ81" s="157" t="str">
        <f t="shared" si="17"/>
        <v/>
      </c>
      <c r="AK81" s="157" t="str">
        <f t="shared" si="17"/>
        <v/>
      </c>
      <c r="AL81" s="157" t="str">
        <f t="shared" si="17"/>
        <v/>
      </c>
      <c r="AM81" s="157" t="str">
        <f t="shared" si="17"/>
        <v/>
      </c>
      <c r="AN81" s="157" t="str">
        <f t="shared" si="17"/>
        <v/>
      </c>
      <c r="AO81" s="157" t="str">
        <f t="shared" si="17"/>
        <v/>
      </c>
      <c r="AP81" s="157" t="str">
        <f t="shared" si="17"/>
        <v/>
      </c>
      <c r="AQ81" s="157" t="str">
        <f t="shared" si="17"/>
        <v/>
      </c>
      <c r="AR81" s="157" t="str">
        <f t="shared" si="17"/>
        <v/>
      </c>
      <c r="AS81" s="157" t="str">
        <f t="shared" si="17"/>
        <v/>
      </c>
      <c r="AT81" s="157" t="str">
        <f t="shared" si="17"/>
        <v/>
      </c>
      <c r="AU81" s="157" t="str">
        <f t="shared" si="17"/>
        <v/>
      </c>
      <c r="AV81" s="157" t="str">
        <f t="shared" si="17"/>
        <v/>
      </c>
      <c r="AW81" s="157" t="str">
        <f t="shared" si="17"/>
        <v/>
      </c>
      <c r="AX81" s="157" t="str">
        <f t="shared" si="17"/>
        <v/>
      </c>
      <c r="AY81" s="157" t="str">
        <f t="shared" si="17"/>
        <v/>
      </c>
      <c r="AZ81" s="157" t="str">
        <f t="shared" si="17"/>
        <v/>
      </c>
      <c r="BA81" s="157" t="str">
        <f t="shared" si="17"/>
        <v/>
      </c>
      <c r="BB81" s="157" t="str">
        <f t="shared" si="17"/>
        <v/>
      </c>
      <c r="BC81" s="157" t="str">
        <f t="shared" si="17"/>
        <v/>
      </c>
      <c r="BD81" s="157" t="str">
        <f t="shared" si="17"/>
        <v/>
      </c>
      <c r="BE81" s="157" t="str">
        <f t="shared" si="17"/>
        <v/>
      </c>
      <c r="BF81" s="157" t="str">
        <f t="shared" si="17"/>
        <v/>
      </c>
      <c r="BG81" s="157" t="str">
        <f t="shared" si="17"/>
        <v/>
      </c>
      <c r="BH81" s="157" t="str">
        <f t="shared" si="17"/>
        <v/>
      </c>
      <c r="BI81" s="157" t="str">
        <f t="shared" si="17"/>
        <v/>
      </c>
      <c r="BJ81" s="157" t="str">
        <f t="shared" si="17"/>
        <v/>
      </c>
      <c r="BK81" s="157" t="str">
        <f t="shared" si="17"/>
        <v/>
      </c>
      <c r="BL81" s="157" t="str">
        <f t="shared" si="17"/>
        <v/>
      </c>
      <c r="BM81" s="157" t="str">
        <f t="shared" si="17"/>
        <v/>
      </c>
      <c r="BN81" s="157" t="str">
        <f t="shared" si="17"/>
        <v/>
      </c>
      <c r="BO81" s="157" t="str">
        <f t="shared" ref="BO81:CT81" si="18">IF(ISNUMBER(outYear),IF(FederalDepreciation=5,BT63,IF(FederalDepreciation=7,BT64,0)),"")</f>
        <v/>
      </c>
      <c r="BP81" s="157" t="str">
        <f t="shared" si="18"/>
        <v/>
      </c>
      <c r="BQ81" s="157" t="str">
        <f t="shared" si="18"/>
        <v/>
      </c>
      <c r="BR81" s="157" t="str">
        <f t="shared" si="18"/>
        <v/>
      </c>
      <c r="BS81" s="157" t="str">
        <f t="shared" si="18"/>
        <v/>
      </c>
      <c r="BT81" s="157" t="str">
        <f t="shared" si="18"/>
        <v/>
      </c>
      <c r="BU81" s="157" t="str">
        <f t="shared" si="18"/>
        <v/>
      </c>
      <c r="BV81" s="157" t="str">
        <f t="shared" si="18"/>
        <v/>
      </c>
      <c r="BW81" s="157" t="str">
        <f t="shared" si="18"/>
        <v/>
      </c>
      <c r="BX81" s="157" t="str">
        <f t="shared" si="18"/>
        <v/>
      </c>
      <c r="BY81" s="157" t="str">
        <f t="shared" si="18"/>
        <v/>
      </c>
      <c r="BZ81" s="157" t="str">
        <f t="shared" si="18"/>
        <v/>
      </c>
      <c r="CA81" s="157" t="str">
        <f t="shared" si="18"/>
        <v/>
      </c>
      <c r="CB81" s="157" t="str">
        <f t="shared" si="18"/>
        <v/>
      </c>
      <c r="CC81" s="157" t="str">
        <f t="shared" si="18"/>
        <v/>
      </c>
      <c r="CD81" s="157" t="str">
        <f t="shared" si="18"/>
        <v/>
      </c>
      <c r="CE81" s="157" t="str">
        <f t="shared" si="18"/>
        <v/>
      </c>
      <c r="CF81" s="157" t="str">
        <f t="shared" si="18"/>
        <v/>
      </c>
      <c r="CG81" s="157" t="str">
        <f t="shared" si="18"/>
        <v/>
      </c>
      <c r="CH81" s="157" t="str">
        <f t="shared" si="18"/>
        <v/>
      </c>
      <c r="CI81" s="157" t="str">
        <f t="shared" si="18"/>
        <v/>
      </c>
      <c r="CJ81" s="157" t="str">
        <f t="shared" si="18"/>
        <v/>
      </c>
      <c r="CK81" s="157" t="str">
        <f t="shared" si="18"/>
        <v/>
      </c>
      <c r="CL81" s="157" t="str">
        <f t="shared" si="18"/>
        <v/>
      </c>
      <c r="CM81" s="157" t="str">
        <f t="shared" si="18"/>
        <v/>
      </c>
      <c r="CN81" s="157" t="str">
        <f t="shared" si="18"/>
        <v/>
      </c>
      <c r="CO81" s="157" t="str">
        <f t="shared" si="18"/>
        <v/>
      </c>
      <c r="CP81" s="157" t="str">
        <f t="shared" si="18"/>
        <v/>
      </c>
      <c r="CQ81" s="157" t="str">
        <f t="shared" si="18"/>
        <v/>
      </c>
      <c r="CR81" s="157" t="str">
        <f t="shared" si="18"/>
        <v/>
      </c>
      <c r="CS81" s="157" t="str">
        <f t="shared" si="18"/>
        <v/>
      </c>
      <c r="CT81" s="157" t="str">
        <f t="shared" si="18"/>
        <v/>
      </c>
      <c r="CU81" s="157" t="str">
        <f t="shared" ref="CU81:CX81" si="19">IF(ISNUMBER(outYear),IF(FederalDepreciation=5,CZ63,IF(FederalDepreciation=7,CZ64,0)),"")</f>
        <v/>
      </c>
      <c r="CV81" s="157" t="str">
        <f t="shared" si="19"/>
        <v/>
      </c>
      <c r="CW81" s="157" t="str">
        <f t="shared" si="19"/>
        <v/>
      </c>
      <c r="CX81" s="157" t="str">
        <f t="shared" si="19"/>
        <v/>
      </c>
    </row>
    <row r="82" spans="1:102" ht="12.75" customHeight="1">
      <c r="A82" s="126" t="s">
        <v>123</v>
      </c>
      <c r="B82" s="130">
        <v>0</v>
      </c>
      <c r="C82" s="157">
        <f>IF(ISNUMBER(outYear),IF(BatteryFederalDepreciation=5,H63,IF(BatteryFederalDepreciation=7,H64,0)),"")</f>
        <v>0.2</v>
      </c>
      <c r="D82" s="157">
        <f>IF(ISNUMBER(outYear),IF(BatteryFederalDepreciation=5,I63,IF(BatteryFederalDepreciation=7,I64,0)),"")</f>
        <v>0.32</v>
      </c>
      <c r="E82" s="157">
        <f>IF(ISNUMBER(outYear),IF(BatteryFederalDepreciation=5,J63,IF(BatteryFederalDepreciation=7,J64,0)),"")</f>
        <v>0.192</v>
      </c>
      <c r="F82" s="157">
        <f>IF(ISNUMBER(outYear),IF(BatteryFederalDepreciation=5,K63,IF(BatteryFederalDepreciation=7,K64,0)),"")</f>
        <v>0.1152</v>
      </c>
      <c r="G82" s="157">
        <f t="shared" ref="G82:AH82" si="20">IF(ISNUMBER(outYear),IF(BatteryFederalDepreciation=5,L63,IF(BatteryFederalDepreciation=7,L64,0)),"")</f>
        <v>0.1152</v>
      </c>
      <c r="H82" s="157">
        <f t="shared" si="20"/>
        <v>5.7599999999999998E-2</v>
      </c>
      <c r="I82" s="157">
        <f t="shared" si="20"/>
        <v>0</v>
      </c>
      <c r="J82" s="157">
        <f t="shared" si="20"/>
        <v>0</v>
      </c>
      <c r="K82" s="157">
        <f t="shared" si="20"/>
        <v>0</v>
      </c>
      <c r="L82" s="157">
        <f t="shared" si="20"/>
        <v>0</v>
      </c>
      <c r="M82" s="157">
        <f t="shared" si="20"/>
        <v>0</v>
      </c>
      <c r="N82" s="157">
        <f t="shared" si="20"/>
        <v>0</v>
      </c>
      <c r="O82" s="157">
        <f t="shared" si="20"/>
        <v>0</v>
      </c>
      <c r="P82" s="157">
        <f t="shared" si="20"/>
        <v>0</v>
      </c>
      <c r="Q82" s="157">
        <f t="shared" si="20"/>
        <v>0</v>
      </c>
      <c r="R82" s="157">
        <f t="shared" si="20"/>
        <v>0</v>
      </c>
      <c r="S82" s="157">
        <f t="shared" si="20"/>
        <v>0</v>
      </c>
      <c r="T82" s="157">
        <f t="shared" si="20"/>
        <v>0</v>
      </c>
      <c r="U82" s="157">
        <f t="shared" si="20"/>
        <v>0</v>
      </c>
      <c r="V82" s="157">
        <f t="shared" si="20"/>
        <v>0</v>
      </c>
      <c r="W82" s="157">
        <f t="shared" si="20"/>
        <v>0</v>
      </c>
      <c r="X82" s="157">
        <f t="shared" si="20"/>
        <v>0</v>
      </c>
      <c r="Y82" s="157">
        <f t="shared" si="20"/>
        <v>0</v>
      </c>
      <c r="Z82" s="157">
        <f t="shared" si="20"/>
        <v>0</v>
      </c>
      <c r="AA82" s="157">
        <f t="shared" si="20"/>
        <v>0</v>
      </c>
      <c r="AB82" s="157" t="str">
        <f t="shared" si="20"/>
        <v/>
      </c>
      <c r="AC82" s="157" t="str">
        <f t="shared" si="20"/>
        <v/>
      </c>
      <c r="AD82" s="157" t="str">
        <f t="shared" si="20"/>
        <v/>
      </c>
      <c r="AE82" s="157" t="str">
        <f t="shared" si="20"/>
        <v/>
      </c>
      <c r="AF82" s="157" t="str">
        <f t="shared" si="20"/>
        <v/>
      </c>
      <c r="AG82" s="157" t="str">
        <f t="shared" si="20"/>
        <v/>
      </c>
      <c r="AH82" s="157" t="str">
        <f t="shared" si="20"/>
        <v/>
      </c>
      <c r="AI82" s="157" t="str">
        <f t="shared" ref="AI82:BN82" si="21">IF(ISNUMBER(outYear),IF(BatteryFederalDepreciation=5,AN63,IF(BatteryFederalDepreciation=7,AN64,0)),"")</f>
        <v/>
      </c>
      <c r="AJ82" s="157" t="str">
        <f t="shared" si="21"/>
        <v/>
      </c>
      <c r="AK82" s="157" t="str">
        <f t="shared" si="21"/>
        <v/>
      </c>
      <c r="AL82" s="157" t="str">
        <f t="shared" si="21"/>
        <v/>
      </c>
      <c r="AM82" s="157" t="str">
        <f t="shared" si="21"/>
        <v/>
      </c>
      <c r="AN82" s="157" t="str">
        <f t="shared" si="21"/>
        <v/>
      </c>
      <c r="AO82" s="157" t="str">
        <f t="shared" si="21"/>
        <v/>
      </c>
      <c r="AP82" s="157" t="str">
        <f t="shared" si="21"/>
        <v/>
      </c>
      <c r="AQ82" s="157" t="str">
        <f t="shared" si="21"/>
        <v/>
      </c>
      <c r="AR82" s="157" t="str">
        <f t="shared" si="21"/>
        <v/>
      </c>
      <c r="AS82" s="157" t="str">
        <f t="shared" si="21"/>
        <v/>
      </c>
      <c r="AT82" s="157" t="str">
        <f t="shared" si="21"/>
        <v/>
      </c>
      <c r="AU82" s="157" t="str">
        <f t="shared" si="21"/>
        <v/>
      </c>
      <c r="AV82" s="157" t="str">
        <f t="shared" si="21"/>
        <v/>
      </c>
      <c r="AW82" s="157" t="str">
        <f t="shared" si="21"/>
        <v/>
      </c>
      <c r="AX82" s="157" t="str">
        <f t="shared" si="21"/>
        <v/>
      </c>
      <c r="AY82" s="157" t="str">
        <f t="shared" si="21"/>
        <v/>
      </c>
      <c r="AZ82" s="157" t="str">
        <f t="shared" si="21"/>
        <v/>
      </c>
      <c r="BA82" s="157" t="str">
        <f t="shared" si="21"/>
        <v/>
      </c>
      <c r="BB82" s="157" t="str">
        <f t="shared" si="21"/>
        <v/>
      </c>
      <c r="BC82" s="157" t="str">
        <f t="shared" si="21"/>
        <v/>
      </c>
      <c r="BD82" s="157" t="str">
        <f t="shared" si="21"/>
        <v/>
      </c>
      <c r="BE82" s="157" t="str">
        <f t="shared" si="21"/>
        <v/>
      </c>
      <c r="BF82" s="157" t="str">
        <f t="shared" si="21"/>
        <v/>
      </c>
      <c r="BG82" s="157" t="str">
        <f t="shared" si="21"/>
        <v/>
      </c>
      <c r="BH82" s="157" t="str">
        <f t="shared" si="21"/>
        <v/>
      </c>
      <c r="BI82" s="157" t="str">
        <f t="shared" si="21"/>
        <v/>
      </c>
      <c r="BJ82" s="157" t="str">
        <f t="shared" si="21"/>
        <v/>
      </c>
      <c r="BK82" s="157" t="str">
        <f t="shared" si="21"/>
        <v/>
      </c>
      <c r="BL82" s="157" t="str">
        <f t="shared" si="21"/>
        <v/>
      </c>
      <c r="BM82" s="157" t="str">
        <f t="shared" si="21"/>
        <v/>
      </c>
      <c r="BN82" s="157" t="str">
        <f t="shared" si="21"/>
        <v/>
      </c>
      <c r="BO82" s="157" t="str">
        <f t="shared" ref="BO82:CT82" si="22">IF(ISNUMBER(outYear),IF(BatteryFederalDepreciation=5,BT63,IF(BatteryFederalDepreciation=7,BT64,0)),"")</f>
        <v/>
      </c>
      <c r="BP82" s="157" t="str">
        <f t="shared" si="22"/>
        <v/>
      </c>
      <c r="BQ82" s="157" t="str">
        <f t="shared" si="22"/>
        <v/>
      </c>
      <c r="BR82" s="157" t="str">
        <f t="shared" si="22"/>
        <v/>
      </c>
      <c r="BS82" s="157" t="str">
        <f t="shared" si="22"/>
        <v/>
      </c>
      <c r="BT82" s="157" t="str">
        <f t="shared" si="22"/>
        <v/>
      </c>
      <c r="BU82" s="157" t="str">
        <f t="shared" si="22"/>
        <v/>
      </c>
      <c r="BV82" s="157" t="str">
        <f t="shared" si="22"/>
        <v/>
      </c>
      <c r="BW82" s="157" t="str">
        <f t="shared" si="22"/>
        <v/>
      </c>
      <c r="BX82" s="157" t="str">
        <f t="shared" si="22"/>
        <v/>
      </c>
      <c r="BY82" s="157" t="str">
        <f t="shared" si="22"/>
        <v/>
      </c>
      <c r="BZ82" s="157" t="str">
        <f t="shared" si="22"/>
        <v/>
      </c>
      <c r="CA82" s="157" t="str">
        <f t="shared" si="22"/>
        <v/>
      </c>
      <c r="CB82" s="157" t="str">
        <f t="shared" si="22"/>
        <v/>
      </c>
      <c r="CC82" s="157" t="str">
        <f t="shared" si="22"/>
        <v/>
      </c>
      <c r="CD82" s="157" t="str">
        <f t="shared" si="22"/>
        <v/>
      </c>
      <c r="CE82" s="157" t="str">
        <f t="shared" si="22"/>
        <v/>
      </c>
      <c r="CF82" s="157" t="str">
        <f t="shared" si="22"/>
        <v/>
      </c>
      <c r="CG82" s="157" t="str">
        <f t="shared" si="22"/>
        <v/>
      </c>
      <c r="CH82" s="157" t="str">
        <f t="shared" si="22"/>
        <v/>
      </c>
      <c r="CI82" s="157" t="str">
        <f t="shared" si="22"/>
        <v/>
      </c>
      <c r="CJ82" s="157" t="str">
        <f t="shared" si="22"/>
        <v/>
      </c>
      <c r="CK82" s="157" t="str">
        <f t="shared" si="22"/>
        <v/>
      </c>
      <c r="CL82" s="157" t="str">
        <f t="shared" si="22"/>
        <v/>
      </c>
      <c r="CM82" s="157" t="str">
        <f t="shared" si="22"/>
        <v/>
      </c>
      <c r="CN82" s="157" t="str">
        <f t="shared" si="22"/>
        <v/>
      </c>
      <c r="CO82" s="157" t="str">
        <f t="shared" si="22"/>
        <v/>
      </c>
      <c r="CP82" s="157" t="str">
        <f t="shared" si="22"/>
        <v/>
      </c>
      <c r="CQ82" s="157" t="str">
        <f t="shared" si="22"/>
        <v/>
      </c>
      <c r="CR82" s="157" t="str">
        <f t="shared" si="22"/>
        <v/>
      </c>
      <c r="CS82" s="157" t="str">
        <f t="shared" si="22"/>
        <v/>
      </c>
      <c r="CT82" s="157" t="str">
        <f t="shared" si="22"/>
        <v/>
      </c>
      <c r="CU82" s="157" t="str">
        <f t="shared" ref="CU82:CX82" si="23">IF(ISNUMBER(outYear),IF(BatteryFederalDepreciation=5,CZ63,IF(BatteryFederalDepreciation=7,CZ64,0)),"")</f>
        <v/>
      </c>
      <c r="CV82" s="157" t="str">
        <f t="shared" si="23"/>
        <v/>
      </c>
      <c r="CW82" s="157" t="str">
        <f t="shared" si="23"/>
        <v/>
      </c>
      <c r="CX82" s="157" t="str">
        <f t="shared" si="23"/>
        <v/>
      </c>
    </row>
    <row r="92" spans="1:102">
      <c r="C92" s="154"/>
    </row>
    <row r="93" spans="1:102">
      <c r="C93" s="154"/>
    </row>
    <row r="94" spans="1:102">
      <c r="C94" s="155"/>
      <c r="D94" s="155"/>
      <c r="E94" s="20"/>
      <c r="F94" s="20"/>
    </row>
    <row r="95" spans="1:102">
      <c r="C95" s="155"/>
      <c r="D95" s="155"/>
      <c r="E95" s="20"/>
      <c r="F95" s="20"/>
    </row>
    <row r="96" spans="1:102">
      <c r="C96" s="155"/>
      <c r="D96" s="155"/>
      <c r="E96" s="20"/>
      <c r="F96" s="20"/>
    </row>
    <row r="97" spans="3:33">
      <c r="C97" s="155"/>
      <c r="D97" s="155"/>
      <c r="E97" s="20"/>
      <c r="F97" s="20"/>
    </row>
    <row r="98" spans="3:33">
      <c r="C98" s="155"/>
      <c r="D98" s="155"/>
      <c r="E98" s="20"/>
      <c r="F98" s="20"/>
    </row>
    <row r="99" spans="3:33">
      <c r="C99" s="155"/>
      <c r="D99" s="155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</row>
    <row r="100" spans="3:33">
      <c r="C100" s="155"/>
      <c r="D100" s="155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</row>
    <row r="101" spans="3:33">
      <c r="C101" s="155"/>
      <c r="D101" s="155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3:33">
      <c r="C102" s="155"/>
      <c r="D102" s="155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3:33">
      <c r="C103" s="155"/>
      <c r="D103" s="155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3:33">
      <c r="C104" s="155"/>
      <c r="D104" s="155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3:33">
      <c r="C105" s="155"/>
      <c r="D105" s="155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3:33">
      <c r="C106" s="155"/>
      <c r="D106" s="155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3:33">
      <c r="C107" s="155"/>
      <c r="D107" s="155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3:33">
      <c r="C108" s="155"/>
      <c r="D108" s="155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3:33"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3:33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3:33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3:33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3:33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3:33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  <row r="115" spans="3:33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</row>
    <row r="116" spans="3:33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</row>
    <row r="117" spans="3:33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</row>
    <row r="118" spans="3:33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</row>
    <row r="119" spans="3:33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</row>
    <row r="120" spans="3:33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</row>
    <row r="121" spans="3:33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</row>
    <row r="122" spans="3:33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</row>
    <row r="123" spans="3:33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</row>
    <row r="124" spans="3:33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</row>
    <row r="125" spans="3:33"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</row>
    <row r="126" spans="3:33"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</row>
    <row r="127" spans="3:33"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</row>
    <row r="128" spans="3:33"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</row>
    <row r="129" spans="7:33"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</row>
  </sheetData>
  <phoneticPr fontId="0" type="noConversion"/>
  <conditionalFormatting sqref="B43">
    <cfRule type="expression" dxfId="5" priority="31" stopIfTrue="1">
      <formula>#REF!="Fixed"</formula>
    </cfRule>
  </conditionalFormatting>
  <conditionalFormatting sqref="B48">
    <cfRule type="expression" dxfId="4" priority="32" stopIfTrue="1">
      <formula>#REF!="Fixed"</formula>
    </cfRule>
  </conditionalFormatting>
  <conditionalFormatting sqref="B49">
    <cfRule type="expression" dxfId="3" priority="33" stopIfTrue="1">
      <formula>#REF!="Fixed"</formula>
    </cfRule>
  </conditionalFormatting>
  <conditionalFormatting sqref="B60">
    <cfRule type="expression" dxfId="2" priority="1" stopIfTrue="1">
      <formula>#REF!="Fixed"</formula>
    </cfRule>
  </conditionalFormatting>
  <conditionalFormatting sqref="B65">
    <cfRule type="expression" dxfId="1" priority="2" stopIfTrue="1">
      <formula>#REF!="Fixed"</formula>
    </cfRule>
  </conditionalFormatting>
  <conditionalFormatting sqref="B66">
    <cfRule type="expression" dxfId="0" priority="3" stopIfTrue="1">
      <formula>#REF!="Fixed"</formula>
    </cfRule>
  </conditionalFormatting>
  <dataValidations disablePrompts="1" count="1">
    <dataValidation type="list" allowBlank="1" showInputMessage="1" showErrorMessage="1" sqref="C73 B73" xr:uid="{00000000-0002-0000-0000-000000000000}">
      <formula1>$CV$4:$CV$6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FD91"/>
  <sheetViews>
    <sheetView workbookViewId="0">
      <pane xSplit="1" ySplit="2" topLeftCell="B21" activePane="bottomRight" state="frozen"/>
      <selection activeCell="B6" sqref="B6"/>
      <selection pane="topRight" activeCell="B6" sqref="B6"/>
      <selection pane="bottomLeft" activeCell="B6" sqref="B6"/>
      <selection pane="bottomRight" activeCell="D48" sqref="D48"/>
    </sheetView>
  </sheetViews>
  <sheetFormatPr baseColWidth="10" defaultColWidth="8.83203125" defaultRowHeight="13"/>
  <cols>
    <col min="1" max="1" width="54.5" customWidth="1"/>
    <col min="2" max="2" width="15.6640625" customWidth="1"/>
    <col min="3" max="3" width="13.33203125" customWidth="1"/>
    <col min="4" max="102" width="15.6640625" customWidth="1"/>
  </cols>
  <sheetData>
    <row r="1" spans="1:102" ht="21">
      <c r="A1" s="116" t="s">
        <v>91</v>
      </c>
      <c r="B1" s="9"/>
      <c r="C1" s="10"/>
      <c r="D1" s="49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1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</row>
    <row r="2" spans="1:102" ht="14">
      <c r="A2" s="99" t="s">
        <v>68</v>
      </c>
      <c r="B2" s="97">
        <v>0</v>
      </c>
      <c r="C2" s="97">
        <f t="shared" ref="C2:AH2" si="0">IF(B2="","",IF(B2+1&lt;=analysis_period,B2+1,""))</f>
        <v>1</v>
      </c>
      <c r="D2" s="97">
        <f t="shared" si="0"/>
        <v>2</v>
      </c>
      <c r="E2" s="97">
        <f t="shared" si="0"/>
        <v>3</v>
      </c>
      <c r="F2" s="97">
        <f t="shared" si="0"/>
        <v>4</v>
      </c>
      <c r="G2" s="97">
        <f t="shared" si="0"/>
        <v>5</v>
      </c>
      <c r="H2" s="97">
        <f t="shared" si="0"/>
        <v>6</v>
      </c>
      <c r="I2" s="97">
        <f t="shared" si="0"/>
        <v>7</v>
      </c>
      <c r="J2" s="97">
        <f t="shared" si="0"/>
        <v>8</v>
      </c>
      <c r="K2" s="97">
        <f t="shared" si="0"/>
        <v>9</v>
      </c>
      <c r="L2" s="97">
        <f t="shared" si="0"/>
        <v>10</v>
      </c>
      <c r="M2" s="97">
        <f t="shared" si="0"/>
        <v>11</v>
      </c>
      <c r="N2" s="97">
        <f t="shared" si="0"/>
        <v>12</v>
      </c>
      <c r="O2" s="97">
        <f t="shared" si="0"/>
        <v>13</v>
      </c>
      <c r="P2" s="97">
        <f t="shared" si="0"/>
        <v>14</v>
      </c>
      <c r="Q2" s="97">
        <f t="shared" si="0"/>
        <v>15</v>
      </c>
      <c r="R2" s="97">
        <f t="shared" si="0"/>
        <v>16</v>
      </c>
      <c r="S2" s="97">
        <f t="shared" si="0"/>
        <v>17</v>
      </c>
      <c r="T2" s="97">
        <f t="shared" si="0"/>
        <v>18</v>
      </c>
      <c r="U2" s="97">
        <f t="shared" si="0"/>
        <v>19</v>
      </c>
      <c r="V2" s="97">
        <f t="shared" si="0"/>
        <v>20</v>
      </c>
      <c r="W2" s="97">
        <f t="shared" si="0"/>
        <v>21</v>
      </c>
      <c r="X2" s="97">
        <f t="shared" si="0"/>
        <v>22</v>
      </c>
      <c r="Y2" s="97">
        <f t="shared" si="0"/>
        <v>23</v>
      </c>
      <c r="Z2" s="97">
        <f t="shared" si="0"/>
        <v>24</v>
      </c>
      <c r="AA2" s="97">
        <f t="shared" si="0"/>
        <v>25</v>
      </c>
      <c r="AB2" s="97" t="str">
        <f t="shared" si="0"/>
        <v/>
      </c>
      <c r="AC2" s="97" t="str">
        <f t="shared" si="0"/>
        <v/>
      </c>
      <c r="AD2" s="97" t="str">
        <f t="shared" si="0"/>
        <v/>
      </c>
      <c r="AE2" s="97" t="str">
        <f t="shared" si="0"/>
        <v/>
      </c>
      <c r="AF2" s="97" t="str">
        <f t="shared" si="0"/>
        <v/>
      </c>
      <c r="AG2" s="97" t="str">
        <f t="shared" si="0"/>
        <v/>
      </c>
      <c r="AH2" s="97" t="str">
        <f t="shared" si="0"/>
        <v/>
      </c>
      <c r="AI2" s="97" t="str">
        <f t="shared" ref="AI2:BN2" si="1">IF(AH2="","",IF(AH2+1&lt;=analysis_period,AH2+1,""))</f>
        <v/>
      </c>
      <c r="AJ2" s="97" t="str">
        <f t="shared" si="1"/>
        <v/>
      </c>
      <c r="AK2" s="97" t="str">
        <f t="shared" si="1"/>
        <v/>
      </c>
      <c r="AL2" s="97" t="str">
        <f t="shared" si="1"/>
        <v/>
      </c>
      <c r="AM2" s="97" t="str">
        <f t="shared" si="1"/>
        <v/>
      </c>
      <c r="AN2" s="97" t="str">
        <f t="shared" si="1"/>
        <v/>
      </c>
      <c r="AO2" s="97" t="str">
        <f t="shared" si="1"/>
        <v/>
      </c>
      <c r="AP2" s="97" t="str">
        <f t="shared" si="1"/>
        <v/>
      </c>
      <c r="AQ2" s="97" t="str">
        <f t="shared" si="1"/>
        <v/>
      </c>
      <c r="AR2" s="97" t="str">
        <f t="shared" si="1"/>
        <v/>
      </c>
      <c r="AS2" s="97" t="str">
        <f t="shared" si="1"/>
        <v/>
      </c>
      <c r="AT2" s="97" t="str">
        <f t="shared" si="1"/>
        <v/>
      </c>
      <c r="AU2" s="97" t="str">
        <f t="shared" si="1"/>
        <v/>
      </c>
      <c r="AV2" s="97" t="str">
        <f t="shared" si="1"/>
        <v/>
      </c>
      <c r="AW2" s="97" t="str">
        <f t="shared" si="1"/>
        <v/>
      </c>
      <c r="AX2" s="97" t="str">
        <f t="shared" si="1"/>
        <v/>
      </c>
      <c r="AY2" s="97" t="str">
        <f t="shared" si="1"/>
        <v/>
      </c>
      <c r="AZ2" s="97" t="str">
        <f t="shared" si="1"/>
        <v/>
      </c>
      <c r="BA2" s="97" t="str">
        <f t="shared" si="1"/>
        <v/>
      </c>
      <c r="BB2" s="97" t="str">
        <f t="shared" si="1"/>
        <v/>
      </c>
      <c r="BC2" s="97" t="str">
        <f t="shared" si="1"/>
        <v/>
      </c>
      <c r="BD2" s="97" t="str">
        <f t="shared" si="1"/>
        <v/>
      </c>
      <c r="BE2" s="97" t="str">
        <f t="shared" si="1"/>
        <v/>
      </c>
      <c r="BF2" s="97" t="str">
        <f t="shared" si="1"/>
        <v/>
      </c>
      <c r="BG2" s="97" t="str">
        <f t="shared" si="1"/>
        <v/>
      </c>
      <c r="BH2" s="97" t="str">
        <f t="shared" si="1"/>
        <v/>
      </c>
      <c r="BI2" s="97" t="str">
        <f t="shared" si="1"/>
        <v/>
      </c>
      <c r="BJ2" s="97" t="str">
        <f t="shared" si="1"/>
        <v/>
      </c>
      <c r="BK2" s="97" t="str">
        <f t="shared" si="1"/>
        <v/>
      </c>
      <c r="BL2" s="97" t="str">
        <f t="shared" si="1"/>
        <v/>
      </c>
      <c r="BM2" s="97" t="str">
        <f t="shared" si="1"/>
        <v/>
      </c>
      <c r="BN2" s="97" t="str">
        <f t="shared" si="1"/>
        <v/>
      </c>
      <c r="BO2" s="97" t="str">
        <f t="shared" ref="BO2:CX2" si="2">IF(BN2="","",IF(BN2+1&lt;=analysis_period,BN2+1,""))</f>
        <v/>
      </c>
      <c r="BP2" s="97" t="str">
        <f t="shared" si="2"/>
        <v/>
      </c>
      <c r="BQ2" s="97" t="str">
        <f t="shared" si="2"/>
        <v/>
      </c>
      <c r="BR2" s="97" t="str">
        <f t="shared" si="2"/>
        <v/>
      </c>
      <c r="BS2" s="97" t="str">
        <f t="shared" si="2"/>
        <v/>
      </c>
      <c r="BT2" s="97" t="str">
        <f t="shared" si="2"/>
        <v/>
      </c>
      <c r="BU2" s="97" t="str">
        <f t="shared" si="2"/>
        <v/>
      </c>
      <c r="BV2" s="97" t="str">
        <f t="shared" si="2"/>
        <v/>
      </c>
      <c r="BW2" s="97" t="str">
        <f t="shared" si="2"/>
        <v/>
      </c>
      <c r="BX2" s="97" t="str">
        <f t="shared" si="2"/>
        <v/>
      </c>
      <c r="BY2" s="97" t="str">
        <f t="shared" si="2"/>
        <v/>
      </c>
      <c r="BZ2" s="97" t="str">
        <f t="shared" si="2"/>
        <v/>
      </c>
      <c r="CA2" s="97" t="str">
        <f t="shared" si="2"/>
        <v/>
      </c>
      <c r="CB2" s="97" t="str">
        <f t="shared" si="2"/>
        <v/>
      </c>
      <c r="CC2" s="97" t="str">
        <f t="shared" si="2"/>
        <v/>
      </c>
      <c r="CD2" s="97" t="str">
        <f t="shared" si="2"/>
        <v/>
      </c>
      <c r="CE2" s="97" t="str">
        <f t="shared" si="2"/>
        <v/>
      </c>
      <c r="CF2" s="97" t="str">
        <f t="shared" si="2"/>
        <v/>
      </c>
      <c r="CG2" s="97" t="str">
        <f t="shared" si="2"/>
        <v/>
      </c>
      <c r="CH2" s="97" t="str">
        <f t="shared" si="2"/>
        <v/>
      </c>
      <c r="CI2" s="97" t="str">
        <f t="shared" si="2"/>
        <v/>
      </c>
      <c r="CJ2" s="97" t="str">
        <f t="shared" si="2"/>
        <v/>
      </c>
      <c r="CK2" s="97" t="str">
        <f t="shared" si="2"/>
        <v/>
      </c>
      <c r="CL2" s="97" t="str">
        <f t="shared" si="2"/>
        <v/>
      </c>
      <c r="CM2" s="97" t="str">
        <f t="shared" si="2"/>
        <v/>
      </c>
      <c r="CN2" s="97" t="str">
        <f t="shared" si="2"/>
        <v/>
      </c>
      <c r="CO2" s="97" t="str">
        <f t="shared" si="2"/>
        <v/>
      </c>
      <c r="CP2" s="97" t="str">
        <f t="shared" si="2"/>
        <v/>
      </c>
      <c r="CQ2" s="97" t="str">
        <f t="shared" si="2"/>
        <v/>
      </c>
      <c r="CR2" s="97" t="str">
        <f t="shared" si="2"/>
        <v/>
      </c>
      <c r="CS2" s="97" t="str">
        <f t="shared" si="2"/>
        <v/>
      </c>
      <c r="CT2" s="97" t="str">
        <f t="shared" si="2"/>
        <v/>
      </c>
      <c r="CU2" s="97" t="str">
        <f t="shared" si="2"/>
        <v/>
      </c>
      <c r="CV2" s="97" t="str">
        <f t="shared" si="2"/>
        <v/>
      </c>
      <c r="CW2" s="97" t="str">
        <f t="shared" si="2"/>
        <v/>
      </c>
      <c r="CX2" s="97" t="str">
        <f t="shared" si="2"/>
        <v/>
      </c>
    </row>
    <row r="3" spans="1:102">
      <c r="A3" s="12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</row>
    <row r="4" spans="1:102" ht="14">
      <c r="A4" s="99" t="s">
        <v>70</v>
      </c>
      <c r="B4" s="96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  <c r="AI4" s="97"/>
      <c r="AJ4" s="97"/>
      <c r="AK4" s="97"/>
      <c r="AL4" s="97"/>
      <c r="AM4" s="97"/>
      <c r="AN4" s="97"/>
      <c r="AO4" s="97"/>
      <c r="AP4" s="97"/>
      <c r="AQ4" s="97"/>
      <c r="AR4" s="97"/>
      <c r="AS4" s="97"/>
      <c r="AT4" s="97"/>
      <c r="AU4" s="97"/>
      <c r="AV4" s="97"/>
      <c r="AW4" s="97"/>
      <c r="AX4" s="97"/>
      <c r="AY4" s="97"/>
      <c r="AZ4" s="97"/>
      <c r="BA4" s="97"/>
      <c r="BB4" s="97"/>
      <c r="BC4" s="97"/>
      <c r="BD4" s="97"/>
      <c r="BE4" s="97"/>
      <c r="BF4" s="97"/>
      <c r="BG4" s="97"/>
      <c r="BH4" s="97"/>
      <c r="BI4" s="97"/>
      <c r="BJ4" s="97"/>
      <c r="BK4" s="97"/>
      <c r="BL4" s="97"/>
      <c r="BM4" s="97"/>
      <c r="BN4" s="97"/>
      <c r="BO4" s="97"/>
      <c r="BP4" s="97"/>
      <c r="BQ4" s="97"/>
      <c r="BR4" s="97"/>
      <c r="BS4" s="97"/>
      <c r="BT4" s="97"/>
      <c r="BU4" s="97"/>
      <c r="BV4" s="97"/>
      <c r="BW4" s="97"/>
      <c r="BX4" s="97"/>
      <c r="BY4" s="97"/>
      <c r="BZ4" s="97"/>
      <c r="CA4" s="97"/>
      <c r="CB4" s="97"/>
      <c r="CC4" s="97"/>
      <c r="CD4" s="97"/>
      <c r="CE4" s="97"/>
      <c r="CF4" s="97"/>
      <c r="CG4" s="97"/>
      <c r="CH4" s="97"/>
      <c r="CI4" s="97"/>
      <c r="CJ4" s="97"/>
      <c r="CK4" s="97"/>
      <c r="CL4" s="97"/>
      <c r="CM4" s="97"/>
      <c r="CN4" s="97"/>
      <c r="CO4" s="97"/>
      <c r="CP4" s="97"/>
      <c r="CQ4" s="97"/>
      <c r="CR4" s="97"/>
      <c r="CS4" s="97"/>
      <c r="CT4" s="97"/>
      <c r="CU4" s="97"/>
      <c r="CV4" s="97"/>
      <c r="CW4" s="97"/>
      <c r="CX4" s="98"/>
    </row>
    <row r="5" spans="1:102">
      <c r="A5" s="57" t="s">
        <v>71</v>
      </c>
      <c r="B5" s="93">
        <f t="array" ref="B5:CX5">'Inputs and Outputs'!B76:CX76</f>
        <v>0</v>
      </c>
      <c r="C5" s="93">
        <v>411626</v>
      </c>
      <c r="D5" s="93">
        <v>409567.87</v>
      </c>
      <c r="E5" s="93">
        <v>407520.03064999997</v>
      </c>
      <c r="F5" s="93">
        <v>405482.43049674999</v>
      </c>
      <c r="G5" s="93">
        <v>403455.01834426622</v>
      </c>
      <c r="H5" s="93">
        <v>401437.7432525449</v>
      </c>
      <c r="I5" s="93">
        <v>399430.55453628214</v>
      </c>
      <c r="J5" s="93">
        <v>397433.4017636007</v>
      </c>
      <c r="K5" s="93">
        <v>395446.23475478269</v>
      </c>
      <c r="L5" s="93">
        <v>393469.00358100876</v>
      </c>
      <c r="M5" s="93">
        <v>391501.6585631037</v>
      </c>
      <c r="N5" s="93">
        <v>389544.15027028817</v>
      </c>
      <c r="O5" s="93">
        <v>387596.42951893673</v>
      </c>
      <c r="P5" s="93">
        <v>385658.44737134204</v>
      </c>
      <c r="Q5" s="93">
        <v>383730.15513448534</v>
      </c>
      <c r="R5" s="93">
        <v>381811.50435881293</v>
      </c>
      <c r="S5" s="93">
        <v>379902.44683701888</v>
      </c>
      <c r="T5" s="93">
        <v>378002.93460283376</v>
      </c>
      <c r="U5" s="93">
        <v>376112.91992981959</v>
      </c>
      <c r="V5" s="93">
        <v>374232.35533017048</v>
      </c>
      <c r="W5" s="93">
        <v>372361.19355351961</v>
      </c>
      <c r="X5" s="93">
        <v>370499.387585752</v>
      </c>
      <c r="Y5" s="93">
        <v>368646.89064782322</v>
      </c>
      <c r="Z5" s="93">
        <v>366803.65619458409</v>
      </c>
      <c r="AA5" s="93">
        <v>364969.63791361119</v>
      </c>
      <c r="AB5" s="93" t="str">
        <v/>
      </c>
      <c r="AC5" s="93" t="str">
        <v/>
      </c>
      <c r="AD5" s="93" t="str">
        <v/>
      </c>
      <c r="AE5" s="93" t="str">
        <v/>
      </c>
      <c r="AF5" s="93" t="str">
        <v/>
      </c>
      <c r="AG5" s="93" t="str">
        <v/>
      </c>
      <c r="AH5" s="93" t="str">
        <v/>
      </c>
      <c r="AI5" s="93" t="str">
        <v/>
      </c>
      <c r="AJ5" s="93" t="str">
        <v/>
      </c>
      <c r="AK5" s="93" t="str">
        <v/>
      </c>
      <c r="AL5" s="93" t="str">
        <v/>
      </c>
      <c r="AM5" s="93" t="str">
        <v/>
      </c>
      <c r="AN5" s="93" t="str">
        <v/>
      </c>
      <c r="AO5" s="93" t="str">
        <v/>
      </c>
      <c r="AP5" s="93" t="str">
        <v/>
      </c>
      <c r="AQ5" s="93" t="str">
        <v/>
      </c>
      <c r="AR5" s="93" t="str">
        <v/>
      </c>
      <c r="AS5" s="93" t="str">
        <v/>
      </c>
      <c r="AT5" s="93" t="str">
        <v/>
      </c>
      <c r="AU5" s="93" t="str">
        <v/>
      </c>
      <c r="AV5" s="93" t="str">
        <v/>
      </c>
      <c r="AW5" s="93" t="str">
        <v/>
      </c>
      <c r="AX5" s="93" t="str">
        <v/>
      </c>
      <c r="AY5" s="93" t="str">
        <v/>
      </c>
      <c r="AZ5" s="93" t="str">
        <v/>
      </c>
      <c r="BA5" s="93" t="str">
        <v/>
      </c>
      <c r="BB5" s="93" t="str">
        <v/>
      </c>
      <c r="BC5" s="93" t="str">
        <v/>
      </c>
      <c r="BD5" s="93" t="str">
        <v/>
      </c>
      <c r="BE5" s="93" t="str">
        <v/>
      </c>
      <c r="BF5" s="93" t="str">
        <v/>
      </c>
      <c r="BG5" s="93" t="str">
        <v/>
      </c>
      <c r="BH5" s="93" t="str">
        <v/>
      </c>
      <c r="BI5" s="93" t="str">
        <v/>
      </c>
      <c r="BJ5" s="93" t="str">
        <v/>
      </c>
      <c r="BK5" s="93" t="str">
        <v/>
      </c>
      <c r="BL5" s="93" t="str">
        <v/>
      </c>
      <c r="BM5" s="93" t="str">
        <v/>
      </c>
      <c r="BN5" s="93" t="str">
        <v/>
      </c>
      <c r="BO5" s="93" t="str">
        <v/>
      </c>
      <c r="BP5" s="93" t="str">
        <v/>
      </c>
      <c r="BQ5" s="93" t="str">
        <v/>
      </c>
      <c r="BR5" s="93" t="str">
        <v/>
      </c>
      <c r="BS5" s="93" t="str">
        <v/>
      </c>
      <c r="BT5" s="93" t="str">
        <v/>
      </c>
      <c r="BU5" s="93" t="str">
        <v/>
      </c>
      <c r="BV5" s="93" t="str">
        <v/>
      </c>
      <c r="BW5" s="93" t="str">
        <v/>
      </c>
      <c r="BX5" s="93" t="str">
        <v/>
      </c>
      <c r="BY5" s="93" t="str">
        <v/>
      </c>
      <c r="BZ5" s="93" t="str">
        <v/>
      </c>
      <c r="CA5" s="93" t="str">
        <v/>
      </c>
      <c r="CB5" s="93" t="str">
        <v/>
      </c>
      <c r="CC5" s="93" t="str">
        <v/>
      </c>
      <c r="CD5" s="93" t="str">
        <v/>
      </c>
      <c r="CE5" s="93" t="str">
        <v/>
      </c>
      <c r="CF5" s="93" t="str">
        <v/>
      </c>
      <c r="CG5" s="93" t="str">
        <v/>
      </c>
      <c r="CH5" s="93" t="str">
        <v/>
      </c>
      <c r="CI5" s="93" t="str">
        <v/>
      </c>
      <c r="CJ5" s="93" t="str">
        <v/>
      </c>
      <c r="CK5" s="93" t="str">
        <v/>
      </c>
      <c r="CL5" s="93" t="str">
        <v/>
      </c>
      <c r="CM5" s="93" t="str">
        <v/>
      </c>
      <c r="CN5" s="93" t="str">
        <v/>
      </c>
      <c r="CO5" s="93" t="str">
        <v/>
      </c>
      <c r="CP5" s="93" t="str">
        <v/>
      </c>
      <c r="CQ5" s="93" t="str">
        <v/>
      </c>
      <c r="CR5" s="93" t="str">
        <v/>
      </c>
      <c r="CS5" s="93" t="str">
        <v/>
      </c>
      <c r="CT5" s="93" t="str">
        <v/>
      </c>
      <c r="CU5" s="93" t="str">
        <v/>
      </c>
      <c r="CV5" s="93" t="str">
        <v/>
      </c>
      <c r="CW5" s="93" t="str">
        <v/>
      </c>
      <c r="CX5" s="93" t="str">
        <v/>
      </c>
    </row>
    <row r="6" spans="1:102">
      <c r="A6" s="57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  <c r="AJ6" s="93"/>
      <c r="AK6" s="93"/>
      <c r="AL6" s="93"/>
      <c r="AM6" s="93"/>
      <c r="AN6" s="93"/>
      <c r="AO6" s="93"/>
      <c r="AP6" s="93"/>
      <c r="AQ6" s="93"/>
      <c r="AR6" s="93"/>
      <c r="AS6" s="93"/>
      <c r="AT6" s="93"/>
      <c r="AU6" s="93"/>
      <c r="AV6" s="93"/>
      <c r="AW6" s="93"/>
      <c r="AX6" s="93"/>
      <c r="AY6" s="93"/>
      <c r="AZ6" s="93"/>
      <c r="BA6" s="93"/>
      <c r="BB6" s="93"/>
      <c r="BC6" s="93"/>
      <c r="BD6" s="93"/>
      <c r="BE6" s="93"/>
      <c r="BF6" s="93"/>
      <c r="BG6" s="93"/>
      <c r="BH6" s="93"/>
      <c r="BI6" s="93"/>
      <c r="BJ6" s="93"/>
      <c r="BK6" s="93"/>
      <c r="BL6" s="93"/>
      <c r="BM6" s="93"/>
      <c r="BN6" s="93"/>
      <c r="BO6" s="93"/>
      <c r="BP6" s="93"/>
      <c r="BQ6" s="93"/>
      <c r="BR6" s="93"/>
      <c r="BS6" s="93"/>
      <c r="BT6" s="93"/>
      <c r="BU6" s="93"/>
      <c r="BV6" s="93"/>
      <c r="BW6" s="93"/>
      <c r="BX6" s="93"/>
      <c r="BY6" s="93"/>
      <c r="BZ6" s="93"/>
      <c r="CA6" s="93"/>
      <c r="CB6" s="93"/>
      <c r="CC6" s="93"/>
      <c r="CD6" s="93"/>
      <c r="CE6" s="93"/>
      <c r="CF6" s="93"/>
      <c r="CG6" s="93"/>
      <c r="CH6" s="93"/>
      <c r="CI6" s="93"/>
      <c r="CJ6" s="93"/>
      <c r="CK6" s="93"/>
      <c r="CL6" s="93"/>
      <c r="CM6" s="93"/>
      <c r="CN6" s="93"/>
      <c r="CO6" s="93"/>
      <c r="CP6" s="93"/>
      <c r="CQ6" s="93"/>
      <c r="CR6" s="93"/>
      <c r="CS6" s="93"/>
      <c r="CT6" s="93"/>
      <c r="CU6" s="93"/>
      <c r="CV6" s="93"/>
      <c r="CW6" s="93"/>
      <c r="CX6" s="93"/>
    </row>
    <row r="7" spans="1:102" ht="14">
      <c r="A7" s="99" t="s">
        <v>69</v>
      </c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0"/>
      <c r="BI7" s="100"/>
      <c r="BJ7" s="100"/>
      <c r="BK7" s="100"/>
      <c r="BL7" s="100"/>
      <c r="BM7" s="100"/>
      <c r="BN7" s="100"/>
      <c r="BO7" s="100"/>
      <c r="BP7" s="100"/>
      <c r="BQ7" s="100"/>
      <c r="BR7" s="100"/>
      <c r="BS7" s="100"/>
      <c r="BT7" s="100"/>
      <c r="BU7" s="100"/>
      <c r="BV7" s="100"/>
      <c r="BW7" s="100"/>
      <c r="BX7" s="100"/>
      <c r="BY7" s="100"/>
      <c r="BZ7" s="100"/>
      <c r="CA7" s="100"/>
      <c r="CB7" s="100"/>
      <c r="CC7" s="100"/>
      <c r="CD7" s="100"/>
      <c r="CE7" s="100"/>
      <c r="CF7" s="100"/>
      <c r="CG7" s="100"/>
      <c r="CH7" s="100"/>
      <c r="CI7" s="100"/>
      <c r="CJ7" s="100"/>
      <c r="CK7" s="100"/>
      <c r="CL7" s="100"/>
      <c r="CM7" s="100"/>
      <c r="CN7" s="100"/>
      <c r="CO7" s="100"/>
      <c r="CP7" s="100"/>
      <c r="CQ7" s="100"/>
      <c r="CR7" s="100"/>
      <c r="CS7" s="100"/>
      <c r="CT7" s="100"/>
      <c r="CU7" s="100"/>
      <c r="CV7" s="100"/>
      <c r="CW7" s="100"/>
      <c r="CX7" s="101"/>
    </row>
    <row r="8" spans="1:102">
      <c r="A8" s="58" t="s">
        <v>34</v>
      </c>
      <c r="B8" s="77">
        <f t="array" ref="B8:CX8">'Inputs and Outputs'!B80:CX80</f>
        <v>0</v>
      </c>
      <c r="C8" s="77">
        <v>54867.032812500023</v>
      </c>
      <c r="D8" s="77">
        <v>56464.469960254035</v>
      </c>
      <c r="E8" s="77">
        <v>58108.645517141675</v>
      </c>
      <c r="F8" s="77">
        <v>59800.932903589448</v>
      </c>
      <c r="G8" s="77">
        <v>61542.746050846181</v>
      </c>
      <c r="H8" s="77">
        <v>63335.540599807515</v>
      </c>
      <c r="I8" s="77">
        <v>65180.815135415643</v>
      </c>
      <c r="J8" s="77">
        <v>67080.112457693438</v>
      </c>
      <c r="K8" s="77">
        <v>69035.020890503074</v>
      </c>
      <c r="L8" s="77">
        <v>71047.175629150355</v>
      </c>
      <c r="M8" s="77">
        <v>73118.260127992369</v>
      </c>
      <c r="N8" s="77">
        <v>75250.007529236376</v>
      </c>
      <c r="O8" s="77">
        <v>77444.202134157065</v>
      </c>
      <c r="P8" s="77">
        <v>79702.680917995749</v>
      </c>
      <c r="Q8" s="77">
        <v>82027.335089835804</v>
      </c>
      <c r="R8" s="77">
        <v>84420.111698803026</v>
      </c>
      <c r="S8" s="77">
        <v>86883.015287956689</v>
      </c>
      <c r="T8" s="77">
        <v>89418.109597304137</v>
      </c>
      <c r="U8" s="77">
        <v>92027.519317389</v>
      </c>
      <c r="V8" s="77">
        <v>94713.431894968264</v>
      </c>
      <c r="W8" s="77">
        <v>97478.099392321892</v>
      </c>
      <c r="X8" s="77">
        <v>100323.84040179639</v>
      </c>
      <c r="Y8" s="77">
        <v>103253.04201722308</v>
      </c>
      <c r="Z8" s="77">
        <v>106268.16186390864</v>
      </c>
      <c r="AA8" s="77">
        <v>109371.730188936</v>
      </c>
      <c r="AB8" s="77" t="str">
        <v/>
      </c>
      <c r="AC8" s="77" t="str">
        <v/>
      </c>
      <c r="AD8" s="77" t="str">
        <v/>
      </c>
      <c r="AE8" s="77" t="str">
        <v/>
      </c>
      <c r="AF8" s="77" t="str">
        <v/>
      </c>
      <c r="AG8" s="77" t="str">
        <v/>
      </c>
      <c r="AH8" s="77" t="str">
        <v/>
      </c>
      <c r="AI8" s="77" t="str">
        <v/>
      </c>
      <c r="AJ8" s="77" t="str">
        <v/>
      </c>
      <c r="AK8" s="77" t="str">
        <v/>
      </c>
      <c r="AL8" s="77" t="str">
        <v/>
      </c>
      <c r="AM8" s="77" t="str">
        <v/>
      </c>
      <c r="AN8" s="77" t="str">
        <v/>
      </c>
      <c r="AO8" s="77" t="str">
        <v/>
      </c>
      <c r="AP8" s="77" t="str">
        <v/>
      </c>
      <c r="AQ8" s="77" t="str">
        <v/>
      </c>
      <c r="AR8" s="77" t="str">
        <v/>
      </c>
      <c r="AS8" s="77" t="str">
        <v/>
      </c>
      <c r="AT8" s="77" t="str">
        <v/>
      </c>
      <c r="AU8" s="77" t="str">
        <v/>
      </c>
      <c r="AV8" s="77" t="str">
        <v/>
      </c>
      <c r="AW8" s="77" t="str">
        <v/>
      </c>
      <c r="AX8" s="77" t="str">
        <v/>
      </c>
      <c r="AY8" s="77" t="str">
        <v/>
      </c>
      <c r="AZ8" s="77" t="str">
        <v/>
      </c>
      <c r="BA8" s="77" t="str">
        <v/>
      </c>
      <c r="BB8" s="77" t="str">
        <v/>
      </c>
      <c r="BC8" s="77" t="str">
        <v/>
      </c>
      <c r="BD8" s="77" t="str">
        <v/>
      </c>
      <c r="BE8" s="77" t="str">
        <v/>
      </c>
      <c r="BF8" s="77" t="str">
        <v/>
      </c>
      <c r="BG8" s="77" t="str">
        <v/>
      </c>
      <c r="BH8" s="77" t="str">
        <v/>
      </c>
      <c r="BI8" s="77" t="str">
        <v/>
      </c>
      <c r="BJ8" s="77" t="str">
        <v/>
      </c>
      <c r="BK8" s="77" t="str">
        <v/>
      </c>
      <c r="BL8" s="77" t="str">
        <v/>
      </c>
      <c r="BM8" s="77" t="str">
        <v/>
      </c>
      <c r="BN8" s="77" t="str">
        <v/>
      </c>
      <c r="BO8" s="77" t="str">
        <v/>
      </c>
      <c r="BP8" s="77" t="str">
        <v/>
      </c>
      <c r="BQ8" s="77" t="str">
        <v/>
      </c>
      <c r="BR8" s="77" t="str">
        <v/>
      </c>
      <c r="BS8" s="77" t="str">
        <v/>
      </c>
      <c r="BT8" s="77" t="str">
        <v/>
      </c>
      <c r="BU8" s="77" t="str">
        <v/>
      </c>
      <c r="BV8" s="77" t="str">
        <v/>
      </c>
      <c r="BW8" s="77" t="str">
        <v/>
      </c>
      <c r="BX8" s="77" t="str">
        <v/>
      </c>
      <c r="BY8" s="77" t="str">
        <v/>
      </c>
      <c r="BZ8" s="77" t="str">
        <v/>
      </c>
      <c r="CA8" s="77" t="str">
        <v/>
      </c>
      <c r="CB8" s="77" t="str">
        <v/>
      </c>
      <c r="CC8" s="77" t="str">
        <v/>
      </c>
      <c r="CD8" s="77" t="str">
        <v/>
      </c>
      <c r="CE8" s="77" t="str">
        <v/>
      </c>
      <c r="CF8" s="77" t="str">
        <v/>
      </c>
      <c r="CG8" s="77" t="str">
        <v/>
      </c>
      <c r="CH8" s="77" t="str">
        <v/>
      </c>
      <c r="CI8" s="77" t="str">
        <v/>
      </c>
      <c r="CJ8" s="77" t="str">
        <v/>
      </c>
      <c r="CK8" s="77" t="str">
        <v/>
      </c>
      <c r="CL8" s="77" t="str">
        <v/>
      </c>
      <c r="CM8" s="77" t="str">
        <v/>
      </c>
      <c r="CN8" s="77" t="str">
        <v/>
      </c>
      <c r="CO8" s="77" t="str">
        <v/>
      </c>
      <c r="CP8" s="77" t="str">
        <v/>
      </c>
      <c r="CQ8" s="77" t="str">
        <v/>
      </c>
      <c r="CR8" s="77" t="str">
        <v/>
      </c>
      <c r="CS8" s="77" t="str">
        <v/>
      </c>
      <c r="CT8" s="77" t="str">
        <v/>
      </c>
      <c r="CU8" s="77" t="str">
        <v/>
      </c>
      <c r="CV8" s="77" t="str">
        <v/>
      </c>
      <c r="CW8" s="77" t="str">
        <v/>
      </c>
      <c r="CX8" s="77" t="str">
        <v/>
      </c>
    </row>
    <row r="9" spans="1:102" ht="14">
      <c r="A9" s="4"/>
      <c r="B9" s="1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</row>
    <row r="10" spans="1:102">
      <c r="A10" s="62" t="s">
        <v>72</v>
      </c>
      <c r="B10" s="59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60"/>
      <c r="CX10" s="61"/>
    </row>
    <row r="11" spans="1:102" s="2" customFormat="1">
      <c r="A11" s="57" t="s">
        <v>23</v>
      </c>
      <c r="B11" s="1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</row>
    <row r="12" spans="1:102" s="2" customFormat="1">
      <c r="A12" s="63" t="s">
        <v>27</v>
      </c>
      <c r="B12" s="16"/>
      <c r="C12" s="77">
        <f t="shared" ref="C12:BN12" si="3">IF(AND(ISNUMBER(outYear),ISNUMBER(om_capacity)),om_capacity*(1+inflation_rate/100)^C2*system_capacity,"")</f>
        <v>4501.5129999999999</v>
      </c>
      <c r="D12" s="77">
        <f t="shared" si="3"/>
        <v>4614.0508250000003</v>
      </c>
      <c r="E12" s="77">
        <f t="shared" si="3"/>
        <v>4729.4020956249997</v>
      </c>
      <c r="F12" s="77">
        <f t="shared" si="3"/>
        <v>4847.637148015624</v>
      </c>
      <c r="G12" s="77">
        <f t="shared" si="3"/>
        <v>4968.828076716014</v>
      </c>
      <c r="H12" s="77">
        <f t="shared" si="3"/>
        <v>5093.0487786339145</v>
      </c>
      <c r="I12" s="77">
        <f t="shared" si="3"/>
        <v>5220.3749980997627</v>
      </c>
      <c r="J12" s="77">
        <f t="shared" si="3"/>
        <v>5350.8843730522567</v>
      </c>
      <c r="K12" s="77">
        <f t="shared" si="3"/>
        <v>5484.6564823785611</v>
      </c>
      <c r="L12" s="77">
        <f t="shared" si="3"/>
        <v>5621.7728944380251</v>
      </c>
      <c r="M12" s="77">
        <f t="shared" si="3"/>
        <v>5762.317216798976</v>
      </c>
      <c r="N12" s="77">
        <f t="shared" si="3"/>
        <v>5906.3751472189497</v>
      </c>
      <c r="O12" s="77">
        <f t="shared" si="3"/>
        <v>6054.034525899423</v>
      </c>
      <c r="P12" s="77">
        <f t="shared" si="3"/>
        <v>6205.385389046909</v>
      </c>
      <c r="Q12" s="77">
        <f t="shared" si="3"/>
        <v>6360.5200237730824</v>
      </c>
      <c r="R12" s="77">
        <f t="shared" si="3"/>
        <v>6519.5330243674089</v>
      </c>
      <c r="S12" s="77">
        <f t="shared" si="3"/>
        <v>6682.5213499765923</v>
      </c>
      <c r="T12" s="77">
        <f t="shared" si="3"/>
        <v>6849.5843837260081</v>
      </c>
      <c r="U12" s="77">
        <f t="shared" si="3"/>
        <v>7020.823993319158</v>
      </c>
      <c r="V12" s="77">
        <f t="shared" si="3"/>
        <v>7196.3445931521355</v>
      </c>
      <c r="W12" s="77">
        <f t="shared" si="3"/>
        <v>7376.2532079809389</v>
      </c>
      <c r="X12" s="77">
        <f t="shared" si="3"/>
        <v>7560.6595381804627</v>
      </c>
      <c r="Y12" s="77">
        <f t="shared" si="3"/>
        <v>7749.6760266349738</v>
      </c>
      <c r="Z12" s="77">
        <f t="shared" si="3"/>
        <v>7943.4179273008485</v>
      </c>
      <c r="AA12" s="77">
        <f t="shared" si="3"/>
        <v>8142.0033754833667</v>
      </c>
      <c r="AB12" s="77" t="str">
        <f t="shared" si="3"/>
        <v/>
      </c>
      <c r="AC12" s="77" t="str">
        <f t="shared" si="3"/>
        <v/>
      </c>
      <c r="AD12" s="77" t="str">
        <f t="shared" si="3"/>
        <v/>
      </c>
      <c r="AE12" s="77" t="str">
        <f t="shared" si="3"/>
        <v/>
      </c>
      <c r="AF12" s="77" t="str">
        <f t="shared" si="3"/>
        <v/>
      </c>
      <c r="AG12" s="77" t="str">
        <f t="shared" si="3"/>
        <v/>
      </c>
      <c r="AH12" s="77" t="str">
        <f t="shared" si="3"/>
        <v/>
      </c>
      <c r="AI12" s="77" t="str">
        <f t="shared" si="3"/>
        <v/>
      </c>
      <c r="AJ12" s="77" t="str">
        <f t="shared" si="3"/>
        <v/>
      </c>
      <c r="AK12" s="77" t="str">
        <f t="shared" si="3"/>
        <v/>
      </c>
      <c r="AL12" s="77" t="str">
        <f t="shared" si="3"/>
        <v/>
      </c>
      <c r="AM12" s="77" t="str">
        <f t="shared" si="3"/>
        <v/>
      </c>
      <c r="AN12" s="77" t="str">
        <f t="shared" si="3"/>
        <v/>
      </c>
      <c r="AO12" s="77" t="str">
        <f t="shared" si="3"/>
        <v/>
      </c>
      <c r="AP12" s="77" t="str">
        <f t="shared" si="3"/>
        <v/>
      </c>
      <c r="AQ12" s="77" t="str">
        <f t="shared" si="3"/>
        <v/>
      </c>
      <c r="AR12" s="77" t="str">
        <f t="shared" si="3"/>
        <v/>
      </c>
      <c r="AS12" s="77" t="str">
        <f t="shared" si="3"/>
        <v/>
      </c>
      <c r="AT12" s="77" t="str">
        <f t="shared" si="3"/>
        <v/>
      </c>
      <c r="AU12" s="77" t="str">
        <f t="shared" si="3"/>
        <v/>
      </c>
      <c r="AV12" s="77" t="str">
        <f t="shared" si="3"/>
        <v/>
      </c>
      <c r="AW12" s="77" t="str">
        <f t="shared" si="3"/>
        <v/>
      </c>
      <c r="AX12" s="77" t="str">
        <f t="shared" si="3"/>
        <v/>
      </c>
      <c r="AY12" s="77" t="str">
        <f t="shared" si="3"/>
        <v/>
      </c>
      <c r="AZ12" s="77" t="str">
        <f t="shared" si="3"/>
        <v/>
      </c>
      <c r="BA12" s="77" t="str">
        <f t="shared" si="3"/>
        <v/>
      </c>
      <c r="BB12" s="77" t="str">
        <f t="shared" si="3"/>
        <v/>
      </c>
      <c r="BC12" s="77" t="str">
        <f t="shared" si="3"/>
        <v/>
      </c>
      <c r="BD12" s="77" t="str">
        <f t="shared" si="3"/>
        <v/>
      </c>
      <c r="BE12" s="77" t="str">
        <f t="shared" si="3"/>
        <v/>
      </c>
      <c r="BF12" s="77" t="str">
        <f t="shared" si="3"/>
        <v/>
      </c>
      <c r="BG12" s="77" t="str">
        <f t="shared" si="3"/>
        <v/>
      </c>
      <c r="BH12" s="77" t="str">
        <f t="shared" si="3"/>
        <v/>
      </c>
      <c r="BI12" s="77" t="str">
        <f t="shared" si="3"/>
        <v/>
      </c>
      <c r="BJ12" s="77" t="str">
        <f t="shared" si="3"/>
        <v/>
      </c>
      <c r="BK12" s="77" t="str">
        <f t="shared" si="3"/>
        <v/>
      </c>
      <c r="BL12" s="77" t="str">
        <f t="shared" si="3"/>
        <v/>
      </c>
      <c r="BM12" s="77" t="str">
        <f t="shared" si="3"/>
        <v/>
      </c>
      <c r="BN12" s="77" t="str">
        <f t="shared" si="3"/>
        <v/>
      </c>
      <c r="BO12" s="77" t="str">
        <f t="shared" ref="BO12:CX12" si="4">IF(AND(ISNUMBER(outYear),ISNUMBER(om_capacity)),om_capacity*(1+inflation_rate/100)^BO2*system_capacity,"")</f>
        <v/>
      </c>
      <c r="BP12" s="77" t="str">
        <f t="shared" si="4"/>
        <v/>
      </c>
      <c r="BQ12" s="77" t="str">
        <f t="shared" si="4"/>
        <v/>
      </c>
      <c r="BR12" s="77" t="str">
        <f t="shared" si="4"/>
        <v/>
      </c>
      <c r="BS12" s="77" t="str">
        <f t="shared" si="4"/>
        <v/>
      </c>
      <c r="BT12" s="77" t="str">
        <f t="shared" si="4"/>
        <v/>
      </c>
      <c r="BU12" s="77" t="str">
        <f t="shared" si="4"/>
        <v/>
      </c>
      <c r="BV12" s="77" t="str">
        <f t="shared" si="4"/>
        <v/>
      </c>
      <c r="BW12" s="77" t="str">
        <f t="shared" si="4"/>
        <v/>
      </c>
      <c r="BX12" s="77" t="str">
        <f t="shared" si="4"/>
        <v/>
      </c>
      <c r="BY12" s="77" t="str">
        <f t="shared" si="4"/>
        <v/>
      </c>
      <c r="BZ12" s="77" t="str">
        <f t="shared" si="4"/>
        <v/>
      </c>
      <c r="CA12" s="77" t="str">
        <f t="shared" si="4"/>
        <v/>
      </c>
      <c r="CB12" s="77" t="str">
        <f t="shared" si="4"/>
        <v/>
      </c>
      <c r="CC12" s="77" t="str">
        <f t="shared" si="4"/>
        <v/>
      </c>
      <c r="CD12" s="77" t="str">
        <f t="shared" si="4"/>
        <v/>
      </c>
      <c r="CE12" s="77" t="str">
        <f t="shared" si="4"/>
        <v/>
      </c>
      <c r="CF12" s="77" t="str">
        <f t="shared" si="4"/>
        <v/>
      </c>
      <c r="CG12" s="77" t="str">
        <f t="shared" si="4"/>
        <v/>
      </c>
      <c r="CH12" s="77" t="str">
        <f t="shared" si="4"/>
        <v/>
      </c>
      <c r="CI12" s="77" t="str">
        <f t="shared" si="4"/>
        <v/>
      </c>
      <c r="CJ12" s="77" t="str">
        <f t="shared" si="4"/>
        <v/>
      </c>
      <c r="CK12" s="77" t="str">
        <f t="shared" si="4"/>
        <v/>
      </c>
      <c r="CL12" s="77" t="str">
        <f t="shared" si="4"/>
        <v/>
      </c>
      <c r="CM12" s="77" t="str">
        <f t="shared" si="4"/>
        <v/>
      </c>
      <c r="CN12" s="77" t="str">
        <f t="shared" si="4"/>
        <v/>
      </c>
      <c r="CO12" s="77" t="str">
        <f t="shared" si="4"/>
        <v/>
      </c>
      <c r="CP12" s="77" t="str">
        <f t="shared" si="4"/>
        <v/>
      </c>
      <c r="CQ12" s="77" t="str">
        <f t="shared" si="4"/>
        <v/>
      </c>
      <c r="CR12" s="77" t="str">
        <f t="shared" si="4"/>
        <v/>
      </c>
      <c r="CS12" s="77" t="str">
        <f t="shared" si="4"/>
        <v/>
      </c>
      <c r="CT12" s="77" t="str">
        <f t="shared" si="4"/>
        <v/>
      </c>
      <c r="CU12" s="77" t="str">
        <f t="shared" si="4"/>
        <v/>
      </c>
      <c r="CV12" s="77" t="str">
        <f t="shared" si="4"/>
        <v/>
      </c>
      <c r="CW12" s="77" t="str">
        <f t="shared" si="4"/>
        <v/>
      </c>
      <c r="CX12" s="77" t="str">
        <f t="shared" si="4"/>
        <v/>
      </c>
    </row>
    <row r="13" spans="1:102" s="2" customFormat="1">
      <c r="A13" s="63" t="s">
        <v>86</v>
      </c>
      <c r="B13" s="16"/>
      <c r="C13" s="77">
        <f t="shared" ref="C13:AH13" si="5">IF(ISNUMBER(outYear), IF(EXACT(batt_repl_kw_year,C2), IF(ISNUMBER(batt_repl_cost_kw),(batt_kw * batt_repl_cost_kw),""), 0),"")</f>
        <v>0</v>
      </c>
      <c r="D13" s="77">
        <f t="shared" si="5"/>
        <v>0</v>
      </c>
      <c r="E13" s="77">
        <f t="shared" si="5"/>
        <v>0</v>
      </c>
      <c r="F13" s="77">
        <f t="shared" si="5"/>
        <v>0</v>
      </c>
      <c r="G13" s="77">
        <f t="shared" si="5"/>
        <v>0</v>
      </c>
      <c r="H13" s="77">
        <f t="shared" si="5"/>
        <v>0</v>
      </c>
      <c r="I13" s="77">
        <f t="shared" si="5"/>
        <v>0</v>
      </c>
      <c r="J13" s="77">
        <f t="shared" si="5"/>
        <v>0</v>
      </c>
      <c r="K13" s="77">
        <f t="shared" si="5"/>
        <v>0</v>
      </c>
      <c r="L13" s="77">
        <f t="shared" si="5"/>
        <v>50000</v>
      </c>
      <c r="M13" s="77">
        <f t="shared" si="5"/>
        <v>0</v>
      </c>
      <c r="N13" s="77">
        <f t="shared" si="5"/>
        <v>0</v>
      </c>
      <c r="O13" s="77">
        <f t="shared" si="5"/>
        <v>0</v>
      </c>
      <c r="P13" s="77">
        <f t="shared" si="5"/>
        <v>0</v>
      </c>
      <c r="Q13" s="77">
        <f t="shared" si="5"/>
        <v>0</v>
      </c>
      <c r="R13" s="77">
        <f t="shared" si="5"/>
        <v>0</v>
      </c>
      <c r="S13" s="77">
        <f t="shared" si="5"/>
        <v>0</v>
      </c>
      <c r="T13" s="77">
        <f t="shared" si="5"/>
        <v>0</v>
      </c>
      <c r="U13" s="77">
        <f t="shared" si="5"/>
        <v>0</v>
      </c>
      <c r="V13" s="77">
        <f t="shared" si="5"/>
        <v>0</v>
      </c>
      <c r="W13" s="77">
        <f t="shared" si="5"/>
        <v>0</v>
      </c>
      <c r="X13" s="77">
        <f t="shared" si="5"/>
        <v>0</v>
      </c>
      <c r="Y13" s="77">
        <f t="shared" si="5"/>
        <v>0</v>
      </c>
      <c r="Z13" s="77">
        <f t="shared" si="5"/>
        <v>0</v>
      </c>
      <c r="AA13" s="77">
        <f t="shared" si="5"/>
        <v>0</v>
      </c>
      <c r="AB13" s="77" t="str">
        <f t="shared" si="5"/>
        <v/>
      </c>
      <c r="AC13" s="77" t="str">
        <f t="shared" si="5"/>
        <v/>
      </c>
      <c r="AD13" s="77" t="str">
        <f t="shared" si="5"/>
        <v/>
      </c>
      <c r="AE13" s="77" t="str">
        <f t="shared" si="5"/>
        <v/>
      </c>
      <c r="AF13" s="77" t="str">
        <f t="shared" si="5"/>
        <v/>
      </c>
      <c r="AG13" s="77" t="str">
        <f t="shared" si="5"/>
        <v/>
      </c>
      <c r="AH13" s="77" t="str">
        <f t="shared" si="5"/>
        <v/>
      </c>
      <c r="AI13" s="77" t="str">
        <f t="shared" ref="AI13:BN13" si="6">IF(ISNUMBER(outYear), IF(EXACT(batt_repl_kw_year,AI2), IF(ISNUMBER(batt_repl_cost_kw),(batt_kw * batt_repl_cost_kw),""), 0),"")</f>
        <v/>
      </c>
      <c r="AJ13" s="77" t="str">
        <f t="shared" si="6"/>
        <v/>
      </c>
      <c r="AK13" s="77" t="str">
        <f t="shared" si="6"/>
        <v/>
      </c>
      <c r="AL13" s="77" t="str">
        <f t="shared" si="6"/>
        <v/>
      </c>
      <c r="AM13" s="77" t="str">
        <f t="shared" si="6"/>
        <v/>
      </c>
      <c r="AN13" s="77" t="str">
        <f t="shared" si="6"/>
        <v/>
      </c>
      <c r="AO13" s="77" t="str">
        <f t="shared" si="6"/>
        <v/>
      </c>
      <c r="AP13" s="77" t="str">
        <f t="shared" si="6"/>
        <v/>
      </c>
      <c r="AQ13" s="77" t="str">
        <f t="shared" si="6"/>
        <v/>
      </c>
      <c r="AR13" s="77" t="str">
        <f t="shared" si="6"/>
        <v/>
      </c>
      <c r="AS13" s="77" t="str">
        <f t="shared" si="6"/>
        <v/>
      </c>
      <c r="AT13" s="77" t="str">
        <f t="shared" si="6"/>
        <v/>
      </c>
      <c r="AU13" s="77" t="str">
        <f t="shared" si="6"/>
        <v/>
      </c>
      <c r="AV13" s="77" t="str">
        <f t="shared" si="6"/>
        <v/>
      </c>
      <c r="AW13" s="77" t="str">
        <f t="shared" si="6"/>
        <v/>
      </c>
      <c r="AX13" s="77" t="str">
        <f t="shared" si="6"/>
        <v/>
      </c>
      <c r="AY13" s="77" t="str">
        <f t="shared" si="6"/>
        <v/>
      </c>
      <c r="AZ13" s="77" t="str">
        <f t="shared" si="6"/>
        <v/>
      </c>
      <c r="BA13" s="77" t="str">
        <f t="shared" si="6"/>
        <v/>
      </c>
      <c r="BB13" s="77" t="str">
        <f t="shared" si="6"/>
        <v/>
      </c>
      <c r="BC13" s="77" t="str">
        <f t="shared" si="6"/>
        <v/>
      </c>
      <c r="BD13" s="77" t="str">
        <f t="shared" si="6"/>
        <v/>
      </c>
      <c r="BE13" s="77" t="str">
        <f t="shared" si="6"/>
        <v/>
      </c>
      <c r="BF13" s="77" t="str">
        <f t="shared" si="6"/>
        <v/>
      </c>
      <c r="BG13" s="77" t="str">
        <f t="shared" si="6"/>
        <v/>
      </c>
      <c r="BH13" s="77" t="str">
        <f t="shared" si="6"/>
        <v/>
      </c>
      <c r="BI13" s="77" t="str">
        <f t="shared" si="6"/>
        <v/>
      </c>
      <c r="BJ13" s="77" t="str">
        <f t="shared" si="6"/>
        <v/>
      </c>
      <c r="BK13" s="77" t="str">
        <f t="shared" si="6"/>
        <v/>
      </c>
      <c r="BL13" s="77" t="str">
        <f t="shared" si="6"/>
        <v/>
      </c>
      <c r="BM13" s="77" t="str">
        <f t="shared" si="6"/>
        <v/>
      </c>
      <c r="BN13" s="77" t="str">
        <f t="shared" si="6"/>
        <v/>
      </c>
      <c r="BO13" s="77" t="str">
        <f t="shared" ref="BO13:CX13" si="7">IF(ISNUMBER(outYear), IF(EXACT(batt_repl_kw_year,BO2), IF(ISNUMBER(batt_repl_cost_kw),(batt_kw * batt_repl_cost_kw),""), 0),"")</f>
        <v/>
      </c>
      <c r="BP13" s="77" t="str">
        <f t="shared" si="7"/>
        <v/>
      </c>
      <c r="BQ13" s="77" t="str">
        <f t="shared" si="7"/>
        <v/>
      </c>
      <c r="BR13" s="77" t="str">
        <f t="shared" si="7"/>
        <v/>
      </c>
      <c r="BS13" s="77" t="str">
        <f t="shared" si="7"/>
        <v/>
      </c>
      <c r="BT13" s="77" t="str">
        <f t="shared" si="7"/>
        <v/>
      </c>
      <c r="BU13" s="77" t="str">
        <f t="shared" si="7"/>
        <v/>
      </c>
      <c r="BV13" s="77" t="str">
        <f t="shared" si="7"/>
        <v/>
      </c>
      <c r="BW13" s="77" t="str">
        <f t="shared" si="7"/>
        <v/>
      </c>
      <c r="BX13" s="77" t="str">
        <f t="shared" si="7"/>
        <v/>
      </c>
      <c r="BY13" s="77" t="str">
        <f t="shared" si="7"/>
        <v/>
      </c>
      <c r="BZ13" s="77" t="str">
        <f t="shared" si="7"/>
        <v/>
      </c>
      <c r="CA13" s="77" t="str">
        <f t="shared" si="7"/>
        <v/>
      </c>
      <c r="CB13" s="77" t="str">
        <f t="shared" si="7"/>
        <v/>
      </c>
      <c r="CC13" s="77" t="str">
        <f t="shared" si="7"/>
        <v/>
      </c>
      <c r="CD13" s="77" t="str">
        <f t="shared" si="7"/>
        <v/>
      </c>
      <c r="CE13" s="77" t="str">
        <f t="shared" si="7"/>
        <v/>
      </c>
      <c r="CF13" s="77" t="str">
        <f t="shared" si="7"/>
        <v/>
      </c>
      <c r="CG13" s="77" t="str">
        <f t="shared" si="7"/>
        <v/>
      </c>
      <c r="CH13" s="77" t="str">
        <f t="shared" si="7"/>
        <v/>
      </c>
      <c r="CI13" s="77" t="str">
        <f t="shared" si="7"/>
        <v/>
      </c>
      <c r="CJ13" s="77" t="str">
        <f t="shared" si="7"/>
        <v/>
      </c>
      <c r="CK13" s="77" t="str">
        <f t="shared" si="7"/>
        <v/>
      </c>
      <c r="CL13" s="77" t="str">
        <f t="shared" si="7"/>
        <v/>
      </c>
      <c r="CM13" s="77" t="str">
        <f t="shared" si="7"/>
        <v/>
      </c>
      <c r="CN13" s="77" t="str">
        <f t="shared" si="7"/>
        <v/>
      </c>
      <c r="CO13" s="77" t="str">
        <f t="shared" si="7"/>
        <v/>
      </c>
      <c r="CP13" s="77" t="str">
        <f t="shared" si="7"/>
        <v/>
      </c>
      <c r="CQ13" s="77" t="str">
        <f t="shared" si="7"/>
        <v/>
      </c>
      <c r="CR13" s="77" t="str">
        <f t="shared" si="7"/>
        <v/>
      </c>
      <c r="CS13" s="77" t="str">
        <f t="shared" si="7"/>
        <v/>
      </c>
      <c r="CT13" s="77" t="str">
        <f t="shared" si="7"/>
        <v/>
      </c>
      <c r="CU13" s="77" t="str">
        <f t="shared" si="7"/>
        <v/>
      </c>
      <c r="CV13" s="77" t="str">
        <f t="shared" si="7"/>
        <v/>
      </c>
      <c r="CW13" s="77" t="str">
        <f t="shared" si="7"/>
        <v/>
      </c>
      <c r="CX13" s="77" t="str">
        <f t="shared" si="7"/>
        <v/>
      </c>
    </row>
    <row r="14" spans="1:102" s="2" customFormat="1">
      <c r="A14" s="63" t="s">
        <v>87</v>
      </c>
      <c r="B14" s="16"/>
      <c r="C14" s="77">
        <f t="shared" ref="C14:AH14" si="8">IF(ISNUMBER(outYear), IF(EXACT(batt_repl_year_kwh,C2), IF(ISNUMBER(batt_repl_cost_kwh),(batt_kwh * batt_repl_cost_kwh),""), 0),"")</f>
        <v>0</v>
      </c>
      <c r="D14" s="77">
        <f t="shared" si="8"/>
        <v>0</v>
      </c>
      <c r="E14" s="77">
        <f t="shared" si="8"/>
        <v>0</v>
      </c>
      <c r="F14" s="77">
        <f t="shared" si="8"/>
        <v>0</v>
      </c>
      <c r="G14" s="77">
        <f t="shared" si="8"/>
        <v>0</v>
      </c>
      <c r="H14" s="77">
        <f t="shared" si="8"/>
        <v>0</v>
      </c>
      <c r="I14" s="77">
        <f t="shared" si="8"/>
        <v>0</v>
      </c>
      <c r="J14" s="77">
        <f t="shared" si="8"/>
        <v>0</v>
      </c>
      <c r="K14" s="77">
        <f t="shared" si="8"/>
        <v>0</v>
      </c>
      <c r="L14" s="77">
        <f t="shared" si="8"/>
        <v>25000</v>
      </c>
      <c r="M14" s="77">
        <f t="shared" si="8"/>
        <v>0</v>
      </c>
      <c r="N14" s="77">
        <f t="shared" si="8"/>
        <v>0</v>
      </c>
      <c r="O14" s="77">
        <f t="shared" si="8"/>
        <v>0</v>
      </c>
      <c r="P14" s="77">
        <f t="shared" si="8"/>
        <v>0</v>
      </c>
      <c r="Q14" s="77">
        <f t="shared" si="8"/>
        <v>0</v>
      </c>
      <c r="R14" s="77">
        <f t="shared" si="8"/>
        <v>0</v>
      </c>
      <c r="S14" s="77">
        <f t="shared" si="8"/>
        <v>0</v>
      </c>
      <c r="T14" s="77">
        <f t="shared" si="8"/>
        <v>0</v>
      </c>
      <c r="U14" s="77">
        <f t="shared" si="8"/>
        <v>0</v>
      </c>
      <c r="V14" s="77">
        <f t="shared" si="8"/>
        <v>0</v>
      </c>
      <c r="W14" s="77">
        <f t="shared" si="8"/>
        <v>0</v>
      </c>
      <c r="X14" s="77">
        <f t="shared" si="8"/>
        <v>0</v>
      </c>
      <c r="Y14" s="77">
        <f t="shared" si="8"/>
        <v>0</v>
      </c>
      <c r="Z14" s="77">
        <f t="shared" si="8"/>
        <v>0</v>
      </c>
      <c r="AA14" s="77">
        <f t="shared" si="8"/>
        <v>0</v>
      </c>
      <c r="AB14" s="77" t="str">
        <f t="shared" si="8"/>
        <v/>
      </c>
      <c r="AC14" s="77" t="str">
        <f t="shared" si="8"/>
        <v/>
      </c>
      <c r="AD14" s="77" t="str">
        <f t="shared" si="8"/>
        <v/>
      </c>
      <c r="AE14" s="77" t="str">
        <f t="shared" si="8"/>
        <v/>
      </c>
      <c r="AF14" s="77" t="str">
        <f t="shared" si="8"/>
        <v/>
      </c>
      <c r="AG14" s="77" t="str">
        <f t="shared" si="8"/>
        <v/>
      </c>
      <c r="AH14" s="77" t="str">
        <f t="shared" si="8"/>
        <v/>
      </c>
      <c r="AI14" s="77" t="str">
        <f t="shared" ref="AI14:BN14" si="9">IF(ISNUMBER(outYear), IF(EXACT(batt_repl_year_kwh,AI2), IF(ISNUMBER(batt_repl_cost_kwh),(batt_kwh * batt_repl_cost_kwh),""), 0),"")</f>
        <v/>
      </c>
      <c r="AJ14" s="77" t="str">
        <f t="shared" si="9"/>
        <v/>
      </c>
      <c r="AK14" s="77" t="str">
        <f t="shared" si="9"/>
        <v/>
      </c>
      <c r="AL14" s="77" t="str">
        <f t="shared" si="9"/>
        <v/>
      </c>
      <c r="AM14" s="77" t="str">
        <f t="shared" si="9"/>
        <v/>
      </c>
      <c r="AN14" s="77" t="str">
        <f t="shared" si="9"/>
        <v/>
      </c>
      <c r="AO14" s="77" t="str">
        <f t="shared" si="9"/>
        <v/>
      </c>
      <c r="AP14" s="77" t="str">
        <f t="shared" si="9"/>
        <v/>
      </c>
      <c r="AQ14" s="77" t="str">
        <f t="shared" si="9"/>
        <v/>
      </c>
      <c r="AR14" s="77" t="str">
        <f t="shared" si="9"/>
        <v/>
      </c>
      <c r="AS14" s="77" t="str">
        <f t="shared" si="9"/>
        <v/>
      </c>
      <c r="AT14" s="77" t="str">
        <f t="shared" si="9"/>
        <v/>
      </c>
      <c r="AU14" s="77" t="str">
        <f t="shared" si="9"/>
        <v/>
      </c>
      <c r="AV14" s="77" t="str">
        <f t="shared" si="9"/>
        <v/>
      </c>
      <c r="AW14" s="77" t="str">
        <f t="shared" si="9"/>
        <v/>
      </c>
      <c r="AX14" s="77" t="str">
        <f t="shared" si="9"/>
        <v/>
      </c>
      <c r="AY14" s="77" t="str">
        <f t="shared" si="9"/>
        <v/>
      </c>
      <c r="AZ14" s="77" t="str">
        <f t="shared" si="9"/>
        <v/>
      </c>
      <c r="BA14" s="77" t="str">
        <f t="shared" si="9"/>
        <v/>
      </c>
      <c r="BB14" s="77" t="str">
        <f t="shared" si="9"/>
        <v/>
      </c>
      <c r="BC14" s="77" t="str">
        <f t="shared" si="9"/>
        <v/>
      </c>
      <c r="BD14" s="77" t="str">
        <f t="shared" si="9"/>
        <v/>
      </c>
      <c r="BE14" s="77" t="str">
        <f t="shared" si="9"/>
        <v/>
      </c>
      <c r="BF14" s="77" t="str">
        <f t="shared" si="9"/>
        <v/>
      </c>
      <c r="BG14" s="77" t="str">
        <f t="shared" si="9"/>
        <v/>
      </c>
      <c r="BH14" s="77" t="str">
        <f t="shared" si="9"/>
        <v/>
      </c>
      <c r="BI14" s="77" t="str">
        <f t="shared" si="9"/>
        <v/>
      </c>
      <c r="BJ14" s="77" t="str">
        <f t="shared" si="9"/>
        <v/>
      </c>
      <c r="BK14" s="77" t="str">
        <f t="shared" si="9"/>
        <v/>
      </c>
      <c r="BL14" s="77" t="str">
        <f t="shared" si="9"/>
        <v/>
      </c>
      <c r="BM14" s="77" t="str">
        <f t="shared" si="9"/>
        <v/>
      </c>
      <c r="BN14" s="77" t="str">
        <f t="shared" si="9"/>
        <v/>
      </c>
      <c r="BO14" s="77" t="str">
        <f t="shared" ref="BO14:CX14" si="10">IF(ISNUMBER(outYear), IF(EXACT(batt_repl_year_kwh,BO2), IF(ISNUMBER(batt_repl_cost_kwh),(batt_kwh * batt_repl_cost_kwh),""), 0),"")</f>
        <v/>
      </c>
      <c r="BP14" s="77" t="str">
        <f t="shared" si="10"/>
        <v/>
      </c>
      <c r="BQ14" s="77" t="str">
        <f t="shared" si="10"/>
        <v/>
      </c>
      <c r="BR14" s="77" t="str">
        <f t="shared" si="10"/>
        <v/>
      </c>
      <c r="BS14" s="77" t="str">
        <f t="shared" si="10"/>
        <v/>
      </c>
      <c r="BT14" s="77" t="str">
        <f t="shared" si="10"/>
        <v/>
      </c>
      <c r="BU14" s="77" t="str">
        <f t="shared" si="10"/>
        <v/>
      </c>
      <c r="BV14" s="77" t="str">
        <f t="shared" si="10"/>
        <v/>
      </c>
      <c r="BW14" s="77" t="str">
        <f t="shared" si="10"/>
        <v/>
      </c>
      <c r="BX14" s="77" t="str">
        <f t="shared" si="10"/>
        <v/>
      </c>
      <c r="BY14" s="77" t="str">
        <f t="shared" si="10"/>
        <v/>
      </c>
      <c r="BZ14" s="77" t="str">
        <f t="shared" si="10"/>
        <v/>
      </c>
      <c r="CA14" s="77" t="str">
        <f t="shared" si="10"/>
        <v/>
      </c>
      <c r="CB14" s="77" t="str">
        <f t="shared" si="10"/>
        <v/>
      </c>
      <c r="CC14" s="77" t="str">
        <f t="shared" si="10"/>
        <v/>
      </c>
      <c r="CD14" s="77" t="str">
        <f t="shared" si="10"/>
        <v/>
      </c>
      <c r="CE14" s="77" t="str">
        <f t="shared" si="10"/>
        <v/>
      </c>
      <c r="CF14" s="77" t="str">
        <f t="shared" si="10"/>
        <v/>
      </c>
      <c r="CG14" s="77" t="str">
        <f t="shared" si="10"/>
        <v/>
      </c>
      <c r="CH14" s="77" t="str">
        <f t="shared" si="10"/>
        <v/>
      </c>
      <c r="CI14" s="77" t="str">
        <f t="shared" si="10"/>
        <v/>
      </c>
      <c r="CJ14" s="77" t="str">
        <f t="shared" si="10"/>
        <v/>
      </c>
      <c r="CK14" s="77" t="str">
        <f t="shared" si="10"/>
        <v/>
      </c>
      <c r="CL14" s="77" t="str">
        <f t="shared" si="10"/>
        <v/>
      </c>
      <c r="CM14" s="77" t="str">
        <f t="shared" si="10"/>
        <v/>
      </c>
      <c r="CN14" s="77" t="str">
        <f t="shared" si="10"/>
        <v/>
      </c>
      <c r="CO14" s="77" t="str">
        <f t="shared" si="10"/>
        <v/>
      </c>
      <c r="CP14" s="77" t="str">
        <f t="shared" si="10"/>
        <v/>
      </c>
      <c r="CQ14" s="77" t="str">
        <f t="shared" si="10"/>
        <v/>
      </c>
      <c r="CR14" s="77" t="str">
        <f t="shared" si="10"/>
        <v/>
      </c>
      <c r="CS14" s="77" t="str">
        <f t="shared" si="10"/>
        <v/>
      </c>
      <c r="CT14" s="77" t="str">
        <f t="shared" si="10"/>
        <v/>
      </c>
      <c r="CU14" s="77" t="str">
        <f t="shared" si="10"/>
        <v/>
      </c>
      <c r="CV14" s="77" t="str">
        <f t="shared" si="10"/>
        <v/>
      </c>
      <c r="CW14" s="77" t="str">
        <f t="shared" si="10"/>
        <v/>
      </c>
      <c r="CX14" s="77" t="str">
        <f t="shared" si="10"/>
        <v/>
      </c>
    </row>
    <row r="15" spans="1:102" s="2" customFormat="1">
      <c r="A15" s="68" t="s">
        <v>24</v>
      </c>
      <c r="B15" s="67"/>
      <c r="C15" s="78">
        <f>IF(ISNUMBER(outYear),SUM(C12:C14),"")</f>
        <v>4501.5129999999999</v>
      </c>
      <c r="D15" s="78">
        <f t="shared" ref="D15:AA15" si="11">IF(ISNUMBER(outYear),SUM(D12:D14),"")</f>
        <v>4614.0508250000003</v>
      </c>
      <c r="E15" s="78">
        <f t="shared" si="11"/>
        <v>4729.4020956249997</v>
      </c>
      <c r="F15" s="78">
        <f t="shared" si="11"/>
        <v>4847.637148015624</v>
      </c>
      <c r="G15" s="78">
        <f t="shared" si="11"/>
        <v>4968.828076716014</v>
      </c>
      <c r="H15" s="78">
        <f t="shared" si="11"/>
        <v>5093.0487786339145</v>
      </c>
      <c r="I15" s="78">
        <f t="shared" si="11"/>
        <v>5220.3749980997627</v>
      </c>
      <c r="J15" s="78">
        <f t="shared" si="11"/>
        <v>5350.8843730522567</v>
      </c>
      <c r="K15" s="78">
        <f t="shared" si="11"/>
        <v>5484.6564823785611</v>
      </c>
      <c r="L15" s="78">
        <f t="shared" si="11"/>
        <v>80621.772894438021</v>
      </c>
      <c r="M15" s="78">
        <f t="shared" si="11"/>
        <v>5762.317216798976</v>
      </c>
      <c r="N15" s="78">
        <f t="shared" si="11"/>
        <v>5906.3751472189497</v>
      </c>
      <c r="O15" s="78">
        <f t="shared" si="11"/>
        <v>6054.034525899423</v>
      </c>
      <c r="P15" s="78">
        <f t="shared" si="11"/>
        <v>6205.385389046909</v>
      </c>
      <c r="Q15" s="78">
        <f t="shared" si="11"/>
        <v>6360.5200237730824</v>
      </c>
      <c r="R15" s="78">
        <f t="shared" si="11"/>
        <v>6519.5330243674089</v>
      </c>
      <c r="S15" s="78">
        <f t="shared" si="11"/>
        <v>6682.5213499765923</v>
      </c>
      <c r="T15" s="78">
        <f t="shared" si="11"/>
        <v>6849.5843837260081</v>
      </c>
      <c r="U15" s="78">
        <f t="shared" si="11"/>
        <v>7020.823993319158</v>
      </c>
      <c r="V15" s="78">
        <f t="shared" si="11"/>
        <v>7196.3445931521355</v>
      </c>
      <c r="W15" s="78">
        <f t="shared" si="11"/>
        <v>7376.2532079809389</v>
      </c>
      <c r="X15" s="78">
        <f t="shared" si="11"/>
        <v>7560.6595381804627</v>
      </c>
      <c r="Y15" s="78">
        <f t="shared" si="11"/>
        <v>7749.6760266349738</v>
      </c>
      <c r="Z15" s="78">
        <f t="shared" si="11"/>
        <v>7943.4179273008485</v>
      </c>
      <c r="AA15" s="78">
        <f t="shared" si="11"/>
        <v>8142.0033754833667</v>
      </c>
      <c r="AB15" s="78" t="str">
        <f>IF(ISNUMBER(outYear),SUM(AB12:AB12)-#REF!,"")</f>
        <v/>
      </c>
      <c r="AC15" s="78" t="str">
        <f>IF(ISNUMBER(outYear),SUM(AC12:AC12)-#REF!,"")</f>
        <v/>
      </c>
      <c r="AD15" s="78" t="str">
        <f>IF(ISNUMBER(outYear),SUM(AD12:AD12)-#REF!,"")</f>
        <v/>
      </c>
      <c r="AE15" s="78" t="str">
        <f>IF(ISNUMBER(outYear),SUM(AE12:AE12)-#REF!,"")</f>
        <v/>
      </c>
      <c r="AF15" s="78" t="str">
        <f>IF(ISNUMBER(outYear),SUM(AF12:AF12)-#REF!,"")</f>
        <v/>
      </c>
      <c r="AG15" s="78" t="str">
        <f>IF(ISNUMBER(outYear),SUM(AG12:AG12)-#REF!,"")</f>
        <v/>
      </c>
      <c r="AH15" s="78" t="str">
        <f>IF(ISNUMBER(outYear),SUM(AH12:AH12)-#REF!,"")</f>
        <v/>
      </c>
      <c r="AI15" s="78" t="str">
        <f>IF(ISNUMBER(outYear),SUM(AI12:AI12)-#REF!,"")</f>
        <v/>
      </c>
      <c r="AJ15" s="78" t="str">
        <f>IF(ISNUMBER(outYear),SUM(AJ12:AJ12)-#REF!,"")</f>
        <v/>
      </c>
      <c r="AK15" s="78" t="str">
        <f>IF(ISNUMBER(outYear),SUM(AK12:AK12)-#REF!,"")</f>
        <v/>
      </c>
      <c r="AL15" s="78" t="str">
        <f>IF(ISNUMBER(outYear),SUM(AL12:AL12)-#REF!,"")</f>
        <v/>
      </c>
      <c r="AM15" s="78" t="str">
        <f>IF(ISNUMBER(outYear),SUM(AM12:AM12)-#REF!,"")</f>
        <v/>
      </c>
      <c r="AN15" s="78" t="str">
        <f>IF(ISNUMBER(outYear),SUM(AN12:AN12)-#REF!,"")</f>
        <v/>
      </c>
      <c r="AO15" s="78" t="str">
        <f>IF(ISNUMBER(outYear),SUM(AO12:AO12)-#REF!,"")</f>
        <v/>
      </c>
      <c r="AP15" s="78" t="str">
        <f>IF(ISNUMBER(outYear),SUM(AP12:AP12)-#REF!,"")</f>
        <v/>
      </c>
      <c r="AQ15" s="78" t="str">
        <f>IF(ISNUMBER(outYear),SUM(AQ12:AQ12)-#REF!,"")</f>
        <v/>
      </c>
      <c r="AR15" s="78" t="str">
        <f>IF(ISNUMBER(outYear),SUM(AR12:AR12)-#REF!,"")</f>
        <v/>
      </c>
      <c r="AS15" s="78" t="str">
        <f>IF(ISNUMBER(outYear),SUM(AS12:AS12)-#REF!,"")</f>
        <v/>
      </c>
      <c r="AT15" s="78" t="str">
        <f>IF(ISNUMBER(outYear),SUM(AT12:AT12)-#REF!,"")</f>
        <v/>
      </c>
      <c r="AU15" s="78" t="str">
        <f>IF(ISNUMBER(outYear),SUM(AU12:AU12)-#REF!,"")</f>
        <v/>
      </c>
      <c r="AV15" s="78" t="str">
        <f>IF(ISNUMBER(outYear),SUM(AV12:AV12)-#REF!,"")</f>
        <v/>
      </c>
      <c r="AW15" s="78" t="str">
        <f>IF(ISNUMBER(outYear),SUM(AW12:AW12)-#REF!,"")</f>
        <v/>
      </c>
      <c r="AX15" s="78" t="str">
        <f>IF(ISNUMBER(outYear),SUM(AX12:AX12)-#REF!,"")</f>
        <v/>
      </c>
      <c r="AY15" s="78" t="str">
        <f>IF(ISNUMBER(outYear),SUM(AY12:AY12)-#REF!,"")</f>
        <v/>
      </c>
      <c r="AZ15" s="78" t="str">
        <f>IF(ISNUMBER(outYear),SUM(AZ12:AZ12)-#REF!,"")</f>
        <v/>
      </c>
      <c r="BA15" s="78" t="str">
        <f>IF(ISNUMBER(outYear),SUM(BA12:BA12)-#REF!,"")</f>
        <v/>
      </c>
      <c r="BB15" s="78" t="str">
        <f>IF(ISNUMBER(outYear),SUM(BB12:BB12)-#REF!,"")</f>
        <v/>
      </c>
      <c r="BC15" s="78" t="str">
        <f>IF(ISNUMBER(outYear),SUM(BC12:BC12)-#REF!,"")</f>
        <v/>
      </c>
      <c r="BD15" s="78" t="str">
        <f>IF(ISNUMBER(outYear),SUM(BD12:BD12)-#REF!,"")</f>
        <v/>
      </c>
      <c r="BE15" s="78" t="str">
        <f>IF(ISNUMBER(outYear),SUM(BE12:BE12)-#REF!,"")</f>
        <v/>
      </c>
      <c r="BF15" s="78" t="str">
        <f>IF(ISNUMBER(outYear),SUM(BF12:BF12)-#REF!,"")</f>
        <v/>
      </c>
      <c r="BG15" s="78" t="str">
        <f>IF(ISNUMBER(outYear),SUM(BG12:BG12)-#REF!,"")</f>
        <v/>
      </c>
      <c r="BH15" s="78" t="str">
        <f>IF(ISNUMBER(outYear),SUM(BH12:BH12)-#REF!,"")</f>
        <v/>
      </c>
      <c r="BI15" s="78" t="str">
        <f>IF(ISNUMBER(outYear),SUM(BI12:BI12)-#REF!,"")</f>
        <v/>
      </c>
      <c r="BJ15" s="78" t="str">
        <f>IF(ISNUMBER(outYear),SUM(BJ12:BJ12)-#REF!,"")</f>
        <v/>
      </c>
      <c r="BK15" s="78" t="str">
        <f>IF(ISNUMBER(outYear),SUM(BK12:BK12)-#REF!,"")</f>
        <v/>
      </c>
      <c r="BL15" s="78" t="str">
        <f>IF(ISNUMBER(outYear),SUM(BL12:BL12)-#REF!,"")</f>
        <v/>
      </c>
      <c r="BM15" s="78" t="str">
        <f>IF(ISNUMBER(outYear),SUM(BM12:BM12)-#REF!,"")</f>
        <v/>
      </c>
      <c r="BN15" s="78" t="str">
        <f>IF(ISNUMBER(outYear),SUM(BN12:BN12)-#REF!,"")</f>
        <v/>
      </c>
      <c r="BO15" s="78" t="str">
        <f>IF(ISNUMBER(outYear),SUM(BO12:BO12)-#REF!,"")</f>
        <v/>
      </c>
      <c r="BP15" s="78" t="str">
        <f>IF(ISNUMBER(outYear),SUM(BP12:BP12)-#REF!,"")</f>
        <v/>
      </c>
      <c r="BQ15" s="78" t="str">
        <f>IF(ISNUMBER(outYear),SUM(BQ12:BQ12)-#REF!,"")</f>
        <v/>
      </c>
      <c r="BR15" s="78" t="str">
        <f>IF(ISNUMBER(outYear),SUM(BR12:BR12)-#REF!,"")</f>
        <v/>
      </c>
      <c r="BS15" s="78" t="str">
        <f>IF(ISNUMBER(outYear),SUM(BS12:BS12)-#REF!,"")</f>
        <v/>
      </c>
      <c r="BT15" s="78" t="str">
        <f>IF(ISNUMBER(outYear),SUM(BT12:BT12)-#REF!,"")</f>
        <v/>
      </c>
      <c r="BU15" s="78" t="str">
        <f>IF(ISNUMBER(outYear),SUM(BU12:BU12)-#REF!,"")</f>
        <v/>
      </c>
      <c r="BV15" s="78" t="str">
        <f>IF(ISNUMBER(outYear),SUM(BV12:BV12)-#REF!,"")</f>
        <v/>
      </c>
      <c r="BW15" s="78" t="str">
        <f>IF(ISNUMBER(outYear),SUM(BW12:BW12)-#REF!,"")</f>
        <v/>
      </c>
      <c r="BX15" s="78" t="str">
        <f>IF(ISNUMBER(outYear),SUM(BX12:BX12)-#REF!,"")</f>
        <v/>
      </c>
      <c r="BY15" s="78" t="str">
        <f>IF(ISNUMBER(outYear),SUM(BY12:BY12)-#REF!,"")</f>
        <v/>
      </c>
      <c r="BZ15" s="78" t="str">
        <f>IF(ISNUMBER(outYear),SUM(BZ12:BZ12)-#REF!,"")</f>
        <v/>
      </c>
      <c r="CA15" s="78" t="str">
        <f>IF(ISNUMBER(outYear),SUM(CA12:CA12)-#REF!,"")</f>
        <v/>
      </c>
      <c r="CB15" s="78" t="str">
        <f>IF(ISNUMBER(outYear),SUM(CB12:CB12)-#REF!,"")</f>
        <v/>
      </c>
      <c r="CC15" s="78" t="str">
        <f>IF(ISNUMBER(outYear),SUM(CC12:CC12)-#REF!,"")</f>
        <v/>
      </c>
      <c r="CD15" s="78" t="str">
        <f>IF(ISNUMBER(outYear),SUM(CD12:CD12)-#REF!,"")</f>
        <v/>
      </c>
      <c r="CE15" s="78" t="str">
        <f>IF(ISNUMBER(outYear),SUM(CE12:CE12)-#REF!,"")</f>
        <v/>
      </c>
      <c r="CF15" s="78" t="str">
        <f>IF(ISNUMBER(outYear),SUM(CF12:CF12)-#REF!,"")</f>
        <v/>
      </c>
      <c r="CG15" s="78" t="str">
        <f>IF(ISNUMBER(outYear),SUM(CG12:CG12)-#REF!,"")</f>
        <v/>
      </c>
      <c r="CH15" s="78" t="str">
        <f>IF(ISNUMBER(outYear),SUM(CH12:CH12)-#REF!,"")</f>
        <v/>
      </c>
      <c r="CI15" s="78" t="str">
        <f>IF(ISNUMBER(outYear),SUM(CI12:CI12)-#REF!,"")</f>
        <v/>
      </c>
      <c r="CJ15" s="78" t="str">
        <f>IF(ISNUMBER(outYear),SUM(CJ12:CJ12)-#REF!,"")</f>
        <v/>
      </c>
      <c r="CK15" s="78" t="str">
        <f>IF(ISNUMBER(outYear),SUM(CK12:CK12)-#REF!,"")</f>
        <v/>
      </c>
      <c r="CL15" s="78" t="str">
        <f>IF(ISNUMBER(outYear),SUM(CL12:CL12)-#REF!,"")</f>
        <v/>
      </c>
      <c r="CM15" s="78" t="str">
        <f>IF(ISNUMBER(outYear),SUM(CM12:CM12)-#REF!,"")</f>
        <v/>
      </c>
      <c r="CN15" s="78" t="str">
        <f>IF(ISNUMBER(outYear),SUM(CN12:CN12)-#REF!,"")</f>
        <v/>
      </c>
      <c r="CO15" s="78" t="str">
        <f>IF(ISNUMBER(outYear),SUM(CO12:CO12)-#REF!,"")</f>
        <v/>
      </c>
      <c r="CP15" s="78" t="str">
        <f>IF(ISNUMBER(outYear),SUM(CP12:CP12)-#REF!,"")</f>
        <v/>
      </c>
      <c r="CQ15" s="78" t="str">
        <f>IF(ISNUMBER(outYear),SUM(CQ12:CQ12)-#REF!,"")</f>
        <v/>
      </c>
      <c r="CR15" s="78" t="str">
        <f>IF(ISNUMBER(outYear),SUM(CR12:CR12)-#REF!,"")</f>
        <v/>
      </c>
      <c r="CS15" s="78" t="str">
        <f>IF(ISNUMBER(outYear),SUM(CS12:CS12)-#REF!,"")</f>
        <v/>
      </c>
      <c r="CT15" s="78" t="str">
        <f>IF(ISNUMBER(outYear),SUM(CT12:CT12)-#REF!,"")</f>
        <v/>
      </c>
      <c r="CU15" s="78" t="str">
        <f>IF(ISNUMBER(outYear),SUM(CU12:CU12)-#REF!,"")</f>
        <v/>
      </c>
      <c r="CV15" s="78" t="str">
        <f>IF(ISNUMBER(outYear),SUM(CV12:CV12)-#REF!,"")</f>
        <v/>
      </c>
      <c r="CW15" s="78" t="str">
        <f>IF(ISNUMBER(outYear),SUM(CW12:CW12)-#REF!,"")</f>
        <v/>
      </c>
      <c r="CX15" s="78" t="str">
        <f>IF(ISNUMBER(outYear),SUM(CX12:CX12)-#REF!,"")</f>
        <v/>
      </c>
    </row>
    <row r="16" spans="1:102" s="2" customFormat="1">
      <c r="A16" s="58"/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</row>
    <row r="17" spans="1:102" s="2" customFormat="1">
      <c r="A17" s="62" t="s">
        <v>73</v>
      </c>
      <c r="B17" s="69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Q17" s="70"/>
      <c r="CR17" s="70"/>
      <c r="CS17" s="70"/>
      <c r="CT17" s="70"/>
      <c r="CU17" s="70"/>
      <c r="CV17" s="70"/>
      <c r="CW17" s="70"/>
      <c r="CX17" s="71"/>
    </row>
    <row r="18" spans="1:102" s="2" customFormat="1">
      <c r="A18" s="63" t="s">
        <v>25</v>
      </c>
      <c r="B18" s="16"/>
      <c r="C18" s="77">
        <f t="shared" ref="C18:AH18" si="12">IF(ISNUMBER(outYear),IF(FederalDepreciation&lt;&gt;"N/A",C15,0),"")</f>
        <v>4501.5129999999999</v>
      </c>
      <c r="D18" s="77">
        <f t="shared" si="12"/>
        <v>4614.0508250000003</v>
      </c>
      <c r="E18" s="77">
        <f t="shared" si="12"/>
        <v>4729.4020956249997</v>
      </c>
      <c r="F18" s="77">
        <f t="shared" si="12"/>
        <v>4847.637148015624</v>
      </c>
      <c r="G18" s="77">
        <f t="shared" si="12"/>
        <v>4968.828076716014</v>
      </c>
      <c r="H18" s="77">
        <f t="shared" si="12"/>
        <v>5093.0487786339145</v>
      </c>
      <c r="I18" s="77">
        <f t="shared" si="12"/>
        <v>5220.3749980997627</v>
      </c>
      <c r="J18" s="77">
        <f t="shared" si="12"/>
        <v>5350.8843730522567</v>
      </c>
      <c r="K18" s="77">
        <f t="shared" si="12"/>
        <v>5484.6564823785611</v>
      </c>
      <c r="L18" s="77">
        <f t="shared" si="12"/>
        <v>80621.772894438021</v>
      </c>
      <c r="M18" s="77">
        <f t="shared" si="12"/>
        <v>5762.317216798976</v>
      </c>
      <c r="N18" s="77">
        <f t="shared" si="12"/>
        <v>5906.3751472189497</v>
      </c>
      <c r="O18" s="77">
        <f t="shared" si="12"/>
        <v>6054.034525899423</v>
      </c>
      <c r="P18" s="77">
        <f t="shared" si="12"/>
        <v>6205.385389046909</v>
      </c>
      <c r="Q18" s="77">
        <f t="shared" si="12"/>
        <v>6360.5200237730824</v>
      </c>
      <c r="R18" s="77">
        <f t="shared" si="12"/>
        <v>6519.5330243674089</v>
      </c>
      <c r="S18" s="77">
        <f t="shared" si="12"/>
        <v>6682.5213499765923</v>
      </c>
      <c r="T18" s="77">
        <f t="shared" si="12"/>
        <v>6849.5843837260081</v>
      </c>
      <c r="U18" s="77">
        <f t="shared" si="12"/>
        <v>7020.823993319158</v>
      </c>
      <c r="V18" s="77">
        <f t="shared" si="12"/>
        <v>7196.3445931521355</v>
      </c>
      <c r="W18" s="77">
        <f t="shared" si="12"/>
        <v>7376.2532079809389</v>
      </c>
      <c r="X18" s="77">
        <f t="shared" si="12"/>
        <v>7560.6595381804627</v>
      </c>
      <c r="Y18" s="77">
        <f t="shared" si="12"/>
        <v>7749.6760266349738</v>
      </c>
      <c r="Z18" s="77">
        <f t="shared" si="12"/>
        <v>7943.4179273008485</v>
      </c>
      <c r="AA18" s="77">
        <f t="shared" si="12"/>
        <v>8142.0033754833667</v>
      </c>
      <c r="AB18" s="77" t="str">
        <f t="shared" si="12"/>
        <v/>
      </c>
      <c r="AC18" s="77" t="str">
        <f t="shared" si="12"/>
        <v/>
      </c>
      <c r="AD18" s="77" t="str">
        <f t="shared" si="12"/>
        <v/>
      </c>
      <c r="AE18" s="77" t="str">
        <f t="shared" si="12"/>
        <v/>
      </c>
      <c r="AF18" s="77" t="str">
        <f t="shared" si="12"/>
        <v/>
      </c>
      <c r="AG18" s="77" t="str">
        <f t="shared" si="12"/>
        <v/>
      </c>
      <c r="AH18" s="77" t="str">
        <f t="shared" si="12"/>
        <v/>
      </c>
      <c r="AI18" s="77" t="str">
        <f t="shared" ref="AI18:BN18" si="13">IF(ISNUMBER(outYear),IF(FederalDepreciation&lt;&gt;"N/A",AI15,0),"")</f>
        <v/>
      </c>
      <c r="AJ18" s="77" t="str">
        <f t="shared" si="13"/>
        <v/>
      </c>
      <c r="AK18" s="77" t="str">
        <f t="shared" si="13"/>
        <v/>
      </c>
      <c r="AL18" s="77" t="str">
        <f t="shared" si="13"/>
        <v/>
      </c>
      <c r="AM18" s="77" t="str">
        <f t="shared" si="13"/>
        <v/>
      </c>
      <c r="AN18" s="77" t="str">
        <f t="shared" si="13"/>
        <v/>
      </c>
      <c r="AO18" s="77" t="str">
        <f t="shared" si="13"/>
        <v/>
      </c>
      <c r="AP18" s="77" t="str">
        <f t="shared" si="13"/>
        <v/>
      </c>
      <c r="AQ18" s="77" t="str">
        <f t="shared" si="13"/>
        <v/>
      </c>
      <c r="AR18" s="77" t="str">
        <f t="shared" si="13"/>
        <v/>
      </c>
      <c r="AS18" s="77" t="str">
        <f t="shared" si="13"/>
        <v/>
      </c>
      <c r="AT18" s="77" t="str">
        <f t="shared" si="13"/>
        <v/>
      </c>
      <c r="AU18" s="77" t="str">
        <f t="shared" si="13"/>
        <v/>
      </c>
      <c r="AV18" s="77" t="str">
        <f t="shared" si="13"/>
        <v/>
      </c>
      <c r="AW18" s="77" t="str">
        <f t="shared" si="13"/>
        <v/>
      </c>
      <c r="AX18" s="77" t="str">
        <f t="shared" si="13"/>
        <v/>
      </c>
      <c r="AY18" s="77" t="str">
        <f t="shared" si="13"/>
        <v/>
      </c>
      <c r="AZ18" s="77" t="str">
        <f t="shared" si="13"/>
        <v/>
      </c>
      <c r="BA18" s="77" t="str">
        <f t="shared" si="13"/>
        <v/>
      </c>
      <c r="BB18" s="77" t="str">
        <f t="shared" si="13"/>
        <v/>
      </c>
      <c r="BC18" s="77" t="str">
        <f t="shared" si="13"/>
        <v/>
      </c>
      <c r="BD18" s="77" t="str">
        <f t="shared" si="13"/>
        <v/>
      </c>
      <c r="BE18" s="77" t="str">
        <f t="shared" si="13"/>
        <v/>
      </c>
      <c r="BF18" s="77" t="str">
        <f t="shared" si="13"/>
        <v/>
      </c>
      <c r="BG18" s="77" t="str">
        <f t="shared" si="13"/>
        <v/>
      </c>
      <c r="BH18" s="77" t="str">
        <f t="shared" si="13"/>
        <v/>
      </c>
      <c r="BI18" s="77" t="str">
        <f t="shared" si="13"/>
        <v/>
      </c>
      <c r="BJ18" s="77" t="str">
        <f t="shared" si="13"/>
        <v/>
      </c>
      <c r="BK18" s="77" t="str">
        <f t="shared" si="13"/>
        <v/>
      </c>
      <c r="BL18" s="77" t="str">
        <f t="shared" si="13"/>
        <v/>
      </c>
      <c r="BM18" s="77" t="str">
        <f t="shared" si="13"/>
        <v/>
      </c>
      <c r="BN18" s="77" t="str">
        <f t="shared" si="13"/>
        <v/>
      </c>
      <c r="BO18" s="77" t="str">
        <f t="shared" ref="BO18:CX18" si="14">IF(ISNUMBER(outYear),IF(FederalDepreciation&lt;&gt;"N/A",BO15,0),"")</f>
        <v/>
      </c>
      <c r="BP18" s="77" t="str">
        <f t="shared" si="14"/>
        <v/>
      </c>
      <c r="BQ18" s="77" t="str">
        <f t="shared" si="14"/>
        <v/>
      </c>
      <c r="BR18" s="77" t="str">
        <f t="shared" si="14"/>
        <v/>
      </c>
      <c r="BS18" s="77" t="str">
        <f t="shared" si="14"/>
        <v/>
      </c>
      <c r="BT18" s="77" t="str">
        <f t="shared" si="14"/>
        <v/>
      </c>
      <c r="BU18" s="77" t="str">
        <f t="shared" si="14"/>
        <v/>
      </c>
      <c r="BV18" s="77" t="str">
        <f t="shared" si="14"/>
        <v/>
      </c>
      <c r="BW18" s="77" t="str">
        <f t="shared" si="14"/>
        <v/>
      </c>
      <c r="BX18" s="77" t="str">
        <f t="shared" si="14"/>
        <v/>
      </c>
      <c r="BY18" s="77" t="str">
        <f t="shared" si="14"/>
        <v/>
      </c>
      <c r="BZ18" s="77" t="str">
        <f t="shared" si="14"/>
        <v/>
      </c>
      <c r="CA18" s="77" t="str">
        <f t="shared" si="14"/>
        <v/>
      </c>
      <c r="CB18" s="77" t="str">
        <f t="shared" si="14"/>
        <v/>
      </c>
      <c r="CC18" s="77" t="str">
        <f t="shared" si="14"/>
        <v/>
      </c>
      <c r="CD18" s="77" t="str">
        <f t="shared" si="14"/>
        <v/>
      </c>
      <c r="CE18" s="77" t="str">
        <f t="shared" si="14"/>
        <v/>
      </c>
      <c r="CF18" s="77" t="str">
        <f t="shared" si="14"/>
        <v/>
      </c>
      <c r="CG18" s="77" t="str">
        <f t="shared" si="14"/>
        <v/>
      </c>
      <c r="CH18" s="77" t="str">
        <f t="shared" si="14"/>
        <v/>
      </c>
      <c r="CI18" s="77" t="str">
        <f t="shared" si="14"/>
        <v/>
      </c>
      <c r="CJ18" s="77" t="str">
        <f t="shared" si="14"/>
        <v/>
      </c>
      <c r="CK18" s="77" t="str">
        <f t="shared" si="14"/>
        <v/>
      </c>
      <c r="CL18" s="77" t="str">
        <f t="shared" si="14"/>
        <v/>
      </c>
      <c r="CM18" s="77" t="str">
        <f t="shared" si="14"/>
        <v/>
      </c>
      <c r="CN18" s="77" t="str">
        <f t="shared" si="14"/>
        <v/>
      </c>
      <c r="CO18" s="77" t="str">
        <f t="shared" si="14"/>
        <v/>
      </c>
      <c r="CP18" s="77" t="str">
        <f t="shared" si="14"/>
        <v/>
      </c>
      <c r="CQ18" s="77" t="str">
        <f t="shared" si="14"/>
        <v/>
      </c>
      <c r="CR18" s="77" t="str">
        <f t="shared" si="14"/>
        <v/>
      </c>
      <c r="CS18" s="77" t="str">
        <f t="shared" si="14"/>
        <v/>
      </c>
      <c r="CT18" s="77" t="str">
        <f t="shared" si="14"/>
        <v/>
      </c>
      <c r="CU18" s="77" t="str">
        <f t="shared" si="14"/>
        <v/>
      </c>
      <c r="CV18" s="77" t="str">
        <f t="shared" si="14"/>
        <v/>
      </c>
      <c r="CW18" s="77" t="str">
        <f t="shared" si="14"/>
        <v/>
      </c>
      <c r="CX18" s="77" t="str">
        <f t="shared" si="14"/>
        <v/>
      </c>
    </row>
    <row r="19" spans="1:102" s="2" customFormat="1">
      <c r="A19" s="57"/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</row>
    <row r="20" spans="1:102" s="2" customFormat="1">
      <c r="A20" s="134" t="s">
        <v>74</v>
      </c>
      <c r="B20" s="137"/>
      <c r="C20" s="137"/>
      <c r="D20" s="137"/>
      <c r="E20" s="137"/>
      <c r="F20" s="137"/>
      <c r="G20" s="137"/>
      <c r="H20" s="137"/>
      <c r="I20" s="137"/>
      <c r="J20" s="137"/>
      <c r="K20" s="137"/>
      <c r="L20" s="137"/>
      <c r="M20" s="137"/>
      <c r="N20" s="137"/>
      <c r="O20" s="137"/>
      <c r="P20" s="137"/>
      <c r="Q20" s="137"/>
      <c r="R20" s="137"/>
      <c r="S20" s="137"/>
      <c r="T20" s="137"/>
      <c r="U20" s="137"/>
      <c r="V20" s="137"/>
      <c r="W20" s="137"/>
      <c r="X20" s="137"/>
      <c r="Y20" s="137"/>
      <c r="Z20" s="137"/>
      <c r="AA20" s="137"/>
      <c r="AB20" s="137"/>
      <c r="AC20" s="137"/>
      <c r="AD20" s="137"/>
      <c r="AE20" s="137"/>
      <c r="AF20" s="137"/>
      <c r="AG20" s="137"/>
      <c r="AH20" s="137"/>
      <c r="AI20" s="137"/>
      <c r="AJ20" s="137"/>
      <c r="AK20" s="137"/>
      <c r="AL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8"/>
    </row>
    <row r="21" spans="1:102" s="2" customFormat="1">
      <c r="A21" s="131" t="s">
        <v>61</v>
      </c>
      <c r="B21" s="132"/>
      <c r="C21" s="132"/>
      <c r="D21" s="132"/>
      <c r="E21" s="132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2"/>
      <c r="X21" s="132"/>
      <c r="Y21" s="132"/>
      <c r="Z21" s="132"/>
      <c r="AA21" s="132"/>
      <c r="AB21" s="132"/>
      <c r="AC21" s="132"/>
      <c r="AD21" s="132"/>
      <c r="AE21" s="132"/>
      <c r="AF21" s="132"/>
      <c r="AG21" s="132"/>
      <c r="AH21" s="132"/>
      <c r="AI21" s="132"/>
      <c r="AJ21" s="132"/>
      <c r="AK21" s="132"/>
      <c r="AL21" s="132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32"/>
      <c r="BE21" s="132"/>
      <c r="BF21" s="132"/>
      <c r="BG21" s="132"/>
      <c r="BH21" s="132"/>
      <c r="BI21" s="132"/>
      <c r="BJ21" s="132"/>
      <c r="BK21" s="132"/>
      <c r="BL21" s="132"/>
      <c r="BM21" s="132"/>
      <c r="BN21" s="132"/>
      <c r="BO21" s="132"/>
      <c r="BP21" s="132"/>
      <c r="BQ21" s="132"/>
      <c r="BR21" s="132"/>
      <c r="BS21" s="132"/>
      <c r="BT21" s="132"/>
      <c r="BU21" s="132"/>
      <c r="BV21" s="132"/>
      <c r="BW21" s="132"/>
      <c r="BX21" s="132"/>
      <c r="BY21" s="132"/>
      <c r="BZ21" s="132"/>
      <c r="CA21" s="132"/>
      <c r="CB21" s="132"/>
      <c r="CC21" s="132"/>
      <c r="CD21" s="132"/>
      <c r="CE21" s="132"/>
      <c r="CF21" s="132"/>
      <c r="CG21" s="132"/>
      <c r="CH21" s="132"/>
      <c r="CI21" s="132"/>
      <c r="CJ21" s="132"/>
      <c r="CK21" s="132"/>
      <c r="CL21" s="132"/>
      <c r="CM21" s="132"/>
      <c r="CN21" s="132"/>
      <c r="CO21" s="132"/>
      <c r="CP21" s="132"/>
      <c r="CQ21" s="132"/>
      <c r="CR21" s="132"/>
      <c r="CS21" s="132"/>
      <c r="CT21" s="132"/>
      <c r="CU21" s="132"/>
      <c r="CV21" s="132"/>
      <c r="CW21" s="132"/>
      <c r="CX21" s="133"/>
    </row>
    <row r="22" spans="1:102" s="2" customFormat="1">
      <c r="A22" s="135" t="s">
        <v>57</v>
      </c>
      <c r="B22" s="140">
        <f>total_installed_cost-B37-B42</f>
        <v>542718</v>
      </c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2"/>
      <c r="AI22" s="132"/>
      <c r="AJ22" s="132"/>
      <c r="AK22" s="132"/>
      <c r="AL22" s="132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32"/>
      <c r="BE22" s="132"/>
      <c r="BF22" s="132"/>
      <c r="BG22" s="132"/>
      <c r="BH22" s="132"/>
      <c r="BI22" s="132"/>
      <c r="BJ22" s="132"/>
      <c r="BK22" s="132"/>
      <c r="BL22" s="132"/>
      <c r="BM22" s="132"/>
      <c r="BN22" s="132"/>
      <c r="BO22" s="132"/>
      <c r="BP22" s="132"/>
      <c r="BQ22" s="132"/>
      <c r="BR22" s="132"/>
      <c r="BS22" s="132"/>
      <c r="BT22" s="132"/>
      <c r="BU22" s="132"/>
      <c r="BV22" s="132"/>
      <c r="BW22" s="132"/>
      <c r="BX22" s="132"/>
      <c r="BY22" s="132"/>
      <c r="BZ22" s="132"/>
      <c r="CA22" s="132"/>
      <c r="CB22" s="132"/>
      <c r="CC22" s="132"/>
      <c r="CD22" s="132"/>
      <c r="CE22" s="132"/>
      <c r="CF22" s="132"/>
      <c r="CG22" s="132"/>
      <c r="CH22" s="132"/>
      <c r="CI22" s="132"/>
      <c r="CJ22" s="132"/>
      <c r="CK22" s="132"/>
      <c r="CL22" s="132"/>
      <c r="CM22" s="132"/>
      <c r="CN22" s="132"/>
      <c r="CO22" s="132"/>
      <c r="CP22" s="132"/>
      <c r="CQ22" s="132"/>
      <c r="CR22" s="132"/>
      <c r="CS22" s="132"/>
      <c r="CT22" s="132"/>
      <c r="CU22" s="132"/>
      <c r="CV22" s="132"/>
      <c r="CW22" s="132"/>
      <c r="CX22" s="133"/>
    </row>
    <row r="23" spans="1:102" s="2" customFormat="1">
      <c r="A23" s="135" t="s">
        <v>60</v>
      </c>
      <c r="B23" s="142">
        <f>B22*debt_fraction/100</f>
        <v>0</v>
      </c>
      <c r="C23" s="132"/>
      <c r="D23" s="132"/>
      <c r="E23" s="132"/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3"/>
    </row>
    <row r="24" spans="1:102" s="2" customFormat="1">
      <c r="A24" s="135" t="s">
        <v>33</v>
      </c>
      <c r="B24" s="140">
        <f>B22-B23</f>
        <v>542718</v>
      </c>
      <c r="C24" s="132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32"/>
      <c r="S24" s="132"/>
      <c r="T24" s="132"/>
      <c r="U24" s="132"/>
      <c r="V24" s="132"/>
      <c r="W24" s="132"/>
      <c r="X24" s="132"/>
      <c r="Y24" s="132"/>
      <c r="Z24" s="132"/>
      <c r="AA24" s="132"/>
      <c r="AB24" s="132"/>
      <c r="AC24" s="132"/>
      <c r="AD24" s="132"/>
      <c r="AE24" s="132"/>
      <c r="AF24" s="132"/>
      <c r="AG24" s="132"/>
      <c r="AH24" s="132"/>
      <c r="AI24" s="132"/>
      <c r="AJ24" s="132"/>
      <c r="AK24" s="132"/>
      <c r="AL24" s="132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32"/>
      <c r="BE24" s="132"/>
      <c r="BF24" s="132"/>
      <c r="BG24" s="132"/>
      <c r="BH24" s="132"/>
      <c r="BI24" s="132"/>
      <c r="BJ24" s="132"/>
      <c r="BK24" s="132"/>
      <c r="BL24" s="132"/>
      <c r="BM24" s="132"/>
      <c r="BN24" s="132"/>
      <c r="BO24" s="132"/>
      <c r="BP24" s="132"/>
      <c r="BQ24" s="132"/>
      <c r="BR24" s="132"/>
      <c r="BS24" s="132"/>
      <c r="BT24" s="132"/>
      <c r="BU24" s="132"/>
      <c r="BV24" s="132"/>
      <c r="BW24" s="132"/>
      <c r="BX24" s="132"/>
      <c r="BY24" s="132"/>
      <c r="BZ24" s="132"/>
      <c r="CA24" s="132"/>
      <c r="CB24" s="132"/>
      <c r="CC24" s="132"/>
      <c r="CD24" s="132"/>
      <c r="CE24" s="132"/>
      <c r="CF24" s="132"/>
      <c r="CG24" s="132"/>
      <c r="CH24" s="132"/>
      <c r="CI24" s="132"/>
      <c r="CJ24" s="132"/>
      <c r="CK24" s="132"/>
      <c r="CL24" s="132"/>
      <c r="CM24" s="132"/>
      <c r="CN24" s="132"/>
      <c r="CO24" s="132"/>
      <c r="CP24" s="132"/>
      <c r="CQ24" s="132"/>
      <c r="CR24" s="132"/>
      <c r="CS24" s="132"/>
      <c r="CT24" s="132"/>
      <c r="CU24" s="132"/>
      <c r="CV24" s="132"/>
      <c r="CW24" s="132"/>
      <c r="CX24" s="133"/>
    </row>
    <row r="25" spans="1:102" s="2" customFormat="1">
      <c r="A25" s="131" t="s">
        <v>62</v>
      </c>
      <c r="B25" s="140"/>
      <c r="C25" s="132"/>
      <c r="D25" s="132"/>
      <c r="E25" s="132"/>
      <c r="F25" s="132"/>
      <c r="G25" s="132"/>
      <c r="H25" s="132"/>
      <c r="I25" s="132"/>
      <c r="J25" s="132"/>
      <c r="K25" s="132"/>
      <c r="L25" s="132"/>
      <c r="M25" s="132"/>
      <c r="N25" s="132"/>
      <c r="O25" s="132"/>
      <c r="P25" s="132"/>
      <c r="Q25" s="132"/>
      <c r="R25" s="132"/>
      <c r="S25" s="132"/>
      <c r="T25" s="132"/>
      <c r="U25" s="132"/>
      <c r="V25" s="132"/>
      <c r="W25" s="132"/>
      <c r="X25" s="132"/>
      <c r="Y25" s="132"/>
      <c r="Z25" s="132"/>
      <c r="AA25" s="132"/>
      <c r="AB25" s="132"/>
      <c r="AC25" s="132"/>
      <c r="AD25" s="132"/>
      <c r="AE25" s="132"/>
      <c r="AF25" s="132"/>
      <c r="AG25" s="132"/>
      <c r="AH25" s="132"/>
      <c r="AI25" s="132"/>
      <c r="AJ25" s="132"/>
      <c r="AK25" s="132"/>
      <c r="AL25" s="132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32"/>
      <c r="BE25" s="132"/>
      <c r="BF25" s="132"/>
      <c r="BG25" s="132"/>
      <c r="BH25" s="132"/>
      <c r="BI25" s="132"/>
      <c r="BJ25" s="132"/>
      <c r="BK25" s="132"/>
      <c r="BL25" s="132"/>
      <c r="BM25" s="132"/>
      <c r="BN25" s="132"/>
      <c r="BO25" s="132"/>
      <c r="BP25" s="132"/>
      <c r="BQ25" s="132"/>
      <c r="BR25" s="132"/>
      <c r="BS25" s="132"/>
      <c r="BT25" s="132"/>
      <c r="BU25" s="132"/>
      <c r="BV25" s="132"/>
      <c r="BW25" s="132"/>
      <c r="BX25" s="132"/>
      <c r="BY25" s="132"/>
      <c r="BZ25" s="132"/>
      <c r="CA25" s="132"/>
      <c r="CB25" s="132"/>
      <c r="CC25" s="132"/>
      <c r="CD25" s="132"/>
      <c r="CE25" s="132"/>
      <c r="CF25" s="132"/>
      <c r="CG25" s="132"/>
      <c r="CH25" s="132"/>
      <c r="CI25" s="132"/>
      <c r="CJ25" s="132"/>
      <c r="CK25" s="132"/>
      <c r="CL25" s="132"/>
      <c r="CM25" s="132"/>
      <c r="CN25" s="132"/>
      <c r="CO25" s="132"/>
      <c r="CP25" s="132"/>
      <c r="CQ25" s="132"/>
      <c r="CR25" s="132"/>
      <c r="CS25" s="132"/>
      <c r="CT25" s="132"/>
      <c r="CU25" s="132"/>
      <c r="CV25" s="132"/>
      <c r="CW25" s="132"/>
      <c r="CX25" s="133"/>
    </row>
    <row r="26" spans="1:102" s="2" customFormat="1">
      <c r="A26" s="135" t="s">
        <v>63</v>
      </c>
      <c r="B26" s="140"/>
      <c r="C26" s="140">
        <f>IF(loan_term=0, 0, B23)</f>
        <v>0</v>
      </c>
      <c r="D26" s="140">
        <f t="shared" ref="D26:AA26" si="15">IF(ISNUMBER(outYear),C26-C28,"")</f>
        <v>0</v>
      </c>
      <c r="E26" s="149">
        <f t="shared" si="15"/>
        <v>0</v>
      </c>
      <c r="F26" s="149">
        <f t="shared" si="15"/>
        <v>0</v>
      </c>
      <c r="G26" s="149">
        <f t="shared" si="15"/>
        <v>0</v>
      </c>
      <c r="H26" s="149">
        <f t="shared" si="15"/>
        <v>0</v>
      </c>
      <c r="I26" s="149">
        <f t="shared" si="15"/>
        <v>0</v>
      </c>
      <c r="J26" s="149">
        <f t="shared" si="15"/>
        <v>0</v>
      </c>
      <c r="K26" s="149">
        <f t="shared" si="15"/>
        <v>0</v>
      </c>
      <c r="L26" s="149">
        <f t="shared" si="15"/>
        <v>0</v>
      </c>
      <c r="M26" s="149">
        <f t="shared" si="15"/>
        <v>0</v>
      </c>
      <c r="N26" s="149">
        <f t="shared" si="15"/>
        <v>0</v>
      </c>
      <c r="O26" s="149">
        <f t="shared" si="15"/>
        <v>0</v>
      </c>
      <c r="P26" s="149">
        <f t="shared" si="15"/>
        <v>0</v>
      </c>
      <c r="Q26" s="149">
        <f t="shared" si="15"/>
        <v>0</v>
      </c>
      <c r="R26" s="149">
        <f t="shared" si="15"/>
        <v>0</v>
      </c>
      <c r="S26" s="149">
        <f t="shared" si="15"/>
        <v>0</v>
      </c>
      <c r="T26" s="149">
        <f t="shared" si="15"/>
        <v>0</v>
      </c>
      <c r="U26" s="149">
        <f t="shared" si="15"/>
        <v>0</v>
      </c>
      <c r="V26" s="149">
        <f t="shared" si="15"/>
        <v>0</v>
      </c>
      <c r="W26" s="149">
        <f t="shared" si="15"/>
        <v>0</v>
      </c>
      <c r="X26" s="149">
        <f t="shared" si="15"/>
        <v>0</v>
      </c>
      <c r="Y26" s="149">
        <f t="shared" si="15"/>
        <v>0</v>
      </c>
      <c r="Z26" s="149">
        <f t="shared" si="15"/>
        <v>0</v>
      </c>
      <c r="AA26" s="149">
        <f t="shared" si="15"/>
        <v>0</v>
      </c>
      <c r="AB26" s="140" t="s">
        <v>92</v>
      </c>
      <c r="AC26" s="140" t="s">
        <v>92</v>
      </c>
      <c r="AD26" s="140" t="s">
        <v>92</v>
      </c>
      <c r="AE26" s="140" t="s">
        <v>92</v>
      </c>
      <c r="AF26" s="140" t="s">
        <v>92</v>
      </c>
      <c r="AG26" s="140" t="s">
        <v>92</v>
      </c>
      <c r="AH26" s="140" t="s">
        <v>92</v>
      </c>
      <c r="AI26" s="140" t="s">
        <v>92</v>
      </c>
      <c r="AJ26" s="140" t="s">
        <v>92</v>
      </c>
      <c r="AK26" s="140" t="s">
        <v>92</v>
      </c>
      <c r="AL26" s="140" t="s">
        <v>92</v>
      </c>
      <c r="AM26" s="140" t="s">
        <v>92</v>
      </c>
      <c r="AN26" s="140" t="s">
        <v>92</v>
      </c>
      <c r="AO26" s="140" t="s">
        <v>92</v>
      </c>
      <c r="AP26" s="140" t="s">
        <v>92</v>
      </c>
      <c r="AQ26" s="140" t="s">
        <v>92</v>
      </c>
      <c r="AR26" s="140" t="s">
        <v>92</v>
      </c>
      <c r="AS26" s="140" t="s">
        <v>92</v>
      </c>
      <c r="AT26" s="140" t="s">
        <v>92</v>
      </c>
      <c r="AU26" s="140" t="s">
        <v>92</v>
      </c>
      <c r="AV26" s="140" t="s">
        <v>92</v>
      </c>
      <c r="AW26" s="140" t="s">
        <v>92</v>
      </c>
      <c r="AX26" s="140" t="s">
        <v>92</v>
      </c>
      <c r="AY26" s="140" t="s">
        <v>92</v>
      </c>
      <c r="AZ26" s="140" t="s">
        <v>92</v>
      </c>
      <c r="BA26" s="140" t="s">
        <v>92</v>
      </c>
      <c r="BB26" s="140" t="s">
        <v>92</v>
      </c>
      <c r="BC26" s="140" t="s">
        <v>92</v>
      </c>
      <c r="BD26" s="140" t="s">
        <v>92</v>
      </c>
      <c r="BE26" s="140" t="s">
        <v>92</v>
      </c>
      <c r="BF26" s="140" t="s">
        <v>92</v>
      </c>
      <c r="BG26" s="140" t="s">
        <v>92</v>
      </c>
      <c r="BH26" s="140" t="s">
        <v>92</v>
      </c>
      <c r="BI26" s="140" t="s">
        <v>92</v>
      </c>
      <c r="BJ26" s="140" t="s">
        <v>92</v>
      </c>
      <c r="BK26" s="140" t="s">
        <v>92</v>
      </c>
      <c r="BL26" s="140" t="s">
        <v>92</v>
      </c>
      <c r="BM26" s="140" t="s">
        <v>92</v>
      </c>
      <c r="BN26" s="140" t="s">
        <v>92</v>
      </c>
      <c r="BO26" s="140" t="s">
        <v>92</v>
      </c>
      <c r="BP26" s="140" t="s">
        <v>92</v>
      </c>
      <c r="BQ26" s="140" t="s">
        <v>92</v>
      </c>
      <c r="BR26" s="140" t="s">
        <v>92</v>
      </c>
      <c r="BS26" s="140" t="s">
        <v>92</v>
      </c>
      <c r="BT26" s="140" t="s">
        <v>92</v>
      </c>
      <c r="BU26" s="140" t="s">
        <v>92</v>
      </c>
      <c r="BV26" s="140" t="s">
        <v>92</v>
      </c>
      <c r="BW26" s="140" t="s">
        <v>92</v>
      </c>
      <c r="BX26" s="140" t="s">
        <v>92</v>
      </c>
      <c r="BY26" s="140" t="s">
        <v>92</v>
      </c>
      <c r="BZ26" s="140" t="s">
        <v>92</v>
      </c>
      <c r="CA26" s="140" t="s">
        <v>92</v>
      </c>
      <c r="CB26" s="140" t="s">
        <v>92</v>
      </c>
      <c r="CC26" s="140" t="s">
        <v>92</v>
      </c>
      <c r="CD26" s="140" t="s">
        <v>92</v>
      </c>
      <c r="CE26" s="140" t="s">
        <v>92</v>
      </c>
      <c r="CF26" s="140" t="s">
        <v>92</v>
      </c>
      <c r="CG26" s="140" t="s">
        <v>92</v>
      </c>
      <c r="CH26" s="140" t="s">
        <v>92</v>
      </c>
      <c r="CI26" s="140" t="s">
        <v>92</v>
      </c>
      <c r="CJ26" s="140" t="s">
        <v>92</v>
      </c>
      <c r="CK26" s="140" t="s">
        <v>92</v>
      </c>
      <c r="CL26" s="140" t="s">
        <v>92</v>
      </c>
      <c r="CM26" s="140" t="s">
        <v>92</v>
      </c>
      <c r="CN26" s="140" t="s">
        <v>92</v>
      </c>
      <c r="CO26" s="140" t="s">
        <v>92</v>
      </c>
      <c r="CP26" s="140" t="s">
        <v>92</v>
      </c>
      <c r="CQ26" s="140" t="s">
        <v>92</v>
      </c>
      <c r="CR26" s="140" t="s">
        <v>92</v>
      </c>
      <c r="CS26" s="140" t="s">
        <v>92</v>
      </c>
      <c r="CT26" s="140" t="s">
        <v>92</v>
      </c>
      <c r="CU26" s="140" t="s">
        <v>92</v>
      </c>
      <c r="CV26" s="140" t="s">
        <v>92</v>
      </c>
      <c r="CW26" s="140" t="s">
        <v>92</v>
      </c>
      <c r="CX26" s="140" t="s">
        <v>92</v>
      </c>
    </row>
    <row r="27" spans="1:102" s="2" customFormat="1">
      <c r="A27" s="135" t="s">
        <v>64</v>
      </c>
      <c r="B27" s="132"/>
      <c r="C27" s="140">
        <f t="shared" ref="C27:AA27" si="16">IF(ISNUMBER(outYear),IF(outYear&gt;loan_term,0,C26*loan_rate/100),"")</f>
        <v>0</v>
      </c>
      <c r="D27" s="149">
        <f t="shared" si="16"/>
        <v>0</v>
      </c>
      <c r="E27" s="149">
        <f t="shared" si="16"/>
        <v>0</v>
      </c>
      <c r="F27" s="149">
        <f t="shared" si="16"/>
        <v>0</v>
      </c>
      <c r="G27" s="149">
        <f t="shared" si="16"/>
        <v>0</v>
      </c>
      <c r="H27" s="149">
        <f t="shared" si="16"/>
        <v>0</v>
      </c>
      <c r="I27" s="149">
        <f t="shared" si="16"/>
        <v>0</v>
      </c>
      <c r="J27" s="149">
        <f t="shared" si="16"/>
        <v>0</v>
      </c>
      <c r="K27" s="149">
        <f t="shared" si="16"/>
        <v>0</v>
      </c>
      <c r="L27" s="149">
        <f t="shared" si="16"/>
        <v>0</v>
      </c>
      <c r="M27" s="149">
        <f t="shared" si="16"/>
        <v>0</v>
      </c>
      <c r="N27" s="149">
        <f t="shared" si="16"/>
        <v>0</v>
      </c>
      <c r="O27" s="149">
        <f t="shared" si="16"/>
        <v>0</v>
      </c>
      <c r="P27" s="149">
        <f t="shared" si="16"/>
        <v>0</v>
      </c>
      <c r="Q27" s="149">
        <f t="shared" si="16"/>
        <v>0</v>
      </c>
      <c r="R27" s="149">
        <f t="shared" si="16"/>
        <v>0</v>
      </c>
      <c r="S27" s="149">
        <f t="shared" si="16"/>
        <v>0</v>
      </c>
      <c r="T27" s="149">
        <f t="shared" si="16"/>
        <v>0</v>
      </c>
      <c r="U27" s="149">
        <f t="shared" si="16"/>
        <v>0</v>
      </c>
      <c r="V27" s="149">
        <f t="shared" si="16"/>
        <v>0</v>
      </c>
      <c r="W27" s="149">
        <f t="shared" si="16"/>
        <v>0</v>
      </c>
      <c r="X27" s="149">
        <f t="shared" si="16"/>
        <v>0</v>
      </c>
      <c r="Y27" s="149">
        <f t="shared" si="16"/>
        <v>0</v>
      </c>
      <c r="Z27" s="149">
        <f t="shared" si="16"/>
        <v>0</v>
      </c>
      <c r="AA27" s="149">
        <f t="shared" si="16"/>
        <v>0</v>
      </c>
      <c r="AB27" s="140" t="s">
        <v>92</v>
      </c>
      <c r="AC27" s="140" t="s">
        <v>92</v>
      </c>
      <c r="AD27" s="140" t="s">
        <v>92</v>
      </c>
      <c r="AE27" s="140" t="s">
        <v>92</v>
      </c>
      <c r="AF27" s="140" t="s">
        <v>92</v>
      </c>
      <c r="AG27" s="140" t="s">
        <v>92</v>
      </c>
      <c r="AH27" s="140" t="s">
        <v>92</v>
      </c>
      <c r="AI27" s="140" t="s">
        <v>92</v>
      </c>
      <c r="AJ27" s="140" t="s">
        <v>92</v>
      </c>
      <c r="AK27" s="140" t="s">
        <v>92</v>
      </c>
      <c r="AL27" s="140" t="s">
        <v>92</v>
      </c>
      <c r="AM27" s="140" t="s">
        <v>92</v>
      </c>
      <c r="AN27" s="140" t="s">
        <v>92</v>
      </c>
      <c r="AO27" s="140" t="s">
        <v>92</v>
      </c>
      <c r="AP27" s="140" t="s">
        <v>92</v>
      </c>
      <c r="AQ27" s="140" t="s">
        <v>92</v>
      </c>
      <c r="AR27" s="140" t="s">
        <v>92</v>
      </c>
      <c r="AS27" s="140" t="s">
        <v>92</v>
      </c>
      <c r="AT27" s="140" t="s">
        <v>92</v>
      </c>
      <c r="AU27" s="140" t="s">
        <v>92</v>
      </c>
      <c r="AV27" s="140" t="s">
        <v>92</v>
      </c>
      <c r="AW27" s="140" t="s">
        <v>92</v>
      </c>
      <c r="AX27" s="140" t="s">
        <v>92</v>
      </c>
      <c r="AY27" s="140" t="s">
        <v>92</v>
      </c>
      <c r="AZ27" s="140" t="s">
        <v>92</v>
      </c>
      <c r="BA27" s="140" t="s">
        <v>92</v>
      </c>
      <c r="BB27" s="140" t="s">
        <v>92</v>
      </c>
      <c r="BC27" s="140" t="s">
        <v>92</v>
      </c>
      <c r="BD27" s="140" t="s">
        <v>92</v>
      </c>
      <c r="BE27" s="140" t="s">
        <v>92</v>
      </c>
      <c r="BF27" s="140" t="s">
        <v>92</v>
      </c>
      <c r="BG27" s="140" t="s">
        <v>92</v>
      </c>
      <c r="BH27" s="140" t="s">
        <v>92</v>
      </c>
      <c r="BI27" s="140" t="s">
        <v>92</v>
      </c>
      <c r="BJ27" s="140" t="s">
        <v>92</v>
      </c>
      <c r="BK27" s="140" t="s">
        <v>92</v>
      </c>
      <c r="BL27" s="140" t="s">
        <v>92</v>
      </c>
      <c r="BM27" s="140" t="s">
        <v>92</v>
      </c>
      <c r="BN27" s="140" t="s">
        <v>92</v>
      </c>
      <c r="BO27" s="140" t="s">
        <v>92</v>
      </c>
      <c r="BP27" s="140" t="s">
        <v>92</v>
      </c>
      <c r="BQ27" s="140" t="s">
        <v>92</v>
      </c>
      <c r="BR27" s="140" t="s">
        <v>92</v>
      </c>
      <c r="BS27" s="140" t="s">
        <v>92</v>
      </c>
      <c r="BT27" s="140" t="s">
        <v>92</v>
      </c>
      <c r="BU27" s="140" t="s">
        <v>92</v>
      </c>
      <c r="BV27" s="140" t="s">
        <v>92</v>
      </c>
      <c r="BW27" s="140" t="s">
        <v>92</v>
      </c>
      <c r="BX27" s="140" t="s">
        <v>92</v>
      </c>
      <c r="BY27" s="140" t="s">
        <v>92</v>
      </c>
      <c r="BZ27" s="140" t="s">
        <v>92</v>
      </c>
      <c r="CA27" s="140" t="s">
        <v>92</v>
      </c>
      <c r="CB27" s="140" t="s">
        <v>92</v>
      </c>
      <c r="CC27" s="140" t="s">
        <v>92</v>
      </c>
      <c r="CD27" s="140" t="s">
        <v>92</v>
      </c>
      <c r="CE27" s="140" t="s">
        <v>92</v>
      </c>
      <c r="CF27" s="140" t="s">
        <v>92</v>
      </c>
      <c r="CG27" s="140" t="s">
        <v>92</v>
      </c>
      <c r="CH27" s="140" t="s">
        <v>92</v>
      </c>
      <c r="CI27" s="140" t="s">
        <v>92</v>
      </c>
      <c r="CJ27" s="140" t="s">
        <v>92</v>
      </c>
      <c r="CK27" s="140" t="s">
        <v>92</v>
      </c>
      <c r="CL27" s="140" t="s">
        <v>92</v>
      </c>
      <c r="CM27" s="140" t="s">
        <v>92</v>
      </c>
      <c r="CN27" s="140" t="s">
        <v>92</v>
      </c>
      <c r="CO27" s="140" t="s">
        <v>92</v>
      </c>
      <c r="CP27" s="140" t="s">
        <v>92</v>
      </c>
      <c r="CQ27" s="140" t="s">
        <v>92</v>
      </c>
      <c r="CR27" s="140" t="s">
        <v>92</v>
      </c>
      <c r="CS27" s="140" t="s">
        <v>92</v>
      </c>
      <c r="CT27" s="140" t="s">
        <v>92</v>
      </c>
      <c r="CU27" s="140" t="s">
        <v>92</v>
      </c>
      <c r="CV27" s="140" t="s">
        <v>92</v>
      </c>
      <c r="CW27" s="140" t="s">
        <v>92</v>
      </c>
      <c r="CX27" s="140" t="s">
        <v>92</v>
      </c>
    </row>
    <row r="28" spans="1:102" s="2" customFormat="1">
      <c r="A28" s="135" t="s">
        <v>66</v>
      </c>
      <c r="B28" s="132"/>
      <c r="C28" s="140">
        <f t="shared" ref="C28:AA28" si="17">IF(ISNUMBER(outYear),IF(outYear&gt;loan_term,0,-PPMT(loan_rate/100,outYear,loan_term,$B$23,0,0)),"")</f>
        <v>0</v>
      </c>
      <c r="D28" s="149">
        <f t="shared" si="17"/>
        <v>0</v>
      </c>
      <c r="E28" s="149">
        <f t="shared" si="17"/>
        <v>0</v>
      </c>
      <c r="F28" s="149">
        <f t="shared" si="17"/>
        <v>0</v>
      </c>
      <c r="G28" s="149">
        <f t="shared" si="17"/>
        <v>0</v>
      </c>
      <c r="H28" s="149">
        <f t="shared" si="17"/>
        <v>0</v>
      </c>
      <c r="I28" s="149">
        <f t="shared" si="17"/>
        <v>0</v>
      </c>
      <c r="J28" s="149">
        <f t="shared" si="17"/>
        <v>0</v>
      </c>
      <c r="K28" s="149">
        <f t="shared" si="17"/>
        <v>0</v>
      </c>
      <c r="L28" s="149">
        <f t="shared" si="17"/>
        <v>0</v>
      </c>
      <c r="M28" s="149">
        <f t="shared" si="17"/>
        <v>0</v>
      </c>
      <c r="N28" s="149">
        <f t="shared" si="17"/>
        <v>0</v>
      </c>
      <c r="O28" s="149">
        <f t="shared" si="17"/>
        <v>0</v>
      </c>
      <c r="P28" s="149">
        <f t="shared" si="17"/>
        <v>0</v>
      </c>
      <c r="Q28" s="149">
        <f t="shared" si="17"/>
        <v>0</v>
      </c>
      <c r="R28" s="149">
        <f t="shared" si="17"/>
        <v>0</v>
      </c>
      <c r="S28" s="149">
        <f t="shared" si="17"/>
        <v>0</v>
      </c>
      <c r="T28" s="149">
        <f t="shared" si="17"/>
        <v>0</v>
      </c>
      <c r="U28" s="149">
        <f t="shared" si="17"/>
        <v>0</v>
      </c>
      <c r="V28" s="149">
        <f t="shared" si="17"/>
        <v>0</v>
      </c>
      <c r="W28" s="149">
        <f t="shared" si="17"/>
        <v>0</v>
      </c>
      <c r="X28" s="149">
        <f t="shared" si="17"/>
        <v>0</v>
      </c>
      <c r="Y28" s="149">
        <f t="shared" si="17"/>
        <v>0</v>
      </c>
      <c r="Z28" s="149">
        <f t="shared" si="17"/>
        <v>0</v>
      </c>
      <c r="AA28" s="149">
        <f t="shared" si="17"/>
        <v>0</v>
      </c>
      <c r="AB28" s="140" t="s">
        <v>92</v>
      </c>
      <c r="AC28" s="140" t="s">
        <v>92</v>
      </c>
      <c r="AD28" s="140" t="s">
        <v>92</v>
      </c>
      <c r="AE28" s="140" t="s">
        <v>92</v>
      </c>
      <c r="AF28" s="140" t="s">
        <v>92</v>
      </c>
      <c r="AG28" s="140" t="s">
        <v>92</v>
      </c>
      <c r="AH28" s="140" t="s">
        <v>92</v>
      </c>
      <c r="AI28" s="140" t="s">
        <v>92</v>
      </c>
      <c r="AJ28" s="140" t="s">
        <v>92</v>
      </c>
      <c r="AK28" s="140" t="s">
        <v>92</v>
      </c>
      <c r="AL28" s="140" t="s">
        <v>92</v>
      </c>
      <c r="AM28" s="140" t="s">
        <v>92</v>
      </c>
      <c r="AN28" s="140" t="s">
        <v>92</v>
      </c>
      <c r="AO28" s="140" t="s">
        <v>92</v>
      </c>
      <c r="AP28" s="140" t="s">
        <v>92</v>
      </c>
      <c r="AQ28" s="140" t="s">
        <v>92</v>
      </c>
      <c r="AR28" s="140" t="s">
        <v>92</v>
      </c>
      <c r="AS28" s="140" t="s">
        <v>92</v>
      </c>
      <c r="AT28" s="140" t="s">
        <v>92</v>
      </c>
      <c r="AU28" s="140" t="s">
        <v>92</v>
      </c>
      <c r="AV28" s="140" t="s">
        <v>92</v>
      </c>
      <c r="AW28" s="140" t="s">
        <v>92</v>
      </c>
      <c r="AX28" s="140" t="s">
        <v>92</v>
      </c>
      <c r="AY28" s="140" t="s">
        <v>92</v>
      </c>
      <c r="AZ28" s="140" t="s">
        <v>92</v>
      </c>
      <c r="BA28" s="140" t="s">
        <v>92</v>
      </c>
      <c r="BB28" s="140" t="s">
        <v>92</v>
      </c>
      <c r="BC28" s="140" t="s">
        <v>92</v>
      </c>
      <c r="BD28" s="140" t="s">
        <v>92</v>
      </c>
      <c r="BE28" s="140" t="s">
        <v>92</v>
      </c>
      <c r="BF28" s="140" t="s">
        <v>92</v>
      </c>
      <c r="BG28" s="140" t="s">
        <v>92</v>
      </c>
      <c r="BH28" s="140" t="s">
        <v>92</v>
      </c>
      <c r="BI28" s="140" t="s">
        <v>92</v>
      </c>
      <c r="BJ28" s="140" t="s">
        <v>92</v>
      </c>
      <c r="BK28" s="140" t="s">
        <v>92</v>
      </c>
      <c r="BL28" s="140" t="s">
        <v>92</v>
      </c>
      <c r="BM28" s="140" t="s">
        <v>92</v>
      </c>
      <c r="BN28" s="140" t="s">
        <v>92</v>
      </c>
      <c r="BO28" s="140" t="s">
        <v>92</v>
      </c>
      <c r="BP28" s="140" t="s">
        <v>92</v>
      </c>
      <c r="BQ28" s="140" t="s">
        <v>92</v>
      </c>
      <c r="BR28" s="140" t="s">
        <v>92</v>
      </c>
      <c r="BS28" s="140" t="s">
        <v>92</v>
      </c>
      <c r="BT28" s="140" t="s">
        <v>92</v>
      </c>
      <c r="BU28" s="140" t="s">
        <v>92</v>
      </c>
      <c r="BV28" s="140" t="s">
        <v>92</v>
      </c>
      <c r="BW28" s="140" t="s">
        <v>92</v>
      </c>
      <c r="BX28" s="140" t="s">
        <v>92</v>
      </c>
      <c r="BY28" s="140" t="s">
        <v>92</v>
      </c>
      <c r="BZ28" s="140" t="s">
        <v>92</v>
      </c>
      <c r="CA28" s="140" t="s">
        <v>92</v>
      </c>
      <c r="CB28" s="140" t="s">
        <v>92</v>
      </c>
      <c r="CC28" s="140" t="s">
        <v>92</v>
      </c>
      <c r="CD28" s="140" t="s">
        <v>92</v>
      </c>
      <c r="CE28" s="140" t="s">
        <v>92</v>
      </c>
      <c r="CF28" s="140" t="s">
        <v>92</v>
      </c>
      <c r="CG28" s="140" t="s">
        <v>92</v>
      </c>
      <c r="CH28" s="140" t="s">
        <v>92</v>
      </c>
      <c r="CI28" s="140" t="s">
        <v>92</v>
      </c>
      <c r="CJ28" s="140" t="s">
        <v>92</v>
      </c>
      <c r="CK28" s="140" t="s">
        <v>92</v>
      </c>
      <c r="CL28" s="140" t="s">
        <v>92</v>
      </c>
      <c r="CM28" s="140" t="s">
        <v>92</v>
      </c>
      <c r="CN28" s="140" t="s">
        <v>92</v>
      </c>
      <c r="CO28" s="140" t="s">
        <v>92</v>
      </c>
      <c r="CP28" s="140" t="s">
        <v>92</v>
      </c>
      <c r="CQ28" s="140" t="s">
        <v>92</v>
      </c>
      <c r="CR28" s="140" t="s">
        <v>92</v>
      </c>
      <c r="CS28" s="140" t="s">
        <v>92</v>
      </c>
      <c r="CT28" s="140" t="s">
        <v>92</v>
      </c>
      <c r="CU28" s="140" t="s">
        <v>92</v>
      </c>
      <c r="CV28" s="140" t="s">
        <v>92</v>
      </c>
      <c r="CW28" s="140" t="s">
        <v>92</v>
      </c>
      <c r="CX28" s="140" t="s">
        <v>92</v>
      </c>
    </row>
    <row r="29" spans="1:102" s="2" customFormat="1">
      <c r="A29" s="139" t="s">
        <v>65</v>
      </c>
      <c r="B29" s="136"/>
      <c r="C29" s="141">
        <f t="shared" ref="C29:AA29" si="18">IF(ISNUMBER(outYear),+C27+C28,"")</f>
        <v>0</v>
      </c>
      <c r="D29" s="150">
        <f t="shared" si="18"/>
        <v>0</v>
      </c>
      <c r="E29" s="150">
        <f t="shared" si="18"/>
        <v>0</v>
      </c>
      <c r="F29" s="150">
        <f t="shared" si="18"/>
        <v>0</v>
      </c>
      <c r="G29" s="150">
        <f t="shared" si="18"/>
        <v>0</v>
      </c>
      <c r="H29" s="150">
        <f t="shared" si="18"/>
        <v>0</v>
      </c>
      <c r="I29" s="150">
        <f t="shared" si="18"/>
        <v>0</v>
      </c>
      <c r="J29" s="150">
        <f t="shared" si="18"/>
        <v>0</v>
      </c>
      <c r="K29" s="150">
        <f t="shared" si="18"/>
        <v>0</v>
      </c>
      <c r="L29" s="150">
        <f t="shared" si="18"/>
        <v>0</v>
      </c>
      <c r="M29" s="150">
        <f t="shared" si="18"/>
        <v>0</v>
      </c>
      <c r="N29" s="150">
        <f t="shared" si="18"/>
        <v>0</v>
      </c>
      <c r="O29" s="150">
        <f t="shared" si="18"/>
        <v>0</v>
      </c>
      <c r="P29" s="150">
        <f t="shared" si="18"/>
        <v>0</v>
      </c>
      <c r="Q29" s="150">
        <f t="shared" si="18"/>
        <v>0</v>
      </c>
      <c r="R29" s="150">
        <f t="shared" si="18"/>
        <v>0</v>
      </c>
      <c r="S29" s="150">
        <f t="shared" si="18"/>
        <v>0</v>
      </c>
      <c r="T29" s="150">
        <f t="shared" si="18"/>
        <v>0</v>
      </c>
      <c r="U29" s="150">
        <f t="shared" si="18"/>
        <v>0</v>
      </c>
      <c r="V29" s="150">
        <f t="shared" si="18"/>
        <v>0</v>
      </c>
      <c r="W29" s="150">
        <f t="shared" si="18"/>
        <v>0</v>
      </c>
      <c r="X29" s="150">
        <f t="shared" si="18"/>
        <v>0</v>
      </c>
      <c r="Y29" s="150">
        <f t="shared" si="18"/>
        <v>0</v>
      </c>
      <c r="Z29" s="150">
        <f t="shared" si="18"/>
        <v>0</v>
      </c>
      <c r="AA29" s="150">
        <f t="shared" si="18"/>
        <v>0</v>
      </c>
      <c r="AB29" s="141" t="s">
        <v>92</v>
      </c>
      <c r="AC29" s="141" t="s">
        <v>92</v>
      </c>
      <c r="AD29" s="141" t="s">
        <v>92</v>
      </c>
      <c r="AE29" s="141" t="s">
        <v>92</v>
      </c>
      <c r="AF29" s="141" t="s">
        <v>92</v>
      </c>
      <c r="AG29" s="141" t="s">
        <v>92</v>
      </c>
      <c r="AH29" s="141" t="s">
        <v>92</v>
      </c>
      <c r="AI29" s="141" t="s">
        <v>92</v>
      </c>
      <c r="AJ29" s="141" t="s">
        <v>92</v>
      </c>
      <c r="AK29" s="141" t="s">
        <v>92</v>
      </c>
      <c r="AL29" s="141" t="s">
        <v>92</v>
      </c>
      <c r="AM29" s="141" t="s">
        <v>92</v>
      </c>
      <c r="AN29" s="141" t="s">
        <v>92</v>
      </c>
      <c r="AO29" s="141" t="s">
        <v>92</v>
      </c>
      <c r="AP29" s="141" t="s">
        <v>92</v>
      </c>
      <c r="AQ29" s="141" t="s">
        <v>92</v>
      </c>
      <c r="AR29" s="141" t="s">
        <v>92</v>
      </c>
      <c r="AS29" s="141" t="s">
        <v>92</v>
      </c>
      <c r="AT29" s="141" t="s">
        <v>92</v>
      </c>
      <c r="AU29" s="141" t="s">
        <v>92</v>
      </c>
      <c r="AV29" s="141" t="s">
        <v>92</v>
      </c>
      <c r="AW29" s="141" t="s">
        <v>92</v>
      </c>
      <c r="AX29" s="141" t="s">
        <v>92</v>
      </c>
      <c r="AY29" s="141" t="s">
        <v>92</v>
      </c>
      <c r="AZ29" s="141" t="s">
        <v>92</v>
      </c>
      <c r="BA29" s="141" t="s">
        <v>92</v>
      </c>
      <c r="BB29" s="141" t="s">
        <v>92</v>
      </c>
      <c r="BC29" s="141" t="s">
        <v>92</v>
      </c>
      <c r="BD29" s="141" t="s">
        <v>92</v>
      </c>
      <c r="BE29" s="141" t="s">
        <v>92</v>
      </c>
      <c r="BF29" s="141" t="s">
        <v>92</v>
      </c>
      <c r="BG29" s="141" t="s">
        <v>92</v>
      </c>
      <c r="BH29" s="141" t="s">
        <v>92</v>
      </c>
      <c r="BI29" s="141" t="s">
        <v>92</v>
      </c>
      <c r="BJ29" s="141" t="s">
        <v>92</v>
      </c>
      <c r="BK29" s="141" t="s">
        <v>92</v>
      </c>
      <c r="BL29" s="141" t="s">
        <v>92</v>
      </c>
      <c r="BM29" s="141" t="s">
        <v>92</v>
      </c>
      <c r="BN29" s="141" t="s">
        <v>92</v>
      </c>
      <c r="BO29" s="141" t="s">
        <v>92</v>
      </c>
      <c r="BP29" s="141" t="s">
        <v>92</v>
      </c>
      <c r="BQ29" s="141" t="s">
        <v>92</v>
      </c>
      <c r="BR29" s="141" t="s">
        <v>92</v>
      </c>
      <c r="BS29" s="141" t="s">
        <v>92</v>
      </c>
      <c r="BT29" s="141" t="s">
        <v>92</v>
      </c>
      <c r="BU29" s="141" t="s">
        <v>92</v>
      </c>
      <c r="BV29" s="141" t="s">
        <v>92</v>
      </c>
      <c r="BW29" s="141" t="s">
        <v>92</v>
      </c>
      <c r="BX29" s="141" t="s">
        <v>92</v>
      </c>
      <c r="BY29" s="141" t="s">
        <v>92</v>
      </c>
      <c r="BZ29" s="141" t="s">
        <v>92</v>
      </c>
      <c r="CA29" s="141" t="s">
        <v>92</v>
      </c>
      <c r="CB29" s="141" t="s">
        <v>92</v>
      </c>
      <c r="CC29" s="141" t="s">
        <v>92</v>
      </c>
      <c r="CD29" s="141" t="s">
        <v>92</v>
      </c>
      <c r="CE29" s="141" t="s">
        <v>92</v>
      </c>
      <c r="CF29" s="141" t="s">
        <v>92</v>
      </c>
      <c r="CG29" s="141" t="s">
        <v>92</v>
      </c>
      <c r="CH29" s="141" t="s">
        <v>92</v>
      </c>
      <c r="CI29" s="141" t="s">
        <v>92</v>
      </c>
      <c r="CJ29" s="141" t="s">
        <v>92</v>
      </c>
      <c r="CK29" s="141" t="s">
        <v>92</v>
      </c>
      <c r="CL29" s="141" t="s">
        <v>92</v>
      </c>
      <c r="CM29" s="141" t="s">
        <v>92</v>
      </c>
      <c r="CN29" s="141" t="s">
        <v>92</v>
      </c>
      <c r="CO29" s="141" t="s">
        <v>92</v>
      </c>
      <c r="CP29" s="141" t="s">
        <v>92</v>
      </c>
      <c r="CQ29" s="141" t="s">
        <v>92</v>
      </c>
      <c r="CR29" s="141" t="s">
        <v>92</v>
      </c>
      <c r="CS29" s="141" t="s">
        <v>92</v>
      </c>
      <c r="CT29" s="141" t="s">
        <v>92</v>
      </c>
      <c r="CU29" s="141" t="s">
        <v>92</v>
      </c>
      <c r="CV29" s="141" t="s">
        <v>92</v>
      </c>
      <c r="CW29" s="141" t="s">
        <v>92</v>
      </c>
      <c r="CX29" s="141" t="s">
        <v>92</v>
      </c>
    </row>
    <row r="30" spans="1:102" s="2" customFormat="1">
      <c r="A30" s="143"/>
      <c r="B30" s="144"/>
      <c r="C30" s="149"/>
      <c r="D30" s="149"/>
      <c r="E30" s="149"/>
      <c r="F30" s="149"/>
      <c r="G30" s="149"/>
      <c r="H30" s="149"/>
      <c r="I30" s="149"/>
      <c r="J30" s="149"/>
      <c r="K30" s="149"/>
      <c r="L30" s="149"/>
      <c r="M30" s="149"/>
      <c r="N30" s="149"/>
      <c r="O30" s="149"/>
      <c r="P30" s="149"/>
      <c r="Q30" s="149"/>
      <c r="R30" s="149"/>
      <c r="S30" s="149"/>
      <c r="T30" s="149"/>
      <c r="U30" s="149"/>
      <c r="V30" s="149"/>
      <c r="W30" s="149"/>
      <c r="X30" s="149"/>
      <c r="Y30" s="149"/>
      <c r="Z30" s="149"/>
      <c r="AA30" s="149"/>
      <c r="AB30" s="149"/>
      <c r="AC30" s="149"/>
      <c r="AD30" s="149"/>
      <c r="AE30" s="149"/>
      <c r="AF30" s="149"/>
      <c r="AG30" s="149"/>
      <c r="AH30" s="149"/>
      <c r="AI30" s="149"/>
      <c r="AJ30" s="149"/>
      <c r="AK30" s="149"/>
      <c r="AL30" s="149"/>
      <c r="AM30" s="149"/>
      <c r="AN30" s="149"/>
      <c r="AO30" s="149"/>
      <c r="AP30" s="149"/>
      <c r="AQ30" s="149"/>
      <c r="AR30" s="149"/>
      <c r="AS30" s="149"/>
      <c r="AT30" s="149"/>
      <c r="AU30" s="149"/>
      <c r="AV30" s="149"/>
      <c r="AW30" s="149"/>
      <c r="AX30" s="149"/>
      <c r="AY30" s="149"/>
      <c r="AZ30" s="149"/>
      <c r="BA30" s="149"/>
      <c r="BB30" s="149"/>
      <c r="BC30" s="149"/>
      <c r="BD30" s="149"/>
      <c r="BE30" s="149"/>
      <c r="BF30" s="149"/>
      <c r="BG30" s="149"/>
      <c r="BH30" s="149"/>
      <c r="BI30" s="149"/>
      <c r="BJ30" s="149"/>
      <c r="BK30" s="149"/>
      <c r="BL30" s="149"/>
      <c r="BM30" s="149"/>
      <c r="BN30" s="149"/>
      <c r="BO30" s="149"/>
      <c r="BP30" s="149"/>
      <c r="BQ30" s="149"/>
      <c r="BR30" s="149"/>
      <c r="BS30" s="149"/>
      <c r="BT30" s="149"/>
      <c r="BU30" s="149"/>
      <c r="BV30" s="149"/>
      <c r="BW30" s="149"/>
      <c r="BX30" s="149"/>
      <c r="BY30" s="149"/>
      <c r="BZ30" s="149"/>
      <c r="CA30" s="149"/>
      <c r="CB30" s="149"/>
      <c r="CC30" s="149"/>
      <c r="CD30" s="149"/>
      <c r="CE30" s="149"/>
      <c r="CF30" s="149"/>
      <c r="CG30" s="149"/>
      <c r="CH30" s="149"/>
      <c r="CI30" s="149"/>
      <c r="CJ30" s="149"/>
      <c r="CK30" s="149"/>
      <c r="CL30" s="149"/>
      <c r="CM30" s="149"/>
      <c r="CN30" s="149"/>
      <c r="CO30" s="149"/>
      <c r="CP30" s="149"/>
      <c r="CQ30" s="149"/>
      <c r="CR30" s="149"/>
      <c r="CS30" s="149"/>
      <c r="CT30" s="149"/>
      <c r="CU30" s="149"/>
      <c r="CV30" s="149"/>
      <c r="CW30" s="149"/>
      <c r="CX30" s="149"/>
    </row>
    <row r="31" spans="1:102">
      <c r="A31" s="80" t="s">
        <v>67</v>
      </c>
      <c r="B31" s="77">
        <f>-B24</f>
        <v>-542718</v>
      </c>
      <c r="C31" s="77">
        <f>IF(ISNUMBER(C2),-(C15+C29),"")</f>
        <v>-4501.5129999999999</v>
      </c>
      <c r="D31" s="77">
        <f t="shared" ref="D31:AA31" si="19">IF(ISNUMBER(D2),-(D15+D29),"")</f>
        <v>-4614.0508250000003</v>
      </c>
      <c r="E31" s="77">
        <f t="shared" si="19"/>
        <v>-4729.4020956249997</v>
      </c>
      <c r="F31" s="77">
        <f t="shared" si="19"/>
        <v>-4847.637148015624</v>
      </c>
      <c r="G31" s="77">
        <f t="shared" si="19"/>
        <v>-4968.828076716014</v>
      </c>
      <c r="H31" s="77">
        <f t="shared" si="19"/>
        <v>-5093.0487786339145</v>
      </c>
      <c r="I31" s="77">
        <f t="shared" si="19"/>
        <v>-5220.3749980997627</v>
      </c>
      <c r="J31" s="77">
        <f t="shared" si="19"/>
        <v>-5350.8843730522567</v>
      </c>
      <c r="K31" s="77">
        <f t="shared" si="19"/>
        <v>-5484.6564823785611</v>
      </c>
      <c r="L31" s="77">
        <f t="shared" si="19"/>
        <v>-80621.772894438021</v>
      </c>
      <c r="M31" s="77">
        <f t="shared" si="19"/>
        <v>-5762.317216798976</v>
      </c>
      <c r="N31" s="77">
        <f t="shared" si="19"/>
        <v>-5906.3751472189497</v>
      </c>
      <c r="O31" s="77">
        <f t="shared" si="19"/>
        <v>-6054.034525899423</v>
      </c>
      <c r="P31" s="77">
        <f t="shared" si="19"/>
        <v>-6205.385389046909</v>
      </c>
      <c r="Q31" s="77">
        <f t="shared" si="19"/>
        <v>-6360.5200237730824</v>
      </c>
      <c r="R31" s="77">
        <f t="shared" si="19"/>
        <v>-6519.5330243674089</v>
      </c>
      <c r="S31" s="77">
        <f t="shared" si="19"/>
        <v>-6682.5213499765923</v>
      </c>
      <c r="T31" s="77">
        <f t="shared" si="19"/>
        <v>-6849.5843837260081</v>
      </c>
      <c r="U31" s="77">
        <f t="shared" si="19"/>
        <v>-7020.823993319158</v>
      </c>
      <c r="V31" s="77">
        <f t="shared" si="19"/>
        <v>-7196.3445931521355</v>
      </c>
      <c r="W31" s="77">
        <f t="shared" si="19"/>
        <v>-7376.2532079809389</v>
      </c>
      <c r="X31" s="77">
        <f t="shared" si="19"/>
        <v>-7560.6595381804627</v>
      </c>
      <c r="Y31" s="77">
        <f t="shared" si="19"/>
        <v>-7749.6760266349738</v>
      </c>
      <c r="Z31" s="77">
        <f t="shared" si="19"/>
        <v>-7943.4179273008485</v>
      </c>
      <c r="AA31" s="77">
        <f t="shared" si="19"/>
        <v>-8142.0033754833667</v>
      </c>
      <c r="AB31" s="77" t="str">
        <f>IF(ISNUMBER(AB2),-(AB15+#REF!),"")</f>
        <v/>
      </c>
      <c r="AC31" s="77" t="str">
        <f>IF(ISNUMBER(AC2),-(AC15+#REF!),"")</f>
        <v/>
      </c>
      <c r="AD31" s="77" t="str">
        <f>IF(ISNUMBER(AD2),-(AD15+#REF!),"")</f>
        <v/>
      </c>
      <c r="AE31" s="77" t="str">
        <f>IF(ISNUMBER(AE2),-(AE15+#REF!),"")</f>
        <v/>
      </c>
      <c r="AF31" s="77" t="str">
        <f>IF(ISNUMBER(AF2),-(AF15+#REF!),"")</f>
        <v/>
      </c>
      <c r="AG31" s="77" t="str">
        <f>IF(ISNUMBER(AG2),-(AG15+#REF!),"")</f>
        <v/>
      </c>
      <c r="AH31" s="77" t="str">
        <f>IF(ISNUMBER(AH2),-(AH15+#REF!),"")</f>
        <v/>
      </c>
      <c r="AI31" s="77" t="str">
        <f>IF(ISNUMBER(AI2),-(AI15+#REF!),"")</f>
        <v/>
      </c>
      <c r="AJ31" s="77" t="str">
        <f>IF(ISNUMBER(AJ2),-(AJ15+#REF!),"")</f>
        <v/>
      </c>
      <c r="AK31" s="77" t="str">
        <f>IF(ISNUMBER(AK2),-(AK15+#REF!),"")</f>
        <v/>
      </c>
      <c r="AL31" s="77" t="str">
        <f>IF(ISNUMBER(AL2),-(AL15+#REF!),"")</f>
        <v/>
      </c>
      <c r="AM31" s="77" t="str">
        <f>IF(ISNUMBER(AM2),-(AM15+#REF!),"")</f>
        <v/>
      </c>
      <c r="AN31" s="77" t="str">
        <f>IF(ISNUMBER(AN2),-(AN15+#REF!),"")</f>
        <v/>
      </c>
      <c r="AO31" s="77" t="str">
        <f>IF(ISNUMBER(AO2),-(AO15+#REF!),"")</f>
        <v/>
      </c>
      <c r="AP31" s="77" t="str">
        <f>IF(ISNUMBER(AP2),-(AP15+#REF!),"")</f>
        <v/>
      </c>
      <c r="AQ31" s="77" t="str">
        <f>IF(ISNUMBER(AQ2),-(AQ15+#REF!),"")</f>
        <v/>
      </c>
      <c r="AR31" s="77" t="str">
        <f>IF(ISNUMBER(AR2),-(AR15+#REF!),"")</f>
        <v/>
      </c>
      <c r="AS31" s="77" t="str">
        <f>IF(ISNUMBER(AS2),-(AS15+#REF!),"")</f>
        <v/>
      </c>
      <c r="AT31" s="77" t="str">
        <f>IF(ISNUMBER(AT2),-(AT15+#REF!),"")</f>
        <v/>
      </c>
      <c r="AU31" s="77" t="str">
        <f>IF(ISNUMBER(AU2),-(AU15+#REF!),"")</f>
        <v/>
      </c>
      <c r="AV31" s="77" t="str">
        <f>IF(ISNUMBER(AV2),-(AV15+#REF!),"")</f>
        <v/>
      </c>
      <c r="AW31" s="77" t="str">
        <f>IF(ISNUMBER(AW2),-(AW15+#REF!),"")</f>
        <v/>
      </c>
      <c r="AX31" s="77" t="str">
        <f>IF(ISNUMBER(AX2),-(AX15+#REF!),"")</f>
        <v/>
      </c>
      <c r="AY31" s="77" t="str">
        <f>IF(ISNUMBER(AY2),-(AY15+#REF!),"")</f>
        <v/>
      </c>
      <c r="AZ31" s="77" t="str">
        <f>IF(ISNUMBER(AZ2),-(AZ15+#REF!),"")</f>
        <v/>
      </c>
      <c r="BA31" s="77" t="str">
        <f>IF(ISNUMBER(BA2),-(BA15+#REF!),"")</f>
        <v/>
      </c>
      <c r="BB31" s="77" t="str">
        <f>IF(ISNUMBER(BB2),-(BB15+#REF!),"")</f>
        <v/>
      </c>
      <c r="BC31" s="77" t="str">
        <f>IF(ISNUMBER(BC2),-(BC15+#REF!),"")</f>
        <v/>
      </c>
      <c r="BD31" s="77" t="str">
        <f>IF(ISNUMBER(BD2),-(BD15+#REF!),"")</f>
        <v/>
      </c>
      <c r="BE31" s="77" t="str">
        <f>IF(ISNUMBER(BE2),-(BE15+#REF!),"")</f>
        <v/>
      </c>
      <c r="BF31" s="77" t="str">
        <f>IF(ISNUMBER(BF2),-(BF15+#REF!),"")</f>
        <v/>
      </c>
      <c r="BG31" s="77" t="str">
        <f>IF(ISNUMBER(BG2),-(BG15+#REF!),"")</f>
        <v/>
      </c>
      <c r="BH31" s="77" t="str">
        <f>IF(ISNUMBER(BH2),-(BH15+#REF!),"")</f>
        <v/>
      </c>
      <c r="BI31" s="77" t="str">
        <f>IF(ISNUMBER(BI2),-(BI15+#REF!),"")</f>
        <v/>
      </c>
      <c r="BJ31" s="77" t="str">
        <f>IF(ISNUMBER(BJ2),-(BJ15+#REF!),"")</f>
        <v/>
      </c>
      <c r="BK31" s="77" t="str">
        <f>IF(ISNUMBER(BK2),-(BK15+#REF!),"")</f>
        <v/>
      </c>
      <c r="BL31" s="77" t="str">
        <f>IF(ISNUMBER(BL2),-(BL15+#REF!),"")</f>
        <v/>
      </c>
      <c r="BM31" s="77" t="str">
        <f>IF(ISNUMBER(BM2),-(BM15+#REF!),"")</f>
        <v/>
      </c>
      <c r="BN31" s="77" t="str">
        <f>IF(ISNUMBER(BN2),-(BN15+#REF!),"")</f>
        <v/>
      </c>
      <c r="BO31" s="77" t="str">
        <f>IF(ISNUMBER(BO2),-(BO15+#REF!),"")</f>
        <v/>
      </c>
      <c r="BP31" s="77" t="str">
        <f>IF(ISNUMBER(BP2),-(BP15+#REF!),"")</f>
        <v/>
      </c>
      <c r="BQ31" s="77" t="str">
        <f>IF(ISNUMBER(BQ2),-(BQ15+#REF!),"")</f>
        <v/>
      </c>
      <c r="BR31" s="77" t="str">
        <f>IF(ISNUMBER(BR2),-(BR15+#REF!),"")</f>
        <v/>
      </c>
      <c r="BS31" s="77" t="str">
        <f>IF(ISNUMBER(BS2),-(BS15+#REF!),"")</f>
        <v/>
      </c>
      <c r="BT31" s="77" t="str">
        <f>IF(ISNUMBER(BT2),-(BT15+#REF!),"")</f>
        <v/>
      </c>
      <c r="BU31" s="77" t="str">
        <f>IF(ISNUMBER(BU2),-(BU15+#REF!),"")</f>
        <v/>
      </c>
      <c r="BV31" s="77" t="str">
        <f>IF(ISNUMBER(BV2),-(BV15+#REF!),"")</f>
        <v/>
      </c>
      <c r="BW31" s="77" t="str">
        <f>IF(ISNUMBER(BW2),-(BW15+#REF!),"")</f>
        <v/>
      </c>
      <c r="BX31" s="77" t="str">
        <f>IF(ISNUMBER(BX2),-(BX15+#REF!),"")</f>
        <v/>
      </c>
      <c r="BY31" s="77" t="str">
        <f>IF(ISNUMBER(BY2),-(BY15+#REF!),"")</f>
        <v/>
      </c>
      <c r="BZ31" s="77" t="str">
        <f>IF(ISNUMBER(BZ2),-(BZ15+#REF!),"")</f>
        <v/>
      </c>
      <c r="CA31" s="77" t="str">
        <f>IF(ISNUMBER(CA2),-(CA15+#REF!),"")</f>
        <v/>
      </c>
      <c r="CB31" s="77" t="str">
        <f>IF(ISNUMBER(CB2),-(CB15+#REF!),"")</f>
        <v/>
      </c>
      <c r="CC31" s="77" t="str">
        <f>IF(ISNUMBER(CC2),-(CC15+#REF!),"")</f>
        <v/>
      </c>
      <c r="CD31" s="77" t="str">
        <f>IF(ISNUMBER(CD2),-(CD15+#REF!),"")</f>
        <v/>
      </c>
      <c r="CE31" s="77" t="str">
        <f>IF(ISNUMBER(CE2),-(CE15+#REF!),"")</f>
        <v/>
      </c>
      <c r="CF31" s="77" t="str">
        <f>IF(ISNUMBER(CF2),-(CF15+#REF!),"")</f>
        <v/>
      </c>
      <c r="CG31" s="77" t="str">
        <f>IF(ISNUMBER(CG2),-(CG15+#REF!),"")</f>
        <v/>
      </c>
      <c r="CH31" s="77" t="str">
        <f>IF(ISNUMBER(CH2),-(CH15+#REF!),"")</f>
        <v/>
      </c>
      <c r="CI31" s="77" t="str">
        <f>IF(ISNUMBER(CI2),-(CI15+#REF!),"")</f>
        <v/>
      </c>
      <c r="CJ31" s="77" t="str">
        <f>IF(ISNUMBER(CJ2),-(CJ15+#REF!),"")</f>
        <v/>
      </c>
      <c r="CK31" s="77" t="str">
        <f>IF(ISNUMBER(CK2),-(CK15+#REF!),"")</f>
        <v/>
      </c>
      <c r="CL31" s="77" t="str">
        <f>IF(ISNUMBER(CL2),-(CL15+#REF!),"")</f>
        <v/>
      </c>
      <c r="CM31" s="77" t="str">
        <f>IF(ISNUMBER(CM2),-(CM15+#REF!),"")</f>
        <v/>
      </c>
      <c r="CN31" s="77" t="str">
        <f>IF(ISNUMBER(CN2),-(CN15+#REF!),"")</f>
        <v/>
      </c>
      <c r="CO31" s="77" t="str">
        <f>IF(ISNUMBER(CO2),-(CO15+#REF!),"")</f>
        <v/>
      </c>
      <c r="CP31" s="77" t="str">
        <f>IF(ISNUMBER(CP2),-(CP15+#REF!),"")</f>
        <v/>
      </c>
      <c r="CQ31" s="77" t="str">
        <f>IF(ISNUMBER(CQ2),-(CQ15+#REF!),"")</f>
        <v/>
      </c>
      <c r="CR31" s="77" t="str">
        <f>IF(ISNUMBER(CR2),-(CR15+#REF!),"")</f>
        <v/>
      </c>
      <c r="CS31" s="77" t="str">
        <f>IF(ISNUMBER(CS2),-(CS15+#REF!),"")</f>
        <v/>
      </c>
      <c r="CT31" s="77" t="str">
        <f>IF(ISNUMBER(CT2),-(CT15+#REF!),"")</f>
        <v/>
      </c>
      <c r="CU31" s="77" t="str">
        <f>IF(ISNUMBER(CU2),-(CU15+#REF!),"")</f>
        <v/>
      </c>
      <c r="CV31" s="77" t="str">
        <f>IF(ISNUMBER(CV2),-(CV15+#REF!),"")</f>
        <v/>
      </c>
      <c r="CW31" s="77" t="str">
        <f>IF(ISNUMBER(CW2),-(CW15+#REF!),"")</f>
        <v/>
      </c>
      <c r="CX31" s="77" t="str">
        <f>IF(ISNUMBER(CX2),-(CX15+#REF!),"")</f>
        <v/>
      </c>
    </row>
    <row r="32" spans="1:102">
      <c r="A32" s="80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7"/>
      <c r="BE32" s="77"/>
      <c r="BF32" s="77"/>
      <c r="BG32" s="77"/>
      <c r="BH32" s="77"/>
      <c r="BI32" s="77"/>
      <c r="BJ32" s="77"/>
      <c r="BK32" s="77"/>
      <c r="BL32" s="77"/>
      <c r="BM32" s="77"/>
      <c r="BN32" s="77"/>
      <c r="BO32" s="77"/>
      <c r="BP32" s="77"/>
      <c r="BQ32" s="77"/>
      <c r="BR32" s="77"/>
      <c r="BS32" s="77"/>
      <c r="BT32" s="77"/>
      <c r="BU32" s="77"/>
      <c r="BV32" s="77"/>
      <c r="BW32" s="77"/>
      <c r="BX32" s="77"/>
      <c r="BY32" s="77"/>
      <c r="BZ32" s="77"/>
      <c r="CA32" s="77"/>
      <c r="CB32" s="77"/>
      <c r="CC32" s="77"/>
      <c r="CD32" s="77"/>
      <c r="CE32" s="77"/>
      <c r="CF32" s="77"/>
      <c r="CG32" s="77"/>
      <c r="CH32" s="77"/>
      <c r="CI32" s="77"/>
      <c r="CJ32" s="77"/>
      <c r="CK32" s="77"/>
      <c r="CL32" s="77"/>
      <c r="CM32" s="77"/>
      <c r="CN32" s="77"/>
      <c r="CO32" s="77"/>
      <c r="CP32" s="77"/>
      <c r="CQ32" s="77"/>
      <c r="CR32" s="77"/>
      <c r="CS32" s="77"/>
      <c r="CT32" s="77"/>
      <c r="CU32" s="77"/>
      <c r="CV32" s="77"/>
      <c r="CW32" s="77"/>
      <c r="CX32" s="77"/>
    </row>
    <row r="33" spans="1:102">
      <c r="A33" s="62" t="s">
        <v>75</v>
      </c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BN33" s="69"/>
      <c r="BO33" s="69"/>
      <c r="BP33" s="69"/>
      <c r="BQ33" s="69"/>
      <c r="BR33" s="69"/>
      <c r="BS33" s="69"/>
      <c r="BT33" s="69"/>
      <c r="BU33" s="69"/>
      <c r="BV33" s="69"/>
      <c r="BW33" s="69"/>
      <c r="BX33" s="69"/>
      <c r="BY33" s="69"/>
      <c r="BZ33" s="69"/>
      <c r="CA33" s="69"/>
      <c r="CB33" s="69"/>
      <c r="CC33" s="69"/>
      <c r="CD33" s="69"/>
      <c r="CE33" s="69"/>
      <c r="CF33" s="69"/>
      <c r="CG33" s="69"/>
      <c r="CH33" s="69"/>
      <c r="CI33" s="69"/>
      <c r="CJ33" s="69"/>
      <c r="CK33" s="69"/>
      <c r="CL33" s="69"/>
      <c r="CM33" s="69"/>
      <c r="CN33" s="69"/>
      <c r="CO33" s="69"/>
      <c r="CP33" s="69"/>
      <c r="CQ33" s="69"/>
      <c r="CR33" s="69"/>
      <c r="CS33" s="69"/>
      <c r="CT33" s="69"/>
      <c r="CU33" s="69"/>
      <c r="CV33" s="69"/>
      <c r="CW33" s="69"/>
      <c r="CX33" s="71"/>
    </row>
    <row r="34" spans="1:102">
      <c r="A34" s="58" t="s">
        <v>132</v>
      </c>
      <c r="B34" s="16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</row>
    <row r="35" spans="1:102">
      <c r="A35" s="65" t="s">
        <v>9</v>
      </c>
      <c r="B35" s="77">
        <f>MIN(ibi_sta_percent/100*(pv_installed_cost-B36-B41),ibi_sta_percent_maxvalue)</f>
        <v>0</v>
      </c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2"/>
      <c r="AJ35" s="72"/>
      <c r="AK35" s="72"/>
      <c r="AL35" s="72"/>
      <c r="AM35" s="72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  <c r="CV35" s="72"/>
      <c r="CW35" s="72"/>
      <c r="CX35" s="72"/>
    </row>
    <row r="36" spans="1:102">
      <c r="A36" s="65" t="s">
        <v>10</v>
      </c>
      <c r="B36" s="77">
        <f>MIN(ibi_uti_percent/100*pv_installed_cost,ibi_uti_percent_maxvalue)</f>
        <v>0</v>
      </c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  <c r="AJ36" s="72"/>
      <c r="AK36" s="72"/>
      <c r="AL36" s="72"/>
      <c r="AM36" s="72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</row>
    <row r="37" spans="1:102">
      <c r="A37" s="63" t="s">
        <v>26</v>
      </c>
      <c r="B37" s="77">
        <f>SUM(B35:B36)</f>
        <v>0</v>
      </c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  <c r="AG37" s="72"/>
      <c r="AH37" s="72"/>
      <c r="AI37" s="72"/>
      <c r="AJ37" s="72"/>
      <c r="AK37" s="72"/>
      <c r="AL37" s="72"/>
      <c r="AM37" s="72"/>
      <c r="AN37" s="72"/>
      <c r="AO37" s="72"/>
      <c r="AP37" s="72"/>
      <c r="AQ37" s="72"/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/>
      <c r="BI37" s="72"/>
      <c r="BJ37" s="72"/>
      <c r="BK37" s="72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72"/>
      <c r="CW37" s="72"/>
      <c r="CX37" s="72"/>
    </row>
    <row r="38" spans="1:102">
      <c r="A38" s="58" t="s">
        <v>133</v>
      </c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H38" s="72"/>
      <c r="AI38" s="72"/>
      <c r="AJ38" s="72"/>
      <c r="AK38" s="72"/>
      <c r="AL38" s="72"/>
      <c r="AM38" s="72"/>
      <c r="AN38" s="72"/>
      <c r="AO38" s="72"/>
      <c r="AP38" s="72"/>
      <c r="AQ38" s="72"/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</row>
    <row r="39" spans="1:102">
      <c r="A39" s="65" t="s">
        <v>3</v>
      </c>
      <c r="B39" s="77">
        <f>MIN(cbi_fed_amount*system_capacity*1000,cbi_fed_maxvalue)</f>
        <v>0</v>
      </c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</row>
    <row r="40" spans="1:102">
      <c r="A40" s="65" t="s">
        <v>4</v>
      </c>
      <c r="B40" s="77">
        <f>MIN(cbi_sta_amount*system_capacity*1000,cbi_sta_maxvalue)</f>
        <v>0</v>
      </c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</row>
    <row r="41" spans="1:102">
      <c r="A41" s="65" t="s">
        <v>5</v>
      </c>
      <c r="B41" s="77">
        <f>MIN(cbi_uti_amount*system_capacity*1000,cbi_uti_maxvalue)</f>
        <v>0</v>
      </c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72"/>
      <c r="AP41" s="72"/>
      <c r="AQ41" s="72"/>
      <c r="AR41" s="72"/>
      <c r="AS41" s="72"/>
      <c r="AT41" s="72"/>
      <c r="AU41" s="72"/>
      <c r="AV41" s="72"/>
      <c r="AW41" s="72"/>
      <c r="AX41" s="72"/>
      <c r="AY41" s="72"/>
      <c r="AZ41" s="72"/>
      <c r="BA41" s="72"/>
      <c r="BB41" s="72"/>
      <c r="BC41" s="72"/>
      <c r="BD41" s="72"/>
      <c r="BE41" s="72"/>
      <c r="BF41" s="72"/>
      <c r="BG41" s="72"/>
      <c r="BH41" s="72"/>
      <c r="BI41" s="72"/>
      <c r="BJ41" s="72"/>
      <c r="BK41" s="72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</row>
    <row r="42" spans="1:102">
      <c r="A42" s="63" t="s">
        <v>26</v>
      </c>
      <c r="B42" s="77">
        <f>SUM(B39:B41)</f>
        <v>0</v>
      </c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</row>
    <row r="43" spans="1:102">
      <c r="A43" s="58" t="s">
        <v>134</v>
      </c>
      <c r="B43" s="16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  <c r="AO43" s="72"/>
      <c r="AP43" s="72"/>
      <c r="AQ43" s="72"/>
      <c r="AR43" s="72"/>
      <c r="AS43" s="72"/>
      <c r="AT43" s="72"/>
      <c r="AU43" s="72"/>
      <c r="AV43" s="72"/>
      <c r="AW43" s="72"/>
      <c r="AX43" s="72"/>
      <c r="AY43" s="72"/>
      <c r="AZ43" s="72"/>
      <c r="BA43" s="72"/>
      <c r="BB43" s="72"/>
      <c r="BC43" s="72"/>
      <c r="BD43" s="72"/>
      <c r="BE43" s="72"/>
      <c r="BF43" s="72"/>
      <c r="BG43" s="72"/>
      <c r="BH43" s="72"/>
      <c r="BI43" s="72"/>
      <c r="BJ43" s="72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</row>
    <row r="44" spans="1:102">
      <c r="A44" s="65" t="s">
        <v>9</v>
      </c>
      <c r="B44" s="77">
        <f>MIN(batt_ibi_sta_percent/100*battery_installed_cost,batt_ibi_sta_percent_maxvalue)</f>
        <v>0</v>
      </c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</row>
    <row r="45" spans="1:102">
      <c r="A45" s="65" t="s">
        <v>10</v>
      </c>
      <c r="B45" s="77">
        <f>MIN(batt_ibi_uti_percent/100*battery_installed_cost,batt_ibi_uti_percent_maxvalue)</f>
        <v>0</v>
      </c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</row>
    <row r="46" spans="1:102">
      <c r="A46" s="63" t="s">
        <v>26</v>
      </c>
      <c r="B46" s="77">
        <f>SUM(B44:B45)</f>
        <v>0</v>
      </c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</row>
    <row r="47" spans="1:102">
      <c r="A47" s="58" t="s">
        <v>135</v>
      </c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2"/>
      <c r="AM47" s="72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</row>
    <row r="48" spans="1:102">
      <c r="A48" s="65" t="s">
        <v>3</v>
      </c>
      <c r="B48" s="77">
        <f>MIN(batt_cbi_fed_amount*batt_kw*1000,batt_cbi_fed_maxvalue)</f>
        <v>10000</v>
      </c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</row>
    <row r="49" spans="1:16384">
      <c r="A49" s="65" t="s">
        <v>4</v>
      </c>
      <c r="B49" s="77">
        <f>MIN(batt_cbi_sta_amount*batt_kw*1000,batt_cbi_sta_maxvalue)</f>
        <v>0</v>
      </c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</row>
    <row r="50" spans="1:16384">
      <c r="A50" s="65" t="s">
        <v>5</v>
      </c>
      <c r="B50" s="77">
        <f>MIN(batt_cbi_uti_amount*batt_kw*1000,batt_cbi_uti_maxvalue)</f>
        <v>0</v>
      </c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72"/>
      <c r="AP50" s="72"/>
      <c r="AQ50" s="72"/>
      <c r="AR50" s="72"/>
      <c r="AS50" s="72"/>
      <c r="AT50" s="72"/>
      <c r="AU50" s="72"/>
      <c r="AV50" s="72"/>
      <c r="AW50" s="72"/>
      <c r="AX50" s="72"/>
      <c r="AY50" s="72"/>
      <c r="AZ50" s="72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  <c r="CF50" s="72"/>
      <c r="CG50" s="72"/>
      <c r="CH50" s="72"/>
      <c r="CI50" s="72"/>
      <c r="CJ50" s="72"/>
      <c r="CK50" s="72"/>
      <c r="CL50" s="72"/>
      <c r="CM50" s="72"/>
      <c r="CN50" s="72"/>
      <c r="CO50" s="72"/>
      <c r="CP50" s="72"/>
      <c r="CQ50" s="72"/>
      <c r="CR50" s="72"/>
      <c r="CS50" s="72"/>
      <c r="CT50" s="72"/>
      <c r="CU50" s="72"/>
      <c r="CV50" s="72"/>
      <c r="CW50" s="72"/>
      <c r="CX50" s="72"/>
    </row>
    <row r="51" spans="1:16384">
      <c r="A51" s="63" t="s">
        <v>26</v>
      </c>
      <c r="B51" s="77">
        <f>SUM(B48:B50)</f>
        <v>10000</v>
      </c>
      <c r="C51" s="77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2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</row>
    <row r="52" spans="1:16384">
      <c r="A52" s="58" t="s">
        <v>136</v>
      </c>
      <c r="B52" s="77"/>
      <c r="C52" s="77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2"/>
      <c r="AS52" s="72"/>
      <c r="AT52" s="72"/>
      <c r="AU52" s="72"/>
      <c r="AV52" s="72"/>
      <c r="AW52" s="72"/>
      <c r="AX52" s="72"/>
      <c r="AY52" s="72"/>
      <c r="AZ52" s="72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72"/>
      <c r="CW52" s="72"/>
      <c r="CX52" s="72"/>
    </row>
    <row r="53" spans="1:16384">
      <c r="A53" s="63" t="s">
        <v>108</v>
      </c>
      <c r="B53" s="16"/>
      <c r="C53" s="77">
        <f t="shared" ref="C53:AH53" si="20">IF(ISNUMBER(outYear),IF(outYear&lt;=pbi_combined_term,MIN(pbi_combined_amount*C5,pbi_combined_maxvalue),0),"")</f>
        <v>0</v>
      </c>
      <c r="D53" s="77">
        <f t="shared" si="20"/>
        <v>0</v>
      </c>
      <c r="E53" s="77">
        <f t="shared" si="20"/>
        <v>0</v>
      </c>
      <c r="F53" s="77">
        <f t="shared" si="20"/>
        <v>0</v>
      </c>
      <c r="G53" s="77">
        <f t="shared" si="20"/>
        <v>0</v>
      </c>
      <c r="H53" s="77">
        <f t="shared" si="20"/>
        <v>0</v>
      </c>
      <c r="I53" s="77">
        <f t="shared" si="20"/>
        <v>0</v>
      </c>
      <c r="J53" s="77">
        <f t="shared" si="20"/>
        <v>0</v>
      </c>
      <c r="K53" s="77">
        <f t="shared" si="20"/>
        <v>0</v>
      </c>
      <c r="L53" s="77">
        <f t="shared" si="20"/>
        <v>0</v>
      </c>
      <c r="M53" s="77">
        <f t="shared" si="20"/>
        <v>0</v>
      </c>
      <c r="N53" s="77">
        <f t="shared" si="20"/>
        <v>0</v>
      </c>
      <c r="O53" s="77">
        <f t="shared" si="20"/>
        <v>0</v>
      </c>
      <c r="P53" s="77">
        <f t="shared" si="20"/>
        <v>0</v>
      </c>
      <c r="Q53" s="77">
        <f t="shared" si="20"/>
        <v>0</v>
      </c>
      <c r="R53" s="77">
        <f t="shared" si="20"/>
        <v>0</v>
      </c>
      <c r="S53" s="77">
        <f t="shared" si="20"/>
        <v>0</v>
      </c>
      <c r="T53" s="77">
        <f t="shared" si="20"/>
        <v>0</v>
      </c>
      <c r="U53" s="77">
        <f t="shared" si="20"/>
        <v>0</v>
      </c>
      <c r="V53" s="77">
        <f t="shared" si="20"/>
        <v>0</v>
      </c>
      <c r="W53" s="77">
        <f t="shared" si="20"/>
        <v>0</v>
      </c>
      <c r="X53" s="77">
        <f t="shared" si="20"/>
        <v>0</v>
      </c>
      <c r="Y53" s="77">
        <f t="shared" si="20"/>
        <v>0</v>
      </c>
      <c r="Z53" s="77">
        <f t="shared" si="20"/>
        <v>0</v>
      </c>
      <c r="AA53" s="77">
        <f t="shared" si="20"/>
        <v>0</v>
      </c>
      <c r="AB53" s="77" t="str">
        <f t="shared" si="20"/>
        <v/>
      </c>
      <c r="AC53" s="77" t="str">
        <f t="shared" si="20"/>
        <v/>
      </c>
      <c r="AD53" s="77" t="str">
        <f t="shared" si="20"/>
        <v/>
      </c>
      <c r="AE53" s="77" t="str">
        <f t="shared" si="20"/>
        <v/>
      </c>
      <c r="AF53" s="77" t="str">
        <f t="shared" si="20"/>
        <v/>
      </c>
      <c r="AG53" s="77" t="str">
        <f t="shared" si="20"/>
        <v/>
      </c>
      <c r="AH53" s="77" t="str">
        <f t="shared" si="20"/>
        <v/>
      </c>
      <c r="AI53" s="77" t="str">
        <f t="shared" ref="AI53:BN53" si="21">IF(ISNUMBER(outYear),IF(outYear&lt;=pbi_combined_term,MIN(pbi_combined_amount*AI5,pbi_combined_maxvalue),0),"")</f>
        <v/>
      </c>
      <c r="AJ53" s="77" t="str">
        <f t="shared" si="21"/>
        <v/>
      </c>
      <c r="AK53" s="77" t="str">
        <f t="shared" si="21"/>
        <v/>
      </c>
      <c r="AL53" s="77" t="str">
        <f t="shared" si="21"/>
        <v/>
      </c>
      <c r="AM53" s="77" t="str">
        <f t="shared" si="21"/>
        <v/>
      </c>
      <c r="AN53" s="77" t="str">
        <f t="shared" si="21"/>
        <v/>
      </c>
      <c r="AO53" s="77" t="str">
        <f t="shared" si="21"/>
        <v/>
      </c>
      <c r="AP53" s="77" t="str">
        <f t="shared" si="21"/>
        <v/>
      </c>
      <c r="AQ53" s="77" t="str">
        <f t="shared" si="21"/>
        <v/>
      </c>
      <c r="AR53" s="77" t="str">
        <f t="shared" si="21"/>
        <v/>
      </c>
      <c r="AS53" s="77" t="str">
        <f t="shared" si="21"/>
        <v/>
      </c>
      <c r="AT53" s="77" t="str">
        <f t="shared" si="21"/>
        <v/>
      </c>
      <c r="AU53" s="77" t="str">
        <f t="shared" si="21"/>
        <v/>
      </c>
      <c r="AV53" s="77" t="str">
        <f t="shared" si="21"/>
        <v/>
      </c>
      <c r="AW53" s="77" t="str">
        <f t="shared" si="21"/>
        <v/>
      </c>
      <c r="AX53" s="77" t="str">
        <f t="shared" si="21"/>
        <v/>
      </c>
      <c r="AY53" s="77" t="str">
        <f t="shared" si="21"/>
        <v/>
      </c>
      <c r="AZ53" s="77" t="str">
        <f t="shared" si="21"/>
        <v/>
      </c>
      <c r="BA53" s="77" t="str">
        <f t="shared" si="21"/>
        <v/>
      </c>
      <c r="BB53" s="77" t="str">
        <f t="shared" si="21"/>
        <v/>
      </c>
      <c r="BC53" s="77" t="str">
        <f t="shared" si="21"/>
        <v/>
      </c>
      <c r="BD53" s="77" t="str">
        <f t="shared" si="21"/>
        <v/>
      </c>
      <c r="BE53" s="77" t="str">
        <f t="shared" si="21"/>
        <v/>
      </c>
      <c r="BF53" s="77" t="str">
        <f t="shared" si="21"/>
        <v/>
      </c>
      <c r="BG53" s="77" t="str">
        <f t="shared" si="21"/>
        <v/>
      </c>
      <c r="BH53" s="77" t="str">
        <f t="shared" si="21"/>
        <v/>
      </c>
      <c r="BI53" s="77" t="str">
        <f t="shared" si="21"/>
        <v/>
      </c>
      <c r="BJ53" s="77" t="str">
        <f t="shared" si="21"/>
        <v/>
      </c>
      <c r="BK53" s="77" t="str">
        <f t="shared" si="21"/>
        <v/>
      </c>
      <c r="BL53" s="77" t="str">
        <f t="shared" si="21"/>
        <v/>
      </c>
      <c r="BM53" s="77" t="str">
        <f t="shared" si="21"/>
        <v/>
      </c>
      <c r="BN53" s="77" t="str">
        <f t="shared" si="21"/>
        <v/>
      </c>
      <c r="BO53" s="77" t="str">
        <f t="shared" ref="BO53:CX53" si="22">IF(ISNUMBER(outYear),IF(outYear&lt;=pbi_combined_term,MIN(pbi_combined_amount*BO5,pbi_combined_maxvalue),0),"")</f>
        <v/>
      </c>
      <c r="BP53" s="77" t="str">
        <f t="shared" si="22"/>
        <v/>
      </c>
      <c r="BQ53" s="77" t="str">
        <f t="shared" si="22"/>
        <v/>
      </c>
      <c r="BR53" s="77" t="str">
        <f t="shared" si="22"/>
        <v/>
      </c>
      <c r="BS53" s="77" t="str">
        <f t="shared" si="22"/>
        <v/>
      </c>
      <c r="BT53" s="77" t="str">
        <f t="shared" si="22"/>
        <v/>
      </c>
      <c r="BU53" s="77" t="str">
        <f t="shared" si="22"/>
        <v/>
      </c>
      <c r="BV53" s="77" t="str">
        <f t="shared" si="22"/>
        <v/>
      </c>
      <c r="BW53" s="77" t="str">
        <f t="shared" si="22"/>
        <v/>
      </c>
      <c r="BX53" s="77" t="str">
        <f t="shared" si="22"/>
        <v/>
      </c>
      <c r="BY53" s="77" t="str">
        <f t="shared" si="22"/>
        <v/>
      </c>
      <c r="BZ53" s="77" t="str">
        <f t="shared" si="22"/>
        <v/>
      </c>
      <c r="CA53" s="77" t="str">
        <f t="shared" si="22"/>
        <v/>
      </c>
      <c r="CB53" s="77" t="str">
        <f t="shared" si="22"/>
        <v/>
      </c>
      <c r="CC53" s="77" t="str">
        <f t="shared" si="22"/>
        <v/>
      </c>
      <c r="CD53" s="77" t="str">
        <f t="shared" si="22"/>
        <v/>
      </c>
      <c r="CE53" s="77" t="str">
        <f t="shared" si="22"/>
        <v/>
      </c>
      <c r="CF53" s="77" t="str">
        <f t="shared" si="22"/>
        <v/>
      </c>
      <c r="CG53" s="77" t="str">
        <f t="shared" si="22"/>
        <v/>
      </c>
      <c r="CH53" s="77" t="str">
        <f t="shared" si="22"/>
        <v/>
      </c>
      <c r="CI53" s="77" t="str">
        <f t="shared" si="22"/>
        <v/>
      </c>
      <c r="CJ53" s="77" t="str">
        <f t="shared" si="22"/>
        <v/>
      </c>
      <c r="CK53" s="77" t="str">
        <f t="shared" si="22"/>
        <v/>
      </c>
      <c r="CL53" s="77" t="str">
        <f t="shared" si="22"/>
        <v/>
      </c>
      <c r="CM53" s="77" t="str">
        <f t="shared" si="22"/>
        <v/>
      </c>
      <c r="CN53" s="77" t="str">
        <f t="shared" si="22"/>
        <v/>
      </c>
      <c r="CO53" s="77" t="str">
        <f t="shared" si="22"/>
        <v/>
      </c>
      <c r="CP53" s="77" t="str">
        <f t="shared" si="22"/>
        <v/>
      </c>
      <c r="CQ53" s="77" t="str">
        <f t="shared" si="22"/>
        <v/>
      </c>
      <c r="CR53" s="77" t="str">
        <f t="shared" si="22"/>
        <v/>
      </c>
      <c r="CS53" s="77" t="str">
        <f t="shared" si="22"/>
        <v/>
      </c>
      <c r="CT53" s="77" t="str">
        <f t="shared" si="22"/>
        <v/>
      </c>
      <c r="CU53" s="77" t="str">
        <f t="shared" si="22"/>
        <v/>
      </c>
      <c r="CV53" s="77" t="str">
        <f t="shared" si="22"/>
        <v/>
      </c>
      <c r="CW53" s="77" t="str">
        <f t="shared" si="22"/>
        <v/>
      </c>
      <c r="CX53" s="77" t="str">
        <f t="shared" si="22"/>
        <v/>
      </c>
    </row>
    <row r="54" spans="1:16384">
      <c r="A54" s="58" t="s">
        <v>145</v>
      </c>
      <c r="B54" s="77">
        <f>B37+B42+B46+B51</f>
        <v>10000</v>
      </c>
      <c r="C54" s="77">
        <f>C53</f>
        <v>0</v>
      </c>
      <c r="D54" s="77">
        <f t="shared" ref="D54:BO54" si="23">D53</f>
        <v>0</v>
      </c>
      <c r="E54" s="77">
        <f t="shared" si="23"/>
        <v>0</v>
      </c>
      <c r="F54" s="77">
        <f t="shared" si="23"/>
        <v>0</v>
      </c>
      <c r="G54" s="77">
        <f t="shared" si="23"/>
        <v>0</v>
      </c>
      <c r="H54" s="77">
        <f t="shared" si="23"/>
        <v>0</v>
      </c>
      <c r="I54" s="77">
        <f t="shared" si="23"/>
        <v>0</v>
      </c>
      <c r="J54" s="77">
        <f t="shared" si="23"/>
        <v>0</v>
      </c>
      <c r="K54" s="77">
        <f t="shared" si="23"/>
        <v>0</v>
      </c>
      <c r="L54" s="77">
        <f t="shared" si="23"/>
        <v>0</v>
      </c>
      <c r="M54" s="77">
        <f t="shared" si="23"/>
        <v>0</v>
      </c>
      <c r="N54" s="77">
        <f t="shared" si="23"/>
        <v>0</v>
      </c>
      <c r="O54" s="77">
        <f t="shared" si="23"/>
        <v>0</v>
      </c>
      <c r="P54" s="77">
        <f t="shared" si="23"/>
        <v>0</v>
      </c>
      <c r="Q54" s="77">
        <f t="shared" si="23"/>
        <v>0</v>
      </c>
      <c r="R54" s="77">
        <f t="shared" si="23"/>
        <v>0</v>
      </c>
      <c r="S54" s="77">
        <f t="shared" si="23"/>
        <v>0</v>
      </c>
      <c r="T54" s="77">
        <f t="shared" si="23"/>
        <v>0</v>
      </c>
      <c r="U54" s="77">
        <f t="shared" si="23"/>
        <v>0</v>
      </c>
      <c r="V54" s="77">
        <f t="shared" si="23"/>
        <v>0</v>
      </c>
      <c r="W54" s="77">
        <f t="shared" si="23"/>
        <v>0</v>
      </c>
      <c r="X54" s="77">
        <f t="shared" si="23"/>
        <v>0</v>
      </c>
      <c r="Y54" s="77">
        <f t="shared" si="23"/>
        <v>0</v>
      </c>
      <c r="Z54" s="77">
        <f t="shared" si="23"/>
        <v>0</v>
      </c>
      <c r="AA54" s="77">
        <f t="shared" si="23"/>
        <v>0</v>
      </c>
      <c r="AB54" s="77" t="str">
        <f t="shared" si="23"/>
        <v/>
      </c>
      <c r="AC54" s="77" t="str">
        <f t="shared" si="23"/>
        <v/>
      </c>
      <c r="AD54" s="77" t="str">
        <f t="shared" si="23"/>
        <v/>
      </c>
      <c r="AE54" s="77" t="str">
        <f t="shared" si="23"/>
        <v/>
      </c>
      <c r="AF54" s="77" t="str">
        <f t="shared" si="23"/>
        <v/>
      </c>
      <c r="AG54" s="77" t="str">
        <f t="shared" si="23"/>
        <v/>
      </c>
      <c r="AH54" s="77" t="str">
        <f t="shared" si="23"/>
        <v/>
      </c>
      <c r="AI54" s="77" t="str">
        <f t="shared" si="23"/>
        <v/>
      </c>
      <c r="AJ54" s="77" t="str">
        <f t="shared" si="23"/>
        <v/>
      </c>
      <c r="AK54" s="77" t="str">
        <f t="shared" si="23"/>
        <v/>
      </c>
      <c r="AL54" s="77" t="str">
        <f t="shared" si="23"/>
        <v/>
      </c>
      <c r="AM54" s="77" t="str">
        <f t="shared" si="23"/>
        <v/>
      </c>
      <c r="AN54" s="77" t="str">
        <f t="shared" si="23"/>
        <v/>
      </c>
      <c r="AO54" s="77" t="str">
        <f t="shared" si="23"/>
        <v/>
      </c>
      <c r="AP54" s="77" t="str">
        <f t="shared" si="23"/>
        <v/>
      </c>
      <c r="AQ54" s="77" t="str">
        <f t="shared" si="23"/>
        <v/>
      </c>
      <c r="AR54" s="77" t="str">
        <f t="shared" si="23"/>
        <v/>
      </c>
      <c r="AS54" s="77" t="str">
        <f t="shared" si="23"/>
        <v/>
      </c>
      <c r="AT54" s="77" t="str">
        <f t="shared" si="23"/>
        <v/>
      </c>
      <c r="AU54" s="77" t="str">
        <f t="shared" si="23"/>
        <v/>
      </c>
      <c r="AV54" s="77" t="str">
        <f t="shared" si="23"/>
        <v/>
      </c>
      <c r="AW54" s="77" t="str">
        <f t="shared" si="23"/>
        <v/>
      </c>
      <c r="AX54" s="77" t="str">
        <f t="shared" si="23"/>
        <v/>
      </c>
      <c r="AY54" s="77" t="str">
        <f t="shared" si="23"/>
        <v/>
      </c>
      <c r="AZ54" s="77" t="str">
        <f t="shared" si="23"/>
        <v/>
      </c>
      <c r="BA54" s="77" t="str">
        <f t="shared" si="23"/>
        <v/>
      </c>
      <c r="BB54" s="77" t="str">
        <f t="shared" si="23"/>
        <v/>
      </c>
      <c r="BC54" s="77" t="str">
        <f t="shared" si="23"/>
        <v/>
      </c>
      <c r="BD54" s="77" t="str">
        <f t="shared" si="23"/>
        <v/>
      </c>
      <c r="BE54" s="77" t="str">
        <f t="shared" si="23"/>
        <v/>
      </c>
      <c r="BF54" s="77" t="str">
        <f t="shared" si="23"/>
        <v/>
      </c>
      <c r="BG54" s="77" t="str">
        <f t="shared" si="23"/>
        <v/>
      </c>
      <c r="BH54" s="77" t="str">
        <f t="shared" si="23"/>
        <v/>
      </c>
      <c r="BI54" s="77" t="str">
        <f t="shared" si="23"/>
        <v/>
      </c>
      <c r="BJ54" s="77" t="str">
        <f t="shared" si="23"/>
        <v/>
      </c>
      <c r="BK54" s="77" t="str">
        <f t="shared" si="23"/>
        <v/>
      </c>
      <c r="BL54" s="77" t="str">
        <f t="shared" si="23"/>
        <v/>
      </c>
      <c r="BM54" s="77" t="str">
        <f t="shared" si="23"/>
        <v/>
      </c>
      <c r="BN54" s="77" t="str">
        <f t="shared" si="23"/>
        <v/>
      </c>
      <c r="BO54" s="77" t="str">
        <f t="shared" si="23"/>
        <v/>
      </c>
      <c r="BP54" s="77" t="str">
        <f t="shared" ref="BP54:CX54" si="24">BP53</f>
        <v/>
      </c>
      <c r="BQ54" s="77" t="str">
        <f t="shared" si="24"/>
        <v/>
      </c>
      <c r="BR54" s="77" t="str">
        <f t="shared" si="24"/>
        <v/>
      </c>
      <c r="BS54" s="77" t="str">
        <f t="shared" si="24"/>
        <v/>
      </c>
      <c r="BT54" s="77" t="str">
        <f t="shared" si="24"/>
        <v/>
      </c>
      <c r="BU54" s="77" t="str">
        <f t="shared" si="24"/>
        <v/>
      </c>
      <c r="BV54" s="77" t="str">
        <f t="shared" si="24"/>
        <v/>
      </c>
      <c r="BW54" s="77" t="str">
        <f t="shared" si="24"/>
        <v/>
      </c>
      <c r="BX54" s="77" t="str">
        <f t="shared" si="24"/>
        <v/>
      </c>
      <c r="BY54" s="77" t="str">
        <f t="shared" si="24"/>
        <v/>
      </c>
      <c r="BZ54" s="77" t="str">
        <f t="shared" si="24"/>
        <v/>
      </c>
      <c r="CA54" s="77" t="str">
        <f t="shared" si="24"/>
        <v/>
      </c>
      <c r="CB54" s="77" t="str">
        <f t="shared" si="24"/>
        <v/>
      </c>
      <c r="CC54" s="77" t="str">
        <f t="shared" si="24"/>
        <v/>
      </c>
      <c r="CD54" s="77" t="str">
        <f t="shared" si="24"/>
        <v/>
      </c>
      <c r="CE54" s="77" t="str">
        <f t="shared" si="24"/>
        <v/>
      </c>
      <c r="CF54" s="77" t="str">
        <f t="shared" si="24"/>
        <v/>
      </c>
      <c r="CG54" s="77" t="str">
        <f t="shared" si="24"/>
        <v/>
      </c>
      <c r="CH54" s="77" t="str">
        <f t="shared" si="24"/>
        <v/>
      </c>
      <c r="CI54" s="77" t="str">
        <f t="shared" si="24"/>
        <v/>
      </c>
      <c r="CJ54" s="77" t="str">
        <f t="shared" si="24"/>
        <v/>
      </c>
      <c r="CK54" s="77" t="str">
        <f t="shared" si="24"/>
        <v/>
      </c>
      <c r="CL54" s="77" t="str">
        <f t="shared" si="24"/>
        <v/>
      </c>
      <c r="CM54" s="77" t="str">
        <f t="shared" si="24"/>
        <v/>
      </c>
      <c r="CN54" s="77" t="str">
        <f t="shared" si="24"/>
        <v/>
      </c>
      <c r="CO54" s="77" t="str">
        <f t="shared" si="24"/>
        <v/>
      </c>
      <c r="CP54" s="77" t="str">
        <f t="shared" si="24"/>
        <v/>
      </c>
      <c r="CQ54" s="77" t="str">
        <f t="shared" si="24"/>
        <v/>
      </c>
      <c r="CR54" s="77" t="str">
        <f t="shared" si="24"/>
        <v/>
      </c>
      <c r="CS54" s="77" t="str">
        <f t="shared" si="24"/>
        <v/>
      </c>
      <c r="CT54" s="77" t="str">
        <f t="shared" si="24"/>
        <v/>
      </c>
      <c r="CU54" s="77" t="str">
        <f t="shared" si="24"/>
        <v/>
      </c>
      <c r="CV54" s="77" t="str">
        <f t="shared" si="24"/>
        <v/>
      </c>
      <c r="CW54" s="77" t="str">
        <f t="shared" si="24"/>
        <v/>
      </c>
      <c r="CX54" s="77" t="str">
        <f t="shared" si="24"/>
        <v/>
      </c>
    </row>
    <row r="55" spans="1:16384">
      <c r="A55" s="14"/>
      <c r="B55" s="7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</row>
    <row r="56" spans="1:16384">
      <c r="A56" s="62" t="s">
        <v>76</v>
      </c>
      <c r="B56" s="73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74"/>
      <c r="BG56" s="74"/>
      <c r="BH56" s="74"/>
      <c r="BI56" s="74"/>
      <c r="BJ56" s="74"/>
      <c r="BK56" s="74"/>
      <c r="BL56" s="74"/>
      <c r="BM56" s="74"/>
      <c r="BN56" s="74"/>
      <c r="BO56" s="74"/>
      <c r="BP56" s="74"/>
      <c r="BQ56" s="74"/>
      <c r="BR56" s="74"/>
      <c r="BS56" s="74"/>
      <c r="BT56" s="74"/>
      <c r="BU56" s="74"/>
      <c r="BV56" s="74"/>
      <c r="BW56" s="74"/>
      <c r="BX56" s="74"/>
      <c r="BY56" s="74"/>
      <c r="BZ56" s="74"/>
      <c r="CA56" s="74"/>
      <c r="CB56" s="74"/>
      <c r="CC56" s="74"/>
      <c r="CD56" s="74"/>
      <c r="CE56" s="74"/>
      <c r="CF56" s="74"/>
      <c r="CG56" s="74"/>
      <c r="CH56" s="74"/>
      <c r="CI56" s="74"/>
      <c r="CJ56" s="74"/>
      <c r="CK56" s="74"/>
      <c r="CL56" s="74"/>
      <c r="CM56" s="74"/>
      <c r="CN56" s="74"/>
      <c r="CO56" s="74"/>
      <c r="CP56" s="74"/>
      <c r="CQ56" s="74"/>
      <c r="CR56" s="74"/>
      <c r="CS56" s="74"/>
      <c r="CT56" s="74"/>
      <c r="CU56" s="74"/>
      <c r="CV56" s="74"/>
      <c r="CW56" s="74"/>
      <c r="CX56" s="71"/>
    </row>
    <row r="57" spans="1:16384" s="83" customFormat="1">
      <c r="A57" s="57" t="s">
        <v>30</v>
      </c>
      <c r="B57" s="81"/>
      <c r="C57" s="82">
        <f>IF(ISNUMBER(outYear),IF(ibi_sta_percent_tax_fed="Yes",B35,0)+IF(ibi_uti_percent_tax_fed="Yes",B36,0)+IF(cbi_fed_tax_fed="Yes",B39,0)+IF(cbi_sta_tax_fed="Yes",B40,0)+IF(cbi_uti_tax_fed="Yes",B41,0)+IF(pbi_combined_tax_fed="Yes",C53,0) + IF(batt_ibi_sta_percent_tax_fed="Yes",B44,0)+IF(batt_ibi_uti_percent_tax_fed="Yes",B45,0)+IF(batt_cbi_fed_tax_fed="Yes",B48,0)+IF(batt_cbi_sta_tax_fed="Yes",B49,0)+IF(batt_cbi_uti_tax_fed="Yes",B50,0),"")</f>
        <v>0</v>
      </c>
      <c r="D57" s="82">
        <f t="shared" ref="D57:AI57" si="25">IF(ISNUMBER(outYear),IF(pbi_combined_tax_fed="Yes",D53,0),"")</f>
        <v>0</v>
      </c>
      <c r="E57" s="82">
        <f t="shared" si="25"/>
        <v>0</v>
      </c>
      <c r="F57" s="82">
        <f t="shared" si="25"/>
        <v>0</v>
      </c>
      <c r="G57" s="82">
        <f t="shared" si="25"/>
        <v>0</v>
      </c>
      <c r="H57" s="82">
        <f t="shared" si="25"/>
        <v>0</v>
      </c>
      <c r="I57" s="82">
        <f t="shared" si="25"/>
        <v>0</v>
      </c>
      <c r="J57" s="82">
        <f t="shared" si="25"/>
        <v>0</v>
      </c>
      <c r="K57" s="82">
        <f t="shared" si="25"/>
        <v>0</v>
      </c>
      <c r="L57" s="82">
        <f t="shared" si="25"/>
        <v>0</v>
      </c>
      <c r="M57" s="82">
        <f t="shared" si="25"/>
        <v>0</v>
      </c>
      <c r="N57" s="82">
        <f t="shared" si="25"/>
        <v>0</v>
      </c>
      <c r="O57" s="82">
        <f t="shared" si="25"/>
        <v>0</v>
      </c>
      <c r="P57" s="82">
        <f t="shared" si="25"/>
        <v>0</v>
      </c>
      <c r="Q57" s="82">
        <f t="shared" si="25"/>
        <v>0</v>
      </c>
      <c r="R57" s="82">
        <f t="shared" si="25"/>
        <v>0</v>
      </c>
      <c r="S57" s="82">
        <f t="shared" si="25"/>
        <v>0</v>
      </c>
      <c r="T57" s="82">
        <f t="shared" si="25"/>
        <v>0</v>
      </c>
      <c r="U57" s="82">
        <f t="shared" si="25"/>
        <v>0</v>
      </c>
      <c r="V57" s="82">
        <f t="shared" si="25"/>
        <v>0</v>
      </c>
      <c r="W57" s="82">
        <f t="shared" si="25"/>
        <v>0</v>
      </c>
      <c r="X57" s="82">
        <f t="shared" si="25"/>
        <v>0</v>
      </c>
      <c r="Y57" s="82">
        <f t="shared" si="25"/>
        <v>0</v>
      </c>
      <c r="Z57" s="82">
        <f t="shared" si="25"/>
        <v>0</v>
      </c>
      <c r="AA57" s="82">
        <f t="shared" si="25"/>
        <v>0</v>
      </c>
      <c r="AB57" s="82" t="str">
        <f t="shared" si="25"/>
        <v/>
      </c>
      <c r="AC57" s="82" t="str">
        <f t="shared" si="25"/>
        <v/>
      </c>
      <c r="AD57" s="82" t="str">
        <f t="shared" si="25"/>
        <v/>
      </c>
      <c r="AE57" s="82" t="str">
        <f t="shared" si="25"/>
        <v/>
      </c>
      <c r="AF57" s="82" t="str">
        <f t="shared" si="25"/>
        <v/>
      </c>
      <c r="AG57" s="82" t="str">
        <f t="shared" si="25"/>
        <v/>
      </c>
      <c r="AH57" s="82" t="str">
        <f t="shared" si="25"/>
        <v/>
      </c>
      <c r="AI57" s="82" t="str">
        <f t="shared" si="25"/>
        <v/>
      </c>
      <c r="AJ57" s="82" t="str">
        <f t="shared" ref="AJ57:BO57" si="26">IF(ISNUMBER(outYear),IF(pbi_combined_tax_fed="Yes",AJ53,0),"")</f>
        <v/>
      </c>
      <c r="AK57" s="82" t="str">
        <f t="shared" si="26"/>
        <v/>
      </c>
      <c r="AL57" s="82" t="str">
        <f t="shared" si="26"/>
        <v/>
      </c>
      <c r="AM57" s="82" t="str">
        <f t="shared" si="26"/>
        <v/>
      </c>
      <c r="AN57" s="82" t="str">
        <f t="shared" si="26"/>
        <v/>
      </c>
      <c r="AO57" s="82" t="str">
        <f t="shared" si="26"/>
        <v/>
      </c>
      <c r="AP57" s="82" t="str">
        <f t="shared" si="26"/>
        <v/>
      </c>
      <c r="AQ57" s="82" t="str">
        <f t="shared" si="26"/>
        <v/>
      </c>
      <c r="AR57" s="82" t="str">
        <f t="shared" si="26"/>
        <v/>
      </c>
      <c r="AS57" s="82" t="str">
        <f t="shared" si="26"/>
        <v/>
      </c>
      <c r="AT57" s="82" t="str">
        <f t="shared" si="26"/>
        <v/>
      </c>
      <c r="AU57" s="82" t="str">
        <f t="shared" si="26"/>
        <v/>
      </c>
      <c r="AV57" s="82" t="str">
        <f t="shared" si="26"/>
        <v/>
      </c>
      <c r="AW57" s="82" t="str">
        <f t="shared" si="26"/>
        <v/>
      </c>
      <c r="AX57" s="82" t="str">
        <f t="shared" si="26"/>
        <v/>
      </c>
      <c r="AY57" s="82" t="str">
        <f t="shared" si="26"/>
        <v/>
      </c>
      <c r="AZ57" s="82" t="str">
        <f t="shared" si="26"/>
        <v/>
      </c>
      <c r="BA57" s="82" t="str">
        <f t="shared" si="26"/>
        <v/>
      </c>
      <c r="BB57" s="82" t="str">
        <f t="shared" si="26"/>
        <v/>
      </c>
      <c r="BC57" s="82" t="str">
        <f t="shared" si="26"/>
        <v/>
      </c>
      <c r="BD57" s="82" t="str">
        <f t="shared" si="26"/>
        <v/>
      </c>
      <c r="BE57" s="82" t="str">
        <f t="shared" si="26"/>
        <v/>
      </c>
      <c r="BF57" s="82" t="str">
        <f t="shared" si="26"/>
        <v/>
      </c>
      <c r="BG57" s="82" t="str">
        <f t="shared" si="26"/>
        <v/>
      </c>
      <c r="BH57" s="82" t="str">
        <f t="shared" si="26"/>
        <v/>
      </c>
      <c r="BI57" s="82" t="str">
        <f t="shared" si="26"/>
        <v/>
      </c>
      <c r="BJ57" s="82" t="str">
        <f t="shared" si="26"/>
        <v/>
      </c>
      <c r="BK57" s="82" t="str">
        <f t="shared" si="26"/>
        <v/>
      </c>
      <c r="BL57" s="82" t="str">
        <f t="shared" si="26"/>
        <v/>
      </c>
      <c r="BM57" s="82" t="str">
        <f t="shared" si="26"/>
        <v/>
      </c>
      <c r="BN57" s="82" t="str">
        <f t="shared" si="26"/>
        <v/>
      </c>
      <c r="BO57" s="82" t="str">
        <f t="shared" si="26"/>
        <v/>
      </c>
      <c r="BP57" s="82" t="str">
        <f t="shared" ref="BP57:CX57" si="27">IF(ISNUMBER(outYear),IF(pbi_combined_tax_fed="Yes",BP53,0),"")</f>
        <v/>
      </c>
      <c r="BQ57" s="82" t="str">
        <f t="shared" si="27"/>
        <v/>
      </c>
      <c r="BR57" s="82" t="str">
        <f t="shared" si="27"/>
        <v/>
      </c>
      <c r="BS57" s="82" t="str">
        <f t="shared" si="27"/>
        <v/>
      </c>
      <c r="BT57" s="82" t="str">
        <f t="shared" si="27"/>
        <v/>
      </c>
      <c r="BU57" s="82" t="str">
        <f t="shared" si="27"/>
        <v/>
      </c>
      <c r="BV57" s="82" t="str">
        <f t="shared" si="27"/>
        <v/>
      </c>
      <c r="BW57" s="82" t="str">
        <f t="shared" si="27"/>
        <v/>
      </c>
      <c r="BX57" s="82" t="str">
        <f t="shared" si="27"/>
        <v/>
      </c>
      <c r="BY57" s="82" t="str">
        <f t="shared" si="27"/>
        <v/>
      </c>
      <c r="BZ57" s="82" t="str">
        <f t="shared" si="27"/>
        <v/>
      </c>
      <c r="CA57" s="82" t="str">
        <f t="shared" si="27"/>
        <v/>
      </c>
      <c r="CB57" s="82" t="str">
        <f t="shared" si="27"/>
        <v/>
      </c>
      <c r="CC57" s="82" t="str">
        <f t="shared" si="27"/>
        <v/>
      </c>
      <c r="CD57" s="82" t="str">
        <f t="shared" si="27"/>
        <v/>
      </c>
      <c r="CE57" s="82" t="str">
        <f t="shared" si="27"/>
        <v/>
      </c>
      <c r="CF57" s="82" t="str">
        <f t="shared" si="27"/>
        <v/>
      </c>
      <c r="CG57" s="82" t="str">
        <f t="shared" si="27"/>
        <v/>
      </c>
      <c r="CH57" s="82" t="str">
        <f t="shared" si="27"/>
        <v/>
      </c>
      <c r="CI57" s="82" t="str">
        <f t="shared" si="27"/>
        <v/>
      </c>
      <c r="CJ57" s="82" t="str">
        <f t="shared" si="27"/>
        <v/>
      </c>
      <c r="CK57" s="82" t="str">
        <f t="shared" si="27"/>
        <v/>
      </c>
      <c r="CL57" s="82" t="str">
        <f t="shared" si="27"/>
        <v/>
      </c>
      <c r="CM57" s="82" t="str">
        <f t="shared" si="27"/>
        <v/>
      </c>
      <c r="CN57" s="82" t="str">
        <f t="shared" si="27"/>
        <v/>
      </c>
      <c r="CO57" s="82" t="str">
        <f t="shared" si="27"/>
        <v/>
      </c>
      <c r="CP57" s="82" t="str">
        <f t="shared" si="27"/>
        <v/>
      </c>
      <c r="CQ57" s="82" t="str">
        <f t="shared" si="27"/>
        <v/>
      </c>
      <c r="CR57" s="82" t="str">
        <f t="shared" si="27"/>
        <v/>
      </c>
      <c r="CS57" s="82" t="str">
        <f t="shared" si="27"/>
        <v/>
      </c>
      <c r="CT57" s="82" t="str">
        <f t="shared" si="27"/>
        <v/>
      </c>
      <c r="CU57" s="82" t="str">
        <f t="shared" si="27"/>
        <v/>
      </c>
      <c r="CV57" s="82" t="str">
        <f t="shared" si="27"/>
        <v/>
      </c>
      <c r="CW57" s="82" t="str">
        <f t="shared" si="27"/>
        <v/>
      </c>
      <c r="CX57" s="82" t="str">
        <f t="shared" si="27"/>
        <v/>
      </c>
      <c r="CY57" s="82" t="str">
        <f>IF(ISNUMBER(outYear),CY37+CY42+#REF!+#REF!,"")</f>
        <v/>
      </c>
      <c r="CZ57" s="82" t="str">
        <f>IF(ISNUMBER(outYear),CZ37+CZ42+#REF!+#REF!,"")</f>
        <v/>
      </c>
      <c r="DA57" s="82" t="str">
        <f>IF(ISNUMBER(outYear),DA37+DA42+#REF!+#REF!,"")</f>
        <v/>
      </c>
      <c r="DB57" s="82" t="str">
        <f>IF(ISNUMBER(outYear),DB37+DB42+#REF!+#REF!,"")</f>
        <v/>
      </c>
      <c r="DC57" s="82" t="str">
        <f>IF(ISNUMBER(outYear),DC37+DC42+#REF!+#REF!,"")</f>
        <v/>
      </c>
      <c r="DD57" s="82" t="str">
        <f>IF(ISNUMBER(outYear),DD37+DD42+#REF!+#REF!,"")</f>
        <v/>
      </c>
      <c r="DE57" s="82" t="str">
        <f>IF(ISNUMBER(outYear),DE37+DE42+#REF!+#REF!,"")</f>
        <v/>
      </c>
      <c r="DF57" s="82" t="str">
        <f>IF(ISNUMBER(outYear),DF37+DF42+#REF!+#REF!,"")</f>
        <v/>
      </c>
      <c r="DG57" s="82" t="str">
        <f>IF(ISNUMBER(outYear),DG37+DG42+#REF!+#REF!,"")</f>
        <v/>
      </c>
      <c r="DH57" s="82" t="str">
        <f>IF(ISNUMBER(outYear),DH37+DH42+#REF!+#REF!,"")</f>
        <v/>
      </c>
      <c r="DI57" s="82" t="str">
        <f>IF(ISNUMBER(outYear),DI37+DI42+#REF!+#REF!,"")</f>
        <v/>
      </c>
      <c r="DJ57" s="82" t="str">
        <f>IF(ISNUMBER(outYear),DJ37+DJ42+#REF!+#REF!,"")</f>
        <v/>
      </c>
      <c r="DK57" s="82" t="str">
        <f>IF(ISNUMBER(outYear),DK37+DK42+#REF!+#REF!,"")</f>
        <v/>
      </c>
      <c r="DL57" s="82" t="str">
        <f>IF(ISNUMBER(outYear),DL37+DL42+#REF!+#REF!,"")</f>
        <v/>
      </c>
      <c r="DM57" s="82" t="str">
        <f>IF(ISNUMBER(outYear),DM37+DM42+#REF!+#REF!,"")</f>
        <v/>
      </c>
      <c r="DN57" s="82" t="str">
        <f>IF(ISNUMBER(outYear),DN37+DN42+#REF!+#REF!,"")</f>
        <v/>
      </c>
      <c r="DO57" s="82" t="str">
        <f>IF(ISNUMBER(outYear),DO37+DO42+#REF!+#REF!,"")</f>
        <v/>
      </c>
      <c r="DP57" s="82" t="str">
        <f>IF(ISNUMBER(outYear),DP37+DP42+#REF!+#REF!,"")</f>
        <v/>
      </c>
      <c r="DQ57" s="82" t="str">
        <f>IF(ISNUMBER(outYear),DQ37+DQ42+#REF!+#REF!,"")</f>
        <v/>
      </c>
      <c r="DR57" s="82" t="str">
        <f>IF(ISNUMBER(outYear),DR37+DR42+#REF!+#REF!,"")</f>
        <v/>
      </c>
      <c r="DS57" s="82" t="str">
        <f>IF(ISNUMBER(outYear),DS37+DS42+#REF!+#REF!,"")</f>
        <v/>
      </c>
      <c r="DT57" s="82" t="str">
        <f>IF(ISNUMBER(outYear),DT37+DT42+#REF!+#REF!,"")</f>
        <v/>
      </c>
      <c r="DU57" s="82" t="str">
        <f>IF(ISNUMBER(outYear),DU37+DU42+#REF!+#REF!,"")</f>
        <v/>
      </c>
      <c r="DV57" s="82" t="str">
        <f>IF(ISNUMBER(outYear),DV37+DV42+#REF!+#REF!,"")</f>
        <v/>
      </c>
      <c r="DW57" s="82" t="str">
        <f>IF(ISNUMBER(outYear),DW37+DW42+#REF!+#REF!,"")</f>
        <v/>
      </c>
      <c r="DX57" s="82" t="str">
        <f>IF(ISNUMBER(outYear),DX37+DX42+#REF!+#REF!,"")</f>
        <v/>
      </c>
      <c r="DY57" s="82" t="str">
        <f>IF(ISNUMBER(outYear),DY37+DY42+#REF!+#REF!,"")</f>
        <v/>
      </c>
      <c r="DZ57" s="82" t="str">
        <f>IF(ISNUMBER(outYear),DZ37+DZ42+#REF!+#REF!,"")</f>
        <v/>
      </c>
      <c r="EA57" s="82" t="str">
        <f>IF(ISNUMBER(outYear),EA37+EA42+#REF!+#REF!,"")</f>
        <v/>
      </c>
      <c r="EB57" s="82" t="str">
        <f>IF(ISNUMBER(outYear),EB37+EB42+#REF!+#REF!,"")</f>
        <v/>
      </c>
      <c r="EC57" s="82" t="str">
        <f>IF(ISNUMBER(outYear),EC37+EC42+#REF!+#REF!,"")</f>
        <v/>
      </c>
      <c r="ED57" s="82" t="str">
        <f>IF(ISNUMBER(outYear),ED37+ED42+#REF!+#REF!,"")</f>
        <v/>
      </c>
      <c r="EE57" s="82" t="str">
        <f>IF(ISNUMBER(outYear),EE37+EE42+#REF!+#REF!,"")</f>
        <v/>
      </c>
      <c r="EF57" s="82" t="str">
        <f>IF(ISNUMBER(outYear),EF37+EF42+#REF!+#REF!,"")</f>
        <v/>
      </c>
      <c r="EG57" s="82" t="str">
        <f>IF(ISNUMBER(outYear),EG37+EG42+#REF!+#REF!,"")</f>
        <v/>
      </c>
      <c r="EH57" s="82" t="str">
        <f>IF(ISNUMBER(outYear),EH37+EH42+#REF!+#REF!,"")</f>
        <v/>
      </c>
      <c r="EI57" s="82" t="str">
        <f>IF(ISNUMBER(outYear),EI37+EI42+#REF!+#REF!,"")</f>
        <v/>
      </c>
      <c r="EJ57" s="82" t="str">
        <f>IF(ISNUMBER(outYear),EJ37+EJ42+#REF!+#REF!,"")</f>
        <v/>
      </c>
      <c r="EK57" s="82" t="str">
        <f>IF(ISNUMBER(outYear),EK37+EK42+#REF!+#REF!,"")</f>
        <v/>
      </c>
      <c r="EL57" s="82" t="str">
        <f>IF(ISNUMBER(outYear),EL37+EL42+#REF!+#REF!,"")</f>
        <v/>
      </c>
      <c r="EM57" s="82" t="str">
        <f>IF(ISNUMBER(outYear),EM37+EM42+#REF!+#REF!,"")</f>
        <v/>
      </c>
      <c r="EN57" s="82" t="str">
        <f>IF(ISNUMBER(outYear),EN37+EN42+#REF!+#REF!,"")</f>
        <v/>
      </c>
      <c r="EO57" s="82" t="str">
        <f>IF(ISNUMBER(outYear),EO37+EO42+#REF!+#REF!,"")</f>
        <v/>
      </c>
      <c r="EP57" s="82" t="str">
        <f>IF(ISNUMBER(outYear),EP37+EP42+#REF!+#REF!,"")</f>
        <v/>
      </c>
      <c r="EQ57" s="82" t="str">
        <f>IF(ISNUMBER(outYear),EQ37+EQ42+#REF!+#REF!,"")</f>
        <v/>
      </c>
      <c r="ER57" s="82" t="str">
        <f>IF(ISNUMBER(outYear),ER37+ER42+#REF!+#REF!,"")</f>
        <v/>
      </c>
      <c r="ES57" s="82" t="str">
        <f>IF(ISNUMBER(outYear),ES37+ES42+#REF!+#REF!,"")</f>
        <v/>
      </c>
      <c r="ET57" s="82" t="str">
        <f>IF(ISNUMBER(outYear),ET37+ET42+#REF!+#REF!,"")</f>
        <v/>
      </c>
      <c r="EU57" s="82" t="str">
        <f>IF(ISNUMBER(outYear),EU37+EU42+#REF!+#REF!,"")</f>
        <v/>
      </c>
      <c r="EV57" s="82" t="str">
        <f>IF(ISNUMBER(outYear),EV37+EV42+#REF!+#REF!,"")</f>
        <v/>
      </c>
      <c r="EW57" s="82" t="str">
        <f>IF(ISNUMBER(outYear),EW37+EW42+#REF!+#REF!,"")</f>
        <v/>
      </c>
      <c r="EX57" s="82" t="str">
        <f>IF(ISNUMBER(outYear),EX37+EX42+#REF!+#REF!,"")</f>
        <v/>
      </c>
      <c r="EY57" s="82" t="str">
        <f>IF(ISNUMBER(outYear),EY37+EY42+#REF!+#REF!,"")</f>
        <v/>
      </c>
      <c r="EZ57" s="82" t="str">
        <f>IF(ISNUMBER(outYear),EZ37+EZ42+#REF!+#REF!,"")</f>
        <v/>
      </c>
      <c r="FA57" s="82" t="str">
        <f>IF(ISNUMBER(outYear),FA37+FA42+#REF!+#REF!,"")</f>
        <v/>
      </c>
      <c r="FB57" s="82" t="str">
        <f>IF(ISNUMBER(outYear),FB37+FB42+#REF!+#REF!,"")</f>
        <v/>
      </c>
      <c r="FC57" s="82" t="str">
        <f>IF(ISNUMBER(outYear),FC37+FC42+#REF!+#REF!,"")</f>
        <v/>
      </c>
      <c r="FD57" s="82" t="str">
        <f>IF(ISNUMBER(outYear),FD37+FD42+#REF!+#REF!,"")</f>
        <v/>
      </c>
      <c r="FE57" s="82" t="str">
        <f>IF(ISNUMBER(outYear),FE37+FE42+#REF!+#REF!,"")</f>
        <v/>
      </c>
      <c r="FF57" s="82" t="str">
        <f>IF(ISNUMBER(outYear),FF37+FF42+#REF!+#REF!,"")</f>
        <v/>
      </c>
      <c r="FG57" s="82" t="str">
        <f>IF(ISNUMBER(outYear),FG37+FG42+#REF!+#REF!,"")</f>
        <v/>
      </c>
      <c r="FH57" s="82" t="str">
        <f>IF(ISNUMBER(outYear),FH37+FH42+#REF!+#REF!,"")</f>
        <v/>
      </c>
      <c r="FI57" s="82" t="str">
        <f>IF(ISNUMBER(outYear),FI37+FI42+#REF!+#REF!,"")</f>
        <v/>
      </c>
      <c r="FJ57" s="82" t="str">
        <f>IF(ISNUMBER(outYear),FJ37+FJ42+#REF!+#REF!,"")</f>
        <v/>
      </c>
      <c r="FK57" s="82" t="str">
        <f>IF(ISNUMBER(outYear),FK37+FK42+#REF!+#REF!,"")</f>
        <v/>
      </c>
      <c r="FL57" s="82" t="str">
        <f>IF(ISNUMBER(outYear),FL37+FL42+#REF!+#REF!,"")</f>
        <v/>
      </c>
      <c r="FM57" s="82" t="str">
        <f>IF(ISNUMBER(outYear),FM37+FM42+#REF!+#REF!,"")</f>
        <v/>
      </c>
      <c r="FN57" s="82" t="str">
        <f>IF(ISNUMBER(outYear),FN37+FN42+#REF!+#REF!,"")</f>
        <v/>
      </c>
      <c r="FO57" s="82" t="str">
        <f>IF(ISNUMBER(outYear),FO37+FO42+#REF!+#REF!,"")</f>
        <v/>
      </c>
      <c r="FP57" s="82" t="str">
        <f>IF(ISNUMBER(outYear),FP37+FP42+#REF!+#REF!,"")</f>
        <v/>
      </c>
      <c r="FQ57" s="82" t="str">
        <f>IF(ISNUMBER(outYear),FQ37+FQ42+#REF!+#REF!,"")</f>
        <v/>
      </c>
      <c r="FR57" s="82" t="str">
        <f>IF(ISNUMBER(outYear),FR37+FR42+#REF!+#REF!,"")</f>
        <v/>
      </c>
      <c r="FS57" s="82" t="str">
        <f>IF(ISNUMBER(outYear),FS37+FS42+#REF!+#REF!,"")</f>
        <v/>
      </c>
      <c r="FT57" s="82" t="str">
        <f>IF(ISNUMBER(outYear),FT37+FT42+#REF!+#REF!,"")</f>
        <v/>
      </c>
      <c r="FU57" s="82" t="str">
        <f>IF(ISNUMBER(outYear),FU37+FU42+#REF!+#REF!,"")</f>
        <v/>
      </c>
      <c r="FV57" s="82" t="str">
        <f>IF(ISNUMBER(outYear),FV37+FV42+#REF!+#REF!,"")</f>
        <v/>
      </c>
      <c r="FW57" s="82" t="str">
        <f>IF(ISNUMBER(outYear),FW37+FW42+#REF!+#REF!,"")</f>
        <v/>
      </c>
      <c r="FX57" s="82" t="str">
        <f>IF(ISNUMBER(outYear),FX37+FX42+#REF!+#REF!,"")</f>
        <v/>
      </c>
      <c r="FY57" s="82" t="str">
        <f>IF(ISNUMBER(outYear),FY37+FY42+#REF!+#REF!,"")</f>
        <v/>
      </c>
      <c r="FZ57" s="82" t="str">
        <f>IF(ISNUMBER(outYear),FZ37+FZ42+#REF!+#REF!,"")</f>
        <v/>
      </c>
      <c r="GA57" s="82" t="str">
        <f>IF(ISNUMBER(outYear),GA37+GA42+#REF!+#REF!,"")</f>
        <v/>
      </c>
      <c r="GB57" s="82" t="str">
        <f>IF(ISNUMBER(outYear),GB37+GB42+#REF!+#REF!,"")</f>
        <v/>
      </c>
      <c r="GC57" s="82" t="str">
        <f>IF(ISNUMBER(outYear),GC37+GC42+#REF!+#REF!,"")</f>
        <v/>
      </c>
      <c r="GD57" s="82" t="str">
        <f>IF(ISNUMBER(outYear),GD37+GD42+#REF!+#REF!,"")</f>
        <v/>
      </c>
      <c r="GE57" s="82" t="str">
        <f>IF(ISNUMBER(outYear),GE37+GE42+#REF!+#REF!,"")</f>
        <v/>
      </c>
      <c r="GF57" s="82" t="str">
        <f>IF(ISNUMBER(outYear),GF37+GF42+#REF!+#REF!,"")</f>
        <v/>
      </c>
      <c r="GG57" s="82" t="str">
        <f>IF(ISNUMBER(outYear),GG37+GG42+#REF!+#REF!,"")</f>
        <v/>
      </c>
      <c r="GH57" s="82" t="str">
        <f>IF(ISNUMBER(outYear),GH37+GH42+#REF!+#REF!,"")</f>
        <v/>
      </c>
      <c r="GI57" s="82" t="str">
        <f>IF(ISNUMBER(outYear),GI37+GI42+#REF!+#REF!,"")</f>
        <v/>
      </c>
      <c r="GJ57" s="82" t="str">
        <f>IF(ISNUMBER(outYear),GJ37+GJ42+#REF!+#REF!,"")</f>
        <v/>
      </c>
      <c r="GK57" s="82" t="str">
        <f>IF(ISNUMBER(outYear),GK37+GK42+#REF!+#REF!,"")</f>
        <v/>
      </c>
      <c r="GL57" s="82" t="str">
        <f>IF(ISNUMBER(outYear),GL37+GL42+#REF!+#REF!,"")</f>
        <v/>
      </c>
      <c r="GM57" s="82" t="str">
        <f>IF(ISNUMBER(outYear),GM37+GM42+#REF!+#REF!,"")</f>
        <v/>
      </c>
      <c r="GN57" s="82" t="str">
        <f>IF(ISNUMBER(outYear),GN37+GN42+#REF!+#REF!,"")</f>
        <v/>
      </c>
      <c r="GO57" s="82" t="str">
        <f>IF(ISNUMBER(outYear),GO37+GO42+#REF!+#REF!,"")</f>
        <v/>
      </c>
      <c r="GP57" s="82" t="str">
        <f>IF(ISNUMBER(outYear),GP37+GP42+#REF!+#REF!,"")</f>
        <v/>
      </c>
      <c r="GQ57" s="82" t="str">
        <f>IF(ISNUMBER(outYear),GQ37+GQ42+#REF!+#REF!,"")</f>
        <v/>
      </c>
      <c r="GR57" s="82" t="str">
        <f>IF(ISNUMBER(outYear),GR37+GR42+#REF!+#REF!,"")</f>
        <v/>
      </c>
      <c r="GS57" s="82" t="str">
        <f>IF(ISNUMBER(outYear),GS37+GS42+#REF!+#REF!,"")</f>
        <v/>
      </c>
      <c r="GT57" s="82" t="str">
        <f>IF(ISNUMBER(outYear),GT37+GT42+#REF!+#REF!,"")</f>
        <v/>
      </c>
      <c r="GU57" s="82" t="str">
        <f>IF(ISNUMBER(outYear),GU37+GU42+#REF!+#REF!,"")</f>
        <v/>
      </c>
      <c r="GV57" s="82" t="str">
        <f>IF(ISNUMBER(outYear),GV37+GV42+#REF!+#REF!,"")</f>
        <v/>
      </c>
      <c r="GW57" s="82" t="str">
        <f>IF(ISNUMBER(outYear),GW37+GW42+#REF!+#REF!,"")</f>
        <v/>
      </c>
      <c r="GX57" s="82" t="str">
        <f>IF(ISNUMBER(outYear),GX37+GX42+#REF!+#REF!,"")</f>
        <v/>
      </c>
      <c r="GY57" s="82" t="str">
        <f>IF(ISNUMBER(outYear),GY37+GY42+#REF!+#REF!,"")</f>
        <v/>
      </c>
      <c r="GZ57" s="82" t="str">
        <f>IF(ISNUMBER(outYear),GZ37+GZ42+#REF!+#REF!,"")</f>
        <v/>
      </c>
      <c r="HA57" s="82" t="str">
        <f>IF(ISNUMBER(outYear),HA37+HA42+#REF!+#REF!,"")</f>
        <v/>
      </c>
      <c r="HB57" s="82" t="str">
        <f>IF(ISNUMBER(outYear),HB37+HB42+#REF!+#REF!,"")</f>
        <v/>
      </c>
      <c r="HC57" s="82" t="str">
        <f>IF(ISNUMBER(outYear),HC37+HC42+#REF!+#REF!,"")</f>
        <v/>
      </c>
      <c r="HD57" s="82" t="str">
        <f>IF(ISNUMBER(outYear),HD37+HD42+#REF!+#REF!,"")</f>
        <v/>
      </c>
      <c r="HE57" s="82" t="str">
        <f>IF(ISNUMBER(outYear),HE37+HE42+#REF!+#REF!,"")</f>
        <v/>
      </c>
      <c r="HF57" s="82" t="str">
        <f>IF(ISNUMBER(outYear),HF37+HF42+#REF!+#REF!,"")</f>
        <v/>
      </c>
      <c r="HG57" s="82" t="str">
        <f>IF(ISNUMBER(outYear),HG37+HG42+#REF!+#REF!,"")</f>
        <v/>
      </c>
      <c r="HH57" s="82" t="str">
        <f>IF(ISNUMBER(outYear),HH37+HH42+#REF!+#REF!,"")</f>
        <v/>
      </c>
      <c r="HI57" s="82" t="str">
        <f>IF(ISNUMBER(outYear),HI37+HI42+#REF!+#REF!,"")</f>
        <v/>
      </c>
      <c r="HJ57" s="82" t="str">
        <f>IF(ISNUMBER(outYear),HJ37+HJ42+#REF!+#REF!,"")</f>
        <v/>
      </c>
      <c r="HK57" s="82" t="str">
        <f>IF(ISNUMBER(outYear),HK37+HK42+#REF!+#REF!,"")</f>
        <v/>
      </c>
      <c r="HL57" s="82" t="str">
        <f>IF(ISNUMBER(outYear),HL37+HL42+#REF!+#REF!,"")</f>
        <v/>
      </c>
      <c r="HM57" s="82" t="str">
        <f>IF(ISNUMBER(outYear),HM37+HM42+#REF!+#REF!,"")</f>
        <v/>
      </c>
      <c r="HN57" s="82" t="str">
        <f>IF(ISNUMBER(outYear),HN37+HN42+#REF!+#REF!,"")</f>
        <v/>
      </c>
      <c r="HO57" s="82" t="str">
        <f>IF(ISNUMBER(outYear),HO37+HO42+#REF!+#REF!,"")</f>
        <v/>
      </c>
      <c r="HP57" s="82" t="str">
        <f>IF(ISNUMBER(outYear),HP37+HP42+#REF!+#REF!,"")</f>
        <v/>
      </c>
      <c r="HQ57" s="82" t="str">
        <f>IF(ISNUMBER(outYear),HQ37+HQ42+#REF!+#REF!,"")</f>
        <v/>
      </c>
      <c r="HR57" s="82" t="str">
        <f>IF(ISNUMBER(outYear),HR37+HR42+#REF!+#REF!,"")</f>
        <v/>
      </c>
      <c r="HS57" s="82" t="str">
        <f>IF(ISNUMBER(outYear),HS37+HS42+#REF!+#REF!,"")</f>
        <v/>
      </c>
      <c r="HT57" s="82" t="str">
        <f>IF(ISNUMBER(outYear),HT37+HT42+#REF!+#REF!,"")</f>
        <v/>
      </c>
      <c r="HU57" s="82" t="str">
        <f>IF(ISNUMBER(outYear),HU37+HU42+#REF!+#REF!,"")</f>
        <v/>
      </c>
      <c r="HV57" s="82" t="str">
        <f>IF(ISNUMBER(outYear),HV37+HV42+#REF!+#REF!,"")</f>
        <v/>
      </c>
      <c r="HW57" s="82" t="str">
        <f>IF(ISNUMBER(outYear),HW37+HW42+#REF!+#REF!,"")</f>
        <v/>
      </c>
      <c r="HX57" s="82" t="str">
        <f>IF(ISNUMBER(outYear),HX37+HX42+#REF!+#REF!,"")</f>
        <v/>
      </c>
      <c r="HY57" s="82" t="str">
        <f>IF(ISNUMBER(outYear),HY37+HY42+#REF!+#REF!,"")</f>
        <v/>
      </c>
      <c r="HZ57" s="82" t="str">
        <f>IF(ISNUMBER(outYear),HZ37+HZ42+#REF!+#REF!,"")</f>
        <v/>
      </c>
      <c r="IA57" s="82" t="str">
        <f>IF(ISNUMBER(outYear),IA37+IA42+#REF!+#REF!,"")</f>
        <v/>
      </c>
      <c r="IB57" s="82" t="str">
        <f>IF(ISNUMBER(outYear),IB37+IB42+#REF!+#REF!,"")</f>
        <v/>
      </c>
      <c r="IC57" s="82" t="str">
        <f>IF(ISNUMBER(outYear),IC37+IC42+#REF!+#REF!,"")</f>
        <v/>
      </c>
      <c r="ID57" s="82" t="str">
        <f>IF(ISNUMBER(outYear),ID37+ID42+#REF!+#REF!,"")</f>
        <v/>
      </c>
      <c r="IE57" s="82" t="str">
        <f>IF(ISNUMBER(outYear),IE37+IE42+#REF!+#REF!,"")</f>
        <v/>
      </c>
      <c r="IF57" s="82" t="str">
        <f>IF(ISNUMBER(outYear),IF37+IF42+#REF!+#REF!,"")</f>
        <v/>
      </c>
      <c r="IG57" s="82" t="str">
        <f>IF(ISNUMBER(outYear),IG37+IG42+#REF!+#REF!,"")</f>
        <v/>
      </c>
      <c r="IH57" s="82" t="str">
        <f>IF(ISNUMBER(outYear),IH37+IH42+#REF!+#REF!,"")</f>
        <v/>
      </c>
      <c r="II57" s="82" t="str">
        <f>IF(ISNUMBER(outYear),II37+II42+#REF!+#REF!,"")</f>
        <v/>
      </c>
      <c r="IJ57" s="82" t="str">
        <f>IF(ISNUMBER(outYear),IJ37+IJ42+#REF!+#REF!,"")</f>
        <v/>
      </c>
      <c r="IK57" s="82" t="str">
        <f>IF(ISNUMBER(outYear),IK37+IK42+#REF!+#REF!,"")</f>
        <v/>
      </c>
      <c r="IL57" s="82" t="str">
        <f>IF(ISNUMBER(outYear),IL37+IL42+#REF!+#REF!,"")</f>
        <v/>
      </c>
      <c r="IM57" s="82" t="str">
        <f>IF(ISNUMBER(outYear),IM37+IM42+#REF!+#REF!,"")</f>
        <v/>
      </c>
      <c r="IN57" s="82" t="str">
        <f>IF(ISNUMBER(outYear),IN37+IN42+#REF!+#REF!,"")</f>
        <v/>
      </c>
      <c r="IO57" s="82" t="str">
        <f>IF(ISNUMBER(outYear),IO37+IO42+#REF!+#REF!,"")</f>
        <v/>
      </c>
      <c r="IP57" s="82" t="str">
        <f>IF(ISNUMBER(outYear),IP37+IP42+#REF!+#REF!,"")</f>
        <v/>
      </c>
      <c r="IQ57" s="82" t="str">
        <f>IF(ISNUMBER(outYear),IQ37+IQ42+#REF!+#REF!,"")</f>
        <v/>
      </c>
      <c r="IR57" s="82" t="str">
        <f>IF(ISNUMBER(outYear),IR37+IR42+#REF!+#REF!,"")</f>
        <v/>
      </c>
      <c r="IS57" s="82" t="str">
        <f>IF(ISNUMBER(outYear),IS37+IS42+#REF!+#REF!,"")</f>
        <v/>
      </c>
      <c r="IT57" s="82" t="str">
        <f>IF(ISNUMBER(outYear),IT37+IT42+#REF!+#REF!,"")</f>
        <v/>
      </c>
      <c r="IU57" s="82" t="str">
        <f>IF(ISNUMBER(outYear),IU37+IU42+#REF!+#REF!,"")</f>
        <v/>
      </c>
      <c r="IV57" s="82" t="str">
        <f>IF(ISNUMBER(outYear),IV37+IV42+#REF!+#REF!,"")</f>
        <v/>
      </c>
      <c r="IW57" s="82" t="str">
        <f>IF(ISNUMBER(outYear),IW37+IW42+#REF!+#REF!,"")</f>
        <v/>
      </c>
      <c r="IX57" s="82" t="str">
        <f>IF(ISNUMBER(outYear),IX37+IX42+#REF!+#REF!,"")</f>
        <v/>
      </c>
      <c r="IY57" s="82" t="str">
        <f>IF(ISNUMBER(outYear),IY37+IY42+#REF!+#REF!,"")</f>
        <v/>
      </c>
      <c r="IZ57" s="82" t="str">
        <f>IF(ISNUMBER(outYear),IZ37+IZ42+#REF!+#REF!,"")</f>
        <v/>
      </c>
      <c r="JA57" s="82" t="str">
        <f>IF(ISNUMBER(outYear),JA37+JA42+#REF!+#REF!,"")</f>
        <v/>
      </c>
      <c r="JB57" s="82" t="str">
        <f>IF(ISNUMBER(outYear),JB37+JB42+#REF!+#REF!,"")</f>
        <v/>
      </c>
      <c r="JC57" s="82" t="str">
        <f>IF(ISNUMBER(outYear),JC37+JC42+#REF!+#REF!,"")</f>
        <v/>
      </c>
      <c r="JD57" s="82" t="str">
        <f>IF(ISNUMBER(outYear),JD37+JD42+#REF!+#REF!,"")</f>
        <v/>
      </c>
      <c r="JE57" s="82" t="str">
        <f>IF(ISNUMBER(outYear),JE37+JE42+#REF!+#REF!,"")</f>
        <v/>
      </c>
      <c r="JF57" s="82" t="str">
        <f>IF(ISNUMBER(outYear),JF37+JF42+#REF!+#REF!,"")</f>
        <v/>
      </c>
      <c r="JG57" s="82" t="str">
        <f>IF(ISNUMBER(outYear),JG37+JG42+#REF!+#REF!,"")</f>
        <v/>
      </c>
      <c r="JH57" s="82" t="str">
        <f>IF(ISNUMBER(outYear),JH37+JH42+#REF!+#REF!,"")</f>
        <v/>
      </c>
      <c r="JI57" s="82" t="str">
        <f>IF(ISNUMBER(outYear),JI37+JI42+#REF!+#REF!,"")</f>
        <v/>
      </c>
      <c r="JJ57" s="82" t="str">
        <f>IF(ISNUMBER(outYear),JJ37+JJ42+#REF!+#REF!,"")</f>
        <v/>
      </c>
      <c r="JK57" s="82" t="str">
        <f>IF(ISNUMBER(outYear),JK37+JK42+#REF!+#REF!,"")</f>
        <v/>
      </c>
      <c r="JL57" s="82" t="str">
        <f>IF(ISNUMBER(outYear),JL37+JL42+#REF!+#REF!,"")</f>
        <v/>
      </c>
      <c r="JM57" s="82" t="str">
        <f>IF(ISNUMBER(outYear),JM37+JM42+#REF!+#REF!,"")</f>
        <v/>
      </c>
      <c r="JN57" s="82" t="str">
        <f>IF(ISNUMBER(outYear),JN37+JN42+#REF!+#REF!,"")</f>
        <v/>
      </c>
      <c r="JO57" s="82" t="str">
        <f>IF(ISNUMBER(outYear),JO37+JO42+#REF!+#REF!,"")</f>
        <v/>
      </c>
      <c r="JP57" s="82" t="str">
        <f>IF(ISNUMBER(outYear),JP37+JP42+#REF!+#REF!,"")</f>
        <v/>
      </c>
      <c r="JQ57" s="82" t="str">
        <f>IF(ISNUMBER(outYear),JQ37+JQ42+#REF!+#REF!,"")</f>
        <v/>
      </c>
      <c r="JR57" s="82" t="str">
        <f>IF(ISNUMBER(outYear),JR37+JR42+#REF!+#REF!,"")</f>
        <v/>
      </c>
      <c r="JS57" s="82" t="str">
        <f>IF(ISNUMBER(outYear),JS37+JS42+#REF!+#REF!,"")</f>
        <v/>
      </c>
      <c r="JT57" s="82" t="str">
        <f>IF(ISNUMBER(outYear),JT37+JT42+#REF!+#REF!,"")</f>
        <v/>
      </c>
      <c r="JU57" s="82" t="str">
        <f>IF(ISNUMBER(outYear),JU37+JU42+#REF!+#REF!,"")</f>
        <v/>
      </c>
      <c r="JV57" s="82" t="str">
        <f>IF(ISNUMBER(outYear),JV37+JV42+#REF!+#REF!,"")</f>
        <v/>
      </c>
      <c r="JW57" s="82" t="str">
        <f>IF(ISNUMBER(outYear),JW37+JW42+#REF!+#REF!,"")</f>
        <v/>
      </c>
      <c r="JX57" s="82" t="str">
        <f>IF(ISNUMBER(outYear),JX37+JX42+#REF!+#REF!,"")</f>
        <v/>
      </c>
      <c r="JY57" s="82" t="str">
        <f>IF(ISNUMBER(outYear),JY37+JY42+#REF!+#REF!,"")</f>
        <v/>
      </c>
      <c r="JZ57" s="82" t="str">
        <f>IF(ISNUMBER(outYear),JZ37+JZ42+#REF!+#REF!,"")</f>
        <v/>
      </c>
      <c r="KA57" s="82" t="str">
        <f>IF(ISNUMBER(outYear),KA37+KA42+#REF!+#REF!,"")</f>
        <v/>
      </c>
      <c r="KB57" s="82" t="str">
        <f>IF(ISNUMBER(outYear),KB37+KB42+#REF!+#REF!,"")</f>
        <v/>
      </c>
      <c r="KC57" s="82" t="str">
        <f>IF(ISNUMBER(outYear),KC37+KC42+#REF!+#REF!,"")</f>
        <v/>
      </c>
      <c r="KD57" s="82" t="str">
        <f>IF(ISNUMBER(outYear),KD37+KD42+#REF!+#REF!,"")</f>
        <v/>
      </c>
      <c r="KE57" s="82" t="str">
        <f>IF(ISNUMBER(outYear),KE37+KE42+#REF!+#REF!,"")</f>
        <v/>
      </c>
      <c r="KF57" s="82" t="str">
        <f>IF(ISNUMBER(outYear),KF37+KF42+#REF!+#REF!,"")</f>
        <v/>
      </c>
      <c r="KG57" s="82" t="str">
        <f>IF(ISNUMBER(outYear),KG37+KG42+#REF!+#REF!,"")</f>
        <v/>
      </c>
      <c r="KH57" s="82" t="str">
        <f>IF(ISNUMBER(outYear),KH37+KH42+#REF!+#REF!,"")</f>
        <v/>
      </c>
      <c r="KI57" s="82" t="str">
        <f>IF(ISNUMBER(outYear),KI37+KI42+#REF!+#REF!,"")</f>
        <v/>
      </c>
      <c r="KJ57" s="82" t="str">
        <f>IF(ISNUMBER(outYear),KJ37+KJ42+#REF!+#REF!,"")</f>
        <v/>
      </c>
      <c r="KK57" s="82" t="str">
        <f>IF(ISNUMBER(outYear),KK37+KK42+#REF!+#REF!,"")</f>
        <v/>
      </c>
      <c r="KL57" s="82" t="str">
        <f>IF(ISNUMBER(outYear),KL37+KL42+#REF!+#REF!,"")</f>
        <v/>
      </c>
      <c r="KM57" s="82" t="str">
        <f>IF(ISNUMBER(outYear),KM37+KM42+#REF!+#REF!,"")</f>
        <v/>
      </c>
      <c r="KN57" s="82" t="str">
        <f>IF(ISNUMBER(outYear),KN37+KN42+#REF!+#REF!,"")</f>
        <v/>
      </c>
      <c r="KO57" s="82" t="str">
        <f>IF(ISNUMBER(outYear),KO37+KO42+#REF!+#REF!,"")</f>
        <v/>
      </c>
      <c r="KP57" s="82" t="str">
        <f>IF(ISNUMBER(outYear),KP37+KP42+#REF!+#REF!,"")</f>
        <v/>
      </c>
      <c r="KQ57" s="82" t="str">
        <f>IF(ISNUMBER(outYear),KQ37+KQ42+#REF!+#REF!,"")</f>
        <v/>
      </c>
      <c r="KR57" s="82" t="str">
        <f>IF(ISNUMBER(outYear),KR37+KR42+#REF!+#REF!,"")</f>
        <v/>
      </c>
      <c r="KS57" s="82" t="str">
        <f>IF(ISNUMBER(outYear),KS37+KS42+#REF!+#REF!,"")</f>
        <v/>
      </c>
      <c r="KT57" s="82" t="str">
        <f>IF(ISNUMBER(outYear),KT37+KT42+#REF!+#REF!,"")</f>
        <v/>
      </c>
      <c r="KU57" s="82" t="str">
        <f>IF(ISNUMBER(outYear),KU37+KU42+#REF!+#REF!,"")</f>
        <v/>
      </c>
      <c r="KV57" s="82" t="str">
        <f>IF(ISNUMBER(outYear),KV37+KV42+#REF!+#REF!,"")</f>
        <v/>
      </c>
      <c r="KW57" s="82" t="str">
        <f>IF(ISNUMBER(outYear),KW37+KW42+#REF!+#REF!,"")</f>
        <v/>
      </c>
      <c r="KX57" s="82" t="str">
        <f>IF(ISNUMBER(outYear),KX37+KX42+#REF!+#REF!,"")</f>
        <v/>
      </c>
      <c r="KY57" s="82" t="str">
        <f>IF(ISNUMBER(outYear),KY37+KY42+#REF!+#REF!,"")</f>
        <v/>
      </c>
      <c r="KZ57" s="82" t="str">
        <f>IF(ISNUMBER(outYear),KZ37+KZ42+#REF!+#REF!,"")</f>
        <v/>
      </c>
      <c r="LA57" s="82" t="str">
        <f>IF(ISNUMBER(outYear),LA37+LA42+#REF!+#REF!,"")</f>
        <v/>
      </c>
      <c r="LB57" s="82" t="str">
        <f>IF(ISNUMBER(outYear),LB37+LB42+#REF!+#REF!,"")</f>
        <v/>
      </c>
      <c r="LC57" s="82" t="str">
        <f>IF(ISNUMBER(outYear),LC37+LC42+#REF!+#REF!,"")</f>
        <v/>
      </c>
      <c r="LD57" s="82" t="str">
        <f>IF(ISNUMBER(outYear),LD37+LD42+#REF!+#REF!,"")</f>
        <v/>
      </c>
      <c r="LE57" s="82" t="str">
        <f>IF(ISNUMBER(outYear),LE37+LE42+#REF!+#REF!,"")</f>
        <v/>
      </c>
      <c r="LF57" s="82" t="str">
        <f>IF(ISNUMBER(outYear),LF37+LF42+#REF!+#REF!,"")</f>
        <v/>
      </c>
      <c r="LG57" s="82" t="str">
        <f>IF(ISNUMBER(outYear),LG37+LG42+#REF!+#REF!,"")</f>
        <v/>
      </c>
      <c r="LH57" s="82" t="str">
        <f>IF(ISNUMBER(outYear),LH37+LH42+#REF!+#REF!,"")</f>
        <v/>
      </c>
      <c r="LI57" s="82" t="str">
        <f>IF(ISNUMBER(outYear),LI37+LI42+#REF!+#REF!,"")</f>
        <v/>
      </c>
      <c r="LJ57" s="82" t="str">
        <f>IF(ISNUMBER(outYear),LJ37+LJ42+#REF!+#REF!,"")</f>
        <v/>
      </c>
      <c r="LK57" s="82" t="str">
        <f>IF(ISNUMBER(outYear),LK37+LK42+#REF!+#REF!,"")</f>
        <v/>
      </c>
      <c r="LL57" s="82" t="str">
        <f>IF(ISNUMBER(outYear),LL37+LL42+#REF!+#REF!,"")</f>
        <v/>
      </c>
      <c r="LM57" s="82" t="str">
        <f>IF(ISNUMBER(outYear),LM37+LM42+#REF!+#REF!,"")</f>
        <v/>
      </c>
      <c r="LN57" s="82" t="str">
        <f>IF(ISNUMBER(outYear),LN37+LN42+#REF!+#REF!,"")</f>
        <v/>
      </c>
      <c r="LO57" s="82" t="str">
        <f>IF(ISNUMBER(outYear),LO37+LO42+#REF!+#REF!,"")</f>
        <v/>
      </c>
      <c r="LP57" s="82" t="str">
        <f>IF(ISNUMBER(outYear),LP37+LP42+#REF!+#REF!,"")</f>
        <v/>
      </c>
      <c r="LQ57" s="82" t="str">
        <f>IF(ISNUMBER(outYear),LQ37+LQ42+#REF!+#REF!,"")</f>
        <v/>
      </c>
      <c r="LR57" s="82" t="str">
        <f>IF(ISNUMBER(outYear),LR37+LR42+#REF!+#REF!,"")</f>
        <v/>
      </c>
      <c r="LS57" s="82" t="str">
        <f>IF(ISNUMBER(outYear),LS37+LS42+#REF!+#REF!,"")</f>
        <v/>
      </c>
      <c r="LT57" s="82" t="str">
        <f>IF(ISNUMBER(outYear),LT37+LT42+#REF!+#REF!,"")</f>
        <v/>
      </c>
      <c r="LU57" s="82" t="str">
        <f>IF(ISNUMBER(outYear),LU37+LU42+#REF!+#REF!,"")</f>
        <v/>
      </c>
      <c r="LV57" s="82" t="str">
        <f>IF(ISNUMBER(outYear),LV37+LV42+#REF!+#REF!,"")</f>
        <v/>
      </c>
      <c r="LW57" s="82" t="str">
        <f>IF(ISNUMBER(outYear),LW37+LW42+#REF!+#REF!,"")</f>
        <v/>
      </c>
      <c r="LX57" s="82" t="str">
        <f>IF(ISNUMBER(outYear),LX37+LX42+#REF!+#REF!,"")</f>
        <v/>
      </c>
      <c r="LY57" s="82" t="str">
        <f>IF(ISNUMBER(outYear),LY37+LY42+#REF!+#REF!,"")</f>
        <v/>
      </c>
      <c r="LZ57" s="82" t="str">
        <f>IF(ISNUMBER(outYear),LZ37+LZ42+#REF!+#REF!,"")</f>
        <v/>
      </c>
      <c r="MA57" s="82" t="str">
        <f>IF(ISNUMBER(outYear),MA37+MA42+#REF!+#REF!,"")</f>
        <v/>
      </c>
      <c r="MB57" s="82" t="str">
        <f>IF(ISNUMBER(outYear),MB37+MB42+#REF!+#REF!,"")</f>
        <v/>
      </c>
      <c r="MC57" s="82" t="str">
        <f>IF(ISNUMBER(outYear),MC37+MC42+#REF!+#REF!,"")</f>
        <v/>
      </c>
      <c r="MD57" s="82" t="str">
        <f>IF(ISNUMBER(outYear),MD37+MD42+#REF!+#REF!,"")</f>
        <v/>
      </c>
      <c r="ME57" s="82" t="str">
        <f>IF(ISNUMBER(outYear),ME37+ME42+#REF!+#REF!,"")</f>
        <v/>
      </c>
      <c r="MF57" s="82" t="str">
        <f>IF(ISNUMBER(outYear),MF37+MF42+#REF!+#REF!,"")</f>
        <v/>
      </c>
      <c r="MG57" s="82" t="str">
        <f>IF(ISNUMBER(outYear),MG37+MG42+#REF!+#REF!,"")</f>
        <v/>
      </c>
      <c r="MH57" s="82" t="str">
        <f>IF(ISNUMBER(outYear),MH37+MH42+#REF!+#REF!,"")</f>
        <v/>
      </c>
      <c r="MI57" s="82" t="str">
        <f>IF(ISNUMBER(outYear),MI37+MI42+#REF!+#REF!,"")</f>
        <v/>
      </c>
      <c r="MJ57" s="82" t="str">
        <f>IF(ISNUMBER(outYear),MJ37+MJ42+#REF!+#REF!,"")</f>
        <v/>
      </c>
      <c r="MK57" s="82" t="str">
        <f>IF(ISNUMBER(outYear),MK37+MK42+#REF!+#REF!,"")</f>
        <v/>
      </c>
      <c r="ML57" s="82" t="str">
        <f>IF(ISNUMBER(outYear),ML37+ML42+#REF!+#REF!,"")</f>
        <v/>
      </c>
      <c r="MM57" s="82" t="str">
        <f>IF(ISNUMBER(outYear),MM37+MM42+#REF!+#REF!,"")</f>
        <v/>
      </c>
      <c r="MN57" s="82" t="str">
        <f>IF(ISNUMBER(outYear),MN37+MN42+#REF!+#REF!,"")</f>
        <v/>
      </c>
      <c r="MO57" s="82" t="str">
        <f>IF(ISNUMBER(outYear),MO37+MO42+#REF!+#REF!,"")</f>
        <v/>
      </c>
      <c r="MP57" s="82" t="str">
        <f>IF(ISNUMBER(outYear),MP37+MP42+#REF!+#REF!,"")</f>
        <v/>
      </c>
      <c r="MQ57" s="82" t="str">
        <f>IF(ISNUMBER(outYear),MQ37+MQ42+#REF!+#REF!,"")</f>
        <v/>
      </c>
      <c r="MR57" s="82" t="str">
        <f>IF(ISNUMBER(outYear),MR37+MR42+#REF!+#REF!,"")</f>
        <v/>
      </c>
      <c r="MS57" s="82" t="str">
        <f>IF(ISNUMBER(outYear),MS37+MS42+#REF!+#REF!,"")</f>
        <v/>
      </c>
      <c r="MT57" s="82" t="str">
        <f>IF(ISNUMBER(outYear),MT37+MT42+#REF!+#REF!,"")</f>
        <v/>
      </c>
      <c r="MU57" s="82" t="str">
        <f>IF(ISNUMBER(outYear),MU37+MU42+#REF!+#REF!,"")</f>
        <v/>
      </c>
      <c r="MV57" s="82" t="str">
        <f>IF(ISNUMBER(outYear),MV37+MV42+#REF!+#REF!,"")</f>
        <v/>
      </c>
      <c r="MW57" s="82" t="str">
        <f>IF(ISNUMBER(outYear),MW37+MW42+#REF!+#REF!,"")</f>
        <v/>
      </c>
      <c r="MX57" s="82" t="str">
        <f>IF(ISNUMBER(outYear),MX37+MX42+#REF!+#REF!,"")</f>
        <v/>
      </c>
      <c r="MY57" s="82" t="str">
        <f>IF(ISNUMBER(outYear),MY37+MY42+#REF!+#REF!,"")</f>
        <v/>
      </c>
      <c r="MZ57" s="82" t="str">
        <f>IF(ISNUMBER(outYear),MZ37+MZ42+#REF!+#REF!,"")</f>
        <v/>
      </c>
      <c r="NA57" s="82" t="str">
        <f>IF(ISNUMBER(outYear),NA37+NA42+#REF!+#REF!,"")</f>
        <v/>
      </c>
      <c r="NB57" s="82" t="str">
        <f>IF(ISNUMBER(outYear),NB37+NB42+#REF!+#REF!,"")</f>
        <v/>
      </c>
      <c r="NC57" s="82" t="str">
        <f>IF(ISNUMBER(outYear),NC37+NC42+#REF!+#REF!,"")</f>
        <v/>
      </c>
      <c r="ND57" s="82" t="str">
        <f>IF(ISNUMBER(outYear),ND37+ND42+#REF!+#REF!,"")</f>
        <v/>
      </c>
      <c r="NE57" s="82" t="str">
        <f>IF(ISNUMBER(outYear),NE37+NE42+#REF!+#REF!,"")</f>
        <v/>
      </c>
      <c r="NF57" s="82" t="str">
        <f>IF(ISNUMBER(outYear),NF37+NF42+#REF!+#REF!,"")</f>
        <v/>
      </c>
      <c r="NG57" s="82" t="str">
        <f>IF(ISNUMBER(outYear),NG37+NG42+#REF!+#REF!,"")</f>
        <v/>
      </c>
      <c r="NH57" s="82" t="str">
        <f>IF(ISNUMBER(outYear),NH37+NH42+#REF!+#REF!,"")</f>
        <v/>
      </c>
      <c r="NI57" s="82" t="str">
        <f>IF(ISNUMBER(outYear),NI37+NI42+#REF!+#REF!,"")</f>
        <v/>
      </c>
      <c r="NJ57" s="82" t="str">
        <f>IF(ISNUMBER(outYear),NJ37+NJ42+#REF!+#REF!,"")</f>
        <v/>
      </c>
      <c r="NK57" s="82" t="str">
        <f>IF(ISNUMBER(outYear),NK37+NK42+#REF!+#REF!,"")</f>
        <v/>
      </c>
      <c r="NL57" s="82" t="str">
        <f>IF(ISNUMBER(outYear),NL37+NL42+#REF!+#REF!,"")</f>
        <v/>
      </c>
      <c r="NM57" s="82" t="str">
        <f>IF(ISNUMBER(outYear),NM37+NM42+#REF!+#REF!,"")</f>
        <v/>
      </c>
      <c r="NN57" s="82" t="str">
        <f>IF(ISNUMBER(outYear),NN37+NN42+#REF!+#REF!,"")</f>
        <v/>
      </c>
      <c r="NO57" s="82" t="str">
        <f>IF(ISNUMBER(outYear),NO37+NO42+#REF!+#REF!,"")</f>
        <v/>
      </c>
      <c r="NP57" s="82" t="str">
        <f>IF(ISNUMBER(outYear),NP37+NP42+#REF!+#REF!,"")</f>
        <v/>
      </c>
      <c r="NQ57" s="82" t="str">
        <f>IF(ISNUMBER(outYear),NQ37+NQ42+#REF!+#REF!,"")</f>
        <v/>
      </c>
      <c r="NR57" s="82" t="str">
        <f>IF(ISNUMBER(outYear),NR37+NR42+#REF!+#REF!,"")</f>
        <v/>
      </c>
      <c r="NS57" s="82" t="str">
        <f>IF(ISNUMBER(outYear),NS37+NS42+#REF!+#REF!,"")</f>
        <v/>
      </c>
      <c r="NT57" s="82" t="str">
        <f>IF(ISNUMBER(outYear),NT37+NT42+#REF!+#REF!,"")</f>
        <v/>
      </c>
      <c r="NU57" s="82" t="str">
        <f>IF(ISNUMBER(outYear),NU37+NU42+#REF!+#REF!,"")</f>
        <v/>
      </c>
      <c r="NV57" s="82" t="str">
        <f>IF(ISNUMBER(outYear),NV37+NV42+#REF!+#REF!,"")</f>
        <v/>
      </c>
      <c r="NW57" s="82" t="str">
        <f>IF(ISNUMBER(outYear),NW37+NW42+#REF!+#REF!,"")</f>
        <v/>
      </c>
      <c r="NX57" s="82" t="str">
        <f>IF(ISNUMBER(outYear),NX37+NX42+#REF!+#REF!,"")</f>
        <v/>
      </c>
      <c r="NY57" s="82" t="str">
        <f>IF(ISNUMBER(outYear),NY37+NY42+#REF!+#REF!,"")</f>
        <v/>
      </c>
      <c r="NZ57" s="82" t="str">
        <f>IF(ISNUMBER(outYear),NZ37+NZ42+#REF!+#REF!,"")</f>
        <v/>
      </c>
      <c r="OA57" s="82" t="str">
        <f>IF(ISNUMBER(outYear),OA37+OA42+#REF!+#REF!,"")</f>
        <v/>
      </c>
      <c r="OB57" s="82" t="str">
        <f>IF(ISNUMBER(outYear),OB37+OB42+#REF!+#REF!,"")</f>
        <v/>
      </c>
      <c r="OC57" s="82" t="str">
        <f>IF(ISNUMBER(outYear),OC37+OC42+#REF!+#REF!,"")</f>
        <v/>
      </c>
      <c r="OD57" s="82" t="str">
        <f>IF(ISNUMBER(outYear),OD37+OD42+#REF!+#REF!,"")</f>
        <v/>
      </c>
      <c r="OE57" s="82" t="str">
        <f>IF(ISNUMBER(outYear),OE37+OE42+#REF!+#REF!,"")</f>
        <v/>
      </c>
      <c r="OF57" s="82" t="str">
        <f>IF(ISNUMBER(outYear),OF37+OF42+#REF!+#REF!,"")</f>
        <v/>
      </c>
      <c r="OG57" s="82" t="str">
        <f>IF(ISNUMBER(outYear),OG37+OG42+#REF!+#REF!,"")</f>
        <v/>
      </c>
      <c r="OH57" s="82" t="str">
        <f>IF(ISNUMBER(outYear),OH37+OH42+#REF!+#REF!,"")</f>
        <v/>
      </c>
      <c r="OI57" s="82" t="str">
        <f>IF(ISNUMBER(outYear),OI37+OI42+#REF!+#REF!,"")</f>
        <v/>
      </c>
      <c r="OJ57" s="82" t="str">
        <f>IF(ISNUMBER(outYear),OJ37+OJ42+#REF!+#REF!,"")</f>
        <v/>
      </c>
      <c r="OK57" s="82" t="str">
        <f>IF(ISNUMBER(outYear),OK37+OK42+#REF!+#REF!,"")</f>
        <v/>
      </c>
      <c r="OL57" s="82" t="str">
        <f>IF(ISNUMBER(outYear),OL37+OL42+#REF!+#REF!,"")</f>
        <v/>
      </c>
      <c r="OM57" s="82" t="str">
        <f>IF(ISNUMBER(outYear),OM37+OM42+#REF!+#REF!,"")</f>
        <v/>
      </c>
      <c r="ON57" s="82" t="str">
        <f>IF(ISNUMBER(outYear),ON37+ON42+#REF!+#REF!,"")</f>
        <v/>
      </c>
      <c r="OO57" s="82" t="str">
        <f>IF(ISNUMBER(outYear),OO37+OO42+#REF!+#REF!,"")</f>
        <v/>
      </c>
      <c r="OP57" s="82" t="str">
        <f>IF(ISNUMBER(outYear),OP37+OP42+#REF!+#REF!,"")</f>
        <v/>
      </c>
      <c r="OQ57" s="82" t="str">
        <f>IF(ISNUMBER(outYear),OQ37+OQ42+#REF!+#REF!,"")</f>
        <v/>
      </c>
      <c r="OR57" s="82" t="str">
        <f>IF(ISNUMBER(outYear),OR37+OR42+#REF!+#REF!,"")</f>
        <v/>
      </c>
      <c r="OS57" s="82" t="str">
        <f>IF(ISNUMBER(outYear),OS37+OS42+#REF!+#REF!,"")</f>
        <v/>
      </c>
      <c r="OT57" s="82" t="str">
        <f>IF(ISNUMBER(outYear),OT37+OT42+#REF!+#REF!,"")</f>
        <v/>
      </c>
      <c r="OU57" s="82" t="str">
        <f>IF(ISNUMBER(outYear),OU37+OU42+#REF!+#REF!,"")</f>
        <v/>
      </c>
      <c r="OV57" s="82" t="str">
        <f>IF(ISNUMBER(outYear),OV37+OV42+#REF!+#REF!,"")</f>
        <v/>
      </c>
      <c r="OW57" s="82" t="str">
        <f>IF(ISNUMBER(outYear),OW37+OW42+#REF!+#REF!,"")</f>
        <v/>
      </c>
      <c r="OX57" s="82" t="str">
        <f>IF(ISNUMBER(outYear),OX37+OX42+#REF!+#REF!,"")</f>
        <v/>
      </c>
      <c r="OY57" s="82" t="str">
        <f>IF(ISNUMBER(outYear),OY37+OY42+#REF!+#REF!,"")</f>
        <v/>
      </c>
      <c r="OZ57" s="82" t="str">
        <f>IF(ISNUMBER(outYear),OZ37+OZ42+#REF!+#REF!,"")</f>
        <v/>
      </c>
      <c r="PA57" s="82" t="str">
        <f>IF(ISNUMBER(outYear),PA37+PA42+#REF!+#REF!,"")</f>
        <v/>
      </c>
      <c r="PB57" s="82" t="str">
        <f>IF(ISNUMBER(outYear),PB37+PB42+#REF!+#REF!,"")</f>
        <v/>
      </c>
      <c r="PC57" s="82" t="str">
        <f>IF(ISNUMBER(outYear),PC37+PC42+#REF!+#REF!,"")</f>
        <v/>
      </c>
      <c r="PD57" s="82" t="str">
        <f>IF(ISNUMBER(outYear),PD37+PD42+#REF!+#REF!,"")</f>
        <v/>
      </c>
      <c r="PE57" s="82" t="str">
        <f>IF(ISNUMBER(outYear),PE37+PE42+#REF!+#REF!,"")</f>
        <v/>
      </c>
      <c r="PF57" s="82" t="str">
        <f>IF(ISNUMBER(outYear),PF37+PF42+#REF!+#REF!,"")</f>
        <v/>
      </c>
      <c r="PG57" s="82" t="str">
        <f>IF(ISNUMBER(outYear),PG37+PG42+#REF!+#REF!,"")</f>
        <v/>
      </c>
      <c r="PH57" s="82" t="str">
        <f>IF(ISNUMBER(outYear),PH37+PH42+#REF!+#REF!,"")</f>
        <v/>
      </c>
      <c r="PI57" s="82" t="str">
        <f>IF(ISNUMBER(outYear),PI37+PI42+#REF!+#REF!,"")</f>
        <v/>
      </c>
      <c r="PJ57" s="82" t="str">
        <f>IF(ISNUMBER(outYear),PJ37+PJ42+#REF!+#REF!,"")</f>
        <v/>
      </c>
      <c r="PK57" s="82" t="str">
        <f>IF(ISNUMBER(outYear),PK37+PK42+#REF!+#REF!,"")</f>
        <v/>
      </c>
      <c r="PL57" s="82" t="str">
        <f>IF(ISNUMBER(outYear),PL37+PL42+#REF!+#REF!,"")</f>
        <v/>
      </c>
      <c r="PM57" s="82" t="str">
        <f>IF(ISNUMBER(outYear),PM37+PM42+#REF!+#REF!,"")</f>
        <v/>
      </c>
      <c r="PN57" s="82" t="str">
        <f>IF(ISNUMBER(outYear),PN37+PN42+#REF!+#REF!,"")</f>
        <v/>
      </c>
      <c r="PO57" s="82" t="str">
        <f>IF(ISNUMBER(outYear),PO37+PO42+#REF!+#REF!,"")</f>
        <v/>
      </c>
      <c r="PP57" s="82" t="str">
        <f>IF(ISNUMBER(outYear),PP37+PP42+#REF!+#REF!,"")</f>
        <v/>
      </c>
      <c r="PQ57" s="82" t="str">
        <f>IF(ISNUMBER(outYear),PQ37+PQ42+#REF!+#REF!,"")</f>
        <v/>
      </c>
      <c r="PR57" s="82" t="str">
        <f>IF(ISNUMBER(outYear),PR37+PR42+#REF!+#REF!,"")</f>
        <v/>
      </c>
      <c r="PS57" s="82" t="str">
        <f>IF(ISNUMBER(outYear),PS37+PS42+#REF!+#REF!,"")</f>
        <v/>
      </c>
      <c r="PT57" s="82" t="str">
        <f>IF(ISNUMBER(outYear),PT37+PT42+#REF!+#REF!,"")</f>
        <v/>
      </c>
      <c r="PU57" s="82" t="str">
        <f>IF(ISNUMBER(outYear),PU37+PU42+#REF!+#REF!,"")</f>
        <v/>
      </c>
      <c r="PV57" s="82" t="str">
        <f>IF(ISNUMBER(outYear),PV37+PV42+#REF!+#REF!,"")</f>
        <v/>
      </c>
      <c r="PW57" s="82" t="str">
        <f>IF(ISNUMBER(outYear),PW37+PW42+#REF!+#REF!,"")</f>
        <v/>
      </c>
      <c r="PX57" s="82" t="str">
        <f>IF(ISNUMBER(outYear),PX37+PX42+#REF!+#REF!,"")</f>
        <v/>
      </c>
      <c r="PY57" s="82" t="str">
        <f>IF(ISNUMBER(outYear),PY37+PY42+#REF!+#REF!,"")</f>
        <v/>
      </c>
      <c r="PZ57" s="82" t="str">
        <f>IF(ISNUMBER(outYear),PZ37+PZ42+#REF!+#REF!,"")</f>
        <v/>
      </c>
      <c r="QA57" s="82" t="str">
        <f>IF(ISNUMBER(outYear),QA37+QA42+#REF!+#REF!,"")</f>
        <v/>
      </c>
      <c r="QB57" s="82" t="str">
        <f>IF(ISNUMBER(outYear),QB37+QB42+#REF!+#REF!,"")</f>
        <v/>
      </c>
      <c r="QC57" s="82" t="str">
        <f>IF(ISNUMBER(outYear),QC37+QC42+#REF!+#REF!,"")</f>
        <v/>
      </c>
      <c r="QD57" s="82" t="str">
        <f>IF(ISNUMBER(outYear),QD37+QD42+#REF!+#REF!,"")</f>
        <v/>
      </c>
      <c r="QE57" s="82" t="str">
        <f>IF(ISNUMBER(outYear),QE37+QE42+#REF!+#REF!,"")</f>
        <v/>
      </c>
      <c r="QF57" s="82" t="str">
        <f>IF(ISNUMBER(outYear),QF37+QF42+#REF!+#REF!,"")</f>
        <v/>
      </c>
      <c r="QG57" s="82" t="str">
        <f>IF(ISNUMBER(outYear),QG37+QG42+#REF!+#REF!,"")</f>
        <v/>
      </c>
      <c r="QH57" s="82" t="str">
        <f>IF(ISNUMBER(outYear),QH37+QH42+#REF!+#REF!,"")</f>
        <v/>
      </c>
      <c r="QI57" s="82" t="str">
        <f>IF(ISNUMBER(outYear),QI37+QI42+#REF!+#REF!,"")</f>
        <v/>
      </c>
      <c r="QJ57" s="82" t="str">
        <f>IF(ISNUMBER(outYear),QJ37+QJ42+#REF!+#REF!,"")</f>
        <v/>
      </c>
      <c r="QK57" s="82" t="str">
        <f>IF(ISNUMBER(outYear),QK37+QK42+#REF!+#REF!,"")</f>
        <v/>
      </c>
      <c r="QL57" s="82" t="str">
        <f>IF(ISNUMBER(outYear),QL37+QL42+#REF!+#REF!,"")</f>
        <v/>
      </c>
      <c r="QM57" s="82" t="str">
        <f>IF(ISNUMBER(outYear),QM37+QM42+#REF!+#REF!,"")</f>
        <v/>
      </c>
      <c r="QN57" s="82" t="str">
        <f>IF(ISNUMBER(outYear),QN37+QN42+#REF!+#REF!,"")</f>
        <v/>
      </c>
      <c r="QO57" s="82" t="str">
        <f>IF(ISNUMBER(outYear),QO37+QO42+#REF!+#REF!,"")</f>
        <v/>
      </c>
      <c r="QP57" s="82" t="str">
        <f>IF(ISNUMBER(outYear),QP37+QP42+#REF!+#REF!,"")</f>
        <v/>
      </c>
      <c r="QQ57" s="82" t="str">
        <f>IF(ISNUMBER(outYear),QQ37+QQ42+#REF!+#REF!,"")</f>
        <v/>
      </c>
      <c r="QR57" s="82" t="str">
        <f>IF(ISNUMBER(outYear),QR37+QR42+#REF!+#REF!,"")</f>
        <v/>
      </c>
      <c r="QS57" s="82" t="str">
        <f>IF(ISNUMBER(outYear),QS37+QS42+#REF!+#REF!,"")</f>
        <v/>
      </c>
      <c r="QT57" s="82" t="str">
        <f>IF(ISNUMBER(outYear),QT37+QT42+#REF!+#REF!,"")</f>
        <v/>
      </c>
      <c r="QU57" s="82" t="str">
        <f>IF(ISNUMBER(outYear),QU37+QU42+#REF!+#REF!,"")</f>
        <v/>
      </c>
      <c r="QV57" s="82" t="str">
        <f>IF(ISNUMBER(outYear),QV37+QV42+#REF!+#REF!,"")</f>
        <v/>
      </c>
      <c r="QW57" s="82" t="str">
        <f>IF(ISNUMBER(outYear),QW37+QW42+#REF!+#REF!,"")</f>
        <v/>
      </c>
      <c r="QX57" s="82" t="str">
        <f>IF(ISNUMBER(outYear),QX37+QX42+#REF!+#REF!,"")</f>
        <v/>
      </c>
      <c r="QY57" s="82" t="str">
        <f>IF(ISNUMBER(outYear),QY37+QY42+#REF!+#REF!,"")</f>
        <v/>
      </c>
      <c r="QZ57" s="82" t="str">
        <f>IF(ISNUMBER(outYear),QZ37+QZ42+#REF!+#REF!,"")</f>
        <v/>
      </c>
      <c r="RA57" s="82" t="str">
        <f>IF(ISNUMBER(outYear),RA37+RA42+#REF!+#REF!,"")</f>
        <v/>
      </c>
      <c r="RB57" s="82" t="str">
        <f>IF(ISNUMBER(outYear),RB37+RB42+#REF!+#REF!,"")</f>
        <v/>
      </c>
      <c r="RC57" s="82" t="str">
        <f>IF(ISNUMBER(outYear),RC37+RC42+#REF!+#REF!,"")</f>
        <v/>
      </c>
      <c r="RD57" s="82" t="str">
        <f>IF(ISNUMBER(outYear),RD37+RD42+#REF!+#REF!,"")</f>
        <v/>
      </c>
      <c r="RE57" s="82" t="str">
        <f>IF(ISNUMBER(outYear),RE37+RE42+#REF!+#REF!,"")</f>
        <v/>
      </c>
      <c r="RF57" s="82" t="str">
        <f>IF(ISNUMBER(outYear),RF37+RF42+#REF!+#REF!,"")</f>
        <v/>
      </c>
      <c r="RG57" s="82" t="str">
        <f>IF(ISNUMBER(outYear),RG37+RG42+#REF!+#REF!,"")</f>
        <v/>
      </c>
      <c r="RH57" s="82" t="str">
        <f>IF(ISNUMBER(outYear),RH37+RH42+#REF!+#REF!,"")</f>
        <v/>
      </c>
      <c r="RI57" s="82" t="str">
        <f>IF(ISNUMBER(outYear),RI37+RI42+#REF!+#REF!,"")</f>
        <v/>
      </c>
      <c r="RJ57" s="82" t="str">
        <f>IF(ISNUMBER(outYear),RJ37+RJ42+#REF!+#REF!,"")</f>
        <v/>
      </c>
      <c r="RK57" s="82" t="str">
        <f>IF(ISNUMBER(outYear),RK37+RK42+#REF!+#REF!,"")</f>
        <v/>
      </c>
      <c r="RL57" s="82" t="str">
        <f>IF(ISNUMBER(outYear),RL37+RL42+#REF!+#REF!,"")</f>
        <v/>
      </c>
      <c r="RM57" s="82" t="str">
        <f>IF(ISNUMBER(outYear),RM37+RM42+#REF!+#REF!,"")</f>
        <v/>
      </c>
      <c r="RN57" s="82" t="str">
        <f>IF(ISNUMBER(outYear),RN37+RN42+#REF!+#REF!,"")</f>
        <v/>
      </c>
      <c r="RO57" s="82" t="str">
        <f>IF(ISNUMBER(outYear),RO37+RO42+#REF!+#REF!,"")</f>
        <v/>
      </c>
      <c r="RP57" s="82" t="str">
        <f>IF(ISNUMBER(outYear),RP37+RP42+#REF!+#REF!,"")</f>
        <v/>
      </c>
      <c r="RQ57" s="82" t="str">
        <f>IF(ISNUMBER(outYear),RQ37+RQ42+#REF!+#REF!,"")</f>
        <v/>
      </c>
      <c r="RR57" s="82" t="str">
        <f>IF(ISNUMBER(outYear),RR37+RR42+#REF!+#REF!,"")</f>
        <v/>
      </c>
      <c r="RS57" s="82" t="str">
        <f>IF(ISNUMBER(outYear),RS37+RS42+#REF!+#REF!,"")</f>
        <v/>
      </c>
      <c r="RT57" s="82" t="str">
        <f>IF(ISNUMBER(outYear),RT37+RT42+#REF!+#REF!,"")</f>
        <v/>
      </c>
      <c r="RU57" s="82" t="str">
        <f>IF(ISNUMBER(outYear),RU37+RU42+#REF!+#REF!,"")</f>
        <v/>
      </c>
      <c r="RV57" s="82" t="str">
        <f>IF(ISNUMBER(outYear),RV37+RV42+#REF!+#REF!,"")</f>
        <v/>
      </c>
      <c r="RW57" s="82" t="str">
        <f>IF(ISNUMBER(outYear),RW37+RW42+#REF!+#REF!,"")</f>
        <v/>
      </c>
      <c r="RX57" s="82" t="str">
        <f>IF(ISNUMBER(outYear),RX37+RX42+#REF!+#REF!,"")</f>
        <v/>
      </c>
      <c r="RY57" s="82" t="str">
        <f>IF(ISNUMBER(outYear),RY37+RY42+#REF!+#REF!,"")</f>
        <v/>
      </c>
      <c r="RZ57" s="82" t="str">
        <f>IF(ISNUMBER(outYear),RZ37+RZ42+#REF!+#REF!,"")</f>
        <v/>
      </c>
      <c r="SA57" s="82" t="str">
        <f>IF(ISNUMBER(outYear),SA37+SA42+#REF!+#REF!,"")</f>
        <v/>
      </c>
      <c r="SB57" s="82" t="str">
        <f>IF(ISNUMBER(outYear),SB37+SB42+#REF!+#REF!,"")</f>
        <v/>
      </c>
      <c r="SC57" s="82" t="str">
        <f>IF(ISNUMBER(outYear),SC37+SC42+#REF!+#REF!,"")</f>
        <v/>
      </c>
      <c r="SD57" s="82" t="str">
        <f>IF(ISNUMBER(outYear),SD37+SD42+#REF!+#REF!,"")</f>
        <v/>
      </c>
      <c r="SE57" s="82" t="str">
        <f>IF(ISNUMBER(outYear),SE37+SE42+#REF!+#REF!,"")</f>
        <v/>
      </c>
      <c r="SF57" s="82" t="str">
        <f>IF(ISNUMBER(outYear),SF37+SF42+#REF!+#REF!,"")</f>
        <v/>
      </c>
      <c r="SG57" s="82" t="str">
        <f>IF(ISNUMBER(outYear),SG37+SG42+#REF!+#REF!,"")</f>
        <v/>
      </c>
      <c r="SH57" s="82" t="str">
        <f>IF(ISNUMBER(outYear),SH37+SH42+#REF!+#REF!,"")</f>
        <v/>
      </c>
      <c r="SI57" s="82" t="str">
        <f>IF(ISNUMBER(outYear),SI37+SI42+#REF!+#REF!,"")</f>
        <v/>
      </c>
      <c r="SJ57" s="82" t="str">
        <f>IF(ISNUMBER(outYear),SJ37+SJ42+#REF!+#REF!,"")</f>
        <v/>
      </c>
      <c r="SK57" s="82" t="str">
        <f>IF(ISNUMBER(outYear),SK37+SK42+#REF!+#REF!,"")</f>
        <v/>
      </c>
      <c r="SL57" s="82" t="str">
        <f>IF(ISNUMBER(outYear),SL37+SL42+#REF!+#REF!,"")</f>
        <v/>
      </c>
      <c r="SM57" s="82" t="str">
        <f>IF(ISNUMBER(outYear),SM37+SM42+#REF!+#REF!,"")</f>
        <v/>
      </c>
      <c r="SN57" s="82" t="str">
        <f>IF(ISNUMBER(outYear),SN37+SN42+#REF!+#REF!,"")</f>
        <v/>
      </c>
      <c r="SO57" s="82" t="str">
        <f>IF(ISNUMBER(outYear),SO37+SO42+#REF!+#REF!,"")</f>
        <v/>
      </c>
      <c r="SP57" s="82" t="str">
        <f>IF(ISNUMBER(outYear),SP37+SP42+#REF!+#REF!,"")</f>
        <v/>
      </c>
      <c r="SQ57" s="82" t="str">
        <f>IF(ISNUMBER(outYear),SQ37+SQ42+#REF!+#REF!,"")</f>
        <v/>
      </c>
      <c r="SR57" s="82" t="str">
        <f>IF(ISNUMBER(outYear),SR37+SR42+#REF!+#REF!,"")</f>
        <v/>
      </c>
      <c r="SS57" s="82" t="str">
        <f>IF(ISNUMBER(outYear),SS37+SS42+#REF!+#REF!,"")</f>
        <v/>
      </c>
      <c r="ST57" s="82" t="str">
        <f>IF(ISNUMBER(outYear),ST37+ST42+#REF!+#REF!,"")</f>
        <v/>
      </c>
      <c r="SU57" s="82" t="str">
        <f>IF(ISNUMBER(outYear),SU37+SU42+#REF!+#REF!,"")</f>
        <v/>
      </c>
      <c r="SV57" s="82" t="str">
        <f>IF(ISNUMBER(outYear),SV37+SV42+#REF!+#REF!,"")</f>
        <v/>
      </c>
      <c r="SW57" s="82" t="str">
        <f>IF(ISNUMBER(outYear),SW37+SW42+#REF!+#REF!,"")</f>
        <v/>
      </c>
      <c r="SX57" s="82" t="str">
        <f>IF(ISNUMBER(outYear),SX37+SX42+#REF!+#REF!,"")</f>
        <v/>
      </c>
      <c r="SY57" s="82" t="str">
        <f>IF(ISNUMBER(outYear),SY37+SY42+#REF!+#REF!,"")</f>
        <v/>
      </c>
      <c r="SZ57" s="82" t="str">
        <f>IF(ISNUMBER(outYear),SZ37+SZ42+#REF!+#REF!,"")</f>
        <v/>
      </c>
      <c r="TA57" s="82" t="str">
        <f>IF(ISNUMBER(outYear),TA37+TA42+#REF!+#REF!,"")</f>
        <v/>
      </c>
      <c r="TB57" s="82" t="str">
        <f>IF(ISNUMBER(outYear),TB37+TB42+#REF!+#REF!,"")</f>
        <v/>
      </c>
      <c r="TC57" s="82" t="str">
        <f>IF(ISNUMBER(outYear),TC37+TC42+#REF!+#REF!,"")</f>
        <v/>
      </c>
      <c r="TD57" s="82" t="str">
        <f>IF(ISNUMBER(outYear),TD37+TD42+#REF!+#REF!,"")</f>
        <v/>
      </c>
      <c r="TE57" s="82" t="str">
        <f>IF(ISNUMBER(outYear),TE37+TE42+#REF!+#REF!,"")</f>
        <v/>
      </c>
      <c r="TF57" s="82" t="str">
        <f>IF(ISNUMBER(outYear),TF37+TF42+#REF!+#REF!,"")</f>
        <v/>
      </c>
      <c r="TG57" s="82" t="str">
        <f>IF(ISNUMBER(outYear),TG37+TG42+#REF!+#REF!,"")</f>
        <v/>
      </c>
      <c r="TH57" s="82" t="str">
        <f>IF(ISNUMBER(outYear),TH37+TH42+#REF!+#REF!,"")</f>
        <v/>
      </c>
      <c r="TI57" s="82" t="str">
        <f>IF(ISNUMBER(outYear),TI37+TI42+#REF!+#REF!,"")</f>
        <v/>
      </c>
      <c r="TJ57" s="82" t="str">
        <f>IF(ISNUMBER(outYear),TJ37+TJ42+#REF!+#REF!,"")</f>
        <v/>
      </c>
      <c r="TK57" s="82" t="str">
        <f>IF(ISNUMBER(outYear),TK37+TK42+#REF!+#REF!,"")</f>
        <v/>
      </c>
      <c r="TL57" s="82" t="str">
        <f>IF(ISNUMBER(outYear),TL37+TL42+#REF!+#REF!,"")</f>
        <v/>
      </c>
      <c r="TM57" s="82" t="str">
        <f>IF(ISNUMBER(outYear),TM37+TM42+#REF!+#REF!,"")</f>
        <v/>
      </c>
      <c r="TN57" s="82" t="str">
        <f>IF(ISNUMBER(outYear),TN37+TN42+#REF!+#REF!,"")</f>
        <v/>
      </c>
      <c r="TO57" s="82" t="str">
        <f>IF(ISNUMBER(outYear),TO37+TO42+#REF!+#REF!,"")</f>
        <v/>
      </c>
      <c r="TP57" s="82" t="str">
        <f>IF(ISNUMBER(outYear),TP37+TP42+#REF!+#REF!,"")</f>
        <v/>
      </c>
      <c r="TQ57" s="82" t="str">
        <f>IF(ISNUMBER(outYear),TQ37+TQ42+#REF!+#REF!,"")</f>
        <v/>
      </c>
      <c r="TR57" s="82" t="str">
        <f>IF(ISNUMBER(outYear),TR37+TR42+#REF!+#REF!,"")</f>
        <v/>
      </c>
      <c r="TS57" s="82" t="str">
        <f>IF(ISNUMBER(outYear),TS37+TS42+#REF!+#REF!,"")</f>
        <v/>
      </c>
      <c r="TT57" s="82" t="str">
        <f>IF(ISNUMBER(outYear),TT37+TT42+#REF!+#REF!,"")</f>
        <v/>
      </c>
      <c r="TU57" s="82" t="str">
        <f>IF(ISNUMBER(outYear),TU37+TU42+#REF!+#REF!,"")</f>
        <v/>
      </c>
      <c r="TV57" s="82" t="str">
        <f>IF(ISNUMBER(outYear),TV37+TV42+#REF!+#REF!,"")</f>
        <v/>
      </c>
      <c r="TW57" s="82" t="str">
        <f>IF(ISNUMBER(outYear),TW37+TW42+#REF!+#REF!,"")</f>
        <v/>
      </c>
      <c r="TX57" s="82" t="str">
        <f>IF(ISNUMBER(outYear),TX37+TX42+#REF!+#REF!,"")</f>
        <v/>
      </c>
      <c r="TY57" s="82" t="str">
        <f>IF(ISNUMBER(outYear),TY37+TY42+#REF!+#REF!,"")</f>
        <v/>
      </c>
      <c r="TZ57" s="82" t="str">
        <f>IF(ISNUMBER(outYear),TZ37+TZ42+#REF!+#REF!,"")</f>
        <v/>
      </c>
      <c r="UA57" s="82" t="str">
        <f>IF(ISNUMBER(outYear),UA37+UA42+#REF!+#REF!,"")</f>
        <v/>
      </c>
      <c r="UB57" s="82" t="str">
        <f>IF(ISNUMBER(outYear),UB37+UB42+#REF!+#REF!,"")</f>
        <v/>
      </c>
      <c r="UC57" s="82" t="str">
        <f>IF(ISNUMBER(outYear),UC37+UC42+#REF!+#REF!,"")</f>
        <v/>
      </c>
      <c r="UD57" s="82" t="str">
        <f>IF(ISNUMBER(outYear),UD37+UD42+#REF!+#REF!,"")</f>
        <v/>
      </c>
      <c r="UE57" s="82" t="str">
        <f>IF(ISNUMBER(outYear),UE37+UE42+#REF!+#REF!,"")</f>
        <v/>
      </c>
      <c r="UF57" s="82" t="str">
        <f>IF(ISNUMBER(outYear),UF37+UF42+#REF!+#REF!,"")</f>
        <v/>
      </c>
      <c r="UG57" s="82" t="str">
        <f>IF(ISNUMBER(outYear),UG37+UG42+#REF!+#REF!,"")</f>
        <v/>
      </c>
      <c r="UH57" s="82" t="str">
        <f>IF(ISNUMBER(outYear),UH37+UH42+#REF!+#REF!,"")</f>
        <v/>
      </c>
      <c r="UI57" s="82" t="str">
        <f>IF(ISNUMBER(outYear),UI37+UI42+#REF!+#REF!,"")</f>
        <v/>
      </c>
      <c r="UJ57" s="82" t="str">
        <f>IF(ISNUMBER(outYear),UJ37+UJ42+#REF!+#REF!,"")</f>
        <v/>
      </c>
      <c r="UK57" s="82" t="str">
        <f>IF(ISNUMBER(outYear),UK37+UK42+#REF!+#REF!,"")</f>
        <v/>
      </c>
      <c r="UL57" s="82" t="str">
        <f>IF(ISNUMBER(outYear),UL37+UL42+#REF!+#REF!,"")</f>
        <v/>
      </c>
      <c r="UM57" s="82" t="str">
        <f>IF(ISNUMBER(outYear),UM37+UM42+#REF!+#REF!,"")</f>
        <v/>
      </c>
      <c r="UN57" s="82" t="str">
        <f>IF(ISNUMBER(outYear),UN37+UN42+#REF!+#REF!,"")</f>
        <v/>
      </c>
      <c r="UO57" s="82" t="str">
        <f>IF(ISNUMBER(outYear),UO37+UO42+#REF!+#REF!,"")</f>
        <v/>
      </c>
      <c r="UP57" s="82" t="str">
        <f>IF(ISNUMBER(outYear),UP37+UP42+#REF!+#REF!,"")</f>
        <v/>
      </c>
      <c r="UQ57" s="82" t="str">
        <f>IF(ISNUMBER(outYear),UQ37+UQ42+#REF!+#REF!,"")</f>
        <v/>
      </c>
      <c r="UR57" s="82" t="str">
        <f>IF(ISNUMBER(outYear),UR37+UR42+#REF!+#REF!,"")</f>
        <v/>
      </c>
      <c r="US57" s="82" t="str">
        <f>IF(ISNUMBER(outYear),US37+US42+#REF!+#REF!,"")</f>
        <v/>
      </c>
      <c r="UT57" s="82" t="str">
        <f>IF(ISNUMBER(outYear),UT37+UT42+#REF!+#REF!,"")</f>
        <v/>
      </c>
      <c r="UU57" s="82" t="str">
        <f>IF(ISNUMBER(outYear),UU37+UU42+#REF!+#REF!,"")</f>
        <v/>
      </c>
      <c r="UV57" s="82" t="str">
        <f>IF(ISNUMBER(outYear),UV37+UV42+#REF!+#REF!,"")</f>
        <v/>
      </c>
      <c r="UW57" s="82" t="str">
        <f>IF(ISNUMBER(outYear),UW37+UW42+#REF!+#REF!,"")</f>
        <v/>
      </c>
      <c r="UX57" s="82" t="str">
        <f>IF(ISNUMBER(outYear),UX37+UX42+#REF!+#REF!,"")</f>
        <v/>
      </c>
      <c r="UY57" s="82" t="str">
        <f>IF(ISNUMBER(outYear),UY37+UY42+#REF!+#REF!,"")</f>
        <v/>
      </c>
      <c r="UZ57" s="82" t="str">
        <f>IF(ISNUMBER(outYear),UZ37+UZ42+#REF!+#REF!,"")</f>
        <v/>
      </c>
      <c r="VA57" s="82" t="str">
        <f>IF(ISNUMBER(outYear),VA37+VA42+#REF!+#REF!,"")</f>
        <v/>
      </c>
      <c r="VB57" s="82" t="str">
        <f>IF(ISNUMBER(outYear),VB37+VB42+#REF!+#REF!,"")</f>
        <v/>
      </c>
      <c r="VC57" s="82" t="str">
        <f>IF(ISNUMBER(outYear),VC37+VC42+#REF!+#REF!,"")</f>
        <v/>
      </c>
      <c r="VD57" s="82" t="str">
        <f>IF(ISNUMBER(outYear),VD37+VD42+#REF!+#REF!,"")</f>
        <v/>
      </c>
      <c r="VE57" s="82" t="str">
        <f>IF(ISNUMBER(outYear),VE37+VE42+#REF!+#REF!,"")</f>
        <v/>
      </c>
      <c r="VF57" s="82" t="str">
        <f>IF(ISNUMBER(outYear),VF37+VF42+#REF!+#REF!,"")</f>
        <v/>
      </c>
      <c r="VG57" s="82" t="str">
        <f>IF(ISNUMBER(outYear),VG37+VG42+#REF!+#REF!,"")</f>
        <v/>
      </c>
      <c r="VH57" s="82" t="str">
        <f>IF(ISNUMBER(outYear),VH37+VH42+#REF!+#REF!,"")</f>
        <v/>
      </c>
      <c r="VI57" s="82" t="str">
        <f>IF(ISNUMBER(outYear),VI37+VI42+#REF!+#REF!,"")</f>
        <v/>
      </c>
      <c r="VJ57" s="82" t="str">
        <f>IF(ISNUMBER(outYear),VJ37+VJ42+#REF!+#REF!,"")</f>
        <v/>
      </c>
      <c r="VK57" s="82" t="str">
        <f>IF(ISNUMBER(outYear),VK37+VK42+#REF!+#REF!,"")</f>
        <v/>
      </c>
      <c r="VL57" s="82" t="str">
        <f>IF(ISNUMBER(outYear),VL37+VL42+#REF!+#REF!,"")</f>
        <v/>
      </c>
      <c r="VM57" s="82" t="str">
        <f>IF(ISNUMBER(outYear),VM37+VM42+#REF!+#REF!,"")</f>
        <v/>
      </c>
      <c r="VN57" s="82" t="str">
        <f>IF(ISNUMBER(outYear),VN37+VN42+#REF!+#REF!,"")</f>
        <v/>
      </c>
      <c r="VO57" s="82" t="str">
        <f>IF(ISNUMBER(outYear),VO37+VO42+#REF!+#REF!,"")</f>
        <v/>
      </c>
      <c r="VP57" s="82" t="str">
        <f>IF(ISNUMBER(outYear),VP37+VP42+#REF!+#REF!,"")</f>
        <v/>
      </c>
      <c r="VQ57" s="82" t="str">
        <f>IF(ISNUMBER(outYear),VQ37+VQ42+#REF!+#REF!,"")</f>
        <v/>
      </c>
      <c r="VR57" s="82" t="str">
        <f>IF(ISNUMBER(outYear),VR37+VR42+#REF!+#REF!,"")</f>
        <v/>
      </c>
      <c r="VS57" s="82" t="str">
        <f>IF(ISNUMBER(outYear),VS37+VS42+#REF!+#REF!,"")</f>
        <v/>
      </c>
      <c r="VT57" s="82" t="str">
        <f>IF(ISNUMBER(outYear),VT37+VT42+#REF!+#REF!,"")</f>
        <v/>
      </c>
      <c r="VU57" s="82" t="str">
        <f>IF(ISNUMBER(outYear),VU37+VU42+#REF!+#REF!,"")</f>
        <v/>
      </c>
      <c r="VV57" s="82" t="str">
        <f>IF(ISNUMBER(outYear),VV37+VV42+#REF!+#REF!,"")</f>
        <v/>
      </c>
      <c r="VW57" s="82" t="str">
        <f>IF(ISNUMBER(outYear),VW37+VW42+#REF!+#REF!,"")</f>
        <v/>
      </c>
      <c r="VX57" s="82" t="str">
        <f>IF(ISNUMBER(outYear),VX37+VX42+#REF!+#REF!,"")</f>
        <v/>
      </c>
      <c r="VY57" s="82" t="str">
        <f>IF(ISNUMBER(outYear),VY37+VY42+#REF!+#REF!,"")</f>
        <v/>
      </c>
      <c r="VZ57" s="82" t="str">
        <f>IF(ISNUMBER(outYear),VZ37+VZ42+#REF!+#REF!,"")</f>
        <v/>
      </c>
      <c r="WA57" s="82" t="str">
        <f>IF(ISNUMBER(outYear),WA37+WA42+#REF!+#REF!,"")</f>
        <v/>
      </c>
      <c r="WB57" s="82" t="str">
        <f>IF(ISNUMBER(outYear),WB37+WB42+#REF!+#REF!,"")</f>
        <v/>
      </c>
      <c r="WC57" s="82" t="str">
        <f>IF(ISNUMBER(outYear),WC37+WC42+#REF!+#REF!,"")</f>
        <v/>
      </c>
      <c r="WD57" s="82" t="str">
        <f>IF(ISNUMBER(outYear),WD37+WD42+#REF!+#REF!,"")</f>
        <v/>
      </c>
      <c r="WE57" s="82" t="str">
        <f>IF(ISNUMBER(outYear),WE37+WE42+#REF!+#REF!,"")</f>
        <v/>
      </c>
      <c r="WF57" s="82" t="str">
        <f>IF(ISNUMBER(outYear),WF37+WF42+#REF!+#REF!,"")</f>
        <v/>
      </c>
      <c r="WG57" s="82" t="str">
        <f>IF(ISNUMBER(outYear),WG37+WG42+#REF!+#REF!,"")</f>
        <v/>
      </c>
      <c r="WH57" s="82" t="str">
        <f>IF(ISNUMBER(outYear),WH37+WH42+#REF!+#REF!,"")</f>
        <v/>
      </c>
      <c r="WI57" s="82" t="str">
        <f>IF(ISNUMBER(outYear),WI37+WI42+#REF!+#REF!,"")</f>
        <v/>
      </c>
      <c r="WJ57" s="82" t="str">
        <f>IF(ISNUMBER(outYear),WJ37+WJ42+#REF!+#REF!,"")</f>
        <v/>
      </c>
      <c r="WK57" s="82" t="str">
        <f>IF(ISNUMBER(outYear),WK37+WK42+#REF!+#REF!,"")</f>
        <v/>
      </c>
      <c r="WL57" s="82" t="str">
        <f>IF(ISNUMBER(outYear),WL37+WL42+#REF!+#REF!,"")</f>
        <v/>
      </c>
      <c r="WM57" s="82" t="str">
        <f>IF(ISNUMBER(outYear),WM37+WM42+#REF!+#REF!,"")</f>
        <v/>
      </c>
      <c r="WN57" s="82" t="str">
        <f>IF(ISNUMBER(outYear),WN37+WN42+#REF!+#REF!,"")</f>
        <v/>
      </c>
      <c r="WO57" s="82" t="str">
        <f>IF(ISNUMBER(outYear),WO37+WO42+#REF!+#REF!,"")</f>
        <v/>
      </c>
      <c r="WP57" s="82" t="str">
        <f>IF(ISNUMBER(outYear),WP37+WP42+#REF!+#REF!,"")</f>
        <v/>
      </c>
      <c r="WQ57" s="82" t="str">
        <f>IF(ISNUMBER(outYear),WQ37+WQ42+#REF!+#REF!,"")</f>
        <v/>
      </c>
      <c r="WR57" s="82" t="str">
        <f>IF(ISNUMBER(outYear),WR37+WR42+#REF!+#REF!,"")</f>
        <v/>
      </c>
      <c r="WS57" s="82" t="str">
        <f>IF(ISNUMBER(outYear),WS37+WS42+#REF!+#REF!,"")</f>
        <v/>
      </c>
      <c r="WT57" s="82" t="str">
        <f>IF(ISNUMBER(outYear),WT37+WT42+#REF!+#REF!,"")</f>
        <v/>
      </c>
      <c r="WU57" s="82" t="str">
        <f>IF(ISNUMBER(outYear),WU37+WU42+#REF!+#REF!,"")</f>
        <v/>
      </c>
      <c r="WV57" s="82" t="str">
        <f>IF(ISNUMBER(outYear),WV37+WV42+#REF!+#REF!,"")</f>
        <v/>
      </c>
      <c r="WW57" s="82" t="str">
        <f>IF(ISNUMBER(outYear),WW37+WW42+#REF!+#REF!,"")</f>
        <v/>
      </c>
      <c r="WX57" s="82" t="str">
        <f>IF(ISNUMBER(outYear),WX37+WX42+#REF!+#REF!,"")</f>
        <v/>
      </c>
      <c r="WY57" s="82" t="str">
        <f>IF(ISNUMBER(outYear),WY37+WY42+#REF!+#REF!,"")</f>
        <v/>
      </c>
      <c r="WZ57" s="82" t="str">
        <f>IF(ISNUMBER(outYear),WZ37+WZ42+#REF!+#REF!,"")</f>
        <v/>
      </c>
      <c r="XA57" s="82" t="str">
        <f>IF(ISNUMBER(outYear),XA37+XA42+#REF!+#REF!,"")</f>
        <v/>
      </c>
      <c r="XB57" s="82" t="str">
        <f>IF(ISNUMBER(outYear),XB37+XB42+#REF!+#REF!,"")</f>
        <v/>
      </c>
      <c r="XC57" s="82" t="str">
        <f>IF(ISNUMBER(outYear),XC37+XC42+#REF!+#REF!,"")</f>
        <v/>
      </c>
      <c r="XD57" s="82" t="str">
        <f>IF(ISNUMBER(outYear),XD37+XD42+#REF!+#REF!,"")</f>
        <v/>
      </c>
      <c r="XE57" s="82" t="str">
        <f>IF(ISNUMBER(outYear),XE37+XE42+#REF!+#REF!,"")</f>
        <v/>
      </c>
      <c r="XF57" s="82" t="str">
        <f>IF(ISNUMBER(outYear),XF37+XF42+#REF!+#REF!,"")</f>
        <v/>
      </c>
      <c r="XG57" s="82" t="str">
        <f>IF(ISNUMBER(outYear),XG37+XG42+#REF!+#REF!,"")</f>
        <v/>
      </c>
      <c r="XH57" s="82" t="str">
        <f>IF(ISNUMBER(outYear),XH37+XH42+#REF!+#REF!,"")</f>
        <v/>
      </c>
      <c r="XI57" s="82" t="str">
        <f>IF(ISNUMBER(outYear),XI37+XI42+#REF!+#REF!,"")</f>
        <v/>
      </c>
      <c r="XJ57" s="82" t="str">
        <f>IF(ISNUMBER(outYear),XJ37+XJ42+#REF!+#REF!,"")</f>
        <v/>
      </c>
      <c r="XK57" s="82" t="str">
        <f>IF(ISNUMBER(outYear),XK37+XK42+#REF!+#REF!,"")</f>
        <v/>
      </c>
      <c r="XL57" s="82" t="str">
        <f>IF(ISNUMBER(outYear),XL37+XL42+#REF!+#REF!,"")</f>
        <v/>
      </c>
      <c r="XM57" s="82" t="str">
        <f>IF(ISNUMBER(outYear),XM37+XM42+#REF!+#REF!,"")</f>
        <v/>
      </c>
      <c r="XN57" s="82" t="str">
        <f>IF(ISNUMBER(outYear),XN37+XN42+#REF!+#REF!,"")</f>
        <v/>
      </c>
      <c r="XO57" s="82" t="str">
        <f>IF(ISNUMBER(outYear),XO37+XO42+#REF!+#REF!,"")</f>
        <v/>
      </c>
      <c r="XP57" s="82" t="str">
        <f>IF(ISNUMBER(outYear),XP37+XP42+#REF!+#REF!,"")</f>
        <v/>
      </c>
      <c r="XQ57" s="82" t="str">
        <f>IF(ISNUMBER(outYear),XQ37+XQ42+#REF!+#REF!,"")</f>
        <v/>
      </c>
      <c r="XR57" s="82" t="str">
        <f>IF(ISNUMBER(outYear),XR37+XR42+#REF!+#REF!,"")</f>
        <v/>
      </c>
      <c r="XS57" s="82" t="str">
        <f>IF(ISNUMBER(outYear),XS37+XS42+#REF!+#REF!,"")</f>
        <v/>
      </c>
      <c r="XT57" s="82" t="str">
        <f>IF(ISNUMBER(outYear),XT37+XT42+#REF!+#REF!,"")</f>
        <v/>
      </c>
      <c r="XU57" s="82" t="str">
        <f>IF(ISNUMBER(outYear),XU37+XU42+#REF!+#REF!,"")</f>
        <v/>
      </c>
      <c r="XV57" s="82" t="str">
        <f>IF(ISNUMBER(outYear),XV37+XV42+#REF!+#REF!,"")</f>
        <v/>
      </c>
      <c r="XW57" s="82" t="str">
        <f>IF(ISNUMBER(outYear),XW37+XW42+#REF!+#REF!,"")</f>
        <v/>
      </c>
      <c r="XX57" s="82" t="str">
        <f>IF(ISNUMBER(outYear),XX37+XX42+#REF!+#REF!,"")</f>
        <v/>
      </c>
      <c r="XY57" s="82" t="str">
        <f>IF(ISNUMBER(outYear),XY37+XY42+#REF!+#REF!,"")</f>
        <v/>
      </c>
      <c r="XZ57" s="82" t="str">
        <f>IF(ISNUMBER(outYear),XZ37+XZ42+#REF!+#REF!,"")</f>
        <v/>
      </c>
      <c r="YA57" s="82" t="str">
        <f>IF(ISNUMBER(outYear),YA37+YA42+#REF!+#REF!,"")</f>
        <v/>
      </c>
      <c r="YB57" s="82" t="str">
        <f>IF(ISNUMBER(outYear),YB37+YB42+#REF!+#REF!,"")</f>
        <v/>
      </c>
      <c r="YC57" s="82" t="str">
        <f>IF(ISNUMBER(outYear),YC37+YC42+#REF!+#REF!,"")</f>
        <v/>
      </c>
      <c r="YD57" s="82" t="str">
        <f>IF(ISNUMBER(outYear),YD37+YD42+#REF!+#REF!,"")</f>
        <v/>
      </c>
      <c r="YE57" s="82" t="str">
        <f>IF(ISNUMBER(outYear),YE37+YE42+#REF!+#REF!,"")</f>
        <v/>
      </c>
      <c r="YF57" s="82" t="str">
        <f>IF(ISNUMBER(outYear),YF37+YF42+#REF!+#REF!,"")</f>
        <v/>
      </c>
      <c r="YG57" s="82" t="str">
        <f>IF(ISNUMBER(outYear),YG37+YG42+#REF!+#REF!,"")</f>
        <v/>
      </c>
      <c r="YH57" s="82" t="str">
        <f>IF(ISNUMBER(outYear),YH37+YH42+#REF!+#REF!,"")</f>
        <v/>
      </c>
      <c r="YI57" s="82" t="str">
        <f>IF(ISNUMBER(outYear),YI37+YI42+#REF!+#REF!,"")</f>
        <v/>
      </c>
      <c r="YJ57" s="82" t="str">
        <f>IF(ISNUMBER(outYear),YJ37+YJ42+#REF!+#REF!,"")</f>
        <v/>
      </c>
      <c r="YK57" s="82" t="str">
        <f>IF(ISNUMBER(outYear),YK37+YK42+#REF!+#REF!,"")</f>
        <v/>
      </c>
      <c r="YL57" s="82" t="str">
        <f>IF(ISNUMBER(outYear),YL37+YL42+#REF!+#REF!,"")</f>
        <v/>
      </c>
      <c r="YM57" s="82" t="str">
        <f>IF(ISNUMBER(outYear),YM37+YM42+#REF!+#REF!,"")</f>
        <v/>
      </c>
      <c r="YN57" s="82" t="str">
        <f>IF(ISNUMBER(outYear),YN37+YN42+#REF!+#REF!,"")</f>
        <v/>
      </c>
      <c r="YO57" s="82" t="str">
        <f>IF(ISNUMBER(outYear),YO37+YO42+#REF!+#REF!,"")</f>
        <v/>
      </c>
      <c r="YP57" s="82" t="str">
        <f>IF(ISNUMBER(outYear),YP37+YP42+#REF!+#REF!,"")</f>
        <v/>
      </c>
      <c r="YQ57" s="82" t="str">
        <f>IF(ISNUMBER(outYear),YQ37+YQ42+#REF!+#REF!,"")</f>
        <v/>
      </c>
      <c r="YR57" s="82" t="str">
        <f>IF(ISNUMBER(outYear),YR37+YR42+#REF!+#REF!,"")</f>
        <v/>
      </c>
      <c r="YS57" s="82" t="str">
        <f>IF(ISNUMBER(outYear),YS37+YS42+#REF!+#REF!,"")</f>
        <v/>
      </c>
      <c r="YT57" s="82" t="str">
        <f>IF(ISNUMBER(outYear),YT37+YT42+#REF!+#REF!,"")</f>
        <v/>
      </c>
      <c r="YU57" s="82" t="str">
        <f>IF(ISNUMBER(outYear),YU37+YU42+#REF!+#REF!,"")</f>
        <v/>
      </c>
      <c r="YV57" s="82" t="str">
        <f>IF(ISNUMBER(outYear),YV37+YV42+#REF!+#REF!,"")</f>
        <v/>
      </c>
      <c r="YW57" s="82" t="str">
        <f>IF(ISNUMBER(outYear),YW37+YW42+#REF!+#REF!,"")</f>
        <v/>
      </c>
      <c r="YX57" s="82" t="str">
        <f>IF(ISNUMBER(outYear),YX37+YX42+#REF!+#REF!,"")</f>
        <v/>
      </c>
      <c r="YY57" s="82" t="str">
        <f>IF(ISNUMBER(outYear),YY37+YY42+#REF!+#REF!,"")</f>
        <v/>
      </c>
      <c r="YZ57" s="82" t="str">
        <f>IF(ISNUMBER(outYear),YZ37+YZ42+#REF!+#REF!,"")</f>
        <v/>
      </c>
      <c r="ZA57" s="82" t="str">
        <f>IF(ISNUMBER(outYear),ZA37+ZA42+#REF!+#REF!,"")</f>
        <v/>
      </c>
      <c r="ZB57" s="82" t="str">
        <f>IF(ISNUMBER(outYear),ZB37+ZB42+#REF!+#REF!,"")</f>
        <v/>
      </c>
      <c r="ZC57" s="82" t="str">
        <f>IF(ISNUMBER(outYear),ZC37+ZC42+#REF!+#REF!,"")</f>
        <v/>
      </c>
      <c r="ZD57" s="82" t="str">
        <f>IF(ISNUMBER(outYear),ZD37+ZD42+#REF!+#REF!,"")</f>
        <v/>
      </c>
      <c r="ZE57" s="82" t="str">
        <f>IF(ISNUMBER(outYear),ZE37+ZE42+#REF!+#REF!,"")</f>
        <v/>
      </c>
      <c r="ZF57" s="82" t="str">
        <f>IF(ISNUMBER(outYear),ZF37+ZF42+#REF!+#REF!,"")</f>
        <v/>
      </c>
      <c r="ZG57" s="82" t="str">
        <f>IF(ISNUMBER(outYear),ZG37+ZG42+#REF!+#REF!,"")</f>
        <v/>
      </c>
      <c r="ZH57" s="82" t="str">
        <f>IF(ISNUMBER(outYear),ZH37+ZH42+#REF!+#REF!,"")</f>
        <v/>
      </c>
      <c r="ZI57" s="82" t="str">
        <f>IF(ISNUMBER(outYear),ZI37+ZI42+#REF!+#REF!,"")</f>
        <v/>
      </c>
      <c r="ZJ57" s="82" t="str">
        <f>IF(ISNUMBER(outYear),ZJ37+ZJ42+#REF!+#REF!,"")</f>
        <v/>
      </c>
      <c r="ZK57" s="82" t="str">
        <f>IF(ISNUMBER(outYear),ZK37+ZK42+#REF!+#REF!,"")</f>
        <v/>
      </c>
      <c r="ZL57" s="82" t="str">
        <f>IF(ISNUMBER(outYear),ZL37+ZL42+#REF!+#REF!,"")</f>
        <v/>
      </c>
      <c r="ZM57" s="82" t="str">
        <f>IF(ISNUMBER(outYear),ZM37+ZM42+#REF!+#REF!,"")</f>
        <v/>
      </c>
      <c r="ZN57" s="82" t="str">
        <f>IF(ISNUMBER(outYear),ZN37+ZN42+#REF!+#REF!,"")</f>
        <v/>
      </c>
      <c r="ZO57" s="82" t="str">
        <f>IF(ISNUMBER(outYear),ZO37+ZO42+#REF!+#REF!,"")</f>
        <v/>
      </c>
      <c r="ZP57" s="82" t="str">
        <f>IF(ISNUMBER(outYear),ZP37+ZP42+#REF!+#REF!,"")</f>
        <v/>
      </c>
      <c r="ZQ57" s="82" t="str">
        <f>IF(ISNUMBER(outYear),ZQ37+ZQ42+#REF!+#REF!,"")</f>
        <v/>
      </c>
      <c r="ZR57" s="82" t="str">
        <f>IF(ISNUMBER(outYear),ZR37+ZR42+#REF!+#REF!,"")</f>
        <v/>
      </c>
      <c r="ZS57" s="82" t="str">
        <f>IF(ISNUMBER(outYear),ZS37+ZS42+#REF!+#REF!,"")</f>
        <v/>
      </c>
      <c r="ZT57" s="82" t="str">
        <f>IF(ISNUMBER(outYear),ZT37+ZT42+#REF!+#REF!,"")</f>
        <v/>
      </c>
      <c r="ZU57" s="82" t="str">
        <f>IF(ISNUMBER(outYear),ZU37+ZU42+#REF!+#REF!,"")</f>
        <v/>
      </c>
      <c r="ZV57" s="82" t="str">
        <f>IF(ISNUMBER(outYear),ZV37+ZV42+#REF!+#REF!,"")</f>
        <v/>
      </c>
      <c r="ZW57" s="82" t="str">
        <f>IF(ISNUMBER(outYear),ZW37+ZW42+#REF!+#REF!,"")</f>
        <v/>
      </c>
      <c r="ZX57" s="82" t="str">
        <f>IF(ISNUMBER(outYear),ZX37+ZX42+#REF!+#REF!,"")</f>
        <v/>
      </c>
      <c r="ZY57" s="82" t="str">
        <f>IF(ISNUMBER(outYear),ZY37+ZY42+#REF!+#REF!,"")</f>
        <v/>
      </c>
      <c r="ZZ57" s="82" t="str">
        <f>IF(ISNUMBER(outYear),ZZ37+ZZ42+#REF!+#REF!,"")</f>
        <v/>
      </c>
      <c r="AAA57" s="82" t="str">
        <f>IF(ISNUMBER(outYear),AAA37+AAA42+#REF!+#REF!,"")</f>
        <v/>
      </c>
      <c r="AAB57" s="82" t="str">
        <f>IF(ISNUMBER(outYear),AAB37+AAB42+#REF!+#REF!,"")</f>
        <v/>
      </c>
      <c r="AAC57" s="82" t="str">
        <f>IF(ISNUMBER(outYear),AAC37+AAC42+#REF!+#REF!,"")</f>
        <v/>
      </c>
      <c r="AAD57" s="82" t="str">
        <f>IF(ISNUMBER(outYear),AAD37+AAD42+#REF!+#REF!,"")</f>
        <v/>
      </c>
      <c r="AAE57" s="82" t="str">
        <f>IF(ISNUMBER(outYear),AAE37+AAE42+#REF!+#REF!,"")</f>
        <v/>
      </c>
      <c r="AAF57" s="82" t="str">
        <f>IF(ISNUMBER(outYear),AAF37+AAF42+#REF!+#REF!,"")</f>
        <v/>
      </c>
      <c r="AAG57" s="82" t="str">
        <f>IF(ISNUMBER(outYear),AAG37+AAG42+#REF!+#REF!,"")</f>
        <v/>
      </c>
      <c r="AAH57" s="82" t="str">
        <f>IF(ISNUMBER(outYear),AAH37+AAH42+#REF!+#REF!,"")</f>
        <v/>
      </c>
      <c r="AAI57" s="82" t="str">
        <f>IF(ISNUMBER(outYear),AAI37+AAI42+#REF!+#REF!,"")</f>
        <v/>
      </c>
      <c r="AAJ57" s="82" t="str">
        <f>IF(ISNUMBER(outYear),AAJ37+AAJ42+#REF!+#REF!,"")</f>
        <v/>
      </c>
      <c r="AAK57" s="82" t="str">
        <f>IF(ISNUMBER(outYear),AAK37+AAK42+#REF!+#REF!,"")</f>
        <v/>
      </c>
      <c r="AAL57" s="82" t="str">
        <f>IF(ISNUMBER(outYear),AAL37+AAL42+#REF!+#REF!,"")</f>
        <v/>
      </c>
      <c r="AAM57" s="82" t="str">
        <f>IF(ISNUMBER(outYear),AAM37+AAM42+#REF!+#REF!,"")</f>
        <v/>
      </c>
      <c r="AAN57" s="82" t="str">
        <f>IF(ISNUMBER(outYear),AAN37+AAN42+#REF!+#REF!,"")</f>
        <v/>
      </c>
      <c r="AAO57" s="82" t="str">
        <f>IF(ISNUMBER(outYear),AAO37+AAO42+#REF!+#REF!,"")</f>
        <v/>
      </c>
      <c r="AAP57" s="82" t="str">
        <f>IF(ISNUMBER(outYear),AAP37+AAP42+#REF!+#REF!,"")</f>
        <v/>
      </c>
      <c r="AAQ57" s="82" t="str">
        <f>IF(ISNUMBER(outYear),AAQ37+AAQ42+#REF!+#REF!,"")</f>
        <v/>
      </c>
      <c r="AAR57" s="82" t="str">
        <f>IF(ISNUMBER(outYear),AAR37+AAR42+#REF!+#REF!,"")</f>
        <v/>
      </c>
      <c r="AAS57" s="82" t="str">
        <f>IF(ISNUMBER(outYear),AAS37+AAS42+#REF!+#REF!,"")</f>
        <v/>
      </c>
      <c r="AAT57" s="82" t="str">
        <f>IF(ISNUMBER(outYear),AAT37+AAT42+#REF!+#REF!,"")</f>
        <v/>
      </c>
      <c r="AAU57" s="82" t="str">
        <f>IF(ISNUMBER(outYear),AAU37+AAU42+#REF!+#REF!,"")</f>
        <v/>
      </c>
      <c r="AAV57" s="82" t="str">
        <f>IF(ISNUMBER(outYear),AAV37+AAV42+#REF!+#REF!,"")</f>
        <v/>
      </c>
      <c r="AAW57" s="82" t="str">
        <f>IF(ISNUMBER(outYear),AAW37+AAW42+#REF!+#REF!,"")</f>
        <v/>
      </c>
      <c r="AAX57" s="82" t="str">
        <f>IF(ISNUMBER(outYear),AAX37+AAX42+#REF!+#REF!,"")</f>
        <v/>
      </c>
      <c r="AAY57" s="82" t="str">
        <f>IF(ISNUMBER(outYear),AAY37+AAY42+#REF!+#REF!,"")</f>
        <v/>
      </c>
      <c r="AAZ57" s="82" t="str">
        <f>IF(ISNUMBER(outYear),AAZ37+AAZ42+#REF!+#REF!,"")</f>
        <v/>
      </c>
      <c r="ABA57" s="82" t="str">
        <f>IF(ISNUMBER(outYear),ABA37+ABA42+#REF!+#REF!,"")</f>
        <v/>
      </c>
      <c r="ABB57" s="82" t="str">
        <f>IF(ISNUMBER(outYear),ABB37+ABB42+#REF!+#REF!,"")</f>
        <v/>
      </c>
      <c r="ABC57" s="82" t="str">
        <f>IF(ISNUMBER(outYear),ABC37+ABC42+#REF!+#REF!,"")</f>
        <v/>
      </c>
      <c r="ABD57" s="82" t="str">
        <f>IF(ISNUMBER(outYear),ABD37+ABD42+#REF!+#REF!,"")</f>
        <v/>
      </c>
      <c r="ABE57" s="82" t="str">
        <f>IF(ISNUMBER(outYear),ABE37+ABE42+#REF!+#REF!,"")</f>
        <v/>
      </c>
      <c r="ABF57" s="82" t="str">
        <f>IF(ISNUMBER(outYear),ABF37+ABF42+#REF!+#REF!,"")</f>
        <v/>
      </c>
      <c r="ABG57" s="82" t="str">
        <f>IF(ISNUMBER(outYear),ABG37+ABG42+#REF!+#REF!,"")</f>
        <v/>
      </c>
      <c r="ABH57" s="82" t="str">
        <f>IF(ISNUMBER(outYear),ABH37+ABH42+#REF!+#REF!,"")</f>
        <v/>
      </c>
      <c r="ABI57" s="82" t="str">
        <f>IF(ISNUMBER(outYear),ABI37+ABI42+#REF!+#REF!,"")</f>
        <v/>
      </c>
      <c r="ABJ57" s="82" t="str">
        <f>IF(ISNUMBER(outYear),ABJ37+ABJ42+#REF!+#REF!,"")</f>
        <v/>
      </c>
      <c r="ABK57" s="82" t="str">
        <f>IF(ISNUMBER(outYear),ABK37+ABK42+#REF!+#REF!,"")</f>
        <v/>
      </c>
      <c r="ABL57" s="82" t="str">
        <f>IF(ISNUMBER(outYear),ABL37+ABL42+#REF!+#REF!,"")</f>
        <v/>
      </c>
      <c r="ABM57" s="82" t="str">
        <f>IF(ISNUMBER(outYear),ABM37+ABM42+#REF!+#REF!,"")</f>
        <v/>
      </c>
      <c r="ABN57" s="82" t="str">
        <f>IF(ISNUMBER(outYear),ABN37+ABN42+#REF!+#REF!,"")</f>
        <v/>
      </c>
      <c r="ABO57" s="82" t="str">
        <f>IF(ISNUMBER(outYear),ABO37+ABO42+#REF!+#REF!,"")</f>
        <v/>
      </c>
      <c r="ABP57" s="82" t="str">
        <f>IF(ISNUMBER(outYear),ABP37+ABP42+#REF!+#REF!,"")</f>
        <v/>
      </c>
      <c r="ABQ57" s="82" t="str">
        <f>IF(ISNUMBER(outYear),ABQ37+ABQ42+#REF!+#REF!,"")</f>
        <v/>
      </c>
      <c r="ABR57" s="82" t="str">
        <f>IF(ISNUMBER(outYear),ABR37+ABR42+#REF!+#REF!,"")</f>
        <v/>
      </c>
      <c r="ABS57" s="82" t="str">
        <f>IF(ISNUMBER(outYear),ABS37+ABS42+#REF!+#REF!,"")</f>
        <v/>
      </c>
      <c r="ABT57" s="82" t="str">
        <f>IF(ISNUMBER(outYear),ABT37+ABT42+#REF!+#REF!,"")</f>
        <v/>
      </c>
      <c r="ABU57" s="82" t="str">
        <f>IF(ISNUMBER(outYear),ABU37+ABU42+#REF!+#REF!,"")</f>
        <v/>
      </c>
      <c r="ABV57" s="82" t="str">
        <f>IF(ISNUMBER(outYear),ABV37+ABV42+#REF!+#REF!,"")</f>
        <v/>
      </c>
      <c r="ABW57" s="82" t="str">
        <f>IF(ISNUMBER(outYear),ABW37+ABW42+#REF!+#REF!,"")</f>
        <v/>
      </c>
      <c r="ABX57" s="82" t="str">
        <f>IF(ISNUMBER(outYear),ABX37+ABX42+#REF!+#REF!,"")</f>
        <v/>
      </c>
      <c r="ABY57" s="82" t="str">
        <f>IF(ISNUMBER(outYear),ABY37+ABY42+#REF!+#REF!,"")</f>
        <v/>
      </c>
      <c r="ABZ57" s="82" t="str">
        <f>IF(ISNUMBER(outYear),ABZ37+ABZ42+#REF!+#REF!,"")</f>
        <v/>
      </c>
      <c r="ACA57" s="82" t="str">
        <f>IF(ISNUMBER(outYear),ACA37+ACA42+#REF!+#REF!,"")</f>
        <v/>
      </c>
      <c r="ACB57" s="82" t="str">
        <f>IF(ISNUMBER(outYear),ACB37+ACB42+#REF!+#REF!,"")</f>
        <v/>
      </c>
      <c r="ACC57" s="82" t="str">
        <f>IF(ISNUMBER(outYear),ACC37+ACC42+#REF!+#REF!,"")</f>
        <v/>
      </c>
      <c r="ACD57" s="82" t="str">
        <f>IF(ISNUMBER(outYear),ACD37+ACD42+#REF!+#REF!,"")</f>
        <v/>
      </c>
      <c r="ACE57" s="82" t="str">
        <f>IF(ISNUMBER(outYear),ACE37+ACE42+#REF!+#REF!,"")</f>
        <v/>
      </c>
      <c r="ACF57" s="82" t="str">
        <f>IF(ISNUMBER(outYear),ACF37+ACF42+#REF!+#REF!,"")</f>
        <v/>
      </c>
      <c r="ACG57" s="82" t="str">
        <f>IF(ISNUMBER(outYear),ACG37+ACG42+#REF!+#REF!,"")</f>
        <v/>
      </c>
      <c r="ACH57" s="82" t="str">
        <f>IF(ISNUMBER(outYear),ACH37+ACH42+#REF!+#REF!,"")</f>
        <v/>
      </c>
      <c r="ACI57" s="82" t="str">
        <f>IF(ISNUMBER(outYear),ACI37+ACI42+#REF!+#REF!,"")</f>
        <v/>
      </c>
      <c r="ACJ57" s="82" t="str">
        <f>IF(ISNUMBER(outYear),ACJ37+ACJ42+#REF!+#REF!,"")</f>
        <v/>
      </c>
      <c r="ACK57" s="82" t="str">
        <f>IF(ISNUMBER(outYear),ACK37+ACK42+#REF!+#REF!,"")</f>
        <v/>
      </c>
      <c r="ACL57" s="82" t="str">
        <f>IF(ISNUMBER(outYear),ACL37+ACL42+#REF!+#REF!,"")</f>
        <v/>
      </c>
      <c r="ACM57" s="82" t="str">
        <f>IF(ISNUMBER(outYear),ACM37+ACM42+#REF!+#REF!,"")</f>
        <v/>
      </c>
      <c r="ACN57" s="82" t="str">
        <f>IF(ISNUMBER(outYear),ACN37+ACN42+#REF!+#REF!,"")</f>
        <v/>
      </c>
      <c r="ACO57" s="82" t="str">
        <f>IF(ISNUMBER(outYear),ACO37+ACO42+#REF!+#REF!,"")</f>
        <v/>
      </c>
      <c r="ACP57" s="82" t="str">
        <f>IF(ISNUMBER(outYear),ACP37+ACP42+#REF!+#REF!,"")</f>
        <v/>
      </c>
      <c r="ACQ57" s="82" t="str">
        <f>IF(ISNUMBER(outYear),ACQ37+ACQ42+#REF!+#REF!,"")</f>
        <v/>
      </c>
      <c r="ACR57" s="82" t="str">
        <f>IF(ISNUMBER(outYear),ACR37+ACR42+#REF!+#REF!,"")</f>
        <v/>
      </c>
      <c r="ACS57" s="82" t="str">
        <f>IF(ISNUMBER(outYear),ACS37+ACS42+#REF!+#REF!,"")</f>
        <v/>
      </c>
      <c r="ACT57" s="82" t="str">
        <f>IF(ISNUMBER(outYear),ACT37+ACT42+#REF!+#REF!,"")</f>
        <v/>
      </c>
      <c r="ACU57" s="82" t="str">
        <f>IF(ISNUMBER(outYear),ACU37+ACU42+#REF!+#REF!,"")</f>
        <v/>
      </c>
      <c r="ACV57" s="82" t="str">
        <f>IF(ISNUMBER(outYear),ACV37+ACV42+#REF!+#REF!,"")</f>
        <v/>
      </c>
      <c r="ACW57" s="82" t="str">
        <f>IF(ISNUMBER(outYear),ACW37+ACW42+#REF!+#REF!,"")</f>
        <v/>
      </c>
      <c r="ACX57" s="82" t="str">
        <f>IF(ISNUMBER(outYear),ACX37+ACX42+#REF!+#REF!,"")</f>
        <v/>
      </c>
      <c r="ACY57" s="82" t="str">
        <f>IF(ISNUMBER(outYear),ACY37+ACY42+#REF!+#REF!,"")</f>
        <v/>
      </c>
      <c r="ACZ57" s="82" t="str">
        <f>IF(ISNUMBER(outYear),ACZ37+ACZ42+#REF!+#REF!,"")</f>
        <v/>
      </c>
      <c r="ADA57" s="82" t="str">
        <f>IF(ISNUMBER(outYear),ADA37+ADA42+#REF!+#REF!,"")</f>
        <v/>
      </c>
      <c r="ADB57" s="82" t="str">
        <f>IF(ISNUMBER(outYear),ADB37+ADB42+#REF!+#REF!,"")</f>
        <v/>
      </c>
      <c r="ADC57" s="82" t="str">
        <f>IF(ISNUMBER(outYear),ADC37+ADC42+#REF!+#REF!,"")</f>
        <v/>
      </c>
      <c r="ADD57" s="82" t="str">
        <f>IF(ISNUMBER(outYear),ADD37+ADD42+#REF!+#REF!,"")</f>
        <v/>
      </c>
      <c r="ADE57" s="82" t="str">
        <f>IF(ISNUMBER(outYear),ADE37+ADE42+#REF!+#REF!,"")</f>
        <v/>
      </c>
      <c r="ADF57" s="82" t="str">
        <f>IF(ISNUMBER(outYear),ADF37+ADF42+#REF!+#REF!,"")</f>
        <v/>
      </c>
      <c r="ADG57" s="82" t="str">
        <f>IF(ISNUMBER(outYear),ADG37+ADG42+#REF!+#REF!,"")</f>
        <v/>
      </c>
      <c r="ADH57" s="82" t="str">
        <f>IF(ISNUMBER(outYear),ADH37+ADH42+#REF!+#REF!,"")</f>
        <v/>
      </c>
      <c r="ADI57" s="82" t="str">
        <f>IF(ISNUMBER(outYear),ADI37+ADI42+#REF!+#REF!,"")</f>
        <v/>
      </c>
      <c r="ADJ57" s="82" t="str">
        <f>IF(ISNUMBER(outYear),ADJ37+ADJ42+#REF!+#REF!,"")</f>
        <v/>
      </c>
      <c r="ADK57" s="82" t="str">
        <f>IF(ISNUMBER(outYear),ADK37+ADK42+#REF!+#REF!,"")</f>
        <v/>
      </c>
      <c r="ADL57" s="82" t="str">
        <f>IF(ISNUMBER(outYear),ADL37+ADL42+#REF!+#REF!,"")</f>
        <v/>
      </c>
      <c r="ADM57" s="82" t="str">
        <f>IF(ISNUMBER(outYear),ADM37+ADM42+#REF!+#REF!,"")</f>
        <v/>
      </c>
      <c r="ADN57" s="82" t="str">
        <f>IF(ISNUMBER(outYear),ADN37+ADN42+#REF!+#REF!,"")</f>
        <v/>
      </c>
      <c r="ADO57" s="82" t="str">
        <f>IF(ISNUMBER(outYear),ADO37+ADO42+#REF!+#REF!,"")</f>
        <v/>
      </c>
      <c r="ADP57" s="82" t="str">
        <f>IF(ISNUMBER(outYear),ADP37+ADP42+#REF!+#REF!,"")</f>
        <v/>
      </c>
      <c r="ADQ57" s="82" t="str">
        <f>IF(ISNUMBER(outYear),ADQ37+ADQ42+#REF!+#REF!,"")</f>
        <v/>
      </c>
      <c r="ADR57" s="82" t="str">
        <f>IF(ISNUMBER(outYear),ADR37+ADR42+#REF!+#REF!,"")</f>
        <v/>
      </c>
      <c r="ADS57" s="82" t="str">
        <f>IF(ISNUMBER(outYear),ADS37+ADS42+#REF!+#REF!,"")</f>
        <v/>
      </c>
      <c r="ADT57" s="82" t="str">
        <f>IF(ISNUMBER(outYear),ADT37+ADT42+#REF!+#REF!,"")</f>
        <v/>
      </c>
      <c r="ADU57" s="82" t="str">
        <f>IF(ISNUMBER(outYear),ADU37+ADU42+#REF!+#REF!,"")</f>
        <v/>
      </c>
      <c r="ADV57" s="82" t="str">
        <f>IF(ISNUMBER(outYear),ADV37+ADV42+#REF!+#REF!,"")</f>
        <v/>
      </c>
      <c r="ADW57" s="82" t="str">
        <f>IF(ISNUMBER(outYear),ADW37+ADW42+#REF!+#REF!,"")</f>
        <v/>
      </c>
      <c r="ADX57" s="82" t="str">
        <f>IF(ISNUMBER(outYear),ADX37+ADX42+#REF!+#REF!,"")</f>
        <v/>
      </c>
      <c r="ADY57" s="82" t="str">
        <f>IF(ISNUMBER(outYear),ADY37+ADY42+#REF!+#REF!,"")</f>
        <v/>
      </c>
      <c r="ADZ57" s="82" t="str">
        <f>IF(ISNUMBER(outYear),ADZ37+ADZ42+#REF!+#REF!,"")</f>
        <v/>
      </c>
      <c r="AEA57" s="82" t="str">
        <f>IF(ISNUMBER(outYear),AEA37+AEA42+#REF!+#REF!,"")</f>
        <v/>
      </c>
      <c r="AEB57" s="82" t="str">
        <f>IF(ISNUMBER(outYear),AEB37+AEB42+#REF!+#REF!,"")</f>
        <v/>
      </c>
      <c r="AEC57" s="82" t="str">
        <f>IF(ISNUMBER(outYear),AEC37+AEC42+#REF!+#REF!,"")</f>
        <v/>
      </c>
      <c r="AED57" s="82" t="str">
        <f>IF(ISNUMBER(outYear),AED37+AED42+#REF!+#REF!,"")</f>
        <v/>
      </c>
      <c r="AEE57" s="82" t="str">
        <f>IF(ISNUMBER(outYear),AEE37+AEE42+#REF!+#REF!,"")</f>
        <v/>
      </c>
      <c r="AEF57" s="82" t="str">
        <f>IF(ISNUMBER(outYear),AEF37+AEF42+#REF!+#REF!,"")</f>
        <v/>
      </c>
      <c r="AEG57" s="82" t="str">
        <f>IF(ISNUMBER(outYear),AEG37+AEG42+#REF!+#REF!,"")</f>
        <v/>
      </c>
      <c r="AEH57" s="82" t="str">
        <f>IF(ISNUMBER(outYear),AEH37+AEH42+#REF!+#REF!,"")</f>
        <v/>
      </c>
      <c r="AEI57" s="82" t="str">
        <f>IF(ISNUMBER(outYear),AEI37+AEI42+#REF!+#REF!,"")</f>
        <v/>
      </c>
      <c r="AEJ57" s="82" t="str">
        <f>IF(ISNUMBER(outYear),AEJ37+AEJ42+#REF!+#REF!,"")</f>
        <v/>
      </c>
      <c r="AEK57" s="82" t="str">
        <f>IF(ISNUMBER(outYear),AEK37+AEK42+#REF!+#REF!,"")</f>
        <v/>
      </c>
      <c r="AEL57" s="82" t="str">
        <f>IF(ISNUMBER(outYear),AEL37+AEL42+#REF!+#REF!,"")</f>
        <v/>
      </c>
      <c r="AEM57" s="82" t="str">
        <f>IF(ISNUMBER(outYear),AEM37+AEM42+#REF!+#REF!,"")</f>
        <v/>
      </c>
      <c r="AEN57" s="82" t="str">
        <f>IF(ISNUMBER(outYear),AEN37+AEN42+#REF!+#REF!,"")</f>
        <v/>
      </c>
      <c r="AEO57" s="82" t="str">
        <f>IF(ISNUMBER(outYear),AEO37+AEO42+#REF!+#REF!,"")</f>
        <v/>
      </c>
      <c r="AEP57" s="82" t="str">
        <f>IF(ISNUMBER(outYear),AEP37+AEP42+#REF!+#REF!,"")</f>
        <v/>
      </c>
      <c r="AEQ57" s="82" t="str">
        <f>IF(ISNUMBER(outYear),AEQ37+AEQ42+#REF!+#REF!,"")</f>
        <v/>
      </c>
      <c r="AER57" s="82" t="str">
        <f>IF(ISNUMBER(outYear),AER37+AER42+#REF!+#REF!,"")</f>
        <v/>
      </c>
      <c r="AES57" s="82" t="str">
        <f>IF(ISNUMBER(outYear),AES37+AES42+#REF!+#REF!,"")</f>
        <v/>
      </c>
      <c r="AET57" s="82" t="str">
        <f>IF(ISNUMBER(outYear),AET37+AET42+#REF!+#REF!,"")</f>
        <v/>
      </c>
      <c r="AEU57" s="82" t="str">
        <f>IF(ISNUMBER(outYear),AEU37+AEU42+#REF!+#REF!,"")</f>
        <v/>
      </c>
      <c r="AEV57" s="82" t="str">
        <f>IF(ISNUMBER(outYear),AEV37+AEV42+#REF!+#REF!,"")</f>
        <v/>
      </c>
      <c r="AEW57" s="82" t="str">
        <f>IF(ISNUMBER(outYear),AEW37+AEW42+#REF!+#REF!,"")</f>
        <v/>
      </c>
      <c r="AEX57" s="82" t="str">
        <f>IF(ISNUMBER(outYear),AEX37+AEX42+#REF!+#REF!,"")</f>
        <v/>
      </c>
      <c r="AEY57" s="82" t="str">
        <f>IF(ISNUMBER(outYear),AEY37+AEY42+#REF!+#REF!,"")</f>
        <v/>
      </c>
      <c r="AEZ57" s="82" t="str">
        <f>IF(ISNUMBER(outYear),AEZ37+AEZ42+#REF!+#REF!,"")</f>
        <v/>
      </c>
      <c r="AFA57" s="82" t="str">
        <f>IF(ISNUMBER(outYear),AFA37+AFA42+#REF!+#REF!,"")</f>
        <v/>
      </c>
      <c r="AFB57" s="82" t="str">
        <f>IF(ISNUMBER(outYear),AFB37+AFB42+#REF!+#REF!,"")</f>
        <v/>
      </c>
      <c r="AFC57" s="82" t="str">
        <f>IF(ISNUMBER(outYear),AFC37+AFC42+#REF!+#REF!,"")</f>
        <v/>
      </c>
      <c r="AFD57" s="82" t="str">
        <f>IF(ISNUMBER(outYear),AFD37+AFD42+#REF!+#REF!,"")</f>
        <v/>
      </c>
      <c r="AFE57" s="82" t="str">
        <f>IF(ISNUMBER(outYear),AFE37+AFE42+#REF!+#REF!,"")</f>
        <v/>
      </c>
      <c r="AFF57" s="82" t="str">
        <f>IF(ISNUMBER(outYear),AFF37+AFF42+#REF!+#REF!,"")</f>
        <v/>
      </c>
      <c r="AFG57" s="82" t="str">
        <f>IF(ISNUMBER(outYear),AFG37+AFG42+#REF!+#REF!,"")</f>
        <v/>
      </c>
      <c r="AFH57" s="82" t="str">
        <f>IF(ISNUMBER(outYear),AFH37+AFH42+#REF!+#REF!,"")</f>
        <v/>
      </c>
      <c r="AFI57" s="82" t="str">
        <f>IF(ISNUMBER(outYear),AFI37+AFI42+#REF!+#REF!,"")</f>
        <v/>
      </c>
      <c r="AFJ57" s="82" t="str">
        <f>IF(ISNUMBER(outYear),AFJ37+AFJ42+#REF!+#REF!,"")</f>
        <v/>
      </c>
      <c r="AFK57" s="82" t="str">
        <f>IF(ISNUMBER(outYear),AFK37+AFK42+#REF!+#REF!,"")</f>
        <v/>
      </c>
      <c r="AFL57" s="82" t="str">
        <f>IF(ISNUMBER(outYear),AFL37+AFL42+#REF!+#REF!,"")</f>
        <v/>
      </c>
      <c r="AFM57" s="82" t="str">
        <f>IF(ISNUMBER(outYear),AFM37+AFM42+#REF!+#REF!,"")</f>
        <v/>
      </c>
      <c r="AFN57" s="82" t="str">
        <f>IF(ISNUMBER(outYear),AFN37+AFN42+#REF!+#REF!,"")</f>
        <v/>
      </c>
      <c r="AFO57" s="82" t="str">
        <f>IF(ISNUMBER(outYear),AFO37+AFO42+#REF!+#REF!,"")</f>
        <v/>
      </c>
      <c r="AFP57" s="82" t="str">
        <f>IF(ISNUMBER(outYear),AFP37+AFP42+#REF!+#REF!,"")</f>
        <v/>
      </c>
      <c r="AFQ57" s="82" t="str">
        <f>IF(ISNUMBER(outYear),AFQ37+AFQ42+#REF!+#REF!,"")</f>
        <v/>
      </c>
      <c r="AFR57" s="82" t="str">
        <f>IF(ISNUMBER(outYear),AFR37+AFR42+#REF!+#REF!,"")</f>
        <v/>
      </c>
      <c r="AFS57" s="82" t="str">
        <f>IF(ISNUMBER(outYear),AFS37+AFS42+#REF!+#REF!,"")</f>
        <v/>
      </c>
      <c r="AFT57" s="82" t="str">
        <f>IF(ISNUMBER(outYear),AFT37+AFT42+#REF!+#REF!,"")</f>
        <v/>
      </c>
      <c r="AFU57" s="82" t="str">
        <f>IF(ISNUMBER(outYear),AFU37+AFU42+#REF!+#REF!,"")</f>
        <v/>
      </c>
      <c r="AFV57" s="82" t="str">
        <f>IF(ISNUMBER(outYear),AFV37+AFV42+#REF!+#REF!,"")</f>
        <v/>
      </c>
      <c r="AFW57" s="82" t="str">
        <f>IF(ISNUMBER(outYear),AFW37+AFW42+#REF!+#REF!,"")</f>
        <v/>
      </c>
      <c r="AFX57" s="82" t="str">
        <f>IF(ISNUMBER(outYear),AFX37+AFX42+#REF!+#REF!,"")</f>
        <v/>
      </c>
      <c r="AFY57" s="82" t="str">
        <f>IF(ISNUMBER(outYear),AFY37+AFY42+#REF!+#REF!,"")</f>
        <v/>
      </c>
      <c r="AFZ57" s="82" t="str">
        <f>IF(ISNUMBER(outYear),AFZ37+AFZ42+#REF!+#REF!,"")</f>
        <v/>
      </c>
      <c r="AGA57" s="82" t="str">
        <f>IF(ISNUMBER(outYear),AGA37+AGA42+#REF!+#REF!,"")</f>
        <v/>
      </c>
      <c r="AGB57" s="82" t="str">
        <f>IF(ISNUMBER(outYear),AGB37+AGB42+#REF!+#REF!,"")</f>
        <v/>
      </c>
      <c r="AGC57" s="82" t="str">
        <f>IF(ISNUMBER(outYear),AGC37+AGC42+#REF!+#REF!,"")</f>
        <v/>
      </c>
      <c r="AGD57" s="82" t="str">
        <f>IF(ISNUMBER(outYear),AGD37+AGD42+#REF!+#REF!,"")</f>
        <v/>
      </c>
      <c r="AGE57" s="82" t="str">
        <f>IF(ISNUMBER(outYear),AGE37+AGE42+#REF!+#REF!,"")</f>
        <v/>
      </c>
      <c r="AGF57" s="82" t="str">
        <f>IF(ISNUMBER(outYear),AGF37+AGF42+#REF!+#REF!,"")</f>
        <v/>
      </c>
      <c r="AGG57" s="82" t="str">
        <f>IF(ISNUMBER(outYear),AGG37+AGG42+#REF!+#REF!,"")</f>
        <v/>
      </c>
      <c r="AGH57" s="82" t="str">
        <f>IF(ISNUMBER(outYear),AGH37+AGH42+#REF!+#REF!,"")</f>
        <v/>
      </c>
      <c r="AGI57" s="82" t="str">
        <f>IF(ISNUMBER(outYear),AGI37+AGI42+#REF!+#REF!,"")</f>
        <v/>
      </c>
      <c r="AGJ57" s="82" t="str">
        <f>IF(ISNUMBER(outYear),AGJ37+AGJ42+#REF!+#REF!,"")</f>
        <v/>
      </c>
      <c r="AGK57" s="82" t="str">
        <f>IF(ISNUMBER(outYear),AGK37+AGK42+#REF!+#REF!,"")</f>
        <v/>
      </c>
      <c r="AGL57" s="82" t="str">
        <f>IF(ISNUMBER(outYear),AGL37+AGL42+#REF!+#REF!,"")</f>
        <v/>
      </c>
      <c r="AGM57" s="82" t="str">
        <f>IF(ISNUMBER(outYear),AGM37+AGM42+#REF!+#REF!,"")</f>
        <v/>
      </c>
      <c r="AGN57" s="82" t="str">
        <f>IF(ISNUMBER(outYear),AGN37+AGN42+#REF!+#REF!,"")</f>
        <v/>
      </c>
      <c r="AGO57" s="82" t="str">
        <f>IF(ISNUMBER(outYear),AGO37+AGO42+#REF!+#REF!,"")</f>
        <v/>
      </c>
      <c r="AGP57" s="82" t="str">
        <f>IF(ISNUMBER(outYear),AGP37+AGP42+#REF!+#REF!,"")</f>
        <v/>
      </c>
      <c r="AGQ57" s="82" t="str">
        <f>IF(ISNUMBER(outYear),AGQ37+AGQ42+#REF!+#REF!,"")</f>
        <v/>
      </c>
      <c r="AGR57" s="82" t="str">
        <f>IF(ISNUMBER(outYear),AGR37+AGR42+#REF!+#REF!,"")</f>
        <v/>
      </c>
      <c r="AGS57" s="82" t="str">
        <f>IF(ISNUMBER(outYear),AGS37+AGS42+#REF!+#REF!,"")</f>
        <v/>
      </c>
      <c r="AGT57" s="82" t="str">
        <f>IF(ISNUMBER(outYear),AGT37+AGT42+#REF!+#REF!,"")</f>
        <v/>
      </c>
      <c r="AGU57" s="82" t="str">
        <f>IF(ISNUMBER(outYear),AGU37+AGU42+#REF!+#REF!,"")</f>
        <v/>
      </c>
      <c r="AGV57" s="82" t="str">
        <f>IF(ISNUMBER(outYear),AGV37+AGV42+#REF!+#REF!,"")</f>
        <v/>
      </c>
      <c r="AGW57" s="82" t="str">
        <f>IF(ISNUMBER(outYear),AGW37+AGW42+#REF!+#REF!,"")</f>
        <v/>
      </c>
      <c r="AGX57" s="82" t="str">
        <f>IF(ISNUMBER(outYear),AGX37+AGX42+#REF!+#REF!,"")</f>
        <v/>
      </c>
      <c r="AGY57" s="82" t="str">
        <f>IF(ISNUMBER(outYear),AGY37+AGY42+#REF!+#REF!,"")</f>
        <v/>
      </c>
      <c r="AGZ57" s="82" t="str">
        <f>IF(ISNUMBER(outYear),AGZ37+AGZ42+#REF!+#REF!,"")</f>
        <v/>
      </c>
      <c r="AHA57" s="82" t="str">
        <f>IF(ISNUMBER(outYear),AHA37+AHA42+#REF!+#REF!,"")</f>
        <v/>
      </c>
      <c r="AHB57" s="82" t="str">
        <f>IF(ISNUMBER(outYear),AHB37+AHB42+#REF!+#REF!,"")</f>
        <v/>
      </c>
      <c r="AHC57" s="82" t="str">
        <f>IF(ISNUMBER(outYear),AHC37+AHC42+#REF!+#REF!,"")</f>
        <v/>
      </c>
      <c r="AHD57" s="82" t="str">
        <f>IF(ISNUMBER(outYear),AHD37+AHD42+#REF!+#REF!,"")</f>
        <v/>
      </c>
      <c r="AHE57" s="82" t="str">
        <f>IF(ISNUMBER(outYear),AHE37+AHE42+#REF!+#REF!,"")</f>
        <v/>
      </c>
      <c r="AHF57" s="82" t="str">
        <f>IF(ISNUMBER(outYear),AHF37+AHF42+#REF!+#REF!,"")</f>
        <v/>
      </c>
      <c r="AHG57" s="82" t="str">
        <f>IF(ISNUMBER(outYear),AHG37+AHG42+#REF!+#REF!,"")</f>
        <v/>
      </c>
      <c r="AHH57" s="82" t="str">
        <f>IF(ISNUMBER(outYear),AHH37+AHH42+#REF!+#REF!,"")</f>
        <v/>
      </c>
      <c r="AHI57" s="82" t="str">
        <f>IF(ISNUMBER(outYear),AHI37+AHI42+#REF!+#REF!,"")</f>
        <v/>
      </c>
      <c r="AHJ57" s="82" t="str">
        <f>IF(ISNUMBER(outYear),AHJ37+AHJ42+#REF!+#REF!,"")</f>
        <v/>
      </c>
      <c r="AHK57" s="82" t="str">
        <f>IF(ISNUMBER(outYear),AHK37+AHK42+#REF!+#REF!,"")</f>
        <v/>
      </c>
      <c r="AHL57" s="82" t="str">
        <f>IF(ISNUMBER(outYear),AHL37+AHL42+#REF!+#REF!,"")</f>
        <v/>
      </c>
      <c r="AHM57" s="82" t="str">
        <f>IF(ISNUMBER(outYear),AHM37+AHM42+#REF!+#REF!,"")</f>
        <v/>
      </c>
      <c r="AHN57" s="82" t="str">
        <f>IF(ISNUMBER(outYear),AHN37+AHN42+#REF!+#REF!,"")</f>
        <v/>
      </c>
      <c r="AHO57" s="82" t="str">
        <f>IF(ISNUMBER(outYear),AHO37+AHO42+#REF!+#REF!,"")</f>
        <v/>
      </c>
      <c r="AHP57" s="82" t="str">
        <f>IF(ISNUMBER(outYear),AHP37+AHP42+#REF!+#REF!,"")</f>
        <v/>
      </c>
      <c r="AHQ57" s="82" t="str">
        <f>IF(ISNUMBER(outYear),AHQ37+AHQ42+#REF!+#REF!,"")</f>
        <v/>
      </c>
      <c r="AHR57" s="82" t="str">
        <f>IF(ISNUMBER(outYear),AHR37+AHR42+#REF!+#REF!,"")</f>
        <v/>
      </c>
      <c r="AHS57" s="82" t="str">
        <f>IF(ISNUMBER(outYear),AHS37+AHS42+#REF!+#REF!,"")</f>
        <v/>
      </c>
      <c r="AHT57" s="82" t="str">
        <f>IF(ISNUMBER(outYear),AHT37+AHT42+#REF!+#REF!,"")</f>
        <v/>
      </c>
      <c r="AHU57" s="82" t="str">
        <f>IF(ISNUMBER(outYear),AHU37+AHU42+#REF!+#REF!,"")</f>
        <v/>
      </c>
      <c r="AHV57" s="82" t="str">
        <f>IF(ISNUMBER(outYear),AHV37+AHV42+#REF!+#REF!,"")</f>
        <v/>
      </c>
      <c r="AHW57" s="82" t="str">
        <f>IF(ISNUMBER(outYear),AHW37+AHW42+#REF!+#REF!,"")</f>
        <v/>
      </c>
      <c r="AHX57" s="82" t="str">
        <f>IF(ISNUMBER(outYear),AHX37+AHX42+#REF!+#REF!,"")</f>
        <v/>
      </c>
      <c r="AHY57" s="82" t="str">
        <f>IF(ISNUMBER(outYear),AHY37+AHY42+#REF!+#REF!,"")</f>
        <v/>
      </c>
      <c r="AHZ57" s="82" t="str">
        <f>IF(ISNUMBER(outYear),AHZ37+AHZ42+#REF!+#REF!,"")</f>
        <v/>
      </c>
      <c r="AIA57" s="82" t="str">
        <f>IF(ISNUMBER(outYear),AIA37+AIA42+#REF!+#REF!,"")</f>
        <v/>
      </c>
      <c r="AIB57" s="82" t="str">
        <f>IF(ISNUMBER(outYear),AIB37+AIB42+#REF!+#REF!,"")</f>
        <v/>
      </c>
      <c r="AIC57" s="82" t="str">
        <f>IF(ISNUMBER(outYear),AIC37+AIC42+#REF!+#REF!,"")</f>
        <v/>
      </c>
      <c r="AID57" s="82" t="str">
        <f>IF(ISNUMBER(outYear),AID37+AID42+#REF!+#REF!,"")</f>
        <v/>
      </c>
      <c r="AIE57" s="82" t="str">
        <f>IF(ISNUMBER(outYear),AIE37+AIE42+#REF!+#REF!,"")</f>
        <v/>
      </c>
      <c r="AIF57" s="82" t="str">
        <f>IF(ISNUMBER(outYear),AIF37+AIF42+#REF!+#REF!,"")</f>
        <v/>
      </c>
      <c r="AIG57" s="82" t="str">
        <f>IF(ISNUMBER(outYear),AIG37+AIG42+#REF!+#REF!,"")</f>
        <v/>
      </c>
      <c r="AIH57" s="82" t="str">
        <f>IF(ISNUMBER(outYear),AIH37+AIH42+#REF!+#REF!,"")</f>
        <v/>
      </c>
      <c r="AII57" s="82" t="str">
        <f>IF(ISNUMBER(outYear),AII37+AII42+#REF!+#REF!,"")</f>
        <v/>
      </c>
      <c r="AIJ57" s="82" t="str">
        <f>IF(ISNUMBER(outYear),AIJ37+AIJ42+#REF!+#REF!,"")</f>
        <v/>
      </c>
      <c r="AIK57" s="82" t="str">
        <f>IF(ISNUMBER(outYear),AIK37+AIK42+#REF!+#REF!,"")</f>
        <v/>
      </c>
      <c r="AIL57" s="82" t="str">
        <f>IF(ISNUMBER(outYear),AIL37+AIL42+#REF!+#REF!,"")</f>
        <v/>
      </c>
      <c r="AIM57" s="82" t="str">
        <f>IF(ISNUMBER(outYear),AIM37+AIM42+#REF!+#REF!,"")</f>
        <v/>
      </c>
      <c r="AIN57" s="82" t="str">
        <f>IF(ISNUMBER(outYear),AIN37+AIN42+#REF!+#REF!,"")</f>
        <v/>
      </c>
      <c r="AIO57" s="82" t="str">
        <f>IF(ISNUMBER(outYear),AIO37+AIO42+#REF!+#REF!,"")</f>
        <v/>
      </c>
      <c r="AIP57" s="82" t="str">
        <f>IF(ISNUMBER(outYear),AIP37+AIP42+#REF!+#REF!,"")</f>
        <v/>
      </c>
      <c r="AIQ57" s="82" t="str">
        <f>IF(ISNUMBER(outYear),AIQ37+AIQ42+#REF!+#REF!,"")</f>
        <v/>
      </c>
      <c r="AIR57" s="82" t="str">
        <f>IF(ISNUMBER(outYear),AIR37+AIR42+#REF!+#REF!,"")</f>
        <v/>
      </c>
      <c r="AIS57" s="82" t="str">
        <f>IF(ISNUMBER(outYear),AIS37+AIS42+#REF!+#REF!,"")</f>
        <v/>
      </c>
      <c r="AIT57" s="82" t="str">
        <f>IF(ISNUMBER(outYear),AIT37+AIT42+#REF!+#REF!,"")</f>
        <v/>
      </c>
      <c r="AIU57" s="82" t="str">
        <f>IF(ISNUMBER(outYear),AIU37+AIU42+#REF!+#REF!,"")</f>
        <v/>
      </c>
      <c r="AIV57" s="82" t="str">
        <f>IF(ISNUMBER(outYear),AIV37+AIV42+#REF!+#REF!,"")</f>
        <v/>
      </c>
      <c r="AIW57" s="82" t="str">
        <f>IF(ISNUMBER(outYear),AIW37+AIW42+#REF!+#REF!,"")</f>
        <v/>
      </c>
      <c r="AIX57" s="82" t="str">
        <f>IF(ISNUMBER(outYear),AIX37+AIX42+#REF!+#REF!,"")</f>
        <v/>
      </c>
      <c r="AIY57" s="82" t="str">
        <f>IF(ISNUMBER(outYear),AIY37+AIY42+#REF!+#REF!,"")</f>
        <v/>
      </c>
      <c r="AIZ57" s="82" t="str">
        <f>IF(ISNUMBER(outYear),AIZ37+AIZ42+#REF!+#REF!,"")</f>
        <v/>
      </c>
      <c r="AJA57" s="82" t="str">
        <f>IF(ISNUMBER(outYear),AJA37+AJA42+#REF!+#REF!,"")</f>
        <v/>
      </c>
      <c r="AJB57" s="82" t="str">
        <f>IF(ISNUMBER(outYear),AJB37+AJB42+#REF!+#REF!,"")</f>
        <v/>
      </c>
      <c r="AJC57" s="82" t="str">
        <f>IF(ISNUMBER(outYear),AJC37+AJC42+#REF!+#REF!,"")</f>
        <v/>
      </c>
      <c r="AJD57" s="82" t="str">
        <f>IF(ISNUMBER(outYear),AJD37+AJD42+#REF!+#REF!,"")</f>
        <v/>
      </c>
      <c r="AJE57" s="82" t="str">
        <f>IF(ISNUMBER(outYear),AJE37+AJE42+#REF!+#REF!,"")</f>
        <v/>
      </c>
      <c r="AJF57" s="82" t="str">
        <f>IF(ISNUMBER(outYear),AJF37+AJF42+#REF!+#REF!,"")</f>
        <v/>
      </c>
      <c r="AJG57" s="82" t="str">
        <f>IF(ISNUMBER(outYear),AJG37+AJG42+#REF!+#REF!,"")</f>
        <v/>
      </c>
      <c r="AJH57" s="82" t="str">
        <f>IF(ISNUMBER(outYear),AJH37+AJH42+#REF!+#REF!,"")</f>
        <v/>
      </c>
      <c r="AJI57" s="82" t="str">
        <f>IF(ISNUMBER(outYear),AJI37+AJI42+#REF!+#REF!,"")</f>
        <v/>
      </c>
      <c r="AJJ57" s="82" t="str">
        <f>IF(ISNUMBER(outYear),AJJ37+AJJ42+#REF!+#REF!,"")</f>
        <v/>
      </c>
      <c r="AJK57" s="82" t="str">
        <f>IF(ISNUMBER(outYear),AJK37+AJK42+#REF!+#REF!,"")</f>
        <v/>
      </c>
      <c r="AJL57" s="82" t="str">
        <f>IF(ISNUMBER(outYear),AJL37+AJL42+#REF!+#REF!,"")</f>
        <v/>
      </c>
      <c r="AJM57" s="82" t="str">
        <f>IF(ISNUMBER(outYear),AJM37+AJM42+#REF!+#REF!,"")</f>
        <v/>
      </c>
      <c r="AJN57" s="82" t="str">
        <f>IF(ISNUMBER(outYear),AJN37+AJN42+#REF!+#REF!,"")</f>
        <v/>
      </c>
      <c r="AJO57" s="82" t="str">
        <f>IF(ISNUMBER(outYear),AJO37+AJO42+#REF!+#REF!,"")</f>
        <v/>
      </c>
      <c r="AJP57" s="82" t="str">
        <f>IF(ISNUMBER(outYear),AJP37+AJP42+#REF!+#REF!,"")</f>
        <v/>
      </c>
      <c r="AJQ57" s="82" t="str">
        <f>IF(ISNUMBER(outYear),AJQ37+AJQ42+#REF!+#REF!,"")</f>
        <v/>
      </c>
      <c r="AJR57" s="82" t="str">
        <f>IF(ISNUMBER(outYear),AJR37+AJR42+#REF!+#REF!,"")</f>
        <v/>
      </c>
      <c r="AJS57" s="82" t="str">
        <f>IF(ISNUMBER(outYear),AJS37+AJS42+#REF!+#REF!,"")</f>
        <v/>
      </c>
      <c r="AJT57" s="82" t="str">
        <f>IF(ISNUMBER(outYear),AJT37+AJT42+#REF!+#REF!,"")</f>
        <v/>
      </c>
      <c r="AJU57" s="82" t="str">
        <f>IF(ISNUMBER(outYear),AJU37+AJU42+#REF!+#REF!,"")</f>
        <v/>
      </c>
      <c r="AJV57" s="82" t="str">
        <f>IF(ISNUMBER(outYear),AJV37+AJV42+#REF!+#REF!,"")</f>
        <v/>
      </c>
      <c r="AJW57" s="82" t="str">
        <f>IF(ISNUMBER(outYear),AJW37+AJW42+#REF!+#REF!,"")</f>
        <v/>
      </c>
      <c r="AJX57" s="82" t="str">
        <f>IF(ISNUMBER(outYear),AJX37+AJX42+#REF!+#REF!,"")</f>
        <v/>
      </c>
      <c r="AJY57" s="82" t="str">
        <f>IF(ISNUMBER(outYear),AJY37+AJY42+#REF!+#REF!,"")</f>
        <v/>
      </c>
      <c r="AJZ57" s="82" t="str">
        <f>IF(ISNUMBER(outYear),AJZ37+AJZ42+#REF!+#REF!,"")</f>
        <v/>
      </c>
      <c r="AKA57" s="82" t="str">
        <f>IF(ISNUMBER(outYear),AKA37+AKA42+#REF!+#REF!,"")</f>
        <v/>
      </c>
      <c r="AKB57" s="82" t="str">
        <f>IF(ISNUMBER(outYear),AKB37+AKB42+#REF!+#REF!,"")</f>
        <v/>
      </c>
      <c r="AKC57" s="82" t="str">
        <f>IF(ISNUMBER(outYear),AKC37+AKC42+#REF!+#REF!,"")</f>
        <v/>
      </c>
      <c r="AKD57" s="82" t="str">
        <f>IF(ISNUMBER(outYear),AKD37+AKD42+#REF!+#REF!,"")</f>
        <v/>
      </c>
      <c r="AKE57" s="82" t="str">
        <f>IF(ISNUMBER(outYear),AKE37+AKE42+#REF!+#REF!,"")</f>
        <v/>
      </c>
      <c r="AKF57" s="82" t="str">
        <f>IF(ISNUMBER(outYear),AKF37+AKF42+#REF!+#REF!,"")</f>
        <v/>
      </c>
      <c r="AKG57" s="82" t="str">
        <f>IF(ISNUMBER(outYear),AKG37+AKG42+#REF!+#REF!,"")</f>
        <v/>
      </c>
      <c r="AKH57" s="82" t="str">
        <f>IF(ISNUMBER(outYear),AKH37+AKH42+#REF!+#REF!,"")</f>
        <v/>
      </c>
      <c r="AKI57" s="82" t="str">
        <f>IF(ISNUMBER(outYear),AKI37+AKI42+#REF!+#REF!,"")</f>
        <v/>
      </c>
      <c r="AKJ57" s="82" t="str">
        <f>IF(ISNUMBER(outYear),AKJ37+AKJ42+#REF!+#REF!,"")</f>
        <v/>
      </c>
      <c r="AKK57" s="82" t="str">
        <f>IF(ISNUMBER(outYear),AKK37+AKK42+#REF!+#REF!,"")</f>
        <v/>
      </c>
      <c r="AKL57" s="82" t="str">
        <f>IF(ISNUMBER(outYear),AKL37+AKL42+#REF!+#REF!,"")</f>
        <v/>
      </c>
      <c r="AKM57" s="82" t="str">
        <f>IF(ISNUMBER(outYear),AKM37+AKM42+#REF!+#REF!,"")</f>
        <v/>
      </c>
      <c r="AKN57" s="82" t="str">
        <f>IF(ISNUMBER(outYear),AKN37+AKN42+#REF!+#REF!,"")</f>
        <v/>
      </c>
      <c r="AKO57" s="82" t="str">
        <f>IF(ISNUMBER(outYear),AKO37+AKO42+#REF!+#REF!,"")</f>
        <v/>
      </c>
      <c r="AKP57" s="82" t="str">
        <f>IF(ISNUMBER(outYear),AKP37+AKP42+#REF!+#REF!,"")</f>
        <v/>
      </c>
      <c r="AKQ57" s="82" t="str">
        <f>IF(ISNUMBER(outYear),AKQ37+AKQ42+#REF!+#REF!,"")</f>
        <v/>
      </c>
      <c r="AKR57" s="82" t="str">
        <f>IF(ISNUMBER(outYear),AKR37+AKR42+#REF!+#REF!,"")</f>
        <v/>
      </c>
      <c r="AKS57" s="82" t="str">
        <f>IF(ISNUMBER(outYear),AKS37+AKS42+#REF!+#REF!,"")</f>
        <v/>
      </c>
      <c r="AKT57" s="82" t="str">
        <f>IF(ISNUMBER(outYear),AKT37+AKT42+#REF!+#REF!,"")</f>
        <v/>
      </c>
      <c r="AKU57" s="82" t="str">
        <f>IF(ISNUMBER(outYear),AKU37+AKU42+#REF!+#REF!,"")</f>
        <v/>
      </c>
      <c r="AKV57" s="82" t="str">
        <f>IF(ISNUMBER(outYear),AKV37+AKV42+#REF!+#REF!,"")</f>
        <v/>
      </c>
      <c r="AKW57" s="82" t="str">
        <f>IF(ISNUMBER(outYear),AKW37+AKW42+#REF!+#REF!,"")</f>
        <v/>
      </c>
      <c r="AKX57" s="82" t="str">
        <f>IF(ISNUMBER(outYear),AKX37+AKX42+#REF!+#REF!,"")</f>
        <v/>
      </c>
      <c r="AKY57" s="82" t="str">
        <f>IF(ISNUMBER(outYear),AKY37+AKY42+#REF!+#REF!,"")</f>
        <v/>
      </c>
      <c r="AKZ57" s="82" t="str">
        <f>IF(ISNUMBER(outYear),AKZ37+AKZ42+#REF!+#REF!,"")</f>
        <v/>
      </c>
      <c r="ALA57" s="82" t="str">
        <f>IF(ISNUMBER(outYear),ALA37+ALA42+#REF!+#REF!,"")</f>
        <v/>
      </c>
      <c r="ALB57" s="82" t="str">
        <f>IF(ISNUMBER(outYear),ALB37+ALB42+#REF!+#REF!,"")</f>
        <v/>
      </c>
      <c r="ALC57" s="82" t="str">
        <f>IF(ISNUMBER(outYear),ALC37+ALC42+#REF!+#REF!,"")</f>
        <v/>
      </c>
      <c r="ALD57" s="82" t="str">
        <f>IF(ISNUMBER(outYear),ALD37+ALD42+#REF!+#REF!,"")</f>
        <v/>
      </c>
      <c r="ALE57" s="82" t="str">
        <f>IF(ISNUMBER(outYear),ALE37+ALE42+#REF!+#REF!,"")</f>
        <v/>
      </c>
      <c r="ALF57" s="82" t="str">
        <f>IF(ISNUMBER(outYear),ALF37+ALF42+#REF!+#REF!,"")</f>
        <v/>
      </c>
      <c r="ALG57" s="82" t="str">
        <f>IF(ISNUMBER(outYear),ALG37+ALG42+#REF!+#REF!,"")</f>
        <v/>
      </c>
      <c r="ALH57" s="82" t="str">
        <f>IF(ISNUMBER(outYear),ALH37+ALH42+#REF!+#REF!,"")</f>
        <v/>
      </c>
      <c r="ALI57" s="82" t="str">
        <f>IF(ISNUMBER(outYear),ALI37+ALI42+#REF!+#REF!,"")</f>
        <v/>
      </c>
      <c r="ALJ57" s="82" t="str">
        <f>IF(ISNUMBER(outYear),ALJ37+ALJ42+#REF!+#REF!,"")</f>
        <v/>
      </c>
      <c r="ALK57" s="82" t="str">
        <f>IF(ISNUMBER(outYear),ALK37+ALK42+#REF!+#REF!,"")</f>
        <v/>
      </c>
      <c r="ALL57" s="82" t="str">
        <f>IF(ISNUMBER(outYear),ALL37+ALL42+#REF!+#REF!,"")</f>
        <v/>
      </c>
      <c r="ALM57" s="82" t="str">
        <f>IF(ISNUMBER(outYear),ALM37+ALM42+#REF!+#REF!,"")</f>
        <v/>
      </c>
      <c r="ALN57" s="82" t="str">
        <f>IF(ISNUMBER(outYear),ALN37+ALN42+#REF!+#REF!,"")</f>
        <v/>
      </c>
      <c r="ALO57" s="82" t="str">
        <f>IF(ISNUMBER(outYear),ALO37+ALO42+#REF!+#REF!,"")</f>
        <v/>
      </c>
      <c r="ALP57" s="82" t="str">
        <f>IF(ISNUMBER(outYear),ALP37+ALP42+#REF!+#REF!,"")</f>
        <v/>
      </c>
      <c r="ALQ57" s="82" t="str">
        <f>IF(ISNUMBER(outYear),ALQ37+ALQ42+#REF!+#REF!,"")</f>
        <v/>
      </c>
      <c r="ALR57" s="82" t="str">
        <f>IF(ISNUMBER(outYear),ALR37+ALR42+#REF!+#REF!,"")</f>
        <v/>
      </c>
      <c r="ALS57" s="82" t="str">
        <f>IF(ISNUMBER(outYear),ALS37+ALS42+#REF!+#REF!,"")</f>
        <v/>
      </c>
      <c r="ALT57" s="82" t="str">
        <f>IF(ISNUMBER(outYear),ALT37+ALT42+#REF!+#REF!,"")</f>
        <v/>
      </c>
      <c r="ALU57" s="82" t="str">
        <f>IF(ISNUMBER(outYear),ALU37+ALU42+#REF!+#REF!,"")</f>
        <v/>
      </c>
      <c r="ALV57" s="82" t="str">
        <f>IF(ISNUMBER(outYear),ALV37+ALV42+#REF!+#REF!,"")</f>
        <v/>
      </c>
      <c r="ALW57" s="82" t="str">
        <f>IF(ISNUMBER(outYear),ALW37+ALW42+#REF!+#REF!,"")</f>
        <v/>
      </c>
      <c r="ALX57" s="82" t="str">
        <f>IF(ISNUMBER(outYear),ALX37+ALX42+#REF!+#REF!,"")</f>
        <v/>
      </c>
      <c r="ALY57" s="82" t="str">
        <f>IF(ISNUMBER(outYear),ALY37+ALY42+#REF!+#REF!,"")</f>
        <v/>
      </c>
      <c r="ALZ57" s="82" t="str">
        <f>IF(ISNUMBER(outYear),ALZ37+ALZ42+#REF!+#REF!,"")</f>
        <v/>
      </c>
      <c r="AMA57" s="82" t="str">
        <f>IF(ISNUMBER(outYear),AMA37+AMA42+#REF!+#REF!,"")</f>
        <v/>
      </c>
      <c r="AMB57" s="82" t="str">
        <f>IF(ISNUMBER(outYear),AMB37+AMB42+#REF!+#REF!,"")</f>
        <v/>
      </c>
      <c r="AMC57" s="82" t="str">
        <f>IF(ISNUMBER(outYear),AMC37+AMC42+#REF!+#REF!,"")</f>
        <v/>
      </c>
      <c r="AMD57" s="82" t="str">
        <f>IF(ISNUMBER(outYear),AMD37+AMD42+#REF!+#REF!,"")</f>
        <v/>
      </c>
      <c r="AME57" s="82" t="str">
        <f>IF(ISNUMBER(outYear),AME37+AME42+#REF!+#REF!,"")</f>
        <v/>
      </c>
      <c r="AMF57" s="82" t="str">
        <f>IF(ISNUMBER(outYear),AMF37+AMF42+#REF!+#REF!,"")</f>
        <v/>
      </c>
      <c r="AMG57" s="82" t="str">
        <f>IF(ISNUMBER(outYear),AMG37+AMG42+#REF!+#REF!,"")</f>
        <v/>
      </c>
      <c r="AMH57" s="82" t="str">
        <f>IF(ISNUMBER(outYear),AMH37+AMH42+#REF!+#REF!,"")</f>
        <v/>
      </c>
      <c r="AMI57" s="82" t="str">
        <f>IF(ISNUMBER(outYear),AMI37+AMI42+#REF!+#REF!,"")</f>
        <v/>
      </c>
      <c r="AMJ57" s="82" t="str">
        <f>IF(ISNUMBER(outYear),AMJ37+AMJ42+#REF!+#REF!,"")</f>
        <v/>
      </c>
      <c r="AMK57" s="82" t="str">
        <f>IF(ISNUMBER(outYear),AMK37+AMK42+#REF!+#REF!,"")</f>
        <v/>
      </c>
      <c r="AML57" s="82" t="str">
        <f>IF(ISNUMBER(outYear),AML37+AML42+#REF!+#REF!,"")</f>
        <v/>
      </c>
      <c r="AMM57" s="82" t="str">
        <f>IF(ISNUMBER(outYear),AMM37+AMM42+#REF!+#REF!,"")</f>
        <v/>
      </c>
      <c r="AMN57" s="82" t="str">
        <f>IF(ISNUMBER(outYear),AMN37+AMN42+#REF!+#REF!,"")</f>
        <v/>
      </c>
      <c r="AMO57" s="82" t="str">
        <f>IF(ISNUMBER(outYear),AMO37+AMO42+#REF!+#REF!,"")</f>
        <v/>
      </c>
      <c r="AMP57" s="82" t="str">
        <f>IF(ISNUMBER(outYear),AMP37+AMP42+#REF!+#REF!,"")</f>
        <v/>
      </c>
      <c r="AMQ57" s="82" t="str">
        <f>IF(ISNUMBER(outYear),AMQ37+AMQ42+#REF!+#REF!,"")</f>
        <v/>
      </c>
      <c r="AMR57" s="82" t="str">
        <f>IF(ISNUMBER(outYear),AMR37+AMR42+#REF!+#REF!,"")</f>
        <v/>
      </c>
      <c r="AMS57" s="82" t="str">
        <f>IF(ISNUMBER(outYear),AMS37+AMS42+#REF!+#REF!,"")</f>
        <v/>
      </c>
      <c r="AMT57" s="82" t="str">
        <f>IF(ISNUMBER(outYear),AMT37+AMT42+#REF!+#REF!,"")</f>
        <v/>
      </c>
      <c r="AMU57" s="82" t="str">
        <f>IF(ISNUMBER(outYear),AMU37+AMU42+#REF!+#REF!,"")</f>
        <v/>
      </c>
      <c r="AMV57" s="82" t="str">
        <f>IF(ISNUMBER(outYear),AMV37+AMV42+#REF!+#REF!,"")</f>
        <v/>
      </c>
      <c r="AMW57" s="82" t="str">
        <f>IF(ISNUMBER(outYear),AMW37+AMW42+#REF!+#REF!,"")</f>
        <v/>
      </c>
      <c r="AMX57" s="82" t="str">
        <f>IF(ISNUMBER(outYear),AMX37+AMX42+#REF!+#REF!,"")</f>
        <v/>
      </c>
      <c r="AMY57" s="82" t="str">
        <f>IF(ISNUMBER(outYear),AMY37+AMY42+#REF!+#REF!,"")</f>
        <v/>
      </c>
      <c r="AMZ57" s="82" t="str">
        <f>IF(ISNUMBER(outYear),AMZ37+AMZ42+#REF!+#REF!,"")</f>
        <v/>
      </c>
      <c r="ANA57" s="82" t="str">
        <f>IF(ISNUMBER(outYear),ANA37+ANA42+#REF!+#REF!,"")</f>
        <v/>
      </c>
      <c r="ANB57" s="82" t="str">
        <f>IF(ISNUMBER(outYear),ANB37+ANB42+#REF!+#REF!,"")</f>
        <v/>
      </c>
      <c r="ANC57" s="82" t="str">
        <f>IF(ISNUMBER(outYear),ANC37+ANC42+#REF!+#REF!,"")</f>
        <v/>
      </c>
      <c r="AND57" s="82" t="str">
        <f>IF(ISNUMBER(outYear),AND37+AND42+#REF!+#REF!,"")</f>
        <v/>
      </c>
      <c r="ANE57" s="82" t="str">
        <f>IF(ISNUMBER(outYear),ANE37+ANE42+#REF!+#REF!,"")</f>
        <v/>
      </c>
      <c r="ANF57" s="82" t="str">
        <f>IF(ISNUMBER(outYear),ANF37+ANF42+#REF!+#REF!,"")</f>
        <v/>
      </c>
      <c r="ANG57" s="82" t="str">
        <f>IF(ISNUMBER(outYear),ANG37+ANG42+#REF!+#REF!,"")</f>
        <v/>
      </c>
      <c r="ANH57" s="82" t="str">
        <f>IF(ISNUMBER(outYear),ANH37+ANH42+#REF!+#REF!,"")</f>
        <v/>
      </c>
      <c r="ANI57" s="82" t="str">
        <f>IF(ISNUMBER(outYear),ANI37+ANI42+#REF!+#REF!,"")</f>
        <v/>
      </c>
      <c r="ANJ57" s="82" t="str">
        <f>IF(ISNUMBER(outYear),ANJ37+ANJ42+#REF!+#REF!,"")</f>
        <v/>
      </c>
      <c r="ANK57" s="82" t="str">
        <f>IF(ISNUMBER(outYear),ANK37+ANK42+#REF!+#REF!,"")</f>
        <v/>
      </c>
      <c r="ANL57" s="82" t="str">
        <f>IF(ISNUMBER(outYear),ANL37+ANL42+#REF!+#REF!,"")</f>
        <v/>
      </c>
      <c r="ANM57" s="82" t="str">
        <f>IF(ISNUMBER(outYear),ANM37+ANM42+#REF!+#REF!,"")</f>
        <v/>
      </c>
      <c r="ANN57" s="82" t="str">
        <f>IF(ISNUMBER(outYear),ANN37+ANN42+#REF!+#REF!,"")</f>
        <v/>
      </c>
      <c r="ANO57" s="82" t="str">
        <f>IF(ISNUMBER(outYear),ANO37+ANO42+#REF!+#REF!,"")</f>
        <v/>
      </c>
      <c r="ANP57" s="82" t="str">
        <f>IF(ISNUMBER(outYear),ANP37+ANP42+#REF!+#REF!,"")</f>
        <v/>
      </c>
      <c r="ANQ57" s="82" t="str">
        <f>IF(ISNUMBER(outYear),ANQ37+ANQ42+#REF!+#REF!,"")</f>
        <v/>
      </c>
      <c r="ANR57" s="82" t="str">
        <f>IF(ISNUMBER(outYear),ANR37+ANR42+#REF!+#REF!,"")</f>
        <v/>
      </c>
      <c r="ANS57" s="82" t="str">
        <f>IF(ISNUMBER(outYear),ANS37+ANS42+#REF!+#REF!,"")</f>
        <v/>
      </c>
      <c r="ANT57" s="82" t="str">
        <f>IF(ISNUMBER(outYear),ANT37+ANT42+#REF!+#REF!,"")</f>
        <v/>
      </c>
      <c r="ANU57" s="82" t="str">
        <f>IF(ISNUMBER(outYear),ANU37+ANU42+#REF!+#REF!,"")</f>
        <v/>
      </c>
      <c r="ANV57" s="82" t="str">
        <f>IF(ISNUMBER(outYear),ANV37+ANV42+#REF!+#REF!,"")</f>
        <v/>
      </c>
      <c r="ANW57" s="82" t="str">
        <f>IF(ISNUMBER(outYear),ANW37+ANW42+#REF!+#REF!,"")</f>
        <v/>
      </c>
      <c r="ANX57" s="82" t="str">
        <f>IF(ISNUMBER(outYear),ANX37+ANX42+#REF!+#REF!,"")</f>
        <v/>
      </c>
      <c r="ANY57" s="82" t="str">
        <f>IF(ISNUMBER(outYear),ANY37+ANY42+#REF!+#REF!,"")</f>
        <v/>
      </c>
      <c r="ANZ57" s="82" t="str">
        <f>IF(ISNUMBER(outYear),ANZ37+ANZ42+#REF!+#REF!,"")</f>
        <v/>
      </c>
      <c r="AOA57" s="82" t="str">
        <f>IF(ISNUMBER(outYear),AOA37+AOA42+#REF!+#REF!,"")</f>
        <v/>
      </c>
      <c r="AOB57" s="82" t="str">
        <f>IF(ISNUMBER(outYear),AOB37+AOB42+#REF!+#REF!,"")</f>
        <v/>
      </c>
      <c r="AOC57" s="82" t="str">
        <f>IF(ISNUMBER(outYear),AOC37+AOC42+#REF!+#REF!,"")</f>
        <v/>
      </c>
      <c r="AOD57" s="82" t="str">
        <f>IF(ISNUMBER(outYear),AOD37+AOD42+#REF!+#REF!,"")</f>
        <v/>
      </c>
      <c r="AOE57" s="82" t="str">
        <f>IF(ISNUMBER(outYear),AOE37+AOE42+#REF!+#REF!,"")</f>
        <v/>
      </c>
      <c r="AOF57" s="82" t="str">
        <f>IF(ISNUMBER(outYear),AOF37+AOF42+#REF!+#REF!,"")</f>
        <v/>
      </c>
      <c r="AOG57" s="82" t="str">
        <f>IF(ISNUMBER(outYear),AOG37+AOG42+#REF!+#REF!,"")</f>
        <v/>
      </c>
      <c r="AOH57" s="82" t="str">
        <f>IF(ISNUMBER(outYear),AOH37+AOH42+#REF!+#REF!,"")</f>
        <v/>
      </c>
      <c r="AOI57" s="82" t="str">
        <f>IF(ISNUMBER(outYear),AOI37+AOI42+#REF!+#REF!,"")</f>
        <v/>
      </c>
      <c r="AOJ57" s="82" t="str">
        <f>IF(ISNUMBER(outYear),AOJ37+AOJ42+#REF!+#REF!,"")</f>
        <v/>
      </c>
      <c r="AOK57" s="82" t="str">
        <f>IF(ISNUMBER(outYear),AOK37+AOK42+#REF!+#REF!,"")</f>
        <v/>
      </c>
      <c r="AOL57" s="82" t="str">
        <f>IF(ISNUMBER(outYear),AOL37+AOL42+#REF!+#REF!,"")</f>
        <v/>
      </c>
      <c r="AOM57" s="82" t="str">
        <f>IF(ISNUMBER(outYear),AOM37+AOM42+#REF!+#REF!,"")</f>
        <v/>
      </c>
      <c r="AON57" s="82" t="str">
        <f>IF(ISNUMBER(outYear),AON37+AON42+#REF!+#REF!,"")</f>
        <v/>
      </c>
      <c r="AOO57" s="82" t="str">
        <f>IF(ISNUMBER(outYear),AOO37+AOO42+#REF!+#REF!,"")</f>
        <v/>
      </c>
      <c r="AOP57" s="82" t="str">
        <f>IF(ISNUMBER(outYear),AOP37+AOP42+#REF!+#REF!,"")</f>
        <v/>
      </c>
      <c r="AOQ57" s="82" t="str">
        <f>IF(ISNUMBER(outYear),AOQ37+AOQ42+#REF!+#REF!,"")</f>
        <v/>
      </c>
      <c r="AOR57" s="82" t="str">
        <f>IF(ISNUMBER(outYear),AOR37+AOR42+#REF!+#REF!,"")</f>
        <v/>
      </c>
      <c r="AOS57" s="82" t="str">
        <f>IF(ISNUMBER(outYear),AOS37+AOS42+#REF!+#REF!,"")</f>
        <v/>
      </c>
      <c r="AOT57" s="82" t="str">
        <f>IF(ISNUMBER(outYear),AOT37+AOT42+#REF!+#REF!,"")</f>
        <v/>
      </c>
      <c r="AOU57" s="82" t="str">
        <f>IF(ISNUMBER(outYear),AOU37+AOU42+#REF!+#REF!,"")</f>
        <v/>
      </c>
      <c r="AOV57" s="82" t="str">
        <f>IF(ISNUMBER(outYear),AOV37+AOV42+#REF!+#REF!,"")</f>
        <v/>
      </c>
      <c r="AOW57" s="82" t="str">
        <f>IF(ISNUMBER(outYear),AOW37+AOW42+#REF!+#REF!,"")</f>
        <v/>
      </c>
      <c r="AOX57" s="82" t="str">
        <f>IF(ISNUMBER(outYear),AOX37+AOX42+#REF!+#REF!,"")</f>
        <v/>
      </c>
      <c r="AOY57" s="82" t="str">
        <f>IF(ISNUMBER(outYear),AOY37+AOY42+#REF!+#REF!,"")</f>
        <v/>
      </c>
      <c r="AOZ57" s="82" t="str">
        <f>IF(ISNUMBER(outYear),AOZ37+AOZ42+#REF!+#REF!,"")</f>
        <v/>
      </c>
      <c r="APA57" s="82" t="str">
        <f>IF(ISNUMBER(outYear),APA37+APA42+#REF!+#REF!,"")</f>
        <v/>
      </c>
      <c r="APB57" s="82" t="str">
        <f>IF(ISNUMBER(outYear),APB37+APB42+#REF!+#REF!,"")</f>
        <v/>
      </c>
      <c r="APC57" s="82" t="str">
        <f>IF(ISNUMBER(outYear),APC37+APC42+#REF!+#REF!,"")</f>
        <v/>
      </c>
      <c r="APD57" s="82" t="str">
        <f>IF(ISNUMBER(outYear),APD37+APD42+#REF!+#REF!,"")</f>
        <v/>
      </c>
      <c r="APE57" s="82" t="str">
        <f>IF(ISNUMBER(outYear),APE37+APE42+#REF!+#REF!,"")</f>
        <v/>
      </c>
      <c r="APF57" s="82" t="str">
        <f>IF(ISNUMBER(outYear),APF37+APF42+#REF!+#REF!,"")</f>
        <v/>
      </c>
      <c r="APG57" s="82" t="str">
        <f>IF(ISNUMBER(outYear),APG37+APG42+#REF!+#REF!,"")</f>
        <v/>
      </c>
      <c r="APH57" s="82" t="str">
        <f>IF(ISNUMBER(outYear),APH37+APH42+#REF!+#REF!,"")</f>
        <v/>
      </c>
      <c r="API57" s="82" t="str">
        <f>IF(ISNUMBER(outYear),API37+API42+#REF!+#REF!,"")</f>
        <v/>
      </c>
      <c r="APJ57" s="82" t="str">
        <f>IF(ISNUMBER(outYear),APJ37+APJ42+#REF!+#REF!,"")</f>
        <v/>
      </c>
      <c r="APK57" s="82" t="str">
        <f>IF(ISNUMBER(outYear),APK37+APK42+#REF!+#REF!,"")</f>
        <v/>
      </c>
      <c r="APL57" s="82" t="str">
        <f>IF(ISNUMBER(outYear),APL37+APL42+#REF!+#REF!,"")</f>
        <v/>
      </c>
      <c r="APM57" s="82" t="str">
        <f>IF(ISNUMBER(outYear),APM37+APM42+#REF!+#REF!,"")</f>
        <v/>
      </c>
      <c r="APN57" s="82" t="str">
        <f>IF(ISNUMBER(outYear),APN37+APN42+#REF!+#REF!,"")</f>
        <v/>
      </c>
      <c r="APO57" s="82" t="str">
        <f>IF(ISNUMBER(outYear),APO37+APO42+#REF!+#REF!,"")</f>
        <v/>
      </c>
      <c r="APP57" s="82" t="str">
        <f>IF(ISNUMBER(outYear),APP37+APP42+#REF!+#REF!,"")</f>
        <v/>
      </c>
      <c r="APQ57" s="82" t="str">
        <f>IF(ISNUMBER(outYear),APQ37+APQ42+#REF!+#REF!,"")</f>
        <v/>
      </c>
      <c r="APR57" s="82" t="str">
        <f>IF(ISNUMBER(outYear),APR37+APR42+#REF!+#REF!,"")</f>
        <v/>
      </c>
      <c r="APS57" s="82" t="str">
        <f>IF(ISNUMBER(outYear),APS37+APS42+#REF!+#REF!,"")</f>
        <v/>
      </c>
      <c r="APT57" s="82" t="str">
        <f>IF(ISNUMBER(outYear),APT37+APT42+#REF!+#REF!,"")</f>
        <v/>
      </c>
      <c r="APU57" s="82" t="str">
        <f>IF(ISNUMBER(outYear),APU37+APU42+#REF!+#REF!,"")</f>
        <v/>
      </c>
      <c r="APV57" s="82" t="str">
        <f>IF(ISNUMBER(outYear),APV37+APV42+#REF!+#REF!,"")</f>
        <v/>
      </c>
      <c r="APW57" s="82" t="str">
        <f>IF(ISNUMBER(outYear),APW37+APW42+#REF!+#REF!,"")</f>
        <v/>
      </c>
      <c r="APX57" s="82" t="str">
        <f>IF(ISNUMBER(outYear),APX37+APX42+#REF!+#REF!,"")</f>
        <v/>
      </c>
      <c r="APY57" s="82" t="str">
        <f>IF(ISNUMBER(outYear),APY37+APY42+#REF!+#REF!,"")</f>
        <v/>
      </c>
      <c r="APZ57" s="82" t="str">
        <f>IF(ISNUMBER(outYear),APZ37+APZ42+#REF!+#REF!,"")</f>
        <v/>
      </c>
      <c r="AQA57" s="82" t="str">
        <f>IF(ISNUMBER(outYear),AQA37+AQA42+#REF!+#REF!,"")</f>
        <v/>
      </c>
      <c r="AQB57" s="82" t="str">
        <f>IF(ISNUMBER(outYear),AQB37+AQB42+#REF!+#REF!,"")</f>
        <v/>
      </c>
      <c r="AQC57" s="82" t="str">
        <f>IF(ISNUMBER(outYear),AQC37+AQC42+#REF!+#REF!,"")</f>
        <v/>
      </c>
      <c r="AQD57" s="82" t="str">
        <f>IF(ISNUMBER(outYear),AQD37+AQD42+#REF!+#REF!,"")</f>
        <v/>
      </c>
      <c r="AQE57" s="82" t="str">
        <f>IF(ISNUMBER(outYear),AQE37+AQE42+#REF!+#REF!,"")</f>
        <v/>
      </c>
      <c r="AQF57" s="82" t="str">
        <f>IF(ISNUMBER(outYear),AQF37+AQF42+#REF!+#REF!,"")</f>
        <v/>
      </c>
      <c r="AQG57" s="82" t="str">
        <f>IF(ISNUMBER(outYear),AQG37+AQG42+#REF!+#REF!,"")</f>
        <v/>
      </c>
      <c r="AQH57" s="82" t="str">
        <f>IF(ISNUMBER(outYear),AQH37+AQH42+#REF!+#REF!,"")</f>
        <v/>
      </c>
      <c r="AQI57" s="82" t="str">
        <f>IF(ISNUMBER(outYear),AQI37+AQI42+#REF!+#REF!,"")</f>
        <v/>
      </c>
      <c r="AQJ57" s="82" t="str">
        <f>IF(ISNUMBER(outYear),AQJ37+AQJ42+#REF!+#REF!,"")</f>
        <v/>
      </c>
      <c r="AQK57" s="82" t="str">
        <f>IF(ISNUMBER(outYear),AQK37+AQK42+#REF!+#REF!,"")</f>
        <v/>
      </c>
      <c r="AQL57" s="82" t="str">
        <f>IF(ISNUMBER(outYear),AQL37+AQL42+#REF!+#REF!,"")</f>
        <v/>
      </c>
      <c r="AQM57" s="82" t="str">
        <f>IF(ISNUMBER(outYear),AQM37+AQM42+#REF!+#REF!,"")</f>
        <v/>
      </c>
      <c r="AQN57" s="82" t="str">
        <f>IF(ISNUMBER(outYear),AQN37+AQN42+#REF!+#REF!,"")</f>
        <v/>
      </c>
      <c r="AQO57" s="82" t="str">
        <f>IF(ISNUMBER(outYear),AQO37+AQO42+#REF!+#REF!,"")</f>
        <v/>
      </c>
      <c r="AQP57" s="82" t="str">
        <f>IF(ISNUMBER(outYear),AQP37+AQP42+#REF!+#REF!,"")</f>
        <v/>
      </c>
      <c r="AQQ57" s="82" t="str">
        <f>IF(ISNUMBER(outYear),AQQ37+AQQ42+#REF!+#REF!,"")</f>
        <v/>
      </c>
      <c r="AQR57" s="82" t="str">
        <f>IF(ISNUMBER(outYear),AQR37+AQR42+#REF!+#REF!,"")</f>
        <v/>
      </c>
      <c r="AQS57" s="82" t="str">
        <f>IF(ISNUMBER(outYear),AQS37+AQS42+#REF!+#REF!,"")</f>
        <v/>
      </c>
      <c r="AQT57" s="82" t="str">
        <f>IF(ISNUMBER(outYear),AQT37+AQT42+#REF!+#REF!,"")</f>
        <v/>
      </c>
      <c r="AQU57" s="82" t="str">
        <f>IF(ISNUMBER(outYear),AQU37+AQU42+#REF!+#REF!,"")</f>
        <v/>
      </c>
      <c r="AQV57" s="82" t="str">
        <f>IF(ISNUMBER(outYear),AQV37+AQV42+#REF!+#REF!,"")</f>
        <v/>
      </c>
      <c r="AQW57" s="82" t="str">
        <f>IF(ISNUMBER(outYear),AQW37+AQW42+#REF!+#REF!,"")</f>
        <v/>
      </c>
      <c r="AQX57" s="82" t="str">
        <f>IF(ISNUMBER(outYear),AQX37+AQX42+#REF!+#REF!,"")</f>
        <v/>
      </c>
      <c r="AQY57" s="82" t="str">
        <f>IF(ISNUMBER(outYear),AQY37+AQY42+#REF!+#REF!,"")</f>
        <v/>
      </c>
      <c r="AQZ57" s="82" t="str">
        <f>IF(ISNUMBER(outYear),AQZ37+AQZ42+#REF!+#REF!,"")</f>
        <v/>
      </c>
      <c r="ARA57" s="82" t="str">
        <f>IF(ISNUMBER(outYear),ARA37+ARA42+#REF!+#REF!,"")</f>
        <v/>
      </c>
      <c r="ARB57" s="82" t="str">
        <f>IF(ISNUMBER(outYear),ARB37+ARB42+#REF!+#REF!,"")</f>
        <v/>
      </c>
      <c r="ARC57" s="82" t="str">
        <f>IF(ISNUMBER(outYear),ARC37+ARC42+#REF!+#REF!,"")</f>
        <v/>
      </c>
      <c r="ARD57" s="82" t="str">
        <f>IF(ISNUMBER(outYear),ARD37+ARD42+#REF!+#REF!,"")</f>
        <v/>
      </c>
      <c r="ARE57" s="82" t="str">
        <f>IF(ISNUMBER(outYear),ARE37+ARE42+#REF!+#REF!,"")</f>
        <v/>
      </c>
      <c r="ARF57" s="82" t="str">
        <f>IF(ISNUMBER(outYear),ARF37+ARF42+#REF!+#REF!,"")</f>
        <v/>
      </c>
      <c r="ARG57" s="82" t="str">
        <f>IF(ISNUMBER(outYear),ARG37+ARG42+#REF!+#REF!,"")</f>
        <v/>
      </c>
      <c r="ARH57" s="82" t="str">
        <f>IF(ISNUMBER(outYear),ARH37+ARH42+#REF!+#REF!,"")</f>
        <v/>
      </c>
      <c r="ARI57" s="82" t="str">
        <f>IF(ISNUMBER(outYear),ARI37+ARI42+#REF!+#REF!,"")</f>
        <v/>
      </c>
      <c r="ARJ57" s="82" t="str">
        <f>IF(ISNUMBER(outYear),ARJ37+ARJ42+#REF!+#REF!,"")</f>
        <v/>
      </c>
      <c r="ARK57" s="82" t="str">
        <f>IF(ISNUMBER(outYear),ARK37+ARK42+#REF!+#REF!,"")</f>
        <v/>
      </c>
      <c r="ARL57" s="82" t="str">
        <f>IF(ISNUMBER(outYear),ARL37+ARL42+#REF!+#REF!,"")</f>
        <v/>
      </c>
      <c r="ARM57" s="82" t="str">
        <f>IF(ISNUMBER(outYear),ARM37+ARM42+#REF!+#REF!,"")</f>
        <v/>
      </c>
      <c r="ARN57" s="82" t="str">
        <f>IF(ISNUMBER(outYear),ARN37+ARN42+#REF!+#REF!,"")</f>
        <v/>
      </c>
      <c r="ARO57" s="82" t="str">
        <f>IF(ISNUMBER(outYear),ARO37+ARO42+#REF!+#REF!,"")</f>
        <v/>
      </c>
      <c r="ARP57" s="82" t="str">
        <f>IF(ISNUMBER(outYear),ARP37+ARP42+#REF!+#REF!,"")</f>
        <v/>
      </c>
      <c r="ARQ57" s="82" t="str">
        <f>IF(ISNUMBER(outYear),ARQ37+ARQ42+#REF!+#REF!,"")</f>
        <v/>
      </c>
      <c r="ARR57" s="82" t="str">
        <f>IF(ISNUMBER(outYear),ARR37+ARR42+#REF!+#REF!,"")</f>
        <v/>
      </c>
      <c r="ARS57" s="82" t="str">
        <f>IF(ISNUMBER(outYear),ARS37+ARS42+#REF!+#REF!,"")</f>
        <v/>
      </c>
      <c r="ART57" s="82" t="str">
        <f>IF(ISNUMBER(outYear),ART37+ART42+#REF!+#REF!,"")</f>
        <v/>
      </c>
      <c r="ARU57" s="82" t="str">
        <f>IF(ISNUMBER(outYear),ARU37+ARU42+#REF!+#REF!,"")</f>
        <v/>
      </c>
      <c r="ARV57" s="82" t="str">
        <f>IF(ISNUMBER(outYear),ARV37+ARV42+#REF!+#REF!,"")</f>
        <v/>
      </c>
      <c r="ARW57" s="82" t="str">
        <f>IF(ISNUMBER(outYear),ARW37+ARW42+#REF!+#REF!,"")</f>
        <v/>
      </c>
      <c r="ARX57" s="82" t="str">
        <f>IF(ISNUMBER(outYear),ARX37+ARX42+#REF!+#REF!,"")</f>
        <v/>
      </c>
      <c r="ARY57" s="82" t="str">
        <f>IF(ISNUMBER(outYear),ARY37+ARY42+#REF!+#REF!,"")</f>
        <v/>
      </c>
      <c r="ARZ57" s="82" t="str">
        <f>IF(ISNUMBER(outYear),ARZ37+ARZ42+#REF!+#REF!,"")</f>
        <v/>
      </c>
      <c r="ASA57" s="82" t="str">
        <f>IF(ISNUMBER(outYear),ASA37+ASA42+#REF!+#REF!,"")</f>
        <v/>
      </c>
      <c r="ASB57" s="82" t="str">
        <f>IF(ISNUMBER(outYear),ASB37+ASB42+#REF!+#REF!,"")</f>
        <v/>
      </c>
      <c r="ASC57" s="82" t="str">
        <f>IF(ISNUMBER(outYear),ASC37+ASC42+#REF!+#REF!,"")</f>
        <v/>
      </c>
      <c r="ASD57" s="82" t="str">
        <f>IF(ISNUMBER(outYear),ASD37+ASD42+#REF!+#REF!,"")</f>
        <v/>
      </c>
      <c r="ASE57" s="82" t="str">
        <f>IF(ISNUMBER(outYear),ASE37+ASE42+#REF!+#REF!,"")</f>
        <v/>
      </c>
      <c r="ASF57" s="82" t="str">
        <f>IF(ISNUMBER(outYear),ASF37+ASF42+#REF!+#REF!,"")</f>
        <v/>
      </c>
      <c r="ASG57" s="82" t="str">
        <f>IF(ISNUMBER(outYear),ASG37+ASG42+#REF!+#REF!,"")</f>
        <v/>
      </c>
      <c r="ASH57" s="82" t="str">
        <f>IF(ISNUMBER(outYear),ASH37+ASH42+#REF!+#REF!,"")</f>
        <v/>
      </c>
      <c r="ASI57" s="82" t="str">
        <f>IF(ISNUMBER(outYear),ASI37+ASI42+#REF!+#REF!,"")</f>
        <v/>
      </c>
      <c r="ASJ57" s="82" t="str">
        <f>IF(ISNUMBER(outYear),ASJ37+ASJ42+#REF!+#REF!,"")</f>
        <v/>
      </c>
      <c r="ASK57" s="82" t="str">
        <f>IF(ISNUMBER(outYear),ASK37+ASK42+#REF!+#REF!,"")</f>
        <v/>
      </c>
      <c r="ASL57" s="82" t="str">
        <f>IF(ISNUMBER(outYear),ASL37+ASL42+#REF!+#REF!,"")</f>
        <v/>
      </c>
      <c r="ASM57" s="82" t="str">
        <f>IF(ISNUMBER(outYear),ASM37+ASM42+#REF!+#REF!,"")</f>
        <v/>
      </c>
      <c r="ASN57" s="82" t="str">
        <f>IF(ISNUMBER(outYear),ASN37+ASN42+#REF!+#REF!,"")</f>
        <v/>
      </c>
      <c r="ASO57" s="82" t="str">
        <f>IF(ISNUMBER(outYear),ASO37+ASO42+#REF!+#REF!,"")</f>
        <v/>
      </c>
      <c r="ASP57" s="82" t="str">
        <f>IF(ISNUMBER(outYear),ASP37+ASP42+#REF!+#REF!,"")</f>
        <v/>
      </c>
      <c r="ASQ57" s="82" t="str">
        <f>IF(ISNUMBER(outYear),ASQ37+ASQ42+#REF!+#REF!,"")</f>
        <v/>
      </c>
      <c r="ASR57" s="82" t="str">
        <f>IF(ISNUMBER(outYear),ASR37+ASR42+#REF!+#REF!,"")</f>
        <v/>
      </c>
      <c r="ASS57" s="82" t="str">
        <f>IF(ISNUMBER(outYear),ASS37+ASS42+#REF!+#REF!,"")</f>
        <v/>
      </c>
      <c r="AST57" s="82" t="str">
        <f>IF(ISNUMBER(outYear),AST37+AST42+#REF!+#REF!,"")</f>
        <v/>
      </c>
      <c r="ASU57" s="82" t="str">
        <f>IF(ISNUMBER(outYear),ASU37+ASU42+#REF!+#REF!,"")</f>
        <v/>
      </c>
      <c r="ASV57" s="82" t="str">
        <f>IF(ISNUMBER(outYear),ASV37+ASV42+#REF!+#REF!,"")</f>
        <v/>
      </c>
      <c r="ASW57" s="82" t="str">
        <f>IF(ISNUMBER(outYear),ASW37+ASW42+#REF!+#REF!,"")</f>
        <v/>
      </c>
      <c r="ASX57" s="82" t="str">
        <f>IF(ISNUMBER(outYear),ASX37+ASX42+#REF!+#REF!,"")</f>
        <v/>
      </c>
      <c r="ASY57" s="82" t="str">
        <f>IF(ISNUMBER(outYear),ASY37+ASY42+#REF!+#REF!,"")</f>
        <v/>
      </c>
      <c r="ASZ57" s="82" t="str">
        <f>IF(ISNUMBER(outYear),ASZ37+ASZ42+#REF!+#REF!,"")</f>
        <v/>
      </c>
      <c r="ATA57" s="82" t="str">
        <f>IF(ISNUMBER(outYear),ATA37+ATA42+#REF!+#REF!,"")</f>
        <v/>
      </c>
      <c r="ATB57" s="82" t="str">
        <f>IF(ISNUMBER(outYear),ATB37+ATB42+#REF!+#REF!,"")</f>
        <v/>
      </c>
      <c r="ATC57" s="82" t="str">
        <f>IF(ISNUMBER(outYear),ATC37+ATC42+#REF!+#REF!,"")</f>
        <v/>
      </c>
      <c r="ATD57" s="82" t="str">
        <f>IF(ISNUMBER(outYear),ATD37+ATD42+#REF!+#REF!,"")</f>
        <v/>
      </c>
      <c r="ATE57" s="82" t="str">
        <f>IF(ISNUMBER(outYear),ATE37+ATE42+#REF!+#REF!,"")</f>
        <v/>
      </c>
      <c r="ATF57" s="82" t="str">
        <f>IF(ISNUMBER(outYear),ATF37+ATF42+#REF!+#REF!,"")</f>
        <v/>
      </c>
      <c r="ATG57" s="82" t="str">
        <f>IF(ISNUMBER(outYear),ATG37+ATG42+#REF!+#REF!,"")</f>
        <v/>
      </c>
      <c r="ATH57" s="82" t="str">
        <f>IF(ISNUMBER(outYear),ATH37+ATH42+#REF!+#REF!,"")</f>
        <v/>
      </c>
      <c r="ATI57" s="82" t="str">
        <f>IF(ISNUMBER(outYear),ATI37+ATI42+#REF!+#REF!,"")</f>
        <v/>
      </c>
      <c r="ATJ57" s="82" t="str">
        <f>IF(ISNUMBER(outYear),ATJ37+ATJ42+#REF!+#REF!,"")</f>
        <v/>
      </c>
      <c r="ATK57" s="82" t="str">
        <f>IF(ISNUMBER(outYear),ATK37+ATK42+#REF!+#REF!,"")</f>
        <v/>
      </c>
      <c r="ATL57" s="82" t="str">
        <f>IF(ISNUMBER(outYear),ATL37+ATL42+#REF!+#REF!,"")</f>
        <v/>
      </c>
      <c r="ATM57" s="82" t="str">
        <f>IF(ISNUMBER(outYear),ATM37+ATM42+#REF!+#REF!,"")</f>
        <v/>
      </c>
      <c r="ATN57" s="82" t="str">
        <f>IF(ISNUMBER(outYear),ATN37+ATN42+#REF!+#REF!,"")</f>
        <v/>
      </c>
      <c r="ATO57" s="82" t="str">
        <f>IF(ISNUMBER(outYear),ATO37+ATO42+#REF!+#REF!,"")</f>
        <v/>
      </c>
      <c r="ATP57" s="82" t="str">
        <f>IF(ISNUMBER(outYear),ATP37+ATP42+#REF!+#REF!,"")</f>
        <v/>
      </c>
      <c r="ATQ57" s="82" t="str">
        <f>IF(ISNUMBER(outYear),ATQ37+ATQ42+#REF!+#REF!,"")</f>
        <v/>
      </c>
      <c r="ATR57" s="82" t="str">
        <f>IF(ISNUMBER(outYear),ATR37+ATR42+#REF!+#REF!,"")</f>
        <v/>
      </c>
      <c r="ATS57" s="82" t="str">
        <f>IF(ISNUMBER(outYear),ATS37+ATS42+#REF!+#REF!,"")</f>
        <v/>
      </c>
      <c r="ATT57" s="82" t="str">
        <f>IF(ISNUMBER(outYear),ATT37+ATT42+#REF!+#REF!,"")</f>
        <v/>
      </c>
      <c r="ATU57" s="82" t="str">
        <f>IF(ISNUMBER(outYear),ATU37+ATU42+#REF!+#REF!,"")</f>
        <v/>
      </c>
      <c r="ATV57" s="82" t="str">
        <f>IF(ISNUMBER(outYear),ATV37+ATV42+#REF!+#REF!,"")</f>
        <v/>
      </c>
      <c r="ATW57" s="82" t="str">
        <f>IF(ISNUMBER(outYear),ATW37+ATW42+#REF!+#REF!,"")</f>
        <v/>
      </c>
      <c r="ATX57" s="82" t="str">
        <f>IF(ISNUMBER(outYear),ATX37+ATX42+#REF!+#REF!,"")</f>
        <v/>
      </c>
      <c r="ATY57" s="82" t="str">
        <f>IF(ISNUMBER(outYear),ATY37+ATY42+#REF!+#REF!,"")</f>
        <v/>
      </c>
      <c r="ATZ57" s="82" t="str">
        <f>IF(ISNUMBER(outYear),ATZ37+ATZ42+#REF!+#REF!,"")</f>
        <v/>
      </c>
      <c r="AUA57" s="82" t="str">
        <f>IF(ISNUMBER(outYear),AUA37+AUA42+#REF!+#REF!,"")</f>
        <v/>
      </c>
      <c r="AUB57" s="82" t="str">
        <f>IF(ISNUMBER(outYear),AUB37+AUB42+#REF!+#REF!,"")</f>
        <v/>
      </c>
      <c r="AUC57" s="82" t="str">
        <f>IF(ISNUMBER(outYear),AUC37+AUC42+#REF!+#REF!,"")</f>
        <v/>
      </c>
      <c r="AUD57" s="82" t="str">
        <f>IF(ISNUMBER(outYear),AUD37+AUD42+#REF!+#REF!,"")</f>
        <v/>
      </c>
      <c r="AUE57" s="82" t="str">
        <f>IF(ISNUMBER(outYear),AUE37+AUE42+#REF!+#REF!,"")</f>
        <v/>
      </c>
      <c r="AUF57" s="82" t="str">
        <f>IF(ISNUMBER(outYear),AUF37+AUF42+#REF!+#REF!,"")</f>
        <v/>
      </c>
      <c r="AUG57" s="82" t="str">
        <f>IF(ISNUMBER(outYear),AUG37+AUG42+#REF!+#REF!,"")</f>
        <v/>
      </c>
      <c r="AUH57" s="82" t="str">
        <f>IF(ISNUMBER(outYear),AUH37+AUH42+#REF!+#REF!,"")</f>
        <v/>
      </c>
      <c r="AUI57" s="82" t="str">
        <f>IF(ISNUMBER(outYear),AUI37+AUI42+#REF!+#REF!,"")</f>
        <v/>
      </c>
      <c r="AUJ57" s="82" t="str">
        <f>IF(ISNUMBER(outYear),AUJ37+AUJ42+#REF!+#REF!,"")</f>
        <v/>
      </c>
      <c r="AUK57" s="82" t="str">
        <f>IF(ISNUMBER(outYear),AUK37+AUK42+#REF!+#REF!,"")</f>
        <v/>
      </c>
      <c r="AUL57" s="82" t="str">
        <f>IF(ISNUMBER(outYear),AUL37+AUL42+#REF!+#REF!,"")</f>
        <v/>
      </c>
      <c r="AUM57" s="82" t="str">
        <f>IF(ISNUMBER(outYear),AUM37+AUM42+#REF!+#REF!,"")</f>
        <v/>
      </c>
      <c r="AUN57" s="82" t="str">
        <f>IF(ISNUMBER(outYear),AUN37+AUN42+#REF!+#REF!,"")</f>
        <v/>
      </c>
      <c r="AUO57" s="82" t="str">
        <f>IF(ISNUMBER(outYear),AUO37+AUO42+#REF!+#REF!,"")</f>
        <v/>
      </c>
      <c r="AUP57" s="82" t="str">
        <f>IF(ISNUMBER(outYear),AUP37+AUP42+#REF!+#REF!,"")</f>
        <v/>
      </c>
      <c r="AUQ57" s="82" t="str">
        <f>IF(ISNUMBER(outYear),AUQ37+AUQ42+#REF!+#REF!,"")</f>
        <v/>
      </c>
      <c r="AUR57" s="82" t="str">
        <f>IF(ISNUMBER(outYear),AUR37+AUR42+#REF!+#REF!,"")</f>
        <v/>
      </c>
      <c r="AUS57" s="82" t="str">
        <f>IF(ISNUMBER(outYear),AUS37+AUS42+#REF!+#REF!,"")</f>
        <v/>
      </c>
      <c r="AUT57" s="82" t="str">
        <f>IF(ISNUMBER(outYear),AUT37+AUT42+#REF!+#REF!,"")</f>
        <v/>
      </c>
      <c r="AUU57" s="82" t="str">
        <f>IF(ISNUMBER(outYear),AUU37+AUU42+#REF!+#REF!,"")</f>
        <v/>
      </c>
      <c r="AUV57" s="82" t="str">
        <f>IF(ISNUMBER(outYear),AUV37+AUV42+#REF!+#REF!,"")</f>
        <v/>
      </c>
      <c r="AUW57" s="82" t="str">
        <f>IF(ISNUMBER(outYear),AUW37+AUW42+#REF!+#REF!,"")</f>
        <v/>
      </c>
      <c r="AUX57" s="82" t="str">
        <f>IF(ISNUMBER(outYear),AUX37+AUX42+#REF!+#REF!,"")</f>
        <v/>
      </c>
      <c r="AUY57" s="82" t="str">
        <f>IF(ISNUMBER(outYear),AUY37+AUY42+#REF!+#REF!,"")</f>
        <v/>
      </c>
      <c r="AUZ57" s="82" t="str">
        <f>IF(ISNUMBER(outYear),AUZ37+AUZ42+#REF!+#REF!,"")</f>
        <v/>
      </c>
      <c r="AVA57" s="82" t="str">
        <f>IF(ISNUMBER(outYear),AVA37+AVA42+#REF!+#REF!,"")</f>
        <v/>
      </c>
      <c r="AVB57" s="82" t="str">
        <f>IF(ISNUMBER(outYear),AVB37+AVB42+#REF!+#REF!,"")</f>
        <v/>
      </c>
      <c r="AVC57" s="82" t="str">
        <f>IF(ISNUMBER(outYear),AVC37+AVC42+#REF!+#REF!,"")</f>
        <v/>
      </c>
      <c r="AVD57" s="82" t="str">
        <f>IF(ISNUMBER(outYear),AVD37+AVD42+#REF!+#REF!,"")</f>
        <v/>
      </c>
      <c r="AVE57" s="82" t="str">
        <f>IF(ISNUMBER(outYear),AVE37+AVE42+#REF!+#REF!,"")</f>
        <v/>
      </c>
      <c r="AVF57" s="82" t="str">
        <f>IF(ISNUMBER(outYear),AVF37+AVF42+#REF!+#REF!,"")</f>
        <v/>
      </c>
      <c r="AVG57" s="82" t="str">
        <f>IF(ISNUMBER(outYear),AVG37+AVG42+#REF!+#REF!,"")</f>
        <v/>
      </c>
      <c r="AVH57" s="82" t="str">
        <f>IF(ISNUMBER(outYear),AVH37+AVH42+#REF!+#REF!,"")</f>
        <v/>
      </c>
      <c r="AVI57" s="82" t="str">
        <f>IF(ISNUMBER(outYear),AVI37+AVI42+#REF!+#REF!,"")</f>
        <v/>
      </c>
      <c r="AVJ57" s="82" t="str">
        <f>IF(ISNUMBER(outYear),AVJ37+AVJ42+#REF!+#REF!,"")</f>
        <v/>
      </c>
      <c r="AVK57" s="82" t="str">
        <f>IF(ISNUMBER(outYear),AVK37+AVK42+#REF!+#REF!,"")</f>
        <v/>
      </c>
      <c r="AVL57" s="82" t="str">
        <f>IF(ISNUMBER(outYear),AVL37+AVL42+#REF!+#REF!,"")</f>
        <v/>
      </c>
      <c r="AVM57" s="82" t="str">
        <f>IF(ISNUMBER(outYear),AVM37+AVM42+#REF!+#REF!,"")</f>
        <v/>
      </c>
      <c r="AVN57" s="82" t="str">
        <f>IF(ISNUMBER(outYear),AVN37+AVN42+#REF!+#REF!,"")</f>
        <v/>
      </c>
      <c r="AVO57" s="82" t="str">
        <f>IF(ISNUMBER(outYear),AVO37+AVO42+#REF!+#REF!,"")</f>
        <v/>
      </c>
      <c r="AVP57" s="82" t="str">
        <f>IF(ISNUMBER(outYear),AVP37+AVP42+#REF!+#REF!,"")</f>
        <v/>
      </c>
      <c r="AVQ57" s="82" t="str">
        <f>IF(ISNUMBER(outYear),AVQ37+AVQ42+#REF!+#REF!,"")</f>
        <v/>
      </c>
      <c r="AVR57" s="82" t="str">
        <f>IF(ISNUMBER(outYear),AVR37+AVR42+#REF!+#REF!,"")</f>
        <v/>
      </c>
      <c r="AVS57" s="82" t="str">
        <f>IF(ISNUMBER(outYear),AVS37+AVS42+#REF!+#REF!,"")</f>
        <v/>
      </c>
      <c r="AVT57" s="82" t="str">
        <f>IF(ISNUMBER(outYear),AVT37+AVT42+#REF!+#REF!,"")</f>
        <v/>
      </c>
      <c r="AVU57" s="82" t="str">
        <f>IF(ISNUMBER(outYear),AVU37+AVU42+#REF!+#REF!,"")</f>
        <v/>
      </c>
      <c r="AVV57" s="82" t="str">
        <f>IF(ISNUMBER(outYear),AVV37+AVV42+#REF!+#REF!,"")</f>
        <v/>
      </c>
      <c r="AVW57" s="82" t="str">
        <f>IF(ISNUMBER(outYear),AVW37+AVW42+#REF!+#REF!,"")</f>
        <v/>
      </c>
      <c r="AVX57" s="82" t="str">
        <f>IF(ISNUMBER(outYear),AVX37+AVX42+#REF!+#REF!,"")</f>
        <v/>
      </c>
      <c r="AVY57" s="82" t="str">
        <f>IF(ISNUMBER(outYear),AVY37+AVY42+#REF!+#REF!,"")</f>
        <v/>
      </c>
      <c r="AVZ57" s="82" t="str">
        <f>IF(ISNUMBER(outYear),AVZ37+AVZ42+#REF!+#REF!,"")</f>
        <v/>
      </c>
      <c r="AWA57" s="82" t="str">
        <f>IF(ISNUMBER(outYear),AWA37+AWA42+#REF!+#REF!,"")</f>
        <v/>
      </c>
      <c r="AWB57" s="82" t="str">
        <f>IF(ISNUMBER(outYear),AWB37+AWB42+#REF!+#REF!,"")</f>
        <v/>
      </c>
      <c r="AWC57" s="82" t="str">
        <f>IF(ISNUMBER(outYear),AWC37+AWC42+#REF!+#REF!,"")</f>
        <v/>
      </c>
      <c r="AWD57" s="82" t="str">
        <f>IF(ISNUMBER(outYear),AWD37+AWD42+#REF!+#REF!,"")</f>
        <v/>
      </c>
      <c r="AWE57" s="82" t="str">
        <f>IF(ISNUMBER(outYear),AWE37+AWE42+#REF!+#REF!,"")</f>
        <v/>
      </c>
      <c r="AWF57" s="82" t="str">
        <f>IF(ISNUMBER(outYear),AWF37+AWF42+#REF!+#REF!,"")</f>
        <v/>
      </c>
      <c r="AWG57" s="82" t="str">
        <f>IF(ISNUMBER(outYear),AWG37+AWG42+#REF!+#REF!,"")</f>
        <v/>
      </c>
      <c r="AWH57" s="82" t="str">
        <f>IF(ISNUMBER(outYear),AWH37+AWH42+#REF!+#REF!,"")</f>
        <v/>
      </c>
      <c r="AWI57" s="82" t="str">
        <f>IF(ISNUMBER(outYear),AWI37+AWI42+#REF!+#REF!,"")</f>
        <v/>
      </c>
      <c r="AWJ57" s="82" t="str">
        <f>IF(ISNUMBER(outYear),AWJ37+AWJ42+#REF!+#REF!,"")</f>
        <v/>
      </c>
      <c r="AWK57" s="82" t="str">
        <f>IF(ISNUMBER(outYear),AWK37+AWK42+#REF!+#REF!,"")</f>
        <v/>
      </c>
      <c r="AWL57" s="82" t="str">
        <f>IF(ISNUMBER(outYear),AWL37+AWL42+#REF!+#REF!,"")</f>
        <v/>
      </c>
      <c r="AWM57" s="82" t="str">
        <f>IF(ISNUMBER(outYear),AWM37+AWM42+#REF!+#REF!,"")</f>
        <v/>
      </c>
      <c r="AWN57" s="82" t="str">
        <f>IF(ISNUMBER(outYear),AWN37+AWN42+#REF!+#REF!,"")</f>
        <v/>
      </c>
      <c r="AWO57" s="82" t="str">
        <f>IF(ISNUMBER(outYear),AWO37+AWO42+#REF!+#REF!,"")</f>
        <v/>
      </c>
      <c r="AWP57" s="82" t="str">
        <f>IF(ISNUMBER(outYear),AWP37+AWP42+#REF!+#REF!,"")</f>
        <v/>
      </c>
      <c r="AWQ57" s="82" t="str">
        <f>IF(ISNUMBER(outYear),AWQ37+AWQ42+#REF!+#REF!,"")</f>
        <v/>
      </c>
      <c r="AWR57" s="82" t="str">
        <f>IF(ISNUMBER(outYear),AWR37+AWR42+#REF!+#REF!,"")</f>
        <v/>
      </c>
      <c r="AWS57" s="82" t="str">
        <f>IF(ISNUMBER(outYear),AWS37+AWS42+#REF!+#REF!,"")</f>
        <v/>
      </c>
      <c r="AWT57" s="82" t="str">
        <f>IF(ISNUMBER(outYear),AWT37+AWT42+#REF!+#REF!,"")</f>
        <v/>
      </c>
      <c r="AWU57" s="82" t="str">
        <f>IF(ISNUMBER(outYear),AWU37+AWU42+#REF!+#REF!,"")</f>
        <v/>
      </c>
      <c r="AWV57" s="82" t="str">
        <f>IF(ISNUMBER(outYear),AWV37+AWV42+#REF!+#REF!,"")</f>
        <v/>
      </c>
      <c r="AWW57" s="82" t="str">
        <f>IF(ISNUMBER(outYear),AWW37+AWW42+#REF!+#REF!,"")</f>
        <v/>
      </c>
      <c r="AWX57" s="82" t="str">
        <f>IF(ISNUMBER(outYear),AWX37+AWX42+#REF!+#REF!,"")</f>
        <v/>
      </c>
      <c r="AWY57" s="82" t="str">
        <f>IF(ISNUMBER(outYear),AWY37+AWY42+#REF!+#REF!,"")</f>
        <v/>
      </c>
      <c r="AWZ57" s="82" t="str">
        <f>IF(ISNUMBER(outYear),AWZ37+AWZ42+#REF!+#REF!,"")</f>
        <v/>
      </c>
      <c r="AXA57" s="82" t="str">
        <f>IF(ISNUMBER(outYear),AXA37+AXA42+#REF!+#REF!,"")</f>
        <v/>
      </c>
      <c r="AXB57" s="82" t="str">
        <f>IF(ISNUMBER(outYear),AXB37+AXB42+#REF!+#REF!,"")</f>
        <v/>
      </c>
      <c r="AXC57" s="82" t="str">
        <f>IF(ISNUMBER(outYear),AXC37+AXC42+#REF!+#REF!,"")</f>
        <v/>
      </c>
      <c r="AXD57" s="82" t="str">
        <f>IF(ISNUMBER(outYear),AXD37+AXD42+#REF!+#REF!,"")</f>
        <v/>
      </c>
      <c r="AXE57" s="82" t="str">
        <f>IF(ISNUMBER(outYear),AXE37+AXE42+#REF!+#REF!,"")</f>
        <v/>
      </c>
      <c r="AXF57" s="82" t="str">
        <f>IF(ISNUMBER(outYear),AXF37+AXF42+#REF!+#REF!,"")</f>
        <v/>
      </c>
      <c r="AXG57" s="82" t="str">
        <f>IF(ISNUMBER(outYear),AXG37+AXG42+#REF!+#REF!,"")</f>
        <v/>
      </c>
      <c r="AXH57" s="82" t="str">
        <f>IF(ISNUMBER(outYear),AXH37+AXH42+#REF!+#REF!,"")</f>
        <v/>
      </c>
      <c r="AXI57" s="82" t="str">
        <f>IF(ISNUMBER(outYear),AXI37+AXI42+#REF!+#REF!,"")</f>
        <v/>
      </c>
      <c r="AXJ57" s="82" t="str">
        <f>IF(ISNUMBER(outYear),AXJ37+AXJ42+#REF!+#REF!,"")</f>
        <v/>
      </c>
      <c r="AXK57" s="82" t="str">
        <f>IF(ISNUMBER(outYear),AXK37+AXK42+#REF!+#REF!,"")</f>
        <v/>
      </c>
      <c r="AXL57" s="82" t="str">
        <f>IF(ISNUMBER(outYear),AXL37+AXL42+#REF!+#REF!,"")</f>
        <v/>
      </c>
      <c r="AXM57" s="82" t="str">
        <f>IF(ISNUMBER(outYear),AXM37+AXM42+#REF!+#REF!,"")</f>
        <v/>
      </c>
      <c r="AXN57" s="82" t="str">
        <f>IF(ISNUMBER(outYear),AXN37+AXN42+#REF!+#REF!,"")</f>
        <v/>
      </c>
      <c r="AXO57" s="82" t="str">
        <f>IF(ISNUMBER(outYear),AXO37+AXO42+#REF!+#REF!,"")</f>
        <v/>
      </c>
      <c r="AXP57" s="82" t="str">
        <f>IF(ISNUMBER(outYear),AXP37+AXP42+#REF!+#REF!,"")</f>
        <v/>
      </c>
      <c r="AXQ57" s="82" t="str">
        <f>IF(ISNUMBER(outYear),AXQ37+AXQ42+#REF!+#REF!,"")</f>
        <v/>
      </c>
      <c r="AXR57" s="82" t="str">
        <f>IF(ISNUMBER(outYear),AXR37+AXR42+#REF!+#REF!,"")</f>
        <v/>
      </c>
      <c r="AXS57" s="82" t="str">
        <f>IF(ISNUMBER(outYear),AXS37+AXS42+#REF!+#REF!,"")</f>
        <v/>
      </c>
      <c r="AXT57" s="82" t="str">
        <f>IF(ISNUMBER(outYear),AXT37+AXT42+#REF!+#REF!,"")</f>
        <v/>
      </c>
      <c r="AXU57" s="82" t="str">
        <f>IF(ISNUMBER(outYear),AXU37+AXU42+#REF!+#REF!,"")</f>
        <v/>
      </c>
      <c r="AXV57" s="82" t="str">
        <f>IF(ISNUMBER(outYear),AXV37+AXV42+#REF!+#REF!,"")</f>
        <v/>
      </c>
      <c r="AXW57" s="82" t="str">
        <f>IF(ISNUMBER(outYear),AXW37+AXW42+#REF!+#REF!,"")</f>
        <v/>
      </c>
      <c r="AXX57" s="82" t="str">
        <f>IF(ISNUMBER(outYear),AXX37+AXX42+#REF!+#REF!,"")</f>
        <v/>
      </c>
      <c r="AXY57" s="82" t="str">
        <f>IF(ISNUMBER(outYear),AXY37+AXY42+#REF!+#REF!,"")</f>
        <v/>
      </c>
      <c r="AXZ57" s="82" t="str">
        <f>IF(ISNUMBER(outYear),AXZ37+AXZ42+#REF!+#REF!,"")</f>
        <v/>
      </c>
      <c r="AYA57" s="82" t="str">
        <f>IF(ISNUMBER(outYear),AYA37+AYA42+#REF!+#REF!,"")</f>
        <v/>
      </c>
      <c r="AYB57" s="82" t="str">
        <f>IF(ISNUMBER(outYear),AYB37+AYB42+#REF!+#REF!,"")</f>
        <v/>
      </c>
      <c r="AYC57" s="82" t="str">
        <f>IF(ISNUMBER(outYear),AYC37+AYC42+#REF!+#REF!,"")</f>
        <v/>
      </c>
      <c r="AYD57" s="82" t="str">
        <f>IF(ISNUMBER(outYear),AYD37+AYD42+#REF!+#REF!,"")</f>
        <v/>
      </c>
      <c r="AYE57" s="82" t="str">
        <f>IF(ISNUMBER(outYear),AYE37+AYE42+#REF!+#REF!,"")</f>
        <v/>
      </c>
      <c r="AYF57" s="82" t="str">
        <f>IF(ISNUMBER(outYear),AYF37+AYF42+#REF!+#REF!,"")</f>
        <v/>
      </c>
      <c r="AYG57" s="82" t="str">
        <f>IF(ISNUMBER(outYear),AYG37+AYG42+#REF!+#REF!,"")</f>
        <v/>
      </c>
      <c r="AYH57" s="82" t="str">
        <f>IF(ISNUMBER(outYear),AYH37+AYH42+#REF!+#REF!,"")</f>
        <v/>
      </c>
      <c r="AYI57" s="82" t="str">
        <f>IF(ISNUMBER(outYear),AYI37+AYI42+#REF!+#REF!,"")</f>
        <v/>
      </c>
      <c r="AYJ57" s="82" t="str">
        <f>IF(ISNUMBER(outYear),AYJ37+AYJ42+#REF!+#REF!,"")</f>
        <v/>
      </c>
      <c r="AYK57" s="82" t="str">
        <f>IF(ISNUMBER(outYear),AYK37+AYK42+#REF!+#REF!,"")</f>
        <v/>
      </c>
      <c r="AYL57" s="82" t="str">
        <f>IF(ISNUMBER(outYear),AYL37+AYL42+#REF!+#REF!,"")</f>
        <v/>
      </c>
      <c r="AYM57" s="82" t="str">
        <f>IF(ISNUMBER(outYear),AYM37+AYM42+#REF!+#REF!,"")</f>
        <v/>
      </c>
      <c r="AYN57" s="82" t="str">
        <f>IF(ISNUMBER(outYear),AYN37+AYN42+#REF!+#REF!,"")</f>
        <v/>
      </c>
      <c r="AYO57" s="82" t="str">
        <f>IF(ISNUMBER(outYear),AYO37+AYO42+#REF!+#REF!,"")</f>
        <v/>
      </c>
      <c r="AYP57" s="82" t="str">
        <f>IF(ISNUMBER(outYear),AYP37+AYP42+#REF!+#REF!,"")</f>
        <v/>
      </c>
      <c r="AYQ57" s="82" t="str">
        <f>IF(ISNUMBER(outYear),AYQ37+AYQ42+#REF!+#REF!,"")</f>
        <v/>
      </c>
      <c r="AYR57" s="82" t="str">
        <f>IF(ISNUMBER(outYear),AYR37+AYR42+#REF!+#REF!,"")</f>
        <v/>
      </c>
      <c r="AYS57" s="82" t="str">
        <f>IF(ISNUMBER(outYear),AYS37+AYS42+#REF!+#REF!,"")</f>
        <v/>
      </c>
      <c r="AYT57" s="82" t="str">
        <f>IF(ISNUMBER(outYear),AYT37+AYT42+#REF!+#REF!,"")</f>
        <v/>
      </c>
      <c r="AYU57" s="82" t="str">
        <f>IF(ISNUMBER(outYear),AYU37+AYU42+#REF!+#REF!,"")</f>
        <v/>
      </c>
      <c r="AYV57" s="82" t="str">
        <f>IF(ISNUMBER(outYear),AYV37+AYV42+#REF!+#REF!,"")</f>
        <v/>
      </c>
      <c r="AYW57" s="82" t="str">
        <f>IF(ISNUMBER(outYear),AYW37+AYW42+#REF!+#REF!,"")</f>
        <v/>
      </c>
      <c r="AYX57" s="82" t="str">
        <f>IF(ISNUMBER(outYear),AYX37+AYX42+#REF!+#REF!,"")</f>
        <v/>
      </c>
      <c r="AYY57" s="82" t="str">
        <f>IF(ISNUMBER(outYear),AYY37+AYY42+#REF!+#REF!,"")</f>
        <v/>
      </c>
      <c r="AYZ57" s="82" t="str">
        <f>IF(ISNUMBER(outYear),AYZ37+AYZ42+#REF!+#REF!,"")</f>
        <v/>
      </c>
      <c r="AZA57" s="82" t="str">
        <f>IF(ISNUMBER(outYear),AZA37+AZA42+#REF!+#REF!,"")</f>
        <v/>
      </c>
      <c r="AZB57" s="82" t="str">
        <f>IF(ISNUMBER(outYear),AZB37+AZB42+#REF!+#REF!,"")</f>
        <v/>
      </c>
      <c r="AZC57" s="82" t="str">
        <f>IF(ISNUMBER(outYear),AZC37+AZC42+#REF!+#REF!,"")</f>
        <v/>
      </c>
      <c r="AZD57" s="82" t="str">
        <f>IF(ISNUMBER(outYear),AZD37+AZD42+#REF!+#REF!,"")</f>
        <v/>
      </c>
      <c r="AZE57" s="82" t="str">
        <f>IF(ISNUMBER(outYear),AZE37+AZE42+#REF!+#REF!,"")</f>
        <v/>
      </c>
      <c r="AZF57" s="82" t="str">
        <f>IF(ISNUMBER(outYear),AZF37+AZF42+#REF!+#REF!,"")</f>
        <v/>
      </c>
      <c r="AZG57" s="82" t="str">
        <f>IF(ISNUMBER(outYear),AZG37+AZG42+#REF!+#REF!,"")</f>
        <v/>
      </c>
      <c r="AZH57" s="82" t="str">
        <f>IF(ISNUMBER(outYear),AZH37+AZH42+#REF!+#REF!,"")</f>
        <v/>
      </c>
      <c r="AZI57" s="82" t="str">
        <f>IF(ISNUMBER(outYear),AZI37+AZI42+#REF!+#REF!,"")</f>
        <v/>
      </c>
      <c r="AZJ57" s="82" t="str">
        <f>IF(ISNUMBER(outYear),AZJ37+AZJ42+#REF!+#REF!,"")</f>
        <v/>
      </c>
      <c r="AZK57" s="82" t="str">
        <f>IF(ISNUMBER(outYear),AZK37+AZK42+#REF!+#REF!,"")</f>
        <v/>
      </c>
      <c r="AZL57" s="82" t="str">
        <f>IF(ISNUMBER(outYear),AZL37+AZL42+#REF!+#REF!,"")</f>
        <v/>
      </c>
      <c r="AZM57" s="82" t="str">
        <f>IF(ISNUMBER(outYear),AZM37+AZM42+#REF!+#REF!,"")</f>
        <v/>
      </c>
      <c r="AZN57" s="82" t="str">
        <f>IF(ISNUMBER(outYear),AZN37+AZN42+#REF!+#REF!,"")</f>
        <v/>
      </c>
      <c r="AZO57" s="82" t="str">
        <f>IF(ISNUMBER(outYear),AZO37+AZO42+#REF!+#REF!,"")</f>
        <v/>
      </c>
      <c r="AZP57" s="82" t="str">
        <f>IF(ISNUMBER(outYear),AZP37+AZP42+#REF!+#REF!,"")</f>
        <v/>
      </c>
      <c r="AZQ57" s="82" t="str">
        <f>IF(ISNUMBER(outYear),AZQ37+AZQ42+#REF!+#REF!,"")</f>
        <v/>
      </c>
      <c r="AZR57" s="82" t="str">
        <f>IF(ISNUMBER(outYear),AZR37+AZR42+#REF!+#REF!,"")</f>
        <v/>
      </c>
      <c r="AZS57" s="82" t="str">
        <f>IF(ISNUMBER(outYear),AZS37+AZS42+#REF!+#REF!,"")</f>
        <v/>
      </c>
      <c r="AZT57" s="82" t="str">
        <f>IF(ISNUMBER(outYear),AZT37+AZT42+#REF!+#REF!,"")</f>
        <v/>
      </c>
      <c r="AZU57" s="82" t="str">
        <f>IF(ISNUMBER(outYear),AZU37+AZU42+#REF!+#REF!,"")</f>
        <v/>
      </c>
      <c r="AZV57" s="82" t="str">
        <f>IF(ISNUMBER(outYear),AZV37+AZV42+#REF!+#REF!,"")</f>
        <v/>
      </c>
      <c r="AZW57" s="82" t="str">
        <f>IF(ISNUMBER(outYear),AZW37+AZW42+#REF!+#REF!,"")</f>
        <v/>
      </c>
      <c r="AZX57" s="82" t="str">
        <f>IF(ISNUMBER(outYear),AZX37+AZX42+#REF!+#REF!,"")</f>
        <v/>
      </c>
      <c r="AZY57" s="82" t="str">
        <f>IF(ISNUMBER(outYear),AZY37+AZY42+#REF!+#REF!,"")</f>
        <v/>
      </c>
      <c r="AZZ57" s="82" t="str">
        <f>IF(ISNUMBER(outYear),AZZ37+AZZ42+#REF!+#REF!,"")</f>
        <v/>
      </c>
      <c r="BAA57" s="82" t="str">
        <f>IF(ISNUMBER(outYear),BAA37+BAA42+#REF!+#REF!,"")</f>
        <v/>
      </c>
      <c r="BAB57" s="82" t="str">
        <f>IF(ISNUMBER(outYear),BAB37+BAB42+#REF!+#REF!,"")</f>
        <v/>
      </c>
      <c r="BAC57" s="82" t="str">
        <f>IF(ISNUMBER(outYear),BAC37+BAC42+#REF!+#REF!,"")</f>
        <v/>
      </c>
      <c r="BAD57" s="82" t="str">
        <f>IF(ISNUMBER(outYear),BAD37+BAD42+#REF!+#REF!,"")</f>
        <v/>
      </c>
      <c r="BAE57" s="82" t="str">
        <f>IF(ISNUMBER(outYear),BAE37+BAE42+#REF!+#REF!,"")</f>
        <v/>
      </c>
      <c r="BAF57" s="82" t="str">
        <f>IF(ISNUMBER(outYear),BAF37+BAF42+#REF!+#REF!,"")</f>
        <v/>
      </c>
      <c r="BAG57" s="82" t="str">
        <f>IF(ISNUMBER(outYear),BAG37+BAG42+#REF!+#REF!,"")</f>
        <v/>
      </c>
      <c r="BAH57" s="82" t="str">
        <f>IF(ISNUMBER(outYear),BAH37+BAH42+#REF!+#REF!,"")</f>
        <v/>
      </c>
      <c r="BAI57" s="82" t="str">
        <f>IF(ISNUMBER(outYear),BAI37+BAI42+#REF!+#REF!,"")</f>
        <v/>
      </c>
      <c r="BAJ57" s="82" t="str">
        <f>IF(ISNUMBER(outYear),BAJ37+BAJ42+#REF!+#REF!,"")</f>
        <v/>
      </c>
      <c r="BAK57" s="82" t="str">
        <f>IF(ISNUMBER(outYear),BAK37+BAK42+#REF!+#REF!,"")</f>
        <v/>
      </c>
      <c r="BAL57" s="82" t="str">
        <f>IF(ISNUMBER(outYear),BAL37+BAL42+#REF!+#REF!,"")</f>
        <v/>
      </c>
      <c r="BAM57" s="82" t="str">
        <f>IF(ISNUMBER(outYear),BAM37+BAM42+#REF!+#REF!,"")</f>
        <v/>
      </c>
      <c r="BAN57" s="82" t="str">
        <f>IF(ISNUMBER(outYear),BAN37+BAN42+#REF!+#REF!,"")</f>
        <v/>
      </c>
      <c r="BAO57" s="82" t="str">
        <f>IF(ISNUMBER(outYear),BAO37+BAO42+#REF!+#REF!,"")</f>
        <v/>
      </c>
      <c r="BAP57" s="82" t="str">
        <f>IF(ISNUMBER(outYear),BAP37+BAP42+#REF!+#REF!,"")</f>
        <v/>
      </c>
      <c r="BAQ57" s="82" t="str">
        <f>IF(ISNUMBER(outYear),BAQ37+BAQ42+#REF!+#REF!,"")</f>
        <v/>
      </c>
      <c r="BAR57" s="82" t="str">
        <f>IF(ISNUMBER(outYear),BAR37+BAR42+#REF!+#REF!,"")</f>
        <v/>
      </c>
      <c r="BAS57" s="82" t="str">
        <f>IF(ISNUMBER(outYear),BAS37+BAS42+#REF!+#REF!,"")</f>
        <v/>
      </c>
      <c r="BAT57" s="82" t="str">
        <f>IF(ISNUMBER(outYear),BAT37+BAT42+#REF!+#REF!,"")</f>
        <v/>
      </c>
      <c r="BAU57" s="82" t="str">
        <f>IF(ISNUMBER(outYear),BAU37+BAU42+#REF!+#REF!,"")</f>
        <v/>
      </c>
      <c r="BAV57" s="82" t="str">
        <f>IF(ISNUMBER(outYear),BAV37+BAV42+#REF!+#REF!,"")</f>
        <v/>
      </c>
      <c r="BAW57" s="82" t="str">
        <f>IF(ISNUMBER(outYear),BAW37+BAW42+#REF!+#REF!,"")</f>
        <v/>
      </c>
      <c r="BAX57" s="82" t="str">
        <f>IF(ISNUMBER(outYear),BAX37+BAX42+#REF!+#REF!,"")</f>
        <v/>
      </c>
      <c r="BAY57" s="82" t="str">
        <f>IF(ISNUMBER(outYear),BAY37+BAY42+#REF!+#REF!,"")</f>
        <v/>
      </c>
      <c r="BAZ57" s="82" t="str">
        <f>IF(ISNUMBER(outYear),BAZ37+BAZ42+#REF!+#REF!,"")</f>
        <v/>
      </c>
      <c r="BBA57" s="82" t="str">
        <f>IF(ISNUMBER(outYear),BBA37+BBA42+#REF!+#REF!,"")</f>
        <v/>
      </c>
      <c r="BBB57" s="82" t="str">
        <f>IF(ISNUMBER(outYear),BBB37+BBB42+#REF!+#REF!,"")</f>
        <v/>
      </c>
      <c r="BBC57" s="82" t="str">
        <f>IF(ISNUMBER(outYear),BBC37+BBC42+#REF!+#REF!,"")</f>
        <v/>
      </c>
      <c r="BBD57" s="82" t="str">
        <f>IF(ISNUMBER(outYear),BBD37+BBD42+#REF!+#REF!,"")</f>
        <v/>
      </c>
      <c r="BBE57" s="82" t="str">
        <f>IF(ISNUMBER(outYear),BBE37+BBE42+#REF!+#REF!,"")</f>
        <v/>
      </c>
      <c r="BBF57" s="82" t="str">
        <f>IF(ISNUMBER(outYear),BBF37+BBF42+#REF!+#REF!,"")</f>
        <v/>
      </c>
      <c r="BBG57" s="82" t="str">
        <f>IF(ISNUMBER(outYear),BBG37+BBG42+#REF!+#REF!,"")</f>
        <v/>
      </c>
      <c r="BBH57" s="82" t="str">
        <f>IF(ISNUMBER(outYear),BBH37+BBH42+#REF!+#REF!,"")</f>
        <v/>
      </c>
      <c r="BBI57" s="82" t="str">
        <f>IF(ISNUMBER(outYear),BBI37+BBI42+#REF!+#REF!,"")</f>
        <v/>
      </c>
      <c r="BBJ57" s="82" t="str">
        <f>IF(ISNUMBER(outYear),BBJ37+BBJ42+#REF!+#REF!,"")</f>
        <v/>
      </c>
      <c r="BBK57" s="82" t="str">
        <f>IF(ISNUMBER(outYear),BBK37+BBK42+#REF!+#REF!,"")</f>
        <v/>
      </c>
      <c r="BBL57" s="82" t="str">
        <f>IF(ISNUMBER(outYear),BBL37+BBL42+#REF!+#REF!,"")</f>
        <v/>
      </c>
      <c r="BBM57" s="82" t="str">
        <f>IF(ISNUMBER(outYear),BBM37+BBM42+#REF!+#REF!,"")</f>
        <v/>
      </c>
      <c r="BBN57" s="82" t="str">
        <f>IF(ISNUMBER(outYear),BBN37+BBN42+#REF!+#REF!,"")</f>
        <v/>
      </c>
      <c r="BBO57" s="82" t="str">
        <f>IF(ISNUMBER(outYear),BBO37+BBO42+#REF!+#REF!,"")</f>
        <v/>
      </c>
      <c r="BBP57" s="82" t="str">
        <f>IF(ISNUMBER(outYear),BBP37+BBP42+#REF!+#REF!,"")</f>
        <v/>
      </c>
      <c r="BBQ57" s="82" t="str">
        <f>IF(ISNUMBER(outYear),BBQ37+BBQ42+#REF!+#REF!,"")</f>
        <v/>
      </c>
      <c r="BBR57" s="82" t="str">
        <f>IF(ISNUMBER(outYear),BBR37+BBR42+#REF!+#REF!,"")</f>
        <v/>
      </c>
      <c r="BBS57" s="82" t="str">
        <f>IF(ISNUMBER(outYear),BBS37+BBS42+#REF!+#REF!,"")</f>
        <v/>
      </c>
      <c r="BBT57" s="82" t="str">
        <f>IF(ISNUMBER(outYear),BBT37+BBT42+#REF!+#REF!,"")</f>
        <v/>
      </c>
      <c r="BBU57" s="82" t="str">
        <f>IF(ISNUMBER(outYear),BBU37+BBU42+#REF!+#REF!,"")</f>
        <v/>
      </c>
      <c r="BBV57" s="82" t="str">
        <f>IF(ISNUMBER(outYear),BBV37+BBV42+#REF!+#REF!,"")</f>
        <v/>
      </c>
      <c r="BBW57" s="82" t="str">
        <f>IF(ISNUMBER(outYear),BBW37+BBW42+#REF!+#REF!,"")</f>
        <v/>
      </c>
      <c r="BBX57" s="82" t="str">
        <f>IF(ISNUMBER(outYear),BBX37+BBX42+#REF!+#REF!,"")</f>
        <v/>
      </c>
      <c r="BBY57" s="82" t="str">
        <f>IF(ISNUMBER(outYear),BBY37+BBY42+#REF!+#REF!,"")</f>
        <v/>
      </c>
      <c r="BBZ57" s="82" t="str">
        <f>IF(ISNUMBER(outYear),BBZ37+BBZ42+#REF!+#REF!,"")</f>
        <v/>
      </c>
      <c r="BCA57" s="82" t="str">
        <f>IF(ISNUMBER(outYear),BCA37+BCA42+#REF!+#REF!,"")</f>
        <v/>
      </c>
      <c r="BCB57" s="82" t="str">
        <f>IF(ISNUMBER(outYear),BCB37+BCB42+#REF!+#REF!,"")</f>
        <v/>
      </c>
      <c r="BCC57" s="82" t="str">
        <f>IF(ISNUMBER(outYear),BCC37+BCC42+#REF!+#REF!,"")</f>
        <v/>
      </c>
      <c r="BCD57" s="82" t="str">
        <f>IF(ISNUMBER(outYear),BCD37+BCD42+#REF!+#REF!,"")</f>
        <v/>
      </c>
      <c r="BCE57" s="82" t="str">
        <f>IF(ISNUMBER(outYear),BCE37+BCE42+#REF!+#REF!,"")</f>
        <v/>
      </c>
      <c r="BCF57" s="82" t="str">
        <f>IF(ISNUMBER(outYear),BCF37+BCF42+#REF!+#REF!,"")</f>
        <v/>
      </c>
      <c r="BCG57" s="82" t="str">
        <f>IF(ISNUMBER(outYear),BCG37+BCG42+#REF!+#REF!,"")</f>
        <v/>
      </c>
      <c r="BCH57" s="82" t="str">
        <f>IF(ISNUMBER(outYear),BCH37+BCH42+#REF!+#REF!,"")</f>
        <v/>
      </c>
      <c r="BCI57" s="82" t="str">
        <f>IF(ISNUMBER(outYear),BCI37+BCI42+#REF!+#REF!,"")</f>
        <v/>
      </c>
      <c r="BCJ57" s="82" t="str">
        <f>IF(ISNUMBER(outYear),BCJ37+BCJ42+#REF!+#REF!,"")</f>
        <v/>
      </c>
      <c r="BCK57" s="82" t="str">
        <f>IF(ISNUMBER(outYear),BCK37+BCK42+#REF!+#REF!,"")</f>
        <v/>
      </c>
      <c r="BCL57" s="82" t="str">
        <f>IF(ISNUMBER(outYear),BCL37+BCL42+#REF!+#REF!,"")</f>
        <v/>
      </c>
      <c r="BCM57" s="82" t="str">
        <f>IF(ISNUMBER(outYear),BCM37+BCM42+#REF!+#REF!,"")</f>
        <v/>
      </c>
      <c r="BCN57" s="82" t="str">
        <f>IF(ISNUMBER(outYear),BCN37+BCN42+#REF!+#REF!,"")</f>
        <v/>
      </c>
      <c r="BCO57" s="82" t="str">
        <f>IF(ISNUMBER(outYear),BCO37+BCO42+#REF!+#REF!,"")</f>
        <v/>
      </c>
      <c r="BCP57" s="82" t="str">
        <f>IF(ISNUMBER(outYear),BCP37+BCP42+#REF!+#REF!,"")</f>
        <v/>
      </c>
      <c r="BCQ57" s="82" t="str">
        <f>IF(ISNUMBER(outYear),BCQ37+BCQ42+#REF!+#REF!,"")</f>
        <v/>
      </c>
      <c r="BCR57" s="82" t="str">
        <f>IF(ISNUMBER(outYear),BCR37+BCR42+#REF!+#REF!,"")</f>
        <v/>
      </c>
      <c r="BCS57" s="82" t="str">
        <f>IF(ISNUMBER(outYear),BCS37+BCS42+#REF!+#REF!,"")</f>
        <v/>
      </c>
      <c r="BCT57" s="82" t="str">
        <f>IF(ISNUMBER(outYear),BCT37+BCT42+#REF!+#REF!,"")</f>
        <v/>
      </c>
      <c r="BCU57" s="82" t="str">
        <f>IF(ISNUMBER(outYear),BCU37+BCU42+#REF!+#REF!,"")</f>
        <v/>
      </c>
      <c r="BCV57" s="82" t="str">
        <f>IF(ISNUMBER(outYear),BCV37+BCV42+#REF!+#REF!,"")</f>
        <v/>
      </c>
      <c r="BCW57" s="82" t="str">
        <f>IF(ISNUMBER(outYear),BCW37+BCW42+#REF!+#REF!,"")</f>
        <v/>
      </c>
      <c r="BCX57" s="82" t="str">
        <f>IF(ISNUMBER(outYear),BCX37+BCX42+#REF!+#REF!,"")</f>
        <v/>
      </c>
      <c r="BCY57" s="82" t="str">
        <f>IF(ISNUMBER(outYear),BCY37+BCY42+#REF!+#REF!,"")</f>
        <v/>
      </c>
      <c r="BCZ57" s="82" t="str">
        <f>IF(ISNUMBER(outYear),BCZ37+BCZ42+#REF!+#REF!,"")</f>
        <v/>
      </c>
      <c r="BDA57" s="82" t="str">
        <f>IF(ISNUMBER(outYear),BDA37+BDA42+#REF!+#REF!,"")</f>
        <v/>
      </c>
      <c r="BDB57" s="82" t="str">
        <f>IF(ISNUMBER(outYear),BDB37+BDB42+#REF!+#REF!,"")</f>
        <v/>
      </c>
      <c r="BDC57" s="82" t="str">
        <f>IF(ISNUMBER(outYear),BDC37+BDC42+#REF!+#REF!,"")</f>
        <v/>
      </c>
      <c r="BDD57" s="82" t="str">
        <f>IF(ISNUMBER(outYear),BDD37+BDD42+#REF!+#REF!,"")</f>
        <v/>
      </c>
      <c r="BDE57" s="82" t="str">
        <f>IF(ISNUMBER(outYear),BDE37+BDE42+#REF!+#REF!,"")</f>
        <v/>
      </c>
      <c r="BDF57" s="82" t="str">
        <f>IF(ISNUMBER(outYear),BDF37+BDF42+#REF!+#REF!,"")</f>
        <v/>
      </c>
      <c r="BDG57" s="82" t="str">
        <f>IF(ISNUMBER(outYear),BDG37+BDG42+#REF!+#REF!,"")</f>
        <v/>
      </c>
      <c r="BDH57" s="82" t="str">
        <f>IF(ISNUMBER(outYear),BDH37+BDH42+#REF!+#REF!,"")</f>
        <v/>
      </c>
      <c r="BDI57" s="82" t="str">
        <f>IF(ISNUMBER(outYear),BDI37+BDI42+#REF!+#REF!,"")</f>
        <v/>
      </c>
      <c r="BDJ57" s="82" t="str">
        <f>IF(ISNUMBER(outYear),BDJ37+BDJ42+#REF!+#REF!,"")</f>
        <v/>
      </c>
      <c r="BDK57" s="82" t="str">
        <f>IF(ISNUMBER(outYear),BDK37+BDK42+#REF!+#REF!,"")</f>
        <v/>
      </c>
      <c r="BDL57" s="82" t="str">
        <f>IF(ISNUMBER(outYear),BDL37+BDL42+#REF!+#REF!,"")</f>
        <v/>
      </c>
      <c r="BDM57" s="82" t="str">
        <f>IF(ISNUMBER(outYear),BDM37+BDM42+#REF!+#REF!,"")</f>
        <v/>
      </c>
      <c r="BDN57" s="82" t="str">
        <f>IF(ISNUMBER(outYear),BDN37+BDN42+#REF!+#REF!,"")</f>
        <v/>
      </c>
      <c r="BDO57" s="82" t="str">
        <f>IF(ISNUMBER(outYear),BDO37+BDO42+#REF!+#REF!,"")</f>
        <v/>
      </c>
      <c r="BDP57" s="82" t="str">
        <f>IF(ISNUMBER(outYear),BDP37+BDP42+#REF!+#REF!,"")</f>
        <v/>
      </c>
      <c r="BDQ57" s="82" t="str">
        <f>IF(ISNUMBER(outYear),BDQ37+BDQ42+#REF!+#REF!,"")</f>
        <v/>
      </c>
      <c r="BDR57" s="82" t="str">
        <f>IF(ISNUMBER(outYear),BDR37+BDR42+#REF!+#REF!,"")</f>
        <v/>
      </c>
      <c r="BDS57" s="82" t="str">
        <f>IF(ISNUMBER(outYear),BDS37+BDS42+#REF!+#REF!,"")</f>
        <v/>
      </c>
      <c r="BDT57" s="82" t="str">
        <f>IF(ISNUMBER(outYear),BDT37+BDT42+#REF!+#REF!,"")</f>
        <v/>
      </c>
      <c r="BDU57" s="82" t="str">
        <f>IF(ISNUMBER(outYear),BDU37+BDU42+#REF!+#REF!,"")</f>
        <v/>
      </c>
      <c r="BDV57" s="82" t="str">
        <f>IF(ISNUMBER(outYear),BDV37+BDV42+#REF!+#REF!,"")</f>
        <v/>
      </c>
      <c r="BDW57" s="82" t="str">
        <f>IF(ISNUMBER(outYear),BDW37+BDW42+#REF!+#REF!,"")</f>
        <v/>
      </c>
      <c r="BDX57" s="82" t="str">
        <f>IF(ISNUMBER(outYear),BDX37+BDX42+#REF!+#REF!,"")</f>
        <v/>
      </c>
      <c r="BDY57" s="82" t="str">
        <f>IF(ISNUMBER(outYear),BDY37+BDY42+#REF!+#REF!,"")</f>
        <v/>
      </c>
      <c r="BDZ57" s="82" t="str">
        <f>IF(ISNUMBER(outYear),BDZ37+BDZ42+#REF!+#REF!,"")</f>
        <v/>
      </c>
      <c r="BEA57" s="82" t="str">
        <f>IF(ISNUMBER(outYear),BEA37+BEA42+#REF!+#REF!,"")</f>
        <v/>
      </c>
      <c r="BEB57" s="82" t="str">
        <f>IF(ISNUMBER(outYear),BEB37+BEB42+#REF!+#REF!,"")</f>
        <v/>
      </c>
      <c r="BEC57" s="82" t="str">
        <f>IF(ISNUMBER(outYear),BEC37+BEC42+#REF!+#REF!,"")</f>
        <v/>
      </c>
      <c r="BED57" s="82" t="str">
        <f>IF(ISNUMBER(outYear),BED37+BED42+#REF!+#REF!,"")</f>
        <v/>
      </c>
      <c r="BEE57" s="82" t="str">
        <f>IF(ISNUMBER(outYear),BEE37+BEE42+#REF!+#REF!,"")</f>
        <v/>
      </c>
      <c r="BEF57" s="82" t="str">
        <f>IF(ISNUMBER(outYear),BEF37+BEF42+#REF!+#REF!,"")</f>
        <v/>
      </c>
      <c r="BEG57" s="82" t="str">
        <f>IF(ISNUMBER(outYear),BEG37+BEG42+#REF!+#REF!,"")</f>
        <v/>
      </c>
      <c r="BEH57" s="82" t="str">
        <f>IF(ISNUMBER(outYear),BEH37+BEH42+#REF!+#REF!,"")</f>
        <v/>
      </c>
      <c r="BEI57" s="82" t="str">
        <f>IF(ISNUMBER(outYear),BEI37+BEI42+#REF!+#REF!,"")</f>
        <v/>
      </c>
      <c r="BEJ57" s="82" t="str">
        <f>IF(ISNUMBER(outYear),BEJ37+BEJ42+#REF!+#REF!,"")</f>
        <v/>
      </c>
      <c r="BEK57" s="82" t="str">
        <f>IF(ISNUMBER(outYear),BEK37+BEK42+#REF!+#REF!,"")</f>
        <v/>
      </c>
      <c r="BEL57" s="82" t="str">
        <f>IF(ISNUMBER(outYear),BEL37+BEL42+#REF!+#REF!,"")</f>
        <v/>
      </c>
      <c r="BEM57" s="82" t="str">
        <f>IF(ISNUMBER(outYear),BEM37+BEM42+#REF!+#REF!,"")</f>
        <v/>
      </c>
      <c r="BEN57" s="82" t="str">
        <f>IF(ISNUMBER(outYear),BEN37+BEN42+#REF!+#REF!,"")</f>
        <v/>
      </c>
      <c r="BEO57" s="82" t="str">
        <f>IF(ISNUMBER(outYear),BEO37+BEO42+#REF!+#REF!,"")</f>
        <v/>
      </c>
      <c r="BEP57" s="82" t="str">
        <f>IF(ISNUMBER(outYear),BEP37+BEP42+#REF!+#REF!,"")</f>
        <v/>
      </c>
      <c r="BEQ57" s="82" t="str">
        <f>IF(ISNUMBER(outYear),BEQ37+BEQ42+#REF!+#REF!,"")</f>
        <v/>
      </c>
      <c r="BER57" s="82" t="str">
        <f>IF(ISNUMBER(outYear),BER37+BER42+#REF!+#REF!,"")</f>
        <v/>
      </c>
      <c r="BES57" s="82" t="str">
        <f>IF(ISNUMBER(outYear),BES37+BES42+#REF!+#REF!,"")</f>
        <v/>
      </c>
      <c r="BET57" s="82" t="str">
        <f>IF(ISNUMBER(outYear),BET37+BET42+#REF!+#REF!,"")</f>
        <v/>
      </c>
      <c r="BEU57" s="82" t="str">
        <f>IF(ISNUMBER(outYear),BEU37+BEU42+#REF!+#REF!,"")</f>
        <v/>
      </c>
      <c r="BEV57" s="82" t="str">
        <f>IF(ISNUMBER(outYear),BEV37+BEV42+#REF!+#REF!,"")</f>
        <v/>
      </c>
      <c r="BEW57" s="82" t="str">
        <f>IF(ISNUMBER(outYear),BEW37+BEW42+#REF!+#REF!,"")</f>
        <v/>
      </c>
      <c r="BEX57" s="82" t="str">
        <f>IF(ISNUMBER(outYear),BEX37+BEX42+#REF!+#REF!,"")</f>
        <v/>
      </c>
      <c r="BEY57" s="82" t="str">
        <f>IF(ISNUMBER(outYear),BEY37+BEY42+#REF!+#REF!,"")</f>
        <v/>
      </c>
      <c r="BEZ57" s="82" t="str">
        <f>IF(ISNUMBER(outYear),BEZ37+BEZ42+#REF!+#REF!,"")</f>
        <v/>
      </c>
      <c r="BFA57" s="82" t="str">
        <f>IF(ISNUMBER(outYear),BFA37+BFA42+#REF!+#REF!,"")</f>
        <v/>
      </c>
      <c r="BFB57" s="82" t="str">
        <f>IF(ISNUMBER(outYear),BFB37+BFB42+#REF!+#REF!,"")</f>
        <v/>
      </c>
      <c r="BFC57" s="82" t="str">
        <f>IF(ISNUMBER(outYear),BFC37+BFC42+#REF!+#REF!,"")</f>
        <v/>
      </c>
      <c r="BFD57" s="82" t="str">
        <f>IF(ISNUMBER(outYear),BFD37+BFD42+#REF!+#REF!,"")</f>
        <v/>
      </c>
      <c r="BFE57" s="82" t="str">
        <f>IF(ISNUMBER(outYear),BFE37+BFE42+#REF!+#REF!,"")</f>
        <v/>
      </c>
      <c r="BFF57" s="82" t="str">
        <f>IF(ISNUMBER(outYear),BFF37+BFF42+#REF!+#REF!,"")</f>
        <v/>
      </c>
      <c r="BFG57" s="82" t="str">
        <f>IF(ISNUMBER(outYear),BFG37+BFG42+#REF!+#REF!,"")</f>
        <v/>
      </c>
      <c r="BFH57" s="82" t="str">
        <f>IF(ISNUMBER(outYear),BFH37+BFH42+#REF!+#REF!,"")</f>
        <v/>
      </c>
      <c r="BFI57" s="82" t="str">
        <f>IF(ISNUMBER(outYear),BFI37+BFI42+#REF!+#REF!,"")</f>
        <v/>
      </c>
      <c r="BFJ57" s="82" t="str">
        <f>IF(ISNUMBER(outYear),BFJ37+BFJ42+#REF!+#REF!,"")</f>
        <v/>
      </c>
      <c r="BFK57" s="82" t="str">
        <f>IF(ISNUMBER(outYear),BFK37+BFK42+#REF!+#REF!,"")</f>
        <v/>
      </c>
      <c r="BFL57" s="82" t="str">
        <f>IF(ISNUMBER(outYear),BFL37+BFL42+#REF!+#REF!,"")</f>
        <v/>
      </c>
      <c r="BFM57" s="82" t="str">
        <f>IF(ISNUMBER(outYear),BFM37+BFM42+#REF!+#REF!,"")</f>
        <v/>
      </c>
      <c r="BFN57" s="82" t="str">
        <f>IF(ISNUMBER(outYear),BFN37+BFN42+#REF!+#REF!,"")</f>
        <v/>
      </c>
      <c r="BFO57" s="82" t="str">
        <f>IF(ISNUMBER(outYear),BFO37+BFO42+#REF!+#REF!,"")</f>
        <v/>
      </c>
      <c r="BFP57" s="82" t="str">
        <f>IF(ISNUMBER(outYear),BFP37+BFP42+#REF!+#REF!,"")</f>
        <v/>
      </c>
      <c r="BFQ57" s="82" t="str">
        <f>IF(ISNUMBER(outYear),BFQ37+BFQ42+#REF!+#REF!,"")</f>
        <v/>
      </c>
      <c r="BFR57" s="82" t="str">
        <f>IF(ISNUMBER(outYear),BFR37+BFR42+#REF!+#REF!,"")</f>
        <v/>
      </c>
      <c r="BFS57" s="82" t="str">
        <f>IF(ISNUMBER(outYear),BFS37+BFS42+#REF!+#REF!,"")</f>
        <v/>
      </c>
      <c r="BFT57" s="82" t="str">
        <f>IF(ISNUMBER(outYear),BFT37+BFT42+#REF!+#REF!,"")</f>
        <v/>
      </c>
      <c r="BFU57" s="82" t="str">
        <f>IF(ISNUMBER(outYear),BFU37+BFU42+#REF!+#REF!,"")</f>
        <v/>
      </c>
      <c r="BFV57" s="82" t="str">
        <f>IF(ISNUMBER(outYear),BFV37+BFV42+#REF!+#REF!,"")</f>
        <v/>
      </c>
      <c r="BFW57" s="82" t="str">
        <f>IF(ISNUMBER(outYear),BFW37+BFW42+#REF!+#REF!,"")</f>
        <v/>
      </c>
      <c r="BFX57" s="82" t="str">
        <f>IF(ISNUMBER(outYear),BFX37+BFX42+#REF!+#REF!,"")</f>
        <v/>
      </c>
      <c r="BFY57" s="82" t="str">
        <f>IF(ISNUMBER(outYear),BFY37+BFY42+#REF!+#REF!,"")</f>
        <v/>
      </c>
      <c r="BFZ57" s="82" t="str">
        <f>IF(ISNUMBER(outYear),BFZ37+BFZ42+#REF!+#REF!,"")</f>
        <v/>
      </c>
      <c r="BGA57" s="82" t="str">
        <f>IF(ISNUMBER(outYear),BGA37+BGA42+#REF!+#REF!,"")</f>
        <v/>
      </c>
      <c r="BGB57" s="82" t="str">
        <f>IF(ISNUMBER(outYear),BGB37+BGB42+#REF!+#REF!,"")</f>
        <v/>
      </c>
      <c r="BGC57" s="82" t="str">
        <f>IF(ISNUMBER(outYear),BGC37+BGC42+#REF!+#REF!,"")</f>
        <v/>
      </c>
      <c r="BGD57" s="82" t="str">
        <f>IF(ISNUMBER(outYear),BGD37+BGD42+#REF!+#REF!,"")</f>
        <v/>
      </c>
      <c r="BGE57" s="82" t="str">
        <f>IF(ISNUMBER(outYear),BGE37+BGE42+#REF!+#REF!,"")</f>
        <v/>
      </c>
      <c r="BGF57" s="82" t="str">
        <f>IF(ISNUMBER(outYear),BGF37+BGF42+#REF!+#REF!,"")</f>
        <v/>
      </c>
      <c r="BGG57" s="82" t="str">
        <f>IF(ISNUMBER(outYear),BGG37+BGG42+#REF!+#REF!,"")</f>
        <v/>
      </c>
      <c r="BGH57" s="82" t="str">
        <f>IF(ISNUMBER(outYear),BGH37+BGH42+#REF!+#REF!,"")</f>
        <v/>
      </c>
      <c r="BGI57" s="82" t="str">
        <f>IF(ISNUMBER(outYear),BGI37+BGI42+#REF!+#REF!,"")</f>
        <v/>
      </c>
      <c r="BGJ57" s="82" t="str">
        <f>IF(ISNUMBER(outYear),BGJ37+BGJ42+#REF!+#REF!,"")</f>
        <v/>
      </c>
      <c r="BGK57" s="82" t="str">
        <f>IF(ISNUMBER(outYear),BGK37+BGK42+#REF!+#REF!,"")</f>
        <v/>
      </c>
      <c r="BGL57" s="82" t="str">
        <f>IF(ISNUMBER(outYear),BGL37+BGL42+#REF!+#REF!,"")</f>
        <v/>
      </c>
      <c r="BGM57" s="82" t="str">
        <f>IF(ISNUMBER(outYear),BGM37+BGM42+#REF!+#REF!,"")</f>
        <v/>
      </c>
      <c r="BGN57" s="82" t="str">
        <f>IF(ISNUMBER(outYear),BGN37+BGN42+#REF!+#REF!,"")</f>
        <v/>
      </c>
      <c r="BGO57" s="82" t="str">
        <f>IF(ISNUMBER(outYear),BGO37+BGO42+#REF!+#REF!,"")</f>
        <v/>
      </c>
      <c r="BGP57" s="82" t="str">
        <f>IF(ISNUMBER(outYear),BGP37+BGP42+#REF!+#REF!,"")</f>
        <v/>
      </c>
      <c r="BGQ57" s="82" t="str">
        <f>IF(ISNUMBER(outYear),BGQ37+BGQ42+#REF!+#REF!,"")</f>
        <v/>
      </c>
      <c r="BGR57" s="82" t="str">
        <f>IF(ISNUMBER(outYear),BGR37+BGR42+#REF!+#REF!,"")</f>
        <v/>
      </c>
      <c r="BGS57" s="82" t="str">
        <f>IF(ISNUMBER(outYear),BGS37+BGS42+#REF!+#REF!,"")</f>
        <v/>
      </c>
      <c r="BGT57" s="82" t="str">
        <f>IF(ISNUMBER(outYear),BGT37+BGT42+#REF!+#REF!,"")</f>
        <v/>
      </c>
      <c r="BGU57" s="82" t="str">
        <f>IF(ISNUMBER(outYear),BGU37+BGU42+#REF!+#REF!,"")</f>
        <v/>
      </c>
      <c r="BGV57" s="82" t="str">
        <f>IF(ISNUMBER(outYear),BGV37+BGV42+#REF!+#REF!,"")</f>
        <v/>
      </c>
      <c r="BGW57" s="82" t="str">
        <f>IF(ISNUMBER(outYear),BGW37+BGW42+#REF!+#REF!,"")</f>
        <v/>
      </c>
      <c r="BGX57" s="82" t="str">
        <f>IF(ISNUMBER(outYear),BGX37+BGX42+#REF!+#REF!,"")</f>
        <v/>
      </c>
      <c r="BGY57" s="82" t="str">
        <f>IF(ISNUMBER(outYear),BGY37+BGY42+#REF!+#REF!,"")</f>
        <v/>
      </c>
      <c r="BGZ57" s="82" t="str">
        <f>IF(ISNUMBER(outYear),BGZ37+BGZ42+#REF!+#REF!,"")</f>
        <v/>
      </c>
      <c r="BHA57" s="82" t="str">
        <f>IF(ISNUMBER(outYear),BHA37+BHA42+#REF!+#REF!,"")</f>
        <v/>
      </c>
      <c r="BHB57" s="82" t="str">
        <f>IF(ISNUMBER(outYear),BHB37+BHB42+#REF!+#REF!,"")</f>
        <v/>
      </c>
      <c r="BHC57" s="82" t="str">
        <f>IF(ISNUMBER(outYear),BHC37+BHC42+#REF!+#REF!,"")</f>
        <v/>
      </c>
      <c r="BHD57" s="82" t="str">
        <f>IF(ISNUMBER(outYear),BHD37+BHD42+#REF!+#REF!,"")</f>
        <v/>
      </c>
      <c r="BHE57" s="82" t="str">
        <f>IF(ISNUMBER(outYear),BHE37+BHE42+#REF!+#REF!,"")</f>
        <v/>
      </c>
      <c r="BHF57" s="82" t="str">
        <f>IF(ISNUMBER(outYear),BHF37+BHF42+#REF!+#REF!,"")</f>
        <v/>
      </c>
      <c r="BHG57" s="82" t="str">
        <f>IF(ISNUMBER(outYear),BHG37+BHG42+#REF!+#REF!,"")</f>
        <v/>
      </c>
      <c r="BHH57" s="82" t="str">
        <f>IF(ISNUMBER(outYear),BHH37+BHH42+#REF!+#REF!,"")</f>
        <v/>
      </c>
      <c r="BHI57" s="82" t="str">
        <f>IF(ISNUMBER(outYear),BHI37+BHI42+#REF!+#REF!,"")</f>
        <v/>
      </c>
      <c r="BHJ57" s="82" t="str">
        <f>IF(ISNUMBER(outYear),BHJ37+BHJ42+#REF!+#REF!,"")</f>
        <v/>
      </c>
      <c r="BHK57" s="82" t="str">
        <f>IF(ISNUMBER(outYear),BHK37+BHK42+#REF!+#REF!,"")</f>
        <v/>
      </c>
      <c r="BHL57" s="82" t="str">
        <f>IF(ISNUMBER(outYear),BHL37+BHL42+#REF!+#REF!,"")</f>
        <v/>
      </c>
      <c r="BHM57" s="82" t="str">
        <f>IF(ISNUMBER(outYear),BHM37+BHM42+#REF!+#REF!,"")</f>
        <v/>
      </c>
      <c r="BHN57" s="82" t="str">
        <f>IF(ISNUMBER(outYear),BHN37+BHN42+#REF!+#REF!,"")</f>
        <v/>
      </c>
      <c r="BHO57" s="82" t="str">
        <f>IF(ISNUMBER(outYear),BHO37+BHO42+#REF!+#REF!,"")</f>
        <v/>
      </c>
      <c r="BHP57" s="82" t="str">
        <f>IF(ISNUMBER(outYear),BHP37+BHP42+#REF!+#REF!,"")</f>
        <v/>
      </c>
      <c r="BHQ57" s="82" t="str">
        <f>IF(ISNUMBER(outYear),BHQ37+BHQ42+#REF!+#REF!,"")</f>
        <v/>
      </c>
      <c r="BHR57" s="82" t="str">
        <f>IF(ISNUMBER(outYear),BHR37+BHR42+#REF!+#REF!,"")</f>
        <v/>
      </c>
      <c r="BHS57" s="82" t="str">
        <f>IF(ISNUMBER(outYear),BHS37+BHS42+#REF!+#REF!,"")</f>
        <v/>
      </c>
      <c r="BHT57" s="82" t="str">
        <f>IF(ISNUMBER(outYear),BHT37+BHT42+#REF!+#REF!,"")</f>
        <v/>
      </c>
      <c r="BHU57" s="82" t="str">
        <f>IF(ISNUMBER(outYear),BHU37+BHU42+#REF!+#REF!,"")</f>
        <v/>
      </c>
      <c r="BHV57" s="82" t="str">
        <f>IF(ISNUMBER(outYear),BHV37+BHV42+#REF!+#REF!,"")</f>
        <v/>
      </c>
      <c r="BHW57" s="82" t="str">
        <f>IF(ISNUMBER(outYear),BHW37+BHW42+#REF!+#REF!,"")</f>
        <v/>
      </c>
      <c r="BHX57" s="82" t="str">
        <f>IF(ISNUMBER(outYear),BHX37+BHX42+#REF!+#REF!,"")</f>
        <v/>
      </c>
      <c r="BHY57" s="82" t="str">
        <f>IF(ISNUMBER(outYear),BHY37+BHY42+#REF!+#REF!,"")</f>
        <v/>
      </c>
      <c r="BHZ57" s="82" t="str">
        <f>IF(ISNUMBER(outYear),BHZ37+BHZ42+#REF!+#REF!,"")</f>
        <v/>
      </c>
      <c r="BIA57" s="82" t="str">
        <f>IF(ISNUMBER(outYear),BIA37+BIA42+#REF!+#REF!,"")</f>
        <v/>
      </c>
      <c r="BIB57" s="82" t="str">
        <f>IF(ISNUMBER(outYear),BIB37+BIB42+#REF!+#REF!,"")</f>
        <v/>
      </c>
      <c r="BIC57" s="82" t="str">
        <f>IF(ISNUMBER(outYear),BIC37+BIC42+#REF!+#REF!,"")</f>
        <v/>
      </c>
      <c r="BID57" s="82" t="str">
        <f>IF(ISNUMBER(outYear),BID37+BID42+#REF!+#REF!,"")</f>
        <v/>
      </c>
      <c r="BIE57" s="82" t="str">
        <f>IF(ISNUMBER(outYear),BIE37+BIE42+#REF!+#REF!,"")</f>
        <v/>
      </c>
      <c r="BIF57" s="82" t="str">
        <f>IF(ISNUMBER(outYear),BIF37+BIF42+#REF!+#REF!,"")</f>
        <v/>
      </c>
      <c r="BIG57" s="82" t="str">
        <f>IF(ISNUMBER(outYear),BIG37+BIG42+#REF!+#REF!,"")</f>
        <v/>
      </c>
      <c r="BIH57" s="82" t="str">
        <f>IF(ISNUMBER(outYear),BIH37+BIH42+#REF!+#REF!,"")</f>
        <v/>
      </c>
      <c r="BII57" s="82" t="str">
        <f>IF(ISNUMBER(outYear),BII37+BII42+#REF!+#REF!,"")</f>
        <v/>
      </c>
      <c r="BIJ57" s="82" t="str">
        <f>IF(ISNUMBER(outYear),BIJ37+BIJ42+#REF!+#REF!,"")</f>
        <v/>
      </c>
      <c r="BIK57" s="82" t="str">
        <f>IF(ISNUMBER(outYear),BIK37+BIK42+#REF!+#REF!,"")</f>
        <v/>
      </c>
      <c r="BIL57" s="82" t="str">
        <f>IF(ISNUMBER(outYear),BIL37+BIL42+#REF!+#REF!,"")</f>
        <v/>
      </c>
      <c r="BIM57" s="82" t="str">
        <f>IF(ISNUMBER(outYear),BIM37+BIM42+#REF!+#REF!,"")</f>
        <v/>
      </c>
      <c r="BIN57" s="82" t="str">
        <f>IF(ISNUMBER(outYear),BIN37+BIN42+#REF!+#REF!,"")</f>
        <v/>
      </c>
      <c r="BIO57" s="82" t="str">
        <f>IF(ISNUMBER(outYear),BIO37+BIO42+#REF!+#REF!,"")</f>
        <v/>
      </c>
      <c r="BIP57" s="82" t="str">
        <f>IF(ISNUMBER(outYear),BIP37+BIP42+#REF!+#REF!,"")</f>
        <v/>
      </c>
      <c r="BIQ57" s="82" t="str">
        <f>IF(ISNUMBER(outYear),BIQ37+BIQ42+#REF!+#REF!,"")</f>
        <v/>
      </c>
      <c r="BIR57" s="82" t="str">
        <f>IF(ISNUMBER(outYear),BIR37+BIR42+#REF!+#REF!,"")</f>
        <v/>
      </c>
      <c r="BIS57" s="82" t="str">
        <f>IF(ISNUMBER(outYear),BIS37+BIS42+#REF!+#REF!,"")</f>
        <v/>
      </c>
      <c r="BIT57" s="82" t="str">
        <f>IF(ISNUMBER(outYear),BIT37+BIT42+#REF!+#REF!,"")</f>
        <v/>
      </c>
      <c r="BIU57" s="82" t="str">
        <f>IF(ISNUMBER(outYear),BIU37+BIU42+#REF!+#REF!,"")</f>
        <v/>
      </c>
      <c r="BIV57" s="82" t="str">
        <f>IF(ISNUMBER(outYear),BIV37+BIV42+#REF!+#REF!,"")</f>
        <v/>
      </c>
      <c r="BIW57" s="82" t="str">
        <f>IF(ISNUMBER(outYear),BIW37+BIW42+#REF!+#REF!,"")</f>
        <v/>
      </c>
      <c r="BIX57" s="82" t="str">
        <f>IF(ISNUMBER(outYear),BIX37+BIX42+#REF!+#REF!,"")</f>
        <v/>
      </c>
      <c r="BIY57" s="82" t="str">
        <f>IF(ISNUMBER(outYear),BIY37+BIY42+#REF!+#REF!,"")</f>
        <v/>
      </c>
      <c r="BIZ57" s="82" t="str">
        <f>IF(ISNUMBER(outYear),BIZ37+BIZ42+#REF!+#REF!,"")</f>
        <v/>
      </c>
      <c r="BJA57" s="82" t="str">
        <f>IF(ISNUMBER(outYear),BJA37+BJA42+#REF!+#REF!,"")</f>
        <v/>
      </c>
      <c r="BJB57" s="82" t="str">
        <f>IF(ISNUMBER(outYear),BJB37+BJB42+#REF!+#REF!,"")</f>
        <v/>
      </c>
      <c r="BJC57" s="82" t="str">
        <f>IF(ISNUMBER(outYear),BJC37+BJC42+#REF!+#REF!,"")</f>
        <v/>
      </c>
      <c r="BJD57" s="82" t="str">
        <f>IF(ISNUMBER(outYear),BJD37+BJD42+#REF!+#REF!,"")</f>
        <v/>
      </c>
      <c r="BJE57" s="82" t="str">
        <f>IF(ISNUMBER(outYear),BJE37+BJE42+#REF!+#REF!,"")</f>
        <v/>
      </c>
      <c r="BJF57" s="82" t="str">
        <f>IF(ISNUMBER(outYear),BJF37+BJF42+#REF!+#REF!,"")</f>
        <v/>
      </c>
      <c r="BJG57" s="82" t="str">
        <f>IF(ISNUMBER(outYear),BJG37+BJG42+#REF!+#REF!,"")</f>
        <v/>
      </c>
      <c r="BJH57" s="82" t="str">
        <f>IF(ISNUMBER(outYear),BJH37+BJH42+#REF!+#REF!,"")</f>
        <v/>
      </c>
      <c r="BJI57" s="82" t="str">
        <f>IF(ISNUMBER(outYear),BJI37+BJI42+#REF!+#REF!,"")</f>
        <v/>
      </c>
      <c r="BJJ57" s="82" t="str">
        <f>IF(ISNUMBER(outYear),BJJ37+BJJ42+#REF!+#REF!,"")</f>
        <v/>
      </c>
      <c r="BJK57" s="82" t="str">
        <f>IF(ISNUMBER(outYear),BJK37+BJK42+#REF!+#REF!,"")</f>
        <v/>
      </c>
      <c r="BJL57" s="82" t="str">
        <f>IF(ISNUMBER(outYear),BJL37+BJL42+#REF!+#REF!,"")</f>
        <v/>
      </c>
      <c r="BJM57" s="82" t="str">
        <f>IF(ISNUMBER(outYear),BJM37+BJM42+#REF!+#REF!,"")</f>
        <v/>
      </c>
      <c r="BJN57" s="82" t="str">
        <f>IF(ISNUMBER(outYear),BJN37+BJN42+#REF!+#REF!,"")</f>
        <v/>
      </c>
      <c r="BJO57" s="82" t="str">
        <f>IF(ISNUMBER(outYear),BJO37+BJO42+#REF!+#REF!,"")</f>
        <v/>
      </c>
      <c r="BJP57" s="82" t="str">
        <f>IF(ISNUMBER(outYear),BJP37+BJP42+#REF!+#REF!,"")</f>
        <v/>
      </c>
      <c r="BJQ57" s="82" t="str">
        <f>IF(ISNUMBER(outYear),BJQ37+BJQ42+#REF!+#REF!,"")</f>
        <v/>
      </c>
      <c r="BJR57" s="82" t="str">
        <f>IF(ISNUMBER(outYear),BJR37+BJR42+#REF!+#REF!,"")</f>
        <v/>
      </c>
      <c r="BJS57" s="82" t="str">
        <f>IF(ISNUMBER(outYear),BJS37+BJS42+#REF!+#REF!,"")</f>
        <v/>
      </c>
      <c r="BJT57" s="82" t="str">
        <f>IF(ISNUMBER(outYear),BJT37+BJT42+#REF!+#REF!,"")</f>
        <v/>
      </c>
      <c r="BJU57" s="82" t="str">
        <f>IF(ISNUMBER(outYear),BJU37+BJU42+#REF!+#REF!,"")</f>
        <v/>
      </c>
      <c r="BJV57" s="82" t="str">
        <f>IF(ISNUMBER(outYear),BJV37+BJV42+#REF!+#REF!,"")</f>
        <v/>
      </c>
      <c r="BJW57" s="82" t="str">
        <f>IF(ISNUMBER(outYear),BJW37+BJW42+#REF!+#REF!,"")</f>
        <v/>
      </c>
      <c r="BJX57" s="82" t="str">
        <f>IF(ISNUMBER(outYear),BJX37+BJX42+#REF!+#REF!,"")</f>
        <v/>
      </c>
      <c r="BJY57" s="82" t="str">
        <f>IF(ISNUMBER(outYear),BJY37+BJY42+#REF!+#REF!,"")</f>
        <v/>
      </c>
      <c r="BJZ57" s="82" t="str">
        <f>IF(ISNUMBER(outYear),BJZ37+BJZ42+#REF!+#REF!,"")</f>
        <v/>
      </c>
      <c r="BKA57" s="82" t="str">
        <f>IF(ISNUMBER(outYear),BKA37+BKA42+#REF!+#REF!,"")</f>
        <v/>
      </c>
      <c r="BKB57" s="82" t="str">
        <f>IF(ISNUMBER(outYear),BKB37+BKB42+#REF!+#REF!,"")</f>
        <v/>
      </c>
      <c r="BKC57" s="82" t="str">
        <f>IF(ISNUMBER(outYear),BKC37+BKC42+#REF!+#REF!,"")</f>
        <v/>
      </c>
      <c r="BKD57" s="82" t="str">
        <f>IF(ISNUMBER(outYear),BKD37+BKD42+#REF!+#REF!,"")</f>
        <v/>
      </c>
      <c r="BKE57" s="82" t="str">
        <f>IF(ISNUMBER(outYear),BKE37+BKE42+#REF!+#REF!,"")</f>
        <v/>
      </c>
      <c r="BKF57" s="82" t="str">
        <f>IF(ISNUMBER(outYear),BKF37+BKF42+#REF!+#REF!,"")</f>
        <v/>
      </c>
      <c r="BKG57" s="82" t="str">
        <f>IF(ISNUMBER(outYear),BKG37+BKG42+#REF!+#REF!,"")</f>
        <v/>
      </c>
      <c r="BKH57" s="82" t="str">
        <f>IF(ISNUMBER(outYear),BKH37+BKH42+#REF!+#REF!,"")</f>
        <v/>
      </c>
      <c r="BKI57" s="82" t="str">
        <f>IF(ISNUMBER(outYear),BKI37+BKI42+#REF!+#REF!,"")</f>
        <v/>
      </c>
      <c r="BKJ57" s="82" t="str">
        <f>IF(ISNUMBER(outYear),BKJ37+BKJ42+#REF!+#REF!,"")</f>
        <v/>
      </c>
      <c r="BKK57" s="82" t="str">
        <f>IF(ISNUMBER(outYear),BKK37+BKK42+#REF!+#REF!,"")</f>
        <v/>
      </c>
      <c r="BKL57" s="82" t="str">
        <f>IF(ISNUMBER(outYear),BKL37+BKL42+#REF!+#REF!,"")</f>
        <v/>
      </c>
      <c r="BKM57" s="82" t="str">
        <f>IF(ISNUMBER(outYear),BKM37+BKM42+#REF!+#REF!,"")</f>
        <v/>
      </c>
      <c r="BKN57" s="82" t="str">
        <f>IF(ISNUMBER(outYear),BKN37+BKN42+#REF!+#REF!,"")</f>
        <v/>
      </c>
      <c r="BKO57" s="82" t="str">
        <f>IF(ISNUMBER(outYear),BKO37+BKO42+#REF!+#REF!,"")</f>
        <v/>
      </c>
      <c r="BKP57" s="82" t="str">
        <f>IF(ISNUMBER(outYear),BKP37+BKP42+#REF!+#REF!,"")</f>
        <v/>
      </c>
      <c r="BKQ57" s="82" t="str">
        <f>IF(ISNUMBER(outYear),BKQ37+BKQ42+#REF!+#REF!,"")</f>
        <v/>
      </c>
      <c r="BKR57" s="82" t="str">
        <f>IF(ISNUMBER(outYear),BKR37+BKR42+#REF!+#REF!,"")</f>
        <v/>
      </c>
      <c r="BKS57" s="82" t="str">
        <f>IF(ISNUMBER(outYear),BKS37+BKS42+#REF!+#REF!,"")</f>
        <v/>
      </c>
      <c r="BKT57" s="82" t="str">
        <f>IF(ISNUMBER(outYear),BKT37+BKT42+#REF!+#REF!,"")</f>
        <v/>
      </c>
      <c r="BKU57" s="82" t="str">
        <f>IF(ISNUMBER(outYear),BKU37+BKU42+#REF!+#REF!,"")</f>
        <v/>
      </c>
      <c r="BKV57" s="82" t="str">
        <f>IF(ISNUMBER(outYear),BKV37+BKV42+#REF!+#REF!,"")</f>
        <v/>
      </c>
      <c r="BKW57" s="82" t="str">
        <f>IF(ISNUMBER(outYear),BKW37+BKW42+#REF!+#REF!,"")</f>
        <v/>
      </c>
      <c r="BKX57" s="82" t="str">
        <f>IF(ISNUMBER(outYear),BKX37+BKX42+#REF!+#REF!,"")</f>
        <v/>
      </c>
      <c r="BKY57" s="82" t="str">
        <f>IF(ISNUMBER(outYear),BKY37+BKY42+#REF!+#REF!,"")</f>
        <v/>
      </c>
      <c r="BKZ57" s="82" t="str">
        <f>IF(ISNUMBER(outYear),BKZ37+BKZ42+#REF!+#REF!,"")</f>
        <v/>
      </c>
      <c r="BLA57" s="82" t="str">
        <f>IF(ISNUMBER(outYear),BLA37+BLA42+#REF!+#REF!,"")</f>
        <v/>
      </c>
      <c r="BLB57" s="82" t="str">
        <f>IF(ISNUMBER(outYear),BLB37+BLB42+#REF!+#REF!,"")</f>
        <v/>
      </c>
      <c r="BLC57" s="82" t="str">
        <f>IF(ISNUMBER(outYear),BLC37+BLC42+#REF!+#REF!,"")</f>
        <v/>
      </c>
      <c r="BLD57" s="82" t="str">
        <f>IF(ISNUMBER(outYear),BLD37+BLD42+#REF!+#REF!,"")</f>
        <v/>
      </c>
      <c r="BLE57" s="82" t="str">
        <f>IF(ISNUMBER(outYear),BLE37+BLE42+#REF!+#REF!,"")</f>
        <v/>
      </c>
      <c r="BLF57" s="82" t="str">
        <f>IF(ISNUMBER(outYear),BLF37+BLF42+#REF!+#REF!,"")</f>
        <v/>
      </c>
      <c r="BLG57" s="82" t="str">
        <f>IF(ISNUMBER(outYear),BLG37+BLG42+#REF!+#REF!,"")</f>
        <v/>
      </c>
      <c r="BLH57" s="82" t="str">
        <f>IF(ISNUMBER(outYear),BLH37+BLH42+#REF!+#REF!,"")</f>
        <v/>
      </c>
      <c r="BLI57" s="82" t="str">
        <f>IF(ISNUMBER(outYear),BLI37+BLI42+#REF!+#REF!,"")</f>
        <v/>
      </c>
      <c r="BLJ57" s="82" t="str">
        <f>IF(ISNUMBER(outYear),BLJ37+BLJ42+#REF!+#REF!,"")</f>
        <v/>
      </c>
      <c r="BLK57" s="82" t="str">
        <f>IF(ISNUMBER(outYear),BLK37+BLK42+#REF!+#REF!,"")</f>
        <v/>
      </c>
      <c r="BLL57" s="82" t="str">
        <f>IF(ISNUMBER(outYear),BLL37+BLL42+#REF!+#REF!,"")</f>
        <v/>
      </c>
      <c r="BLM57" s="82" t="str">
        <f>IF(ISNUMBER(outYear),BLM37+BLM42+#REF!+#REF!,"")</f>
        <v/>
      </c>
      <c r="BLN57" s="82" t="str">
        <f>IF(ISNUMBER(outYear),BLN37+BLN42+#REF!+#REF!,"")</f>
        <v/>
      </c>
      <c r="BLO57" s="82" t="str">
        <f>IF(ISNUMBER(outYear),BLO37+BLO42+#REF!+#REF!,"")</f>
        <v/>
      </c>
      <c r="BLP57" s="82" t="str">
        <f>IF(ISNUMBER(outYear),BLP37+BLP42+#REF!+#REF!,"")</f>
        <v/>
      </c>
      <c r="BLQ57" s="82" t="str">
        <f>IF(ISNUMBER(outYear),BLQ37+BLQ42+#REF!+#REF!,"")</f>
        <v/>
      </c>
      <c r="BLR57" s="82" t="str">
        <f>IF(ISNUMBER(outYear),BLR37+BLR42+#REF!+#REF!,"")</f>
        <v/>
      </c>
      <c r="BLS57" s="82" t="str">
        <f>IF(ISNUMBER(outYear),BLS37+BLS42+#REF!+#REF!,"")</f>
        <v/>
      </c>
      <c r="BLT57" s="82" t="str">
        <f>IF(ISNUMBER(outYear),BLT37+BLT42+#REF!+#REF!,"")</f>
        <v/>
      </c>
      <c r="BLU57" s="82" t="str">
        <f>IF(ISNUMBER(outYear),BLU37+BLU42+#REF!+#REF!,"")</f>
        <v/>
      </c>
      <c r="BLV57" s="82" t="str">
        <f>IF(ISNUMBER(outYear),BLV37+BLV42+#REF!+#REF!,"")</f>
        <v/>
      </c>
      <c r="BLW57" s="82" t="str">
        <f>IF(ISNUMBER(outYear),BLW37+BLW42+#REF!+#REF!,"")</f>
        <v/>
      </c>
      <c r="BLX57" s="82" t="str">
        <f>IF(ISNUMBER(outYear),BLX37+BLX42+#REF!+#REF!,"")</f>
        <v/>
      </c>
      <c r="BLY57" s="82" t="str">
        <f>IF(ISNUMBER(outYear),BLY37+BLY42+#REF!+#REF!,"")</f>
        <v/>
      </c>
      <c r="BLZ57" s="82" t="str">
        <f>IF(ISNUMBER(outYear),BLZ37+BLZ42+#REF!+#REF!,"")</f>
        <v/>
      </c>
      <c r="BMA57" s="82" t="str">
        <f>IF(ISNUMBER(outYear),BMA37+BMA42+#REF!+#REF!,"")</f>
        <v/>
      </c>
      <c r="BMB57" s="82" t="str">
        <f>IF(ISNUMBER(outYear),BMB37+BMB42+#REF!+#REF!,"")</f>
        <v/>
      </c>
      <c r="BMC57" s="82" t="str">
        <f>IF(ISNUMBER(outYear),BMC37+BMC42+#REF!+#REF!,"")</f>
        <v/>
      </c>
      <c r="BMD57" s="82" t="str">
        <f>IF(ISNUMBER(outYear),BMD37+BMD42+#REF!+#REF!,"")</f>
        <v/>
      </c>
      <c r="BME57" s="82" t="str">
        <f>IF(ISNUMBER(outYear),BME37+BME42+#REF!+#REF!,"")</f>
        <v/>
      </c>
      <c r="BMF57" s="82" t="str">
        <f>IF(ISNUMBER(outYear),BMF37+BMF42+#REF!+#REF!,"")</f>
        <v/>
      </c>
      <c r="BMG57" s="82" t="str">
        <f>IF(ISNUMBER(outYear),BMG37+BMG42+#REF!+#REF!,"")</f>
        <v/>
      </c>
      <c r="BMH57" s="82" t="str">
        <f>IF(ISNUMBER(outYear),BMH37+BMH42+#REF!+#REF!,"")</f>
        <v/>
      </c>
      <c r="BMI57" s="82" t="str">
        <f>IF(ISNUMBER(outYear),BMI37+BMI42+#REF!+#REF!,"")</f>
        <v/>
      </c>
      <c r="BMJ57" s="82" t="str">
        <f>IF(ISNUMBER(outYear),BMJ37+BMJ42+#REF!+#REF!,"")</f>
        <v/>
      </c>
      <c r="BMK57" s="82" t="str">
        <f>IF(ISNUMBER(outYear),BMK37+BMK42+#REF!+#REF!,"")</f>
        <v/>
      </c>
      <c r="BML57" s="82" t="str">
        <f>IF(ISNUMBER(outYear),BML37+BML42+#REF!+#REF!,"")</f>
        <v/>
      </c>
      <c r="BMM57" s="82" t="str">
        <f>IF(ISNUMBER(outYear),BMM37+BMM42+#REF!+#REF!,"")</f>
        <v/>
      </c>
      <c r="BMN57" s="82" t="str">
        <f>IF(ISNUMBER(outYear),BMN37+BMN42+#REF!+#REF!,"")</f>
        <v/>
      </c>
      <c r="BMO57" s="82" t="str">
        <f>IF(ISNUMBER(outYear),BMO37+BMO42+#REF!+#REF!,"")</f>
        <v/>
      </c>
      <c r="BMP57" s="82" t="str">
        <f>IF(ISNUMBER(outYear),BMP37+BMP42+#REF!+#REF!,"")</f>
        <v/>
      </c>
      <c r="BMQ57" s="82" t="str">
        <f>IF(ISNUMBER(outYear),BMQ37+BMQ42+#REF!+#REF!,"")</f>
        <v/>
      </c>
      <c r="BMR57" s="82" t="str">
        <f>IF(ISNUMBER(outYear),BMR37+BMR42+#REF!+#REF!,"")</f>
        <v/>
      </c>
      <c r="BMS57" s="82" t="str">
        <f>IF(ISNUMBER(outYear),BMS37+BMS42+#REF!+#REF!,"")</f>
        <v/>
      </c>
      <c r="BMT57" s="82" t="str">
        <f>IF(ISNUMBER(outYear),BMT37+BMT42+#REF!+#REF!,"")</f>
        <v/>
      </c>
      <c r="BMU57" s="82" t="str">
        <f>IF(ISNUMBER(outYear),BMU37+BMU42+#REF!+#REF!,"")</f>
        <v/>
      </c>
      <c r="BMV57" s="82" t="str">
        <f>IF(ISNUMBER(outYear),BMV37+BMV42+#REF!+#REF!,"")</f>
        <v/>
      </c>
      <c r="BMW57" s="82" t="str">
        <f>IF(ISNUMBER(outYear),BMW37+BMW42+#REF!+#REF!,"")</f>
        <v/>
      </c>
      <c r="BMX57" s="82" t="str">
        <f>IF(ISNUMBER(outYear),BMX37+BMX42+#REF!+#REF!,"")</f>
        <v/>
      </c>
      <c r="BMY57" s="82" t="str">
        <f>IF(ISNUMBER(outYear),BMY37+BMY42+#REF!+#REF!,"")</f>
        <v/>
      </c>
      <c r="BMZ57" s="82" t="str">
        <f>IF(ISNUMBER(outYear),BMZ37+BMZ42+#REF!+#REF!,"")</f>
        <v/>
      </c>
      <c r="BNA57" s="82" t="str">
        <f>IF(ISNUMBER(outYear),BNA37+BNA42+#REF!+#REF!,"")</f>
        <v/>
      </c>
      <c r="BNB57" s="82" t="str">
        <f>IF(ISNUMBER(outYear),BNB37+BNB42+#REF!+#REF!,"")</f>
        <v/>
      </c>
      <c r="BNC57" s="82" t="str">
        <f>IF(ISNUMBER(outYear),BNC37+BNC42+#REF!+#REF!,"")</f>
        <v/>
      </c>
      <c r="BND57" s="82" t="str">
        <f>IF(ISNUMBER(outYear),BND37+BND42+#REF!+#REF!,"")</f>
        <v/>
      </c>
      <c r="BNE57" s="82" t="str">
        <f>IF(ISNUMBER(outYear),BNE37+BNE42+#REF!+#REF!,"")</f>
        <v/>
      </c>
      <c r="BNF57" s="82" t="str">
        <f>IF(ISNUMBER(outYear),BNF37+BNF42+#REF!+#REF!,"")</f>
        <v/>
      </c>
      <c r="BNG57" s="82" t="str">
        <f>IF(ISNUMBER(outYear),BNG37+BNG42+#REF!+#REF!,"")</f>
        <v/>
      </c>
      <c r="BNH57" s="82" t="str">
        <f>IF(ISNUMBER(outYear),BNH37+BNH42+#REF!+#REF!,"")</f>
        <v/>
      </c>
      <c r="BNI57" s="82" t="str">
        <f>IF(ISNUMBER(outYear),BNI37+BNI42+#REF!+#REF!,"")</f>
        <v/>
      </c>
      <c r="BNJ57" s="82" t="str">
        <f>IF(ISNUMBER(outYear),BNJ37+BNJ42+#REF!+#REF!,"")</f>
        <v/>
      </c>
      <c r="BNK57" s="82" t="str">
        <f>IF(ISNUMBER(outYear),BNK37+BNK42+#REF!+#REF!,"")</f>
        <v/>
      </c>
      <c r="BNL57" s="82" t="str">
        <f>IF(ISNUMBER(outYear),BNL37+BNL42+#REF!+#REF!,"")</f>
        <v/>
      </c>
      <c r="BNM57" s="82" t="str">
        <f>IF(ISNUMBER(outYear),BNM37+BNM42+#REF!+#REF!,"")</f>
        <v/>
      </c>
      <c r="BNN57" s="82" t="str">
        <f>IF(ISNUMBER(outYear),BNN37+BNN42+#REF!+#REF!,"")</f>
        <v/>
      </c>
      <c r="BNO57" s="82" t="str">
        <f>IF(ISNUMBER(outYear),BNO37+BNO42+#REF!+#REF!,"")</f>
        <v/>
      </c>
      <c r="BNP57" s="82" t="str">
        <f>IF(ISNUMBER(outYear),BNP37+BNP42+#REF!+#REF!,"")</f>
        <v/>
      </c>
      <c r="BNQ57" s="82" t="str">
        <f>IF(ISNUMBER(outYear),BNQ37+BNQ42+#REF!+#REF!,"")</f>
        <v/>
      </c>
      <c r="BNR57" s="82" t="str">
        <f>IF(ISNUMBER(outYear),BNR37+BNR42+#REF!+#REF!,"")</f>
        <v/>
      </c>
      <c r="BNS57" s="82" t="str">
        <f>IF(ISNUMBER(outYear),BNS37+BNS42+#REF!+#REF!,"")</f>
        <v/>
      </c>
      <c r="BNT57" s="82" t="str">
        <f>IF(ISNUMBER(outYear),BNT37+BNT42+#REF!+#REF!,"")</f>
        <v/>
      </c>
      <c r="BNU57" s="82" t="str">
        <f>IF(ISNUMBER(outYear),BNU37+BNU42+#REF!+#REF!,"")</f>
        <v/>
      </c>
      <c r="BNV57" s="82" t="str">
        <f>IF(ISNUMBER(outYear),BNV37+BNV42+#REF!+#REF!,"")</f>
        <v/>
      </c>
      <c r="BNW57" s="82" t="str">
        <f>IF(ISNUMBER(outYear),BNW37+BNW42+#REF!+#REF!,"")</f>
        <v/>
      </c>
      <c r="BNX57" s="82" t="str">
        <f>IF(ISNUMBER(outYear),BNX37+BNX42+#REF!+#REF!,"")</f>
        <v/>
      </c>
      <c r="BNY57" s="82" t="str">
        <f>IF(ISNUMBER(outYear),BNY37+BNY42+#REF!+#REF!,"")</f>
        <v/>
      </c>
      <c r="BNZ57" s="82" t="str">
        <f>IF(ISNUMBER(outYear),BNZ37+BNZ42+#REF!+#REF!,"")</f>
        <v/>
      </c>
      <c r="BOA57" s="82" t="str">
        <f>IF(ISNUMBER(outYear),BOA37+BOA42+#REF!+#REF!,"")</f>
        <v/>
      </c>
      <c r="BOB57" s="82" t="str">
        <f>IF(ISNUMBER(outYear),BOB37+BOB42+#REF!+#REF!,"")</f>
        <v/>
      </c>
      <c r="BOC57" s="82" t="str">
        <f>IF(ISNUMBER(outYear),BOC37+BOC42+#REF!+#REF!,"")</f>
        <v/>
      </c>
      <c r="BOD57" s="82" t="str">
        <f>IF(ISNUMBER(outYear),BOD37+BOD42+#REF!+#REF!,"")</f>
        <v/>
      </c>
      <c r="BOE57" s="82" t="str">
        <f>IF(ISNUMBER(outYear),BOE37+BOE42+#REF!+#REF!,"")</f>
        <v/>
      </c>
      <c r="BOF57" s="82" t="str">
        <f>IF(ISNUMBER(outYear),BOF37+BOF42+#REF!+#REF!,"")</f>
        <v/>
      </c>
      <c r="BOG57" s="82" t="str">
        <f>IF(ISNUMBER(outYear),BOG37+BOG42+#REF!+#REF!,"")</f>
        <v/>
      </c>
      <c r="BOH57" s="82" t="str">
        <f>IF(ISNUMBER(outYear),BOH37+BOH42+#REF!+#REF!,"")</f>
        <v/>
      </c>
      <c r="BOI57" s="82" t="str">
        <f>IF(ISNUMBER(outYear),BOI37+BOI42+#REF!+#REF!,"")</f>
        <v/>
      </c>
      <c r="BOJ57" s="82" t="str">
        <f>IF(ISNUMBER(outYear),BOJ37+BOJ42+#REF!+#REF!,"")</f>
        <v/>
      </c>
      <c r="BOK57" s="82" t="str">
        <f>IF(ISNUMBER(outYear),BOK37+BOK42+#REF!+#REF!,"")</f>
        <v/>
      </c>
      <c r="BOL57" s="82" t="str">
        <f>IF(ISNUMBER(outYear),BOL37+BOL42+#REF!+#REF!,"")</f>
        <v/>
      </c>
      <c r="BOM57" s="82" t="str">
        <f>IF(ISNUMBER(outYear),BOM37+BOM42+#REF!+#REF!,"")</f>
        <v/>
      </c>
      <c r="BON57" s="82" t="str">
        <f>IF(ISNUMBER(outYear),BON37+BON42+#REF!+#REF!,"")</f>
        <v/>
      </c>
      <c r="BOO57" s="82" t="str">
        <f>IF(ISNUMBER(outYear),BOO37+BOO42+#REF!+#REF!,"")</f>
        <v/>
      </c>
      <c r="BOP57" s="82" t="str">
        <f>IF(ISNUMBER(outYear),BOP37+BOP42+#REF!+#REF!,"")</f>
        <v/>
      </c>
      <c r="BOQ57" s="82" t="str">
        <f>IF(ISNUMBER(outYear),BOQ37+BOQ42+#REF!+#REF!,"")</f>
        <v/>
      </c>
      <c r="BOR57" s="82" t="str">
        <f>IF(ISNUMBER(outYear),BOR37+BOR42+#REF!+#REF!,"")</f>
        <v/>
      </c>
      <c r="BOS57" s="82" t="str">
        <f>IF(ISNUMBER(outYear),BOS37+BOS42+#REF!+#REF!,"")</f>
        <v/>
      </c>
      <c r="BOT57" s="82" t="str">
        <f>IF(ISNUMBER(outYear),BOT37+BOT42+#REF!+#REF!,"")</f>
        <v/>
      </c>
      <c r="BOU57" s="82" t="str">
        <f>IF(ISNUMBER(outYear),BOU37+BOU42+#REF!+#REF!,"")</f>
        <v/>
      </c>
      <c r="BOV57" s="82" t="str">
        <f>IF(ISNUMBER(outYear),BOV37+BOV42+#REF!+#REF!,"")</f>
        <v/>
      </c>
      <c r="BOW57" s="82" t="str">
        <f>IF(ISNUMBER(outYear),BOW37+BOW42+#REF!+#REF!,"")</f>
        <v/>
      </c>
      <c r="BOX57" s="82" t="str">
        <f>IF(ISNUMBER(outYear),BOX37+BOX42+#REF!+#REF!,"")</f>
        <v/>
      </c>
      <c r="BOY57" s="82" t="str">
        <f>IF(ISNUMBER(outYear),BOY37+BOY42+#REF!+#REF!,"")</f>
        <v/>
      </c>
      <c r="BOZ57" s="82" t="str">
        <f>IF(ISNUMBER(outYear),BOZ37+BOZ42+#REF!+#REF!,"")</f>
        <v/>
      </c>
      <c r="BPA57" s="82" t="str">
        <f>IF(ISNUMBER(outYear),BPA37+BPA42+#REF!+#REF!,"")</f>
        <v/>
      </c>
      <c r="BPB57" s="82" t="str">
        <f>IF(ISNUMBER(outYear),BPB37+BPB42+#REF!+#REF!,"")</f>
        <v/>
      </c>
      <c r="BPC57" s="82" t="str">
        <f>IF(ISNUMBER(outYear),BPC37+BPC42+#REF!+#REF!,"")</f>
        <v/>
      </c>
      <c r="BPD57" s="82" t="str">
        <f>IF(ISNUMBER(outYear),BPD37+BPD42+#REF!+#REF!,"")</f>
        <v/>
      </c>
      <c r="BPE57" s="82" t="str">
        <f>IF(ISNUMBER(outYear),BPE37+BPE42+#REF!+#REF!,"")</f>
        <v/>
      </c>
      <c r="BPF57" s="82" t="str">
        <f>IF(ISNUMBER(outYear),BPF37+BPF42+#REF!+#REF!,"")</f>
        <v/>
      </c>
      <c r="BPG57" s="82" t="str">
        <f>IF(ISNUMBER(outYear),BPG37+BPG42+#REF!+#REF!,"")</f>
        <v/>
      </c>
      <c r="BPH57" s="82" t="str">
        <f>IF(ISNUMBER(outYear),BPH37+BPH42+#REF!+#REF!,"")</f>
        <v/>
      </c>
      <c r="BPI57" s="82" t="str">
        <f>IF(ISNUMBER(outYear),BPI37+BPI42+#REF!+#REF!,"")</f>
        <v/>
      </c>
      <c r="BPJ57" s="82" t="str">
        <f>IF(ISNUMBER(outYear),BPJ37+BPJ42+#REF!+#REF!,"")</f>
        <v/>
      </c>
      <c r="BPK57" s="82" t="str">
        <f>IF(ISNUMBER(outYear),BPK37+BPK42+#REF!+#REF!,"")</f>
        <v/>
      </c>
      <c r="BPL57" s="82" t="str">
        <f>IF(ISNUMBER(outYear),BPL37+BPL42+#REF!+#REF!,"")</f>
        <v/>
      </c>
      <c r="BPM57" s="82" t="str">
        <f>IF(ISNUMBER(outYear),BPM37+BPM42+#REF!+#REF!,"")</f>
        <v/>
      </c>
      <c r="BPN57" s="82" t="str">
        <f>IF(ISNUMBER(outYear),BPN37+BPN42+#REF!+#REF!,"")</f>
        <v/>
      </c>
      <c r="BPO57" s="82" t="str">
        <f>IF(ISNUMBER(outYear),BPO37+BPO42+#REF!+#REF!,"")</f>
        <v/>
      </c>
      <c r="BPP57" s="82" t="str">
        <f>IF(ISNUMBER(outYear),BPP37+BPP42+#REF!+#REF!,"")</f>
        <v/>
      </c>
      <c r="BPQ57" s="82" t="str">
        <f>IF(ISNUMBER(outYear),BPQ37+BPQ42+#REF!+#REF!,"")</f>
        <v/>
      </c>
      <c r="BPR57" s="82" t="str">
        <f>IF(ISNUMBER(outYear),BPR37+BPR42+#REF!+#REF!,"")</f>
        <v/>
      </c>
      <c r="BPS57" s="82" t="str">
        <f>IF(ISNUMBER(outYear),BPS37+BPS42+#REF!+#REF!,"")</f>
        <v/>
      </c>
      <c r="BPT57" s="82" t="str">
        <f>IF(ISNUMBER(outYear),BPT37+BPT42+#REF!+#REF!,"")</f>
        <v/>
      </c>
      <c r="BPU57" s="82" t="str">
        <f>IF(ISNUMBER(outYear),BPU37+BPU42+#REF!+#REF!,"")</f>
        <v/>
      </c>
      <c r="BPV57" s="82" t="str">
        <f>IF(ISNUMBER(outYear),BPV37+BPV42+#REF!+#REF!,"")</f>
        <v/>
      </c>
      <c r="BPW57" s="82" t="str">
        <f>IF(ISNUMBER(outYear),BPW37+BPW42+#REF!+#REF!,"")</f>
        <v/>
      </c>
      <c r="BPX57" s="82" t="str">
        <f>IF(ISNUMBER(outYear),BPX37+BPX42+#REF!+#REF!,"")</f>
        <v/>
      </c>
      <c r="BPY57" s="82" t="str">
        <f>IF(ISNUMBER(outYear),BPY37+BPY42+#REF!+#REF!,"")</f>
        <v/>
      </c>
      <c r="BPZ57" s="82" t="str">
        <f>IF(ISNUMBER(outYear),BPZ37+BPZ42+#REF!+#REF!,"")</f>
        <v/>
      </c>
      <c r="BQA57" s="82" t="str">
        <f>IF(ISNUMBER(outYear),BQA37+BQA42+#REF!+#REF!,"")</f>
        <v/>
      </c>
      <c r="BQB57" s="82" t="str">
        <f>IF(ISNUMBER(outYear),BQB37+BQB42+#REF!+#REF!,"")</f>
        <v/>
      </c>
      <c r="BQC57" s="82" t="str">
        <f>IF(ISNUMBER(outYear),BQC37+BQC42+#REF!+#REF!,"")</f>
        <v/>
      </c>
      <c r="BQD57" s="82" t="str">
        <f>IF(ISNUMBER(outYear),BQD37+BQD42+#REF!+#REF!,"")</f>
        <v/>
      </c>
      <c r="BQE57" s="82" t="str">
        <f>IF(ISNUMBER(outYear),BQE37+BQE42+#REF!+#REF!,"")</f>
        <v/>
      </c>
      <c r="BQF57" s="82" t="str">
        <f>IF(ISNUMBER(outYear),BQF37+BQF42+#REF!+#REF!,"")</f>
        <v/>
      </c>
      <c r="BQG57" s="82" t="str">
        <f>IF(ISNUMBER(outYear),BQG37+BQG42+#REF!+#REF!,"")</f>
        <v/>
      </c>
      <c r="BQH57" s="82" t="str">
        <f>IF(ISNUMBER(outYear),BQH37+BQH42+#REF!+#REF!,"")</f>
        <v/>
      </c>
      <c r="BQI57" s="82" t="str">
        <f>IF(ISNUMBER(outYear),BQI37+BQI42+#REF!+#REF!,"")</f>
        <v/>
      </c>
      <c r="BQJ57" s="82" t="str">
        <f>IF(ISNUMBER(outYear),BQJ37+BQJ42+#REF!+#REF!,"")</f>
        <v/>
      </c>
      <c r="BQK57" s="82" t="str">
        <f>IF(ISNUMBER(outYear),BQK37+BQK42+#REF!+#REF!,"")</f>
        <v/>
      </c>
      <c r="BQL57" s="82" t="str">
        <f>IF(ISNUMBER(outYear),BQL37+BQL42+#REF!+#REF!,"")</f>
        <v/>
      </c>
      <c r="BQM57" s="82" t="str">
        <f>IF(ISNUMBER(outYear),BQM37+BQM42+#REF!+#REF!,"")</f>
        <v/>
      </c>
      <c r="BQN57" s="82" t="str">
        <f>IF(ISNUMBER(outYear),BQN37+BQN42+#REF!+#REF!,"")</f>
        <v/>
      </c>
      <c r="BQO57" s="82" t="str">
        <f>IF(ISNUMBER(outYear),BQO37+BQO42+#REF!+#REF!,"")</f>
        <v/>
      </c>
      <c r="BQP57" s="82" t="str">
        <f>IF(ISNUMBER(outYear),BQP37+BQP42+#REF!+#REF!,"")</f>
        <v/>
      </c>
      <c r="BQQ57" s="82" t="str">
        <f>IF(ISNUMBER(outYear),BQQ37+BQQ42+#REF!+#REF!,"")</f>
        <v/>
      </c>
      <c r="BQR57" s="82" t="str">
        <f>IF(ISNUMBER(outYear),BQR37+BQR42+#REF!+#REF!,"")</f>
        <v/>
      </c>
      <c r="BQS57" s="82" t="str">
        <f>IF(ISNUMBER(outYear),BQS37+BQS42+#REF!+#REF!,"")</f>
        <v/>
      </c>
      <c r="BQT57" s="82" t="str">
        <f>IF(ISNUMBER(outYear),BQT37+BQT42+#REF!+#REF!,"")</f>
        <v/>
      </c>
      <c r="BQU57" s="82" t="str">
        <f>IF(ISNUMBER(outYear),BQU37+BQU42+#REF!+#REF!,"")</f>
        <v/>
      </c>
      <c r="BQV57" s="82" t="str">
        <f>IF(ISNUMBER(outYear),BQV37+BQV42+#REF!+#REF!,"")</f>
        <v/>
      </c>
      <c r="BQW57" s="82" t="str">
        <f>IF(ISNUMBER(outYear),BQW37+BQW42+#REF!+#REF!,"")</f>
        <v/>
      </c>
      <c r="BQX57" s="82" t="str">
        <f>IF(ISNUMBER(outYear),BQX37+BQX42+#REF!+#REF!,"")</f>
        <v/>
      </c>
      <c r="BQY57" s="82" t="str">
        <f>IF(ISNUMBER(outYear),BQY37+BQY42+#REF!+#REF!,"")</f>
        <v/>
      </c>
      <c r="BQZ57" s="82" t="str">
        <f>IF(ISNUMBER(outYear),BQZ37+BQZ42+#REF!+#REF!,"")</f>
        <v/>
      </c>
      <c r="BRA57" s="82" t="str">
        <f>IF(ISNUMBER(outYear),BRA37+BRA42+#REF!+#REF!,"")</f>
        <v/>
      </c>
      <c r="BRB57" s="82" t="str">
        <f>IF(ISNUMBER(outYear),BRB37+BRB42+#REF!+#REF!,"")</f>
        <v/>
      </c>
      <c r="BRC57" s="82" t="str">
        <f>IF(ISNUMBER(outYear),BRC37+BRC42+#REF!+#REF!,"")</f>
        <v/>
      </c>
      <c r="BRD57" s="82" t="str">
        <f>IF(ISNUMBER(outYear),BRD37+BRD42+#REF!+#REF!,"")</f>
        <v/>
      </c>
      <c r="BRE57" s="82" t="str">
        <f>IF(ISNUMBER(outYear),BRE37+BRE42+#REF!+#REF!,"")</f>
        <v/>
      </c>
      <c r="BRF57" s="82" t="str">
        <f>IF(ISNUMBER(outYear),BRF37+BRF42+#REF!+#REF!,"")</f>
        <v/>
      </c>
      <c r="BRG57" s="82" t="str">
        <f>IF(ISNUMBER(outYear),BRG37+BRG42+#REF!+#REF!,"")</f>
        <v/>
      </c>
      <c r="BRH57" s="82" t="str">
        <f>IF(ISNUMBER(outYear),BRH37+BRH42+#REF!+#REF!,"")</f>
        <v/>
      </c>
      <c r="BRI57" s="82" t="str">
        <f>IF(ISNUMBER(outYear),BRI37+BRI42+#REF!+#REF!,"")</f>
        <v/>
      </c>
      <c r="BRJ57" s="82" t="str">
        <f>IF(ISNUMBER(outYear),BRJ37+BRJ42+#REF!+#REF!,"")</f>
        <v/>
      </c>
      <c r="BRK57" s="82" t="str">
        <f>IF(ISNUMBER(outYear),BRK37+BRK42+#REF!+#REF!,"")</f>
        <v/>
      </c>
      <c r="BRL57" s="82" t="str">
        <f>IF(ISNUMBER(outYear),BRL37+BRL42+#REF!+#REF!,"")</f>
        <v/>
      </c>
      <c r="BRM57" s="82" t="str">
        <f>IF(ISNUMBER(outYear),BRM37+BRM42+#REF!+#REF!,"")</f>
        <v/>
      </c>
      <c r="BRN57" s="82" t="str">
        <f>IF(ISNUMBER(outYear),BRN37+BRN42+#REF!+#REF!,"")</f>
        <v/>
      </c>
      <c r="BRO57" s="82" t="str">
        <f>IF(ISNUMBER(outYear),BRO37+BRO42+#REF!+#REF!,"")</f>
        <v/>
      </c>
      <c r="BRP57" s="82" t="str">
        <f>IF(ISNUMBER(outYear),BRP37+BRP42+#REF!+#REF!,"")</f>
        <v/>
      </c>
      <c r="BRQ57" s="82" t="str">
        <f>IF(ISNUMBER(outYear),BRQ37+BRQ42+#REF!+#REF!,"")</f>
        <v/>
      </c>
      <c r="BRR57" s="82" t="str">
        <f>IF(ISNUMBER(outYear),BRR37+BRR42+#REF!+#REF!,"")</f>
        <v/>
      </c>
      <c r="BRS57" s="82" t="str">
        <f>IF(ISNUMBER(outYear),BRS37+BRS42+#REF!+#REF!,"")</f>
        <v/>
      </c>
      <c r="BRT57" s="82" t="str">
        <f>IF(ISNUMBER(outYear),BRT37+BRT42+#REF!+#REF!,"")</f>
        <v/>
      </c>
      <c r="BRU57" s="82" t="str">
        <f>IF(ISNUMBER(outYear),BRU37+BRU42+#REF!+#REF!,"")</f>
        <v/>
      </c>
      <c r="BRV57" s="82" t="str">
        <f>IF(ISNUMBER(outYear),BRV37+BRV42+#REF!+#REF!,"")</f>
        <v/>
      </c>
      <c r="BRW57" s="82" t="str">
        <f>IF(ISNUMBER(outYear),BRW37+BRW42+#REF!+#REF!,"")</f>
        <v/>
      </c>
      <c r="BRX57" s="82" t="str">
        <f>IF(ISNUMBER(outYear),BRX37+BRX42+#REF!+#REF!,"")</f>
        <v/>
      </c>
      <c r="BRY57" s="82" t="str">
        <f>IF(ISNUMBER(outYear),BRY37+BRY42+#REF!+#REF!,"")</f>
        <v/>
      </c>
      <c r="BRZ57" s="82" t="str">
        <f>IF(ISNUMBER(outYear),BRZ37+BRZ42+#REF!+#REF!,"")</f>
        <v/>
      </c>
      <c r="BSA57" s="82" t="str">
        <f>IF(ISNUMBER(outYear),BSA37+BSA42+#REF!+#REF!,"")</f>
        <v/>
      </c>
      <c r="BSB57" s="82" t="str">
        <f>IF(ISNUMBER(outYear),BSB37+BSB42+#REF!+#REF!,"")</f>
        <v/>
      </c>
      <c r="BSC57" s="82" t="str">
        <f>IF(ISNUMBER(outYear),BSC37+BSC42+#REF!+#REF!,"")</f>
        <v/>
      </c>
      <c r="BSD57" s="82" t="str">
        <f>IF(ISNUMBER(outYear),BSD37+BSD42+#REF!+#REF!,"")</f>
        <v/>
      </c>
      <c r="BSE57" s="82" t="str">
        <f>IF(ISNUMBER(outYear),BSE37+BSE42+#REF!+#REF!,"")</f>
        <v/>
      </c>
      <c r="BSF57" s="82" t="str">
        <f>IF(ISNUMBER(outYear),BSF37+BSF42+#REF!+#REF!,"")</f>
        <v/>
      </c>
      <c r="BSG57" s="82" t="str">
        <f>IF(ISNUMBER(outYear),BSG37+BSG42+#REF!+#REF!,"")</f>
        <v/>
      </c>
      <c r="BSH57" s="82" t="str">
        <f>IF(ISNUMBER(outYear),BSH37+BSH42+#REF!+#REF!,"")</f>
        <v/>
      </c>
      <c r="BSI57" s="82" t="str">
        <f>IF(ISNUMBER(outYear),BSI37+BSI42+#REF!+#REF!,"")</f>
        <v/>
      </c>
      <c r="BSJ57" s="82" t="str">
        <f>IF(ISNUMBER(outYear),BSJ37+BSJ42+#REF!+#REF!,"")</f>
        <v/>
      </c>
      <c r="BSK57" s="82" t="str">
        <f>IF(ISNUMBER(outYear),BSK37+BSK42+#REF!+#REF!,"")</f>
        <v/>
      </c>
      <c r="BSL57" s="82" t="str">
        <f>IF(ISNUMBER(outYear),BSL37+BSL42+#REF!+#REF!,"")</f>
        <v/>
      </c>
      <c r="BSM57" s="82" t="str">
        <f>IF(ISNUMBER(outYear),BSM37+BSM42+#REF!+#REF!,"")</f>
        <v/>
      </c>
      <c r="BSN57" s="82" t="str">
        <f>IF(ISNUMBER(outYear),BSN37+BSN42+#REF!+#REF!,"")</f>
        <v/>
      </c>
      <c r="BSO57" s="82" t="str">
        <f>IF(ISNUMBER(outYear),BSO37+BSO42+#REF!+#REF!,"")</f>
        <v/>
      </c>
      <c r="BSP57" s="82" t="str">
        <f>IF(ISNUMBER(outYear),BSP37+BSP42+#REF!+#REF!,"")</f>
        <v/>
      </c>
      <c r="BSQ57" s="82" t="str">
        <f>IF(ISNUMBER(outYear),BSQ37+BSQ42+#REF!+#REF!,"")</f>
        <v/>
      </c>
      <c r="BSR57" s="82" t="str">
        <f>IF(ISNUMBER(outYear),BSR37+BSR42+#REF!+#REF!,"")</f>
        <v/>
      </c>
      <c r="BSS57" s="82" t="str">
        <f>IF(ISNUMBER(outYear),BSS37+BSS42+#REF!+#REF!,"")</f>
        <v/>
      </c>
      <c r="BST57" s="82" t="str">
        <f>IF(ISNUMBER(outYear),BST37+BST42+#REF!+#REF!,"")</f>
        <v/>
      </c>
      <c r="BSU57" s="82" t="str">
        <f>IF(ISNUMBER(outYear),BSU37+BSU42+#REF!+#REF!,"")</f>
        <v/>
      </c>
      <c r="BSV57" s="82" t="str">
        <f>IF(ISNUMBER(outYear),BSV37+BSV42+#REF!+#REF!,"")</f>
        <v/>
      </c>
      <c r="BSW57" s="82" t="str">
        <f>IF(ISNUMBER(outYear),BSW37+BSW42+#REF!+#REF!,"")</f>
        <v/>
      </c>
      <c r="BSX57" s="82" t="str">
        <f>IF(ISNUMBER(outYear),BSX37+BSX42+#REF!+#REF!,"")</f>
        <v/>
      </c>
      <c r="BSY57" s="82" t="str">
        <f>IF(ISNUMBER(outYear),BSY37+BSY42+#REF!+#REF!,"")</f>
        <v/>
      </c>
      <c r="BSZ57" s="82" t="str">
        <f>IF(ISNUMBER(outYear),BSZ37+BSZ42+#REF!+#REF!,"")</f>
        <v/>
      </c>
      <c r="BTA57" s="82" t="str">
        <f>IF(ISNUMBER(outYear),BTA37+BTA42+#REF!+#REF!,"")</f>
        <v/>
      </c>
      <c r="BTB57" s="82" t="str">
        <f>IF(ISNUMBER(outYear),BTB37+BTB42+#REF!+#REF!,"")</f>
        <v/>
      </c>
      <c r="BTC57" s="82" t="str">
        <f>IF(ISNUMBER(outYear),BTC37+BTC42+#REF!+#REF!,"")</f>
        <v/>
      </c>
      <c r="BTD57" s="82" t="str">
        <f>IF(ISNUMBER(outYear),BTD37+BTD42+#REF!+#REF!,"")</f>
        <v/>
      </c>
      <c r="BTE57" s="82" t="str">
        <f>IF(ISNUMBER(outYear),BTE37+BTE42+#REF!+#REF!,"")</f>
        <v/>
      </c>
      <c r="BTF57" s="82" t="str">
        <f>IF(ISNUMBER(outYear),BTF37+BTF42+#REF!+#REF!,"")</f>
        <v/>
      </c>
      <c r="BTG57" s="82" t="str">
        <f>IF(ISNUMBER(outYear),BTG37+BTG42+#REF!+#REF!,"")</f>
        <v/>
      </c>
      <c r="BTH57" s="82" t="str">
        <f>IF(ISNUMBER(outYear),BTH37+BTH42+#REF!+#REF!,"")</f>
        <v/>
      </c>
      <c r="BTI57" s="82" t="str">
        <f>IF(ISNUMBER(outYear),BTI37+BTI42+#REF!+#REF!,"")</f>
        <v/>
      </c>
      <c r="BTJ57" s="82" t="str">
        <f>IF(ISNUMBER(outYear),BTJ37+BTJ42+#REF!+#REF!,"")</f>
        <v/>
      </c>
      <c r="BTK57" s="82" t="str">
        <f>IF(ISNUMBER(outYear),BTK37+BTK42+#REF!+#REF!,"")</f>
        <v/>
      </c>
      <c r="BTL57" s="82" t="str">
        <f>IF(ISNUMBER(outYear),BTL37+BTL42+#REF!+#REF!,"")</f>
        <v/>
      </c>
      <c r="BTM57" s="82" t="str">
        <f>IF(ISNUMBER(outYear),BTM37+BTM42+#REF!+#REF!,"")</f>
        <v/>
      </c>
      <c r="BTN57" s="82" t="str">
        <f>IF(ISNUMBER(outYear),BTN37+BTN42+#REF!+#REF!,"")</f>
        <v/>
      </c>
      <c r="BTO57" s="82" t="str">
        <f>IF(ISNUMBER(outYear),BTO37+BTO42+#REF!+#REF!,"")</f>
        <v/>
      </c>
      <c r="BTP57" s="82" t="str">
        <f>IF(ISNUMBER(outYear),BTP37+BTP42+#REF!+#REF!,"")</f>
        <v/>
      </c>
      <c r="BTQ57" s="82" t="str">
        <f>IF(ISNUMBER(outYear),BTQ37+BTQ42+#REF!+#REF!,"")</f>
        <v/>
      </c>
      <c r="BTR57" s="82" t="str">
        <f>IF(ISNUMBER(outYear),BTR37+BTR42+#REF!+#REF!,"")</f>
        <v/>
      </c>
      <c r="BTS57" s="82" t="str">
        <f>IF(ISNUMBER(outYear),BTS37+BTS42+#REF!+#REF!,"")</f>
        <v/>
      </c>
      <c r="BTT57" s="82" t="str">
        <f>IF(ISNUMBER(outYear),BTT37+BTT42+#REF!+#REF!,"")</f>
        <v/>
      </c>
      <c r="BTU57" s="82" t="str">
        <f>IF(ISNUMBER(outYear),BTU37+BTU42+#REF!+#REF!,"")</f>
        <v/>
      </c>
      <c r="BTV57" s="82" t="str">
        <f>IF(ISNUMBER(outYear),BTV37+BTV42+#REF!+#REF!,"")</f>
        <v/>
      </c>
      <c r="BTW57" s="82" t="str">
        <f>IF(ISNUMBER(outYear),BTW37+BTW42+#REF!+#REF!,"")</f>
        <v/>
      </c>
      <c r="BTX57" s="82" t="str">
        <f>IF(ISNUMBER(outYear),BTX37+BTX42+#REF!+#REF!,"")</f>
        <v/>
      </c>
      <c r="BTY57" s="82" t="str">
        <f>IF(ISNUMBER(outYear),BTY37+BTY42+#REF!+#REF!,"")</f>
        <v/>
      </c>
      <c r="BTZ57" s="82" t="str">
        <f>IF(ISNUMBER(outYear),BTZ37+BTZ42+#REF!+#REF!,"")</f>
        <v/>
      </c>
      <c r="BUA57" s="82" t="str">
        <f>IF(ISNUMBER(outYear),BUA37+BUA42+#REF!+#REF!,"")</f>
        <v/>
      </c>
      <c r="BUB57" s="82" t="str">
        <f>IF(ISNUMBER(outYear),BUB37+BUB42+#REF!+#REF!,"")</f>
        <v/>
      </c>
      <c r="BUC57" s="82" t="str">
        <f>IF(ISNUMBER(outYear),BUC37+BUC42+#REF!+#REF!,"")</f>
        <v/>
      </c>
      <c r="BUD57" s="82" t="str">
        <f>IF(ISNUMBER(outYear),BUD37+BUD42+#REF!+#REF!,"")</f>
        <v/>
      </c>
      <c r="BUE57" s="82" t="str">
        <f>IF(ISNUMBER(outYear),BUE37+BUE42+#REF!+#REF!,"")</f>
        <v/>
      </c>
      <c r="BUF57" s="82" t="str">
        <f>IF(ISNUMBER(outYear),BUF37+BUF42+#REF!+#REF!,"")</f>
        <v/>
      </c>
      <c r="BUG57" s="82" t="str">
        <f>IF(ISNUMBER(outYear),BUG37+BUG42+#REF!+#REF!,"")</f>
        <v/>
      </c>
      <c r="BUH57" s="82" t="str">
        <f>IF(ISNUMBER(outYear),BUH37+BUH42+#REF!+#REF!,"")</f>
        <v/>
      </c>
      <c r="BUI57" s="82" t="str">
        <f>IF(ISNUMBER(outYear),BUI37+BUI42+#REF!+#REF!,"")</f>
        <v/>
      </c>
      <c r="BUJ57" s="82" t="str">
        <f>IF(ISNUMBER(outYear),BUJ37+BUJ42+#REF!+#REF!,"")</f>
        <v/>
      </c>
      <c r="BUK57" s="82" t="str">
        <f>IF(ISNUMBER(outYear),BUK37+BUK42+#REF!+#REF!,"")</f>
        <v/>
      </c>
      <c r="BUL57" s="82" t="str">
        <f>IF(ISNUMBER(outYear),BUL37+BUL42+#REF!+#REF!,"")</f>
        <v/>
      </c>
      <c r="BUM57" s="82" t="str">
        <f>IF(ISNUMBER(outYear),BUM37+BUM42+#REF!+#REF!,"")</f>
        <v/>
      </c>
      <c r="BUN57" s="82" t="str">
        <f>IF(ISNUMBER(outYear),BUN37+BUN42+#REF!+#REF!,"")</f>
        <v/>
      </c>
      <c r="BUO57" s="82" t="str">
        <f>IF(ISNUMBER(outYear),BUO37+BUO42+#REF!+#REF!,"")</f>
        <v/>
      </c>
      <c r="BUP57" s="82" t="str">
        <f>IF(ISNUMBER(outYear),BUP37+BUP42+#REF!+#REF!,"")</f>
        <v/>
      </c>
      <c r="BUQ57" s="82" t="str">
        <f>IF(ISNUMBER(outYear),BUQ37+BUQ42+#REF!+#REF!,"")</f>
        <v/>
      </c>
      <c r="BUR57" s="82" t="str">
        <f>IF(ISNUMBER(outYear),BUR37+BUR42+#REF!+#REF!,"")</f>
        <v/>
      </c>
      <c r="BUS57" s="82" t="str">
        <f>IF(ISNUMBER(outYear),BUS37+BUS42+#REF!+#REF!,"")</f>
        <v/>
      </c>
      <c r="BUT57" s="82" t="str">
        <f>IF(ISNUMBER(outYear),BUT37+BUT42+#REF!+#REF!,"")</f>
        <v/>
      </c>
      <c r="BUU57" s="82" t="str">
        <f>IF(ISNUMBER(outYear),BUU37+BUU42+#REF!+#REF!,"")</f>
        <v/>
      </c>
      <c r="BUV57" s="82" t="str">
        <f>IF(ISNUMBER(outYear),BUV37+BUV42+#REF!+#REF!,"")</f>
        <v/>
      </c>
      <c r="BUW57" s="82" t="str">
        <f>IF(ISNUMBER(outYear),BUW37+BUW42+#REF!+#REF!,"")</f>
        <v/>
      </c>
      <c r="BUX57" s="82" t="str">
        <f>IF(ISNUMBER(outYear),BUX37+BUX42+#REF!+#REF!,"")</f>
        <v/>
      </c>
      <c r="BUY57" s="82" t="str">
        <f>IF(ISNUMBER(outYear),BUY37+BUY42+#REF!+#REF!,"")</f>
        <v/>
      </c>
      <c r="BUZ57" s="82" t="str">
        <f>IF(ISNUMBER(outYear),BUZ37+BUZ42+#REF!+#REF!,"")</f>
        <v/>
      </c>
      <c r="BVA57" s="82" t="str">
        <f>IF(ISNUMBER(outYear),BVA37+BVA42+#REF!+#REF!,"")</f>
        <v/>
      </c>
      <c r="BVB57" s="82" t="str">
        <f>IF(ISNUMBER(outYear),BVB37+BVB42+#REF!+#REF!,"")</f>
        <v/>
      </c>
      <c r="BVC57" s="82" t="str">
        <f>IF(ISNUMBER(outYear),BVC37+BVC42+#REF!+#REF!,"")</f>
        <v/>
      </c>
      <c r="BVD57" s="82" t="str">
        <f>IF(ISNUMBER(outYear),BVD37+BVD42+#REF!+#REF!,"")</f>
        <v/>
      </c>
      <c r="BVE57" s="82" t="str">
        <f>IF(ISNUMBER(outYear),BVE37+BVE42+#REF!+#REF!,"")</f>
        <v/>
      </c>
      <c r="BVF57" s="82" t="str">
        <f>IF(ISNUMBER(outYear),BVF37+BVF42+#REF!+#REF!,"")</f>
        <v/>
      </c>
      <c r="BVG57" s="82" t="str">
        <f>IF(ISNUMBER(outYear),BVG37+BVG42+#REF!+#REF!,"")</f>
        <v/>
      </c>
      <c r="BVH57" s="82" t="str">
        <f>IF(ISNUMBER(outYear),BVH37+BVH42+#REF!+#REF!,"")</f>
        <v/>
      </c>
      <c r="BVI57" s="82" t="str">
        <f>IF(ISNUMBER(outYear),BVI37+BVI42+#REF!+#REF!,"")</f>
        <v/>
      </c>
      <c r="BVJ57" s="82" t="str">
        <f>IF(ISNUMBER(outYear),BVJ37+BVJ42+#REF!+#REF!,"")</f>
        <v/>
      </c>
      <c r="BVK57" s="82" t="str">
        <f>IF(ISNUMBER(outYear),BVK37+BVK42+#REF!+#REF!,"")</f>
        <v/>
      </c>
      <c r="BVL57" s="82" t="str">
        <f>IF(ISNUMBER(outYear),BVL37+BVL42+#REF!+#REF!,"")</f>
        <v/>
      </c>
      <c r="BVM57" s="82" t="str">
        <f>IF(ISNUMBER(outYear),BVM37+BVM42+#REF!+#REF!,"")</f>
        <v/>
      </c>
      <c r="BVN57" s="82" t="str">
        <f>IF(ISNUMBER(outYear),BVN37+BVN42+#REF!+#REF!,"")</f>
        <v/>
      </c>
      <c r="BVO57" s="82" t="str">
        <f>IF(ISNUMBER(outYear),BVO37+BVO42+#REF!+#REF!,"")</f>
        <v/>
      </c>
      <c r="BVP57" s="82" t="str">
        <f>IF(ISNUMBER(outYear),BVP37+BVP42+#REF!+#REF!,"")</f>
        <v/>
      </c>
      <c r="BVQ57" s="82" t="str">
        <f>IF(ISNUMBER(outYear),BVQ37+BVQ42+#REF!+#REF!,"")</f>
        <v/>
      </c>
      <c r="BVR57" s="82" t="str">
        <f>IF(ISNUMBER(outYear),BVR37+BVR42+#REF!+#REF!,"")</f>
        <v/>
      </c>
      <c r="BVS57" s="82" t="str">
        <f>IF(ISNUMBER(outYear),BVS37+BVS42+#REF!+#REF!,"")</f>
        <v/>
      </c>
      <c r="BVT57" s="82" t="str">
        <f>IF(ISNUMBER(outYear),BVT37+BVT42+#REF!+#REF!,"")</f>
        <v/>
      </c>
      <c r="BVU57" s="82" t="str">
        <f>IF(ISNUMBER(outYear),BVU37+BVU42+#REF!+#REF!,"")</f>
        <v/>
      </c>
      <c r="BVV57" s="82" t="str">
        <f>IF(ISNUMBER(outYear),BVV37+BVV42+#REF!+#REF!,"")</f>
        <v/>
      </c>
      <c r="BVW57" s="82" t="str">
        <f>IF(ISNUMBER(outYear),BVW37+BVW42+#REF!+#REF!,"")</f>
        <v/>
      </c>
      <c r="BVX57" s="82" t="str">
        <f>IF(ISNUMBER(outYear),BVX37+BVX42+#REF!+#REF!,"")</f>
        <v/>
      </c>
      <c r="BVY57" s="82" t="str">
        <f>IF(ISNUMBER(outYear),BVY37+BVY42+#REF!+#REF!,"")</f>
        <v/>
      </c>
      <c r="BVZ57" s="82" t="str">
        <f>IF(ISNUMBER(outYear),BVZ37+BVZ42+#REF!+#REF!,"")</f>
        <v/>
      </c>
      <c r="BWA57" s="82" t="str">
        <f>IF(ISNUMBER(outYear),BWA37+BWA42+#REF!+#REF!,"")</f>
        <v/>
      </c>
      <c r="BWB57" s="82" t="str">
        <f>IF(ISNUMBER(outYear),BWB37+BWB42+#REF!+#REF!,"")</f>
        <v/>
      </c>
      <c r="BWC57" s="82" t="str">
        <f>IF(ISNUMBER(outYear),BWC37+BWC42+#REF!+#REF!,"")</f>
        <v/>
      </c>
      <c r="BWD57" s="82" t="str">
        <f>IF(ISNUMBER(outYear),BWD37+BWD42+#REF!+#REF!,"")</f>
        <v/>
      </c>
      <c r="BWE57" s="82" t="str">
        <f>IF(ISNUMBER(outYear),BWE37+BWE42+#REF!+#REF!,"")</f>
        <v/>
      </c>
      <c r="BWF57" s="82" t="str">
        <f>IF(ISNUMBER(outYear),BWF37+BWF42+#REF!+#REF!,"")</f>
        <v/>
      </c>
      <c r="BWG57" s="82" t="str">
        <f>IF(ISNUMBER(outYear),BWG37+BWG42+#REF!+#REF!,"")</f>
        <v/>
      </c>
      <c r="BWH57" s="82" t="str">
        <f>IF(ISNUMBER(outYear),BWH37+BWH42+#REF!+#REF!,"")</f>
        <v/>
      </c>
      <c r="BWI57" s="82" t="str">
        <f>IF(ISNUMBER(outYear),BWI37+BWI42+#REF!+#REF!,"")</f>
        <v/>
      </c>
      <c r="BWJ57" s="82" t="str">
        <f>IF(ISNUMBER(outYear),BWJ37+BWJ42+#REF!+#REF!,"")</f>
        <v/>
      </c>
      <c r="BWK57" s="82" t="str">
        <f>IF(ISNUMBER(outYear),BWK37+BWK42+#REF!+#REF!,"")</f>
        <v/>
      </c>
      <c r="BWL57" s="82" t="str">
        <f>IF(ISNUMBER(outYear),BWL37+BWL42+#REF!+#REF!,"")</f>
        <v/>
      </c>
      <c r="BWM57" s="82" t="str">
        <f>IF(ISNUMBER(outYear),BWM37+BWM42+#REF!+#REF!,"")</f>
        <v/>
      </c>
      <c r="BWN57" s="82" t="str">
        <f>IF(ISNUMBER(outYear),BWN37+BWN42+#REF!+#REF!,"")</f>
        <v/>
      </c>
      <c r="BWO57" s="82" t="str">
        <f>IF(ISNUMBER(outYear),BWO37+BWO42+#REF!+#REF!,"")</f>
        <v/>
      </c>
      <c r="BWP57" s="82" t="str">
        <f>IF(ISNUMBER(outYear),BWP37+BWP42+#REF!+#REF!,"")</f>
        <v/>
      </c>
      <c r="BWQ57" s="82" t="str">
        <f>IF(ISNUMBER(outYear),BWQ37+BWQ42+#REF!+#REF!,"")</f>
        <v/>
      </c>
      <c r="BWR57" s="82" t="str">
        <f>IF(ISNUMBER(outYear),BWR37+BWR42+#REF!+#REF!,"")</f>
        <v/>
      </c>
      <c r="BWS57" s="82" t="str">
        <f>IF(ISNUMBER(outYear),BWS37+BWS42+#REF!+#REF!,"")</f>
        <v/>
      </c>
      <c r="BWT57" s="82" t="str">
        <f>IF(ISNUMBER(outYear),BWT37+BWT42+#REF!+#REF!,"")</f>
        <v/>
      </c>
      <c r="BWU57" s="82" t="str">
        <f>IF(ISNUMBER(outYear),BWU37+BWU42+#REF!+#REF!,"")</f>
        <v/>
      </c>
      <c r="BWV57" s="82" t="str">
        <f>IF(ISNUMBER(outYear),BWV37+BWV42+#REF!+#REF!,"")</f>
        <v/>
      </c>
      <c r="BWW57" s="82" t="str">
        <f>IF(ISNUMBER(outYear),BWW37+BWW42+#REF!+#REF!,"")</f>
        <v/>
      </c>
      <c r="BWX57" s="82" t="str">
        <f>IF(ISNUMBER(outYear),BWX37+BWX42+#REF!+#REF!,"")</f>
        <v/>
      </c>
      <c r="BWY57" s="82" t="str">
        <f>IF(ISNUMBER(outYear),BWY37+BWY42+#REF!+#REF!,"")</f>
        <v/>
      </c>
      <c r="BWZ57" s="82" t="str">
        <f>IF(ISNUMBER(outYear),BWZ37+BWZ42+#REF!+#REF!,"")</f>
        <v/>
      </c>
      <c r="BXA57" s="82" t="str">
        <f>IF(ISNUMBER(outYear),BXA37+BXA42+#REF!+#REF!,"")</f>
        <v/>
      </c>
      <c r="BXB57" s="82" t="str">
        <f>IF(ISNUMBER(outYear),BXB37+BXB42+#REF!+#REF!,"")</f>
        <v/>
      </c>
      <c r="BXC57" s="82" t="str">
        <f>IF(ISNUMBER(outYear),BXC37+BXC42+#REF!+#REF!,"")</f>
        <v/>
      </c>
      <c r="BXD57" s="82" t="str">
        <f>IF(ISNUMBER(outYear),BXD37+BXD42+#REF!+#REF!,"")</f>
        <v/>
      </c>
      <c r="BXE57" s="82" t="str">
        <f>IF(ISNUMBER(outYear),BXE37+BXE42+#REF!+#REF!,"")</f>
        <v/>
      </c>
      <c r="BXF57" s="82" t="str">
        <f>IF(ISNUMBER(outYear),BXF37+BXF42+#REF!+#REF!,"")</f>
        <v/>
      </c>
      <c r="BXG57" s="82" t="str">
        <f>IF(ISNUMBER(outYear),BXG37+BXG42+#REF!+#REF!,"")</f>
        <v/>
      </c>
      <c r="BXH57" s="82" t="str">
        <f>IF(ISNUMBER(outYear),BXH37+BXH42+#REF!+#REF!,"")</f>
        <v/>
      </c>
      <c r="BXI57" s="82" t="str">
        <f>IF(ISNUMBER(outYear),BXI37+BXI42+#REF!+#REF!,"")</f>
        <v/>
      </c>
      <c r="BXJ57" s="82" t="str">
        <f>IF(ISNUMBER(outYear),BXJ37+BXJ42+#REF!+#REF!,"")</f>
        <v/>
      </c>
      <c r="BXK57" s="82" t="str">
        <f>IF(ISNUMBER(outYear),BXK37+BXK42+#REF!+#REF!,"")</f>
        <v/>
      </c>
      <c r="BXL57" s="82" t="str">
        <f>IF(ISNUMBER(outYear),BXL37+BXL42+#REF!+#REF!,"")</f>
        <v/>
      </c>
      <c r="BXM57" s="82" t="str">
        <f>IF(ISNUMBER(outYear),BXM37+BXM42+#REF!+#REF!,"")</f>
        <v/>
      </c>
      <c r="BXN57" s="82" t="str">
        <f>IF(ISNUMBER(outYear),BXN37+BXN42+#REF!+#REF!,"")</f>
        <v/>
      </c>
      <c r="BXO57" s="82" t="str">
        <f>IF(ISNUMBER(outYear),BXO37+BXO42+#REF!+#REF!,"")</f>
        <v/>
      </c>
      <c r="BXP57" s="82" t="str">
        <f>IF(ISNUMBER(outYear),BXP37+BXP42+#REF!+#REF!,"")</f>
        <v/>
      </c>
      <c r="BXQ57" s="82" t="str">
        <f>IF(ISNUMBER(outYear),BXQ37+BXQ42+#REF!+#REF!,"")</f>
        <v/>
      </c>
      <c r="BXR57" s="82" t="str">
        <f>IF(ISNUMBER(outYear),BXR37+BXR42+#REF!+#REF!,"")</f>
        <v/>
      </c>
      <c r="BXS57" s="82" t="str">
        <f>IF(ISNUMBER(outYear),BXS37+BXS42+#REF!+#REF!,"")</f>
        <v/>
      </c>
      <c r="BXT57" s="82" t="str">
        <f>IF(ISNUMBER(outYear),BXT37+BXT42+#REF!+#REF!,"")</f>
        <v/>
      </c>
      <c r="BXU57" s="82" t="str">
        <f>IF(ISNUMBER(outYear),BXU37+BXU42+#REF!+#REF!,"")</f>
        <v/>
      </c>
      <c r="BXV57" s="82" t="str">
        <f>IF(ISNUMBER(outYear),BXV37+BXV42+#REF!+#REF!,"")</f>
        <v/>
      </c>
      <c r="BXW57" s="82" t="str">
        <f>IF(ISNUMBER(outYear),BXW37+BXW42+#REF!+#REF!,"")</f>
        <v/>
      </c>
      <c r="BXX57" s="82" t="str">
        <f>IF(ISNUMBER(outYear),BXX37+BXX42+#REF!+#REF!,"")</f>
        <v/>
      </c>
      <c r="BXY57" s="82" t="str">
        <f>IF(ISNUMBER(outYear),BXY37+BXY42+#REF!+#REF!,"")</f>
        <v/>
      </c>
      <c r="BXZ57" s="82" t="str">
        <f>IF(ISNUMBER(outYear),BXZ37+BXZ42+#REF!+#REF!,"")</f>
        <v/>
      </c>
      <c r="BYA57" s="82" t="str">
        <f>IF(ISNUMBER(outYear),BYA37+BYA42+#REF!+#REF!,"")</f>
        <v/>
      </c>
      <c r="BYB57" s="82" t="str">
        <f>IF(ISNUMBER(outYear),BYB37+BYB42+#REF!+#REF!,"")</f>
        <v/>
      </c>
      <c r="BYC57" s="82" t="str">
        <f>IF(ISNUMBER(outYear),BYC37+BYC42+#REF!+#REF!,"")</f>
        <v/>
      </c>
      <c r="BYD57" s="82" t="str">
        <f>IF(ISNUMBER(outYear),BYD37+BYD42+#REF!+#REF!,"")</f>
        <v/>
      </c>
      <c r="BYE57" s="82" t="str">
        <f>IF(ISNUMBER(outYear),BYE37+BYE42+#REF!+#REF!,"")</f>
        <v/>
      </c>
      <c r="BYF57" s="82" t="str">
        <f>IF(ISNUMBER(outYear),BYF37+BYF42+#REF!+#REF!,"")</f>
        <v/>
      </c>
      <c r="BYG57" s="82" t="str">
        <f>IF(ISNUMBER(outYear),BYG37+BYG42+#REF!+#REF!,"")</f>
        <v/>
      </c>
      <c r="BYH57" s="82" t="str">
        <f>IF(ISNUMBER(outYear),BYH37+BYH42+#REF!+#REF!,"")</f>
        <v/>
      </c>
      <c r="BYI57" s="82" t="str">
        <f>IF(ISNUMBER(outYear),BYI37+BYI42+#REF!+#REF!,"")</f>
        <v/>
      </c>
      <c r="BYJ57" s="82" t="str">
        <f>IF(ISNUMBER(outYear),BYJ37+BYJ42+#REF!+#REF!,"")</f>
        <v/>
      </c>
      <c r="BYK57" s="82" t="str">
        <f>IF(ISNUMBER(outYear),BYK37+BYK42+#REF!+#REF!,"")</f>
        <v/>
      </c>
      <c r="BYL57" s="82" t="str">
        <f>IF(ISNUMBER(outYear),BYL37+BYL42+#REF!+#REF!,"")</f>
        <v/>
      </c>
      <c r="BYM57" s="82" t="str">
        <f>IF(ISNUMBER(outYear),BYM37+BYM42+#REF!+#REF!,"")</f>
        <v/>
      </c>
      <c r="BYN57" s="82" t="str">
        <f>IF(ISNUMBER(outYear),BYN37+BYN42+#REF!+#REF!,"")</f>
        <v/>
      </c>
      <c r="BYO57" s="82" t="str">
        <f>IF(ISNUMBER(outYear),BYO37+BYO42+#REF!+#REF!,"")</f>
        <v/>
      </c>
      <c r="BYP57" s="82" t="str">
        <f>IF(ISNUMBER(outYear),BYP37+BYP42+#REF!+#REF!,"")</f>
        <v/>
      </c>
      <c r="BYQ57" s="82" t="str">
        <f>IF(ISNUMBER(outYear),BYQ37+BYQ42+#REF!+#REF!,"")</f>
        <v/>
      </c>
      <c r="BYR57" s="82" t="str">
        <f>IF(ISNUMBER(outYear),BYR37+BYR42+#REF!+#REF!,"")</f>
        <v/>
      </c>
      <c r="BYS57" s="82" t="str">
        <f>IF(ISNUMBER(outYear),BYS37+BYS42+#REF!+#REF!,"")</f>
        <v/>
      </c>
      <c r="BYT57" s="82" t="str">
        <f>IF(ISNUMBER(outYear),BYT37+BYT42+#REF!+#REF!,"")</f>
        <v/>
      </c>
      <c r="BYU57" s="82" t="str">
        <f>IF(ISNUMBER(outYear),BYU37+BYU42+#REF!+#REF!,"")</f>
        <v/>
      </c>
      <c r="BYV57" s="82" t="str">
        <f>IF(ISNUMBER(outYear),BYV37+BYV42+#REF!+#REF!,"")</f>
        <v/>
      </c>
      <c r="BYW57" s="82" t="str">
        <f>IF(ISNUMBER(outYear),BYW37+BYW42+#REF!+#REF!,"")</f>
        <v/>
      </c>
      <c r="BYX57" s="82" t="str">
        <f>IF(ISNUMBER(outYear),BYX37+BYX42+#REF!+#REF!,"")</f>
        <v/>
      </c>
      <c r="BYY57" s="82" t="str">
        <f>IF(ISNUMBER(outYear),BYY37+BYY42+#REF!+#REF!,"")</f>
        <v/>
      </c>
      <c r="BYZ57" s="82" t="str">
        <f>IF(ISNUMBER(outYear),BYZ37+BYZ42+#REF!+#REF!,"")</f>
        <v/>
      </c>
      <c r="BZA57" s="82" t="str">
        <f>IF(ISNUMBER(outYear),BZA37+BZA42+#REF!+#REF!,"")</f>
        <v/>
      </c>
      <c r="BZB57" s="82" t="str">
        <f>IF(ISNUMBER(outYear),BZB37+BZB42+#REF!+#REF!,"")</f>
        <v/>
      </c>
      <c r="BZC57" s="82" t="str">
        <f>IF(ISNUMBER(outYear),BZC37+BZC42+#REF!+#REF!,"")</f>
        <v/>
      </c>
      <c r="BZD57" s="82" t="str">
        <f>IF(ISNUMBER(outYear),BZD37+BZD42+#REF!+#REF!,"")</f>
        <v/>
      </c>
      <c r="BZE57" s="82" t="str">
        <f>IF(ISNUMBER(outYear),BZE37+BZE42+#REF!+#REF!,"")</f>
        <v/>
      </c>
      <c r="BZF57" s="82" t="str">
        <f>IF(ISNUMBER(outYear),BZF37+BZF42+#REF!+#REF!,"")</f>
        <v/>
      </c>
      <c r="BZG57" s="82" t="str">
        <f>IF(ISNUMBER(outYear),BZG37+BZG42+#REF!+#REF!,"")</f>
        <v/>
      </c>
      <c r="BZH57" s="82" t="str">
        <f>IF(ISNUMBER(outYear),BZH37+BZH42+#REF!+#REF!,"")</f>
        <v/>
      </c>
      <c r="BZI57" s="82" t="str">
        <f>IF(ISNUMBER(outYear),BZI37+BZI42+#REF!+#REF!,"")</f>
        <v/>
      </c>
      <c r="BZJ57" s="82" t="str">
        <f>IF(ISNUMBER(outYear),BZJ37+BZJ42+#REF!+#REF!,"")</f>
        <v/>
      </c>
      <c r="BZK57" s="82" t="str">
        <f>IF(ISNUMBER(outYear),BZK37+BZK42+#REF!+#REF!,"")</f>
        <v/>
      </c>
      <c r="BZL57" s="82" t="str">
        <f>IF(ISNUMBER(outYear),BZL37+BZL42+#REF!+#REF!,"")</f>
        <v/>
      </c>
      <c r="BZM57" s="82" t="str">
        <f>IF(ISNUMBER(outYear),BZM37+BZM42+#REF!+#REF!,"")</f>
        <v/>
      </c>
      <c r="BZN57" s="82" t="str">
        <f>IF(ISNUMBER(outYear),BZN37+BZN42+#REF!+#REF!,"")</f>
        <v/>
      </c>
      <c r="BZO57" s="82" t="str">
        <f>IF(ISNUMBER(outYear),BZO37+BZO42+#REF!+#REF!,"")</f>
        <v/>
      </c>
      <c r="BZP57" s="82" t="str">
        <f>IF(ISNUMBER(outYear),BZP37+BZP42+#REF!+#REF!,"")</f>
        <v/>
      </c>
      <c r="BZQ57" s="82" t="str">
        <f>IF(ISNUMBER(outYear),BZQ37+BZQ42+#REF!+#REF!,"")</f>
        <v/>
      </c>
      <c r="BZR57" s="82" t="str">
        <f>IF(ISNUMBER(outYear),BZR37+BZR42+#REF!+#REF!,"")</f>
        <v/>
      </c>
      <c r="BZS57" s="82" t="str">
        <f>IF(ISNUMBER(outYear),BZS37+BZS42+#REF!+#REF!,"")</f>
        <v/>
      </c>
      <c r="BZT57" s="82" t="str">
        <f>IF(ISNUMBER(outYear),BZT37+BZT42+#REF!+#REF!,"")</f>
        <v/>
      </c>
      <c r="BZU57" s="82" t="str">
        <f>IF(ISNUMBER(outYear),BZU37+BZU42+#REF!+#REF!,"")</f>
        <v/>
      </c>
      <c r="BZV57" s="82" t="str">
        <f>IF(ISNUMBER(outYear),BZV37+BZV42+#REF!+#REF!,"")</f>
        <v/>
      </c>
      <c r="BZW57" s="82" t="str">
        <f>IF(ISNUMBER(outYear),BZW37+BZW42+#REF!+#REF!,"")</f>
        <v/>
      </c>
      <c r="BZX57" s="82" t="str">
        <f>IF(ISNUMBER(outYear),BZX37+BZX42+#REF!+#REF!,"")</f>
        <v/>
      </c>
      <c r="BZY57" s="82" t="str">
        <f>IF(ISNUMBER(outYear),BZY37+BZY42+#REF!+#REF!,"")</f>
        <v/>
      </c>
      <c r="BZZ57" s="82" t="str">
        <f>IF(ISNUMBER(outYear),BZZ37+BZZ42+#REF!+#REF!,"")</f>
        <v/>
      </c>
      <c r="CAA57" s="82" t="str">
        <f>IF(ISNUMBER(outYear),CAA37+CAA42+#REF!+#REF!,"")</f>
        <v/>
      </c>
      <c r="CAB57" s="82" t="str">
        <f>IF(ISNUMBER(outYear),CAB37+CAB42+#REF!+#REF!,"")</f>
        <v/>
      </c>
      <c r="CAC57" s="82" t="str">
        <f>IF(ISNUMBER(outYear),CAC37+CAC42+#REF!+#REF!,"")</f>
        <v/>
      </c>
      <c r="CAD57" s="82" t="str">
        <f>IF(ISNUMBER(outYear),CAD37+CAD42+#REF!+#REF!,"")</f>
        <v/>
      </c>
      <c r="CAE57" s="82" t="str">
        <f>IF(ISNUMBER(outYear),CAE37+CAE42+#REF!+#REF!,"")</f>
        <v/>
      </c>
      <c r="CAF57" s="82" t="str">
        <f>IF(ISNUMBER(outYear),CAF37+CAF42+#REF!+#REF!,"")</f>
        <v/>
      </c>
      <c r="CAG57" s="82" t="str">
        <f>IF(ISNUMBER(outYear),CAG37+CAG42+#REF!+#REF!,"")</f>
        <v/>
      </c>
      <c r="CAH57" s="82" t="str">
        <f>IF(ISNUMBER(outYear),CAH37+CAH42+#REF!+#REF!,"")</f>
        <v/>
      </c>
      <c r="CAI57" s="82" t="str">
        <f>IF(ISNUMBER(outYear),CAI37+CAI42+#REF!+#REF!,"")</f>
        <v/>
      </c>
      <c r="CAJ57" s="82" t="str">
        <f>IF(ISNUMBER(outYear),CAJ37+CAJ42+#REF!+#REF!,"")</f>
        <v/>
      </c>
      <c r="CAK57" s="82" t="str">
        <f>IF(ISNUMBER(outYear),CAK37+CAK42+#REF!+#REF!,"")</f>
        <v/>
      </c>
      <c r="CAL57" s="82" t="str">
        <f>IF(ISNUMBER(outYear),CAL37+CAL42+#REF!+#REF!,"")</f>
        <v/>
      </c>
      <c r="CAM57" s="82" t="str">
        <f>IF(ISNUMBER(outYear),CAM37+CAM42+#REF!+#REF!,"")</f>
        <v/>
      </c>
      <c r="CAN57" s="82" t="str">
        <f>IF(ISNUMBER(outYear),CAN37+CAN42+#REF!+#REF!,"")</f>
        <v/>
      </c>
      <c r="CAO57" s="82" t="str">
        <f>IF(ISNUMBER(outYear),CAO37+CAO42+#REF!+#REF!,"")</f>
        <v/>
      </c>
      <c r="CAP57" s="82" t="str">
        <f>IF(ISNUMBER(outYear),CAP37+CAP42+#REF!+#REF!,"")</f>
        <v/>
      </c>
      <c r="CAQ57" s="82" t="str">
        <f>IF(ISNUMBER(outYear),CAQ37+CAQ42+#REF!+#REF!,"")</f>
        <v/>
      </c>
      <c r="CAR57" s="82" t="str">
        <f>IF(ISNUMBER(outYear),CAR37+CAR42+#REF!+#REF!,"")</f>
        <v/>
      </c>
      <c r="CAS57" s="82" t="str">
        <f>IF(ISNUMBER(outYear),CAS37+CAS42+#REF!+#REF!,"")</f>
        <v/>
      </c>
      <c r="CAT57" s="82" t="str">
        <f>IF(ISNUMBER(outYear),CAT37+CAT42+#REF!+#REF!,"")</f>
        <v/>
      </c>
      <c r="CAU57" s="82" t="str">
        <f>IF(ISNUMBER(outYear),CAU37+CAU42+#REF!+#REF!,"")</f>
        <v/>
      </c>
      <c r="CAV57" s="82" t="str">
        <f>IF(ISNUMBER(outYear),CAV37+CAV42+#REF!+#REF!,"")</f>
        <v/>
      </c>
      <c r="CAW57" s="82" t="str">
        <f>IF(ISNUMBER(outYear),CAW37+CAW42+#REF!+#REF!,"")</f>
        <v/>
      </c>
      <c r="CAX57" s="82" t="str">
        <f>IF(ISNUMBER(outYear),CAX37+CAX42+#REF!+#REF!,"")</f>
        <v/>
      </c>
      <c r="CAY57" s="82" t="str">
        <f>IF(ISNUMBER(outYear),CAY37+CAY42+#REF!+#REF!,"")</f>
        <v/>
      </c>
      <c r="CAZ57" s="82" t="str">
        <f>IF(ISNUMBER(outYear),CAZ37+CAZ42+#REF!+#REF!,"")</f>
        <v/>
      </c>
      <c r="CBA57" s="82" t="str">
        <f>IF(ISNUMBER(outYear),CBA37+CBA42+#REF!+#REF!,"")</f>
        <v/>
      </c>
      <c r="CBB57" s="82" t="str">
        <f>IF(ISNUMBER(outYear),CBB37+CBB42+#REF!+#REF!,"")</f>
        <v/>
      </c>
      <c r="CBC57" s="82" t="str">
        <f>IF(ISNUMBER(outYear),CBC37+CBC42+#REF!+#REF!,"")</f>
        <v/>
      </c>
      <c r="CBD57" s="82" t="str">
        <f>IF(ISNUMBER(outYear),CBD37+CBD42+#REF!+#REF!,"")</f>
        <v/>
      </c>
      <c r="CBE57" s="82" t="str">
        <f>IF(ISNUMBER(outYear),CBE37+CBE42+#REF!+#REF!,"")</f>
        <v/>
      </c>
      <c r="CBF57" s="82" t="str">
        <f>IF(ISNUMBER(outYear),CBF37+CBF42+#REF!+#REF!,"")</f>
        <v/>
      </c>
      <c r="CBG57" s="82" t="str">
        <f>IF(ISNUMBER(outYear),CBG37+CBG42+#REF!+#REF!,"")</f>
        <v/>
      </c>
      <c r="CBH57" s="82" t="str">
        <f>IF(ISNUMBER(outYear),CBH37+CBH42+#REF!+#REF!,"")</f>
        <v/>
      </c>
      <c r="CBI57" s="82" t="str">
        <f>IF(ISNUMBER(outYear),CBI37+CBI42+#REF!+#REF!,"")</f>
        <v/>
      </c>
      <c r="CBJ57" s="82" t="str">
        <f>IF(ISNUMBER(outYear),CBJ37+CBJ42+#REF!+#REF!,"")</f>
        <v/>
      </c>
      <c r="CBK57" s="82" t="str">
        <f>IF(ISNUMBER(outYear),CBK37+CBK42+#REF!+#REF!,"")</f>
        <v/>
      </c>
      <c r="CBL57" s="82" t="str">
        <f>IF(ISNUMBER(outYear),CBL37+CBL42+#REF!+#REF!,"")</f>
        <v/>
      </c>
      <c r="CBM57" s="82" t="str">
        <f>IF(ISNUMBER(outYear),CBM37+CBM42+#REF!+#REF!,"")</f>
        <v/>
      </c>
      <c r="CBN57" s="82" t="str">
        <f>IF(ISNUMBER(outYear),CBN37+CBN42+#REF!+#REF!,"")</f>
        <v/>
      </c>
      <c r="CBO57" s="82" t="str">
        <f>IF(ISNUMBER(outYear),CBO37+CBO42+#REF!+#REF!,"")</f>
        <v/>
      </c>
      <c r="CBP57" s="82" t="str">
        <f>IF(ISNUMBER(outYear),CBP37+CBP42+#REF!+#REF!,"")</f>
        <v/>
      </c>
      <c r="CBQ57" s="82" t="str">
        <f>IF(ISNUMBER(outYear),CBQ37+CBQ42+#REF!+#REF!,"")</f>
        <v/>
      </c>
      <c r="CBR57" s="82" t="str">
        <f>IF(ISNUMBER(outYear),CBR37+CBR42+#REF!+#REF!,"")</f>
        <v/>
      </c>
      <c r="CBS57" s="82" t="str">
        <f>IF(ISNUMBER(outYear),CBS37+CBS42+#REF!+#REF!,"")</f>
        <v/>
      </c>
      <c r="CBT57" s="82" t="str">
        <f>IF(ISNUMBER(outYear),CBT37+CBT42+#REF!+#REF!,"")</f>
        <v/>
      </c>
      <c r="CBU57" s="82" t="str">
        <f>IF(ISNUMBER(outYear),CBU37+CBU42+#REF!+#REF!,"")</f>
        <v/>
      </c>
      <c r="CBV57" s="82" t="str">
        <f>IF(ISNUMBER(outYear),CBV37+CBV42+#REF!+#REF!,"")</f>
        <v/>
      </c>
      <c r="CBW57" s="82" t="str">
        <f>IF(ISNUMBER(outYear),CBW37+CBW42+#REF!+#REF!,"")</f>
        <v/>
      </c>
      <c r="CBX57" s="82" t="str">
        <f>IF(ISNUMBER(outYear),CBX37+CBX42+#REF!+#REF!,"")</f>
        <v/>
      </c>
      <c r="CBY57" s="82" t="str">
        <f>IF(ISNUMBER(outYear),CBY37+CBY42+#REF!+#REF!,"")</f>
        <v/>
      </c>
      <c r="CBZ57" s="82" t="str">
        <f>IF(ISNUMBER(outYear),CBZ37+CBZ42+#REF!+#REF!,"")</f>
        <v/>
      </c>
      <c r="CCA57" s="82" t="str">
        <f>IF(ISNUMBER(outYear),CCA37+CCA42+#REF!+#REF!,"")</f>
        <v/>
      </c>
      <c r="CCB57" s="82" t="str">
        <f>IF(ISNUMBER(outYear),CCB37+CCB42+#REF!+#REF!,"")</f>
        <v/>
      </c>
      <c r="CCC57" s="82" t="str">
        <f>IF(ISNUMBER(outYear),CCC37+CCC42+#REF!+#REF!,"")</f>
        <v/>
      </c>
      <c r="CCD57" s="82" t="str">
        <f>IF(ISNUMBER(outYear),CCD37+CCD42+#REF!+#REF!,"")</f>
        <v/>
      </c>
      <c r="CCE57" s="82" t="str">
        <f>IF(ISNUMBER(outYear),CCE37+CCE42+#REF!+#REF!,"")</f>
        <v/>
      </c>
      <c r="CCF57" s="82" t="str">
        <f>IF(ISNUMBER(outYear),CCF37+CCF42+#REF!+#REF!,"")</f>
        <v/>
      </c>
      <c r="CCG57" s="82" t="str">
        <f>IF(ISNUMBER(outYear),CCG37+CCG42+#REF!+#REF!,"")</f>
        <v/>
      </c>
      <c r="CCH57" s="82" t="str">
        <f>IF(ISNUMBER(outYear),CCH37+CCH42+#REF!+#REF!,"")</f>
        <v/>
      </c>
      <c r="CCI57" s="82" t="str">
        <f>IF(ISNUMBER(outYear),CCI37+CCI42+#REF!+#REF!,"")</f>
        <v/>
      </c>
      <c r="CCJ57" s="82" t="str">
        <f>IF(ISNUMBER(outYear),CCJ37+CCJ42+#REF!+#REF!,"")</f>
        <v/>
      </c>
      <c r="CCK57" s="82" t="str">
        <f>IF(ISNUMBER(outYear),CCK37+CCK42+#REF!+#REF!,"")</f>
        <v/>
      </c>
      <c r="CCL57" s="82" t="str">
        <f>IF(ISNUMBER(outYear),CCL37+CCL42+#REF!+#REF!,"")</f>
        <v/>
      </c>
      <c r="CCM57" s="82" t="str">
        <f>IF(ISNUMBER(outYear),CCM37+CCM42+#REF!+#REF!,"")</f>
        <v/>
      </c>
      <c r="CCN57" s="82" t="str">
        <f>IF(ISNUMBER(outYear),CCN37+CCN42+#REF!+#REF!,"")</f>
        <v/>
      </c>
      <c r="CCO57" s="82" t="str">
        <f>IF(ISNUMBER(outYear),CCO37+CCO42+#REF!+#REF!,"")</f>
        <v/>
      </c>
      <c r="CCP57" s="82" t="str">
        <f>IF(ISNUMBER(outYear),CCP37+CCP42+#REF!+#REF!,"")</f>
        <v/>
      </c>
      <c r="CCQ57" s="82" t="str">
        <f>IF(ISNUMBER(outYear),CCQ37+CCQ42+#REF!+#REF!,"")</f>
        <v/>
      </c>
      <c r="CCR57" s="82" t="str">
        <f>IF(ISNUMBER(outYear),CCR37+CCR42+#REF!+#REF!,"")</f>
        <v/>
      </c>
      <c r="CCS57" s="82" t="str">
        <f>IF(ISNUMBER(outYear),CCS37+CCS42+#REF!+#REF!,"")</f>
        <v/>
      </c>
      <c r="CCT57" s="82" t="str">
        <f>IF(ISNUMBER(outYear),CCT37+CCT42+#REF!+#REF!,"")</f>
        <v/>
      </c>
      <c r="CCU57" s="82" t="str">
        <f>IF(ISNUMBER(outYear),CCU37+CCU42+#REF!+#REF!,"")</f>
        <v/>
      </c>
      <c r="CCV57" s="82" t="str">
        <f>IF(ISNUMBER(outYear),CCV37+CCV42+#REF!+#REF!,"")</f>
        <v/>
      </c>
      <c r="CCW57" s="82" t="str">
        <f>IF(ISNUMBER(outYear),CCW37+CCW42+#REF!+#REF!,"")</f>
        <v/>
      </c>
      <c r="CCX57" s="82" t="str">
        <f>IF(ISNUMBER(outYear),CCX37+CCX42+#REF!+#REF!,"")</f>
        <v/>
      </c>
      <c r="CCY57" s="82" t="str">
        <f>IF(ISNUMBER(outYear),CCY37+CCY42+#REF!+#REF!,"")</f>
        <v/>
      </c>
      <c r="CCZ57" s="82" t="str">
        <f>IF(ISNUMBER(outYear),CCZ37+CCZ42+#REF!+#REF!,"")</f>
        <v/>
      </c>
      <c r="CDA57" s="82" t="str">
        <f>IF(ISNUMBER(outYear),CDA37+CDA42+#REF!+#REF!,"")</f>
        <v/>
      </c>
      <c r="CDB57" s="82" t="str">
        <f>IF(ISNUMBER(outYear),CDB37+CDB42+#REF!+#REF!,"")</f>
        <v/>
      </c>
      <c r="CDC57" s="82" t="str">
        <f>IF(ISNUMBER(outYear),CDC37+CDC42+#REF!+#REF!,"")</f>
        <v/>
      </c>
      <c r="CDD57" s="82" t="str">
        <f>IF(ISNUMBER(outYear),CDD37+CDD42+#REF!+#REF!,"")</f>
        <v/>
      </c>
      <c r="CDE57" s="82" t="str">
        <f>IF(ISNUMBER(outYear),CDE37+CDE42+#REF!+#REF!,"")</f>
        <v/>
      </c>
      <c r="CDF57" s="82" t="str">
        <f>IF(ISNUMBER(outYear),CDF37+CDF42+#REF!+#REF!,"")</f>
        <v/>
      </c>
      <c r="CDG57" s="82" t="str">
        <f>IF(ISNUMBER(outYear),CDG37+CDG42+#REF!+#REF!,"")</f>
        <v/>
      </c>
      <c r="CDH57" s="82" t="str">
        <f>IF(ISNUMBER(outYear),CDH37+CDH42+#REF!+#REF!,"")</f>
        <v/>
      </c>
      <c r="CDI57" s="82" t="str">
        <f>IF(ISNUMBER(outYear),CDI37+CDI42+#REF!+#REF!,"")</f>
        <v/>
      </c>
      <c r="CDJ57" s="82" t="str">
        <f>IF(ISNUMBER(outYear),CDJ37+CDJ42+#REF!+#REF!,"")</f>
        <v/>
      </c>
      <c r="CDK57" s="82" t="str">
        <f>IF(ISNUMBER(outYear),CDK37+CDK42+#REF!+#REF!,"")</f>
        <v/>
      </c>
      <c r="CDL57" s="82" t="str">
        <f>IF(ISNUMBER(outYear),CDL37+CDL42+#REF!+#REF!,"")</f>
        <v/>
      </c>
      <c r="CDM57" s="82" t="str">
        <f>IF(ISNUMBER(outYear),CDM37+CDM42+#REF!+#REF!,"")</f>
        <v/>
      </c>
      <c r="CDN57" s="82" t="str">
        <f>IF(ISNUMBER(outYear),CDN37+CDN42+#REF!+#REF!,"")</f>
        <v/>
      </c>
      <c r="CDO57" s="82" t="str">
        <f>IF(ISNUMBER(outYear),CDO37+CDO42+#REF!+#REF!,"")</f>
        <v/>
      </c>
      <c r="CDP57" s="82" t="str">
        <f>IF(ISNUMBER(outYear),CDP37+CDP42+#REF!+#REF!,"")</f>
        <v/>
      </c>
      <c r="CDQ57" s="82" t="str">
        <f>IF(ISNUMBER(outYear),CDQ37+CDQ42+#REF!+#REF!,"")</f>
        <v/>
      </c>
      <c r="CDR57" s="82" t="str">
        <f>IF(ISNUMBER(outYear),CDR37+CDR42+#REF!+#REF!,"")</f>
        <v/>
      </c>
      <c r="CDS57" s="82" t="str">
        <f>IF(ISNUMBER(outYear),CDS37+CDS42+#REF!+#REF!,"")</f>
        <v/>
      </c>
      <c r="CDT57" s="82" t="str">
        <f>IF(ISNUMBER(outYear),CDT37+CDT42+#REF!+#REF!,"")</f>
        <v/>
      </c>
      <c r="CDU57" s="82" t="str">
        <f>IF(ISNUMBER(outYear),CDU37+CDU42+#REF!+#REF!,"")</f>
        <v/>
      </c>
      <c r="CDV57" s="82" t="str">
        <f>IF(ISNUMBER(outYear),CDV37+CDV42+#REF!+#REF!,"")</f>
        <v/>
      </c>
      <c r="CDW57" s="82" t="str">
        <f>IF(ISNUMBER(outYear),CDW37+CDW42+#REF!+#REF!,"")</f>
        <v/>
      </c>
      <c r="CDX57" s="82" t="str">
        <f>IF(ISNUMBER(outYear),CDX37+CDX42+#REF!+#REF!,"")</f>
        <v/>
      </c>
      <c r="CDY57" s="82" t="str">
        <f>IF(ISNUMBER(outYear),CDY37+CDY42+#REF!+#REF!,"")</f>
        <v/>
      </c>
      <c r="CDZ57" s="82" t="str">
        <f>IF(ISNUMBER(outYear),CDZ37+CDZ42+#REF!+#REF!,"")</f>
        <v/>
      </c>
      <c r="CEA57" s="82" t="str">
        <f>IF(ISNUMBER(outYear),CEA37+CEA42+#REF!+#REF!,"")</f>
        <v/>
      </c>
      <c r="CEB57" s="82" t="str">
        <f>IF(ISNUMBER(outYear),CEB37+CEB42+#REF!+#REF!,"")</f>
        <v/>
      </c>
      <c r="CEC57" s="82" t="str">
        <f>IF(ISNUMBER(outYear),CEC37+CEC42+#REF!+#REF!,"")</f>
        <v/>
      </c>
      <c r="CED57" s="82" t="str">
        <f>IF(ISNUMBER(outYear),CED37+CED42+#REF!+#REF!,"")</f>
        <v/>
      </c>
      <c r="CEE57" s="82" t="str">
        <f>IF(ISNUMBER(outYear),CEE37+CEE42+#REF!+#REF!,"")</f>
        <v/>
      </c>
      <c r="CEF57" s="82" t="str">
        <f>IF(ISNUMBER(outYear),CEF37+CEF42+#REF!+#REF!,"")</f>
        <v/>
      </c>
      <c r="CEG57" s="82" t="str">
        <f>IF(ISNUMBER(outYear),CEG37+CEG42+#REF!+#REF!,"")</f>
        <v/>
      </c>
      <c r="CEH57" s="82" t="str">
        <f>IF(ISNUMBER(outYear),CEH37+CEH42+#REF!+#REF!,"")</f>
        <v/>
      </c>
      <c r="CEI57" s="82" t="str">
        <f>IF(ISNUMBER(outYear),CEI37+CEI42+#REF!+#REF!,"")</f>
        <v/>
      </c>
      <c r="CEJ57" s="82" t="str">
        <f>IF(ISNUMBER(outYear),CEJ37+CEJ42+#REF!+#REF!,"")</f>
        <v/>
      </c>
      <c r="CEK57" s="82" t="str">
        <f>IF(ISNUMBER(outYear),CEK37+CEK42+#REF!+#REF!,"")</f>
        <v/>
      </c>
      <c r="CEL57" s="82" t="str">
        <f>IF(ISNUMBER(outYear),CEL37+CEL42+#REF!+#REF!,"")</f>
        <v/>
      </c>
      <c r="CEM57" s="82" t="str">
        <f>IF(ISNUMBER(outYear),CEM37+CEM42+#REF!+#REF!,"")</f>
        <v/>
      </c>
      <c r="CEN57" s="82" t="str">
        <f>IF(ISNUMBER(outYear),CEN37+CEN42+#REF!+#REF!,"")</f>
        <v/>
      </c>
      <c r="CEO57" s="82" t="str">
        <f>IF(ISNUMBER(outYear),CEO37+CEO42+#REF!+#REF!,"")</f>
        <v/>
      </c>
      <c r="CEP57" s="82" t="str">
        <f>IF(ISNUMBER(outYear),CEP37+CEP42+#REF!+#REF!,"")</f>
        <v/>
      </c>
      <c r="CEQ57" s="82" t="str">
        <f>IF(ISNUMBER(outYear),CEQ37+CEQ42+#REF!+#REF!,"")</f>
        <v/>
      </c>
      <c r="CER57" s="82" t="str">
        <f>IF(ISNUMBER(outYear),CER37+CER42+#REF!+#REF!,"")</f>
        <v/>
      </c>
      <c r="CES57" s="82" t="str">
        <f>IF(ISNUMBER(outYear),CES37+CES42+#REF!+#REF!,"")</f>
        <v/>
      </c>
      <c r="CET57" s="82" t="str">
        <f>IF(ISNUMBER(outYear),CET37+CET42+#REF!+#REF!,"")</f>
        <v/>
      </c>
      <c r="CEU57" s="82" t="str">
        <f>IF(ISNUMBER(outYear),CEU37+CEU42+#REF!+#REF!,"")</f>
        <v/>
      </c>
      <c r="CEV57" s="82" t="str">
        <f>IF(ISNUMBER(outYear),CEV37+CEV42+#REF!+#REF!,"")</f>
        <v/>
      </c>
      <c r="CEW57" s="82" t="str">
        <f>IF(ISNUMBER(outYear),CEW37+CEW42+#REF!+#REF!,"")</f>
        <v/>
      </c>
      <c r="CEX57" s="82" t="str">
        <f>IF(ISNUMBER(outYear),CEX37+CEX42+#REF!+#REF!,"")</f>
        <v/>
      </c>
      <c r="CEY57" s="82" t="str">
        <f>IF(ISNUMBER(outYear),CEY37+CEY42+#REF!+#REF!,"")</f>
        <v/>
      </c>
      <c r="CEZ57" s="82" t="str">
        <f>IF(ISNUMBER(outYear),CEZ37+CEZ42+#REF!+#REF!,"")</f>
        <v/>
      </c>
      <c r="CFA57" s="82" t="str">
        <f>IF(ISNUMBER(outYear),CFA37+CFA42+#REF!+#REF!,"")</f>
        <v/>
      </c>
      <c r="CFB57" s="82" t="str">
        <f>IF(ISNUMBER(outYear),CFB37+CFB42+#REF!+#REF!,"")</f>
        <v/>
      </c>
      <c r="CFC57" s="82" t="str">
        <f>IF(ISNUMBER(outYear),CFC37+CFC42+#REF!+#REF!,"")</f>
        <v/>
      </c>
      <c r="CFD57" s="82" t="str">
        <f>IF(ISNUMBER(outYear),CFD37+CFD42+#REF!+#REF!,"")</f>
        <v/>
      </c>
      <c r="CFE57" s="82" t="str">
        <f>IF(ISNUMBER(outYear),CFE37+CFE42+#REF!+#REF!,"")</f>
        <v/>
      </c>
      <c r="CFF57" s="82" t="str">
        <f>IF(ISNUMBER(outYear),CFF37+CFF42+#REF!+#REF!,"")</f>
        <v/>
      </c>
      <c r="CFG57" s="82" t="str">
        <f>IF(ISNUMBER(outYear),CFG37+CFG42+#REF!+#REF!,"")</f>
        <v/>
      </c>
      <c r="CFH57" s="82" t="str">
        <f>IF(ISNUMBER(outYear),CFH37+CFH42+#REF!+#REF!,"")</f>
        <v/>
      </c>
      <c r="CFI57" s="82" t="str">
        <f>IF(ISNUMBER(outYear),CFI37+CFI42+#REF!+#REF!,"")</f>
        <v/>
      </c>
      <c r="CFJ57" s="82" t="str">
        <f>IF(ISNUMBER(outYear),CFJ37+CFJ42+#REF!+#REF!,"")</f>
        <v/>
      </c>
      <c r="CFK57" s="82" t="str">
        <f>IF(ISNUMBER(outYear),CFK37+CFK42+#REF!+#REF!,"")</f>
        <v/>
      </c>
      <c r="CFL57" s="82" t="str">
        <f>IF(ISNUMBER(outYear),CFL37+CFL42+#REF!+#REF!,"")</f>
        <v/>
      </c>
      <c r="CFM57" s="82" t="str">
        <f>IF(ISNUMBER(outYear),CFM37+CFM42+#REF!+#REF!,"")</f>
        <v/>
      </c>
      <c r="CFN57" s="82" t="str">
        <f>IF(ISNUMBER(outYear),CFN37+CFN42+#REF!+#REF!,"")</f>
        <v/>
      </c>
      <c r="CFO57" s="82" t="str">
        <f>IF(ISNUMBER(outYear),CFO37+CFO42+#REF!+#REF!,"")</f>
        <v/>
      </c>
      <c r="CFP57" s="82" t="str">
        <f>IF(ISNUMBER(outYear),CFP37+CFP42+#REF!+#REF!,"")</f>
        <v/>
      </c>
      <c r="CFQ57" s="82" t="str">
        <f>IF(ISNUMBER(outYear),CFQ37+CFQ42+#REF!+#REF!,"")</f>
        <v/>
      </c>
      <c r="CFR57" s="82" t="str">
        <f>IF(ISNUMBER(outYear),CFR37+CFR42+#REF!+#REF!,"")</f>
        <v/>
      </c>
      <c r="CFS57" s="82" t="str">
        <f>IF(ISNUMBER(outYear),CFS37+CFS42+#REF!+#REF!,"")</f>
        <v/>
      </c>
      <c r="CFT57" s="82" t="str">
        <f>IF(ISNUMBER(outYear),CFT37+CFT42+#REF!+#REF!,"")</f>
        <v/>
      </c>
      <c r="CFU57" s="82" t="str">
        <f>IF(ISNUMBER(outYear),CFU37+CFU42+#REF!+#REF!,"")</f>
        <v/>
      </c>
      <c r="CFV57" s="82" t="str">
        <f>IF(ISNUMBER(outYear),CFV37+CFV42+#REF!+#REF!,"")</f>
        <v/>
      </c>
      <c r="CFW57" s="82" t="str">
        <f>IF(ISNUMBER(outYear),CFW37+CFW42+#REF!+#REF!,"")</f>
        <v/>
      </c>
      <c r="CFX57" s="82" t="str">
        <f>IF(ISNUMBER(outYear),CFX37+CFX42+#REF!+#REF!,"")</f>
        <v/>
      </c>
      <c r="CFY57" s="82" t="str">
        <f>IF(ISNUMBER(outYear),CFY37+CFY42+#REF!+#REF!,"")</f>
        <v/>
      </c>
      <c r="CFZ57" s="82" t="str">
        <f>IF(ISNUMBER(outYear),CFZ37+CFZ42+#REF!+#REF!,"")</f>
        <v/>
      </c>
      <c r="CGA57" s="82" t="str">
        <f>IF(ISNUMBER(outYear),CGA37+CGA42+#REF!+#REF!,"")</f>
        <v/>
      </c>
      <c r="CGB57" s="82" t="str">
        <f>IF(ISNUMBER(outYear),CGB37+CGB42+#REF!+#REF!,"")</f>
        <v/>
      </c>
      <c r="CGC57" s="82" t="str">
        <f>IF(ISNUMBER(outYear),CGC37+CGC42+#REF!+#REF!,"")</f>
        <v/>
      </c>
      <c r="CGD57" s="82" t="str">
        <f>IF(ISNUMBER(outYear),CGD37+CGD42+#REF!+#REF!,"")</f>
        <v/>
      </c>
      <c r="CGE57" s="82" t="str">
        <f>IF(ISNUMBER(outYear),CGE37+CGE42+#REF!+#REF!,"")</f>
        <v/>
      </c>
      <c r="CGF57" s="82" t="str">
        <f>IF(ISNUMBER(outYear),CGF37+CGF42+#REF!+#REF!,"")</f>
        <v/>
      </c>
      <c r="CGG57" s="82" t="str">
        <f>IF(ISNUMBER(outYear),CGG37+CGG42+#REF!+#REF!,"")</f>
        <v/>
      </c>
      <c r="CGH57" s="82" t="str">
        <f>IF(ISNUMBER(outYear),CGH37+CGH42+#REF!+#REF!,"")</f>
        <v/>
      </c>
      <c r="CGI57" s="82" t="str">
        <f>IF(ISNUMBER(outYear),CGI37+CGI42+#REF!+#REF!,"")</f>
        <v/>
      </c>
      <c r="CGJ57" s="82" t="str">
        <f>IF(ISNUMBER(outYear),CGJ37+CGJ42+#REF!+#REF!,"")</f>
        <v/>
      </c>
      <c r="CGK57" s="82" t="str">
        <f>IF(ISNUMBER(outYear),CGK37+CGK42+#REF!+#REF!,"")</f>
        <v/>
      </c>
      <c r="CGL57" s="82" t="str">
        <f>IF(ISNUMBER(outYear),CGL37+CGL42+#REF!+#REF!,"")</f>
        <v/>
      </c>
      <c r="CGM57" s="82" t="str">
        <f>IF(ISNUMBER(outYear),CGM37+CGM42+#REF!+#REF!,"")</f>
        <v/>
      </c>
      <c r="CGN57" s="82" t="str">
        <f>IF(ISNUMBER(outYear),CGN37+CGN42+#REF!+#REF!,"")</f>
        <v/>
      </c>
      <c r="CGO57" s="82" t="str">
        <f>IF(ISNUMBER(outYear),CGO37+CGO42+#REF!+#REF!,"")</f>
        <v/>
      </c>
      <c r="CGP57" s="82" t="str">
        <f>IF(ISNUMBER(outYear),CGP37+CGP42+#REF!+#REF!,"")</f>
        <v/>
      </c>
      <c r="CGQ57" s="82" t="str">
        <f>IF(ISNUMBER(outYear),CGQ37+CGQ42+#REF!+#REF!,"")</f>
        <v/>
      </c>
      <c r="CGR57" s="82" t="str">
        <f>IF(ISNUMBER(outYear),CGR37+CGR42+#REF!+#REF!,"")</f>
        <v/>
      </c>
      <c r="CGS57" s="82" t="str">
        <f>IF(ISNUMBER(outYear),CGS37+CGS42+#REF!+#REF!,"")</f>
        <v/>
      </c>
      <c r="CGT57" s="82" t="str">
        <f>IF(ISNUMBER(outYear),CGT37+CGT42+#REF!+#REF!,"")</f>
        <v/>
      </c>
      <c r="CGU57" s="82" t="str">
        <f>IF(ISNUMBER(outYear),CGU37+CGU42+#REF!+#REF!,"")</f>
        <v/>
      </c>
      <c r="CGV57" s="82" t="str">
        <f>IF(ISNUMBER(outYear),CGV37+CGV42+#REF!+#REF!,"")</f>
        <v/>
      </c>
      <c r="CGW57" s="82" t="str">
        <f>IF(ISNUMBER(outYear),CGW37+CGW42+#REF!+#REF!,"")</f>
        <v/>
      </c>
      <c r="CGX57" s="82" t="str">
        <f>IF(ISNUMBER(outYear),CGX37+CGX42+#REF!+#REF!,"")</f>
        <v/>
      </c>
      <c r="CGY57" s="82" t="str">
        <f>IF(ISNUMBER(outYear),CGY37+CGY42+#REF!+#REF!,"")</f>
        <v/>
      </c>
      <c r="CGZ57" s="82" t="str">
        <f>IF(ISNUMBER(outYear),CGZ37+CGZ42+#REF!+#REF!,"")</f>
        <v/>
      </c>
      <c r="CHA57" s="82" t="str">
        <f>IF(ISNUMBER(outYear),CHA37+CHA42+#REF!+#REF!,"")</f>
        <v/>
      </c>
      <c r="CHB57" s="82" t="str">
        <f>IF(ISNUMBER(outYear),CHB37+CHB42+#REF!+#REF!,"")</f>
        <v/>
      </c>
      <c r="CHC57" s="82" t="str">
        <f>IF(ISNUMBER(outYear),CHC37+CHC42+#REF!+#REF!,"")</f>
        <v/>
      </c>
      <c r="CHD57" s="82" t="str">
        <f>IF(ISNUMBER(outYear),CHD37+CHD42+#REF!+#REF!,"")</f>
        <v/>
      </c>
      <c r="CHE57" s="82" t="str">
        <f>IF(ISNUMBER(outYear),CHE37+CHE42+#REF!+#REF!,"")</f>
        <v/>
      </c>
      <c r="CHF57" s="82" t="str">
        <f>IF(ISNUMBER(outYear),CHF37+CHF42+#REF!+#REF!,"")</f>
        <v/>
      </c>
      <c r="CHG57" s="82" t="str">
        <f>IF(ISNUMBER(outYear),CHG37+CHG42+#REF!+#REF!,"")</f>
        <v/>
      </c>
      <c r="CHH57" s="82" t="str">
        <f>IF(ISNUMBER(outYear),CHH37+CHH42+#REF!+#REF!,"")</f>
        <v/>
      </c>
      <c r="CHI57" s="82" t="str">
        <f>IF(ISNUMBER(outYear),CHI37+CHI42+#REF!+#REF!,"")</f>
        <v/>
      </c>
      <c r="CHJ57" s="82" t="str">
        <f>IF(ISNUMBER(outYear),CHJ37+CHJ42+#REF!+#REF!,"")</f>
        <v/>
      </c>
      <c r="CHK57" s="82" t="str">
        <f>IF(ISNUMBER(outYear),CHK37+CHK42+#REF!+#REF!,"")</f>
        <v/>
      </c>
      <c r="CHL57" s="82" t="str">
        <f>IF(ISNUMBER(outYear),CHL37+CHL42+#REF!+#REF!,"")</f>
        <v/>
      </c>
      <c r="CHM57" s="82" t="str">
        <f>IF(ISNUMBER(outYear),CHM37+CHM42+#REF!+#REF!,"")</f>
        <v/>
      </c>
      <c r="CHN57" s="82" t="str">
        <f>IF(ISNUMBER(outYear),CHN37+CHN42+#REF!+#REF!,"")</f>
        <v/>
      </c>
      <c r="CHO57" s="82" t="str">
        <f>IF(ISNUMBER(outYear),CHO37+CHO42+#REF!+#REF!,"")</f>
        <v/>
      </c>
      <c r="CHP57" s="82" t="str">
        <f>IF(ISNUMBER(outYear),CHP37+CHP42+#REF!+#REF!,"")</f>
        <v/>
      </c>
      <c r="CHQ57" s="82" t="str">
        <f>IF(ISNUMBER(outYear),CHQ37+CHQ42+#REF!+#REF!,"")</f>
        <v/>
      </c>
      <c r="CHR57" s="82" t="str">
        <f>IF(ISNUMBER(outYear),CHR37+CHR42+#REF!+#REF!,"")</f>
        <v/>
      </c>
      <c r="CHS57" s="82" t="str">
        <f>IF(ISNUMBER(outYear),CHS37+CHS42+#REF!+#REF!,"")</f>
        <v/>
      </c>
      <c r="CHT57" s="82" t="str">
        <f>IF(ISNUMBER(outYear),CHT37+CHT42+#REF!+#REF!,"")</f>
        <v/>
      </c>
      <c r="CHU57" s="82" t="str">
        <f>IF(ISNUMBER(outYear),CHU37+CHU42+#REF!+#REF!,"")</f>
        <v/>
      </c>
      <c r="CHV57" s="82" t="str">
        <f>IF(ISNUMBER(outYear),CHV37+CHV42+#REF!+#REF!,"")</f>
        <v/>
      </c>
      <c r="CHW57" s="82" t="str">
        <f>IF(ISNUMBER(outYear),CHW37+CHW42+#REF!+#REF!,"")</f>
        <v/>
      </c>
      <c r="CHX57" s="82" t="str">
        <f>IF(ISNUMBER(outYear),CHX37+CHX42+#REF!+#REF!,"")</f>
        <v/>
      </c>
      <c r="CHY57" s="82" t="str">
        <f>IF(ISNUMBER(outYear),CHY37+CHY42+#REF!+#REF!,"")</f>
        <v/>
      </c>
      <c r="CHZ57" s="82" t="str">
        <f>IF(ISNUMBER(outYear),CHZ37+CHZ42+#REF!+#REF!,"")</f>
        <v/>
      </c>
      <c r="CIA57" s="82" t="str">
        <f>IF(ISNUMBER(outYear),CIA37+CIA42+#REF!+#REF!,"")</f>
        <v/>
      </c>
      <c r="CIB57" s="82" t="str">
        <f>IF(ISNUMBER(outYear),CIB37+CIB42+#REF!+#REF!,"")</f>
        <v/>
      </c>
      <c r="CIC57" s="82" t="str">
        <f>IF(ISNUMBER(outYear),CIC37+CIC42+#REF!+#REF!,"")</f>
        <v/>
      </c>
      <c r="CID57" s="82" t="str">
        <f>IF(ISNUMBER(outYear),CID37+CID42+#REF!+#REF!,"")</f>
        <v/>
      </c>
      <c r="CIE57" s="82" t="str">
        <f>IF(ISNUMBER(outYear),CIE37+CIE42+#REF!+#REF!,"")</f>
        <v/>
      </c>
      <c r="CIF57" s="82" t="str">
        <f>IF(ISNUMBER(outYear),CIF37+CIF42+#REF!+#REF!,"")</f>
        <v/>
      </c>
      <c r="CIG57" s="82" t="str">
        <f>IF(ISNUMBER(outYear),CIG37+CIG42+#REF!+#REF!,"")</f>
        <v/>
      </c>
      <c r="CIH57" s="82" t="str">
        <f>IF(ISNUMBER(outYear),CIH37+CIH42+#REF!+#REF!,"")</f>
        <v/>
      </c>
      <c r="CII57" s="82" t="str">
        <f>IF(ISNUMBER(outYear),CII37+CII42+#REF!+#REF!,"")</f>
        <v/>
      </c>
      <c r="CIJ57" s="82" t="str">
        <f>IF(ISNUMBER(outYear),CIJ37+CIJ42+#REF!+#REF!,"")</f>
        <v/>
      </c>
      <c r="CIK57" s="82" t="str">
        <f>IF(ISNUMBER(outYear),CIK37+CIK42+#REF!+#REF!,"")</f>
        <v/>
      </c>
      <c r="CIL57" s="82" t="str">
        <f>IF(ISNUMBER(outYear),CIL37+CIL42+#REF!+#REF!,"")</f>
        <v/>
      </c>
      <c r="CIM57" s="82" t="str">
        <f>IF(ISNUMBER(outYear),CIM37+CIM42+#REF!+#REF!,"")</f>
        <v/>
      </c>
      <c r="CIN57" s="82" t="str">
        <f>IF(ISNUMBER(outYear),CIN37+CIN42+#REF!+#REF!,"")</f>
        <v/>
      </c>
      <c r="CIO57" s="82" t="str">
        <f>IF(ISNUMBER(outYear),CIO37+CIO42+#REF!+#REF!,"")</f>
        <v/>
      </c>
      <c r="CIP57" s="82" t="str">
        <f>IF(ISNUMBER(outYear),CIP37+CIP42+#REF!+#REF!,"")</f>
        <v/>
      </c>
      <c r="CIQ57" s="82" t="str">
        <f>IF(ISNUMBER(outYear),CIQ37+CIQ42+#REF!+#REF!,"")</f>
        <v/>
      </c>
      <c r="CIR57" s="82" t="str">
        <f>IF(ISNUMBER(outYear),CIR37+CIR42+#REF!+#REF!,"")</f>
        <v/>
      </c>
      <c r="CIS57" s="82" t="str">
        <f>IF(ISNUMBER(outYear),CIS37+CIS42+#REF!+#REF!,"")</f>
        <v/>
      </c>
      <c r="CIT57" s="82" t="str">
        <f>IF(ISNUMBER(outYear),CIT37+CIT42+#REF!+#REF!,"")</f>
        <v/>
      </c>
      <c r="CIU57" s="82" t="str">
        <f>IF(ISNUMBER(outYear),CIU37+CIU42+#REF!+#REF!,"")</f>
        <v/>
      </c>
      <c r="CIV57" s="82" t="str">
        <f>IF(ISNUMBER(outYear),CIV37+CIV42+#REF!+#REF!,"")</f>
        <v/>
      </c>
      <c r="CIW57" s="82" t="str">
        <f>IF(ISNUMBER(outYear),CIW37+CIW42+#REF!+#REF!,"")</f>
        <v/>
      </c>
      <c r="CIX57" s="82" t="str">
        <f>IF(ISNUMBER(outYear),CIX37+CIX42+#REF!+#REF!,"")</f>
        <v/>
      </c>
      <c r="CIY57" s="82" t="str">
        <f>IF(ISNUMBER(outYear),CIY37+CIY42+#REF!+#REF!,"")</f>
        <v/>
      </c>
      <c r="CIZ57" s="82" t="str">
        <f>IF(ISNUMBER(outYear),CIZ37+CIZ42+#REF!+#REF!,"")</f>
        <v/>
      </c>
      <c r="CJA57" s="82" t="str">
        <f>IF(ISNUMBER(outYear),CJA37+CJA42+#REF!+#REF!,"")</f>
        <v/>
      </c>
      <c r="CJB57" s="82" t="str">
        <f>IF(ISNUMBER(outYear),CJB37+CJB42+#REF!+#REF!,"")</f>
        <v/>
      </c>
      <c r="CJC57" s="82" t="str">
        <f>IF(ISNUMBER(outYear),CJC37+CJC42+#REF!+#REF!,"")</f>
        <v/>
      </c>
      <c r="CJD57" s="82" t="str">
        <f>IF(ISNUMBER(outYear),CJD37+CJD42+#REF!+#REF!,"")</f>
        <v/>
      </c>
      <c r="CJE57" s="82" t="str">
        <f>IF(ISNUMBER(outYear),CJE37+CJE42+#REF!+#REF!,"")</f>
        <v/>
      </c>
      <c r="CJF57" s="82" t="str">
        <f>IF(ISNUMBER(outYear),CJF37+CJF42+#REF!+#REF!,"")</f>
        <v/>
      </c>
      <c r="CJG57" s="82" t="str">
        <f>IF(ISNUMBER(outYear),CJG37+CJG42+#REF!+#REF!,"")</f>
        <v/>
      </c>
      <c r="CJH57" s="82" t="str">
        <f>IF(ISNUMBER(outYear),CJH37+CJH42+#REF!+#REF!,"")</f>
        <v/>
      </c>
      <c r="CJI57" s="82" t="str">
        <f>IF(ISNUMBER(outYear),CJI37+CJI42+#REF!+#REF!,"")</f>
        <v/>
      </c>
      <c r="CJJ57" s="82" t="str">
        <f>IF(ISNUMBER(outYear),CJJ37+CJJ42+#REF!+#REF!,"")</f>
        <v/>
      </c>
      <c r="CJK57" s="82" t="str">
        <f>IF(ISNUMBER(outYear),CJK37+CJK42+#REF!+#REF!,"")</f>
        <v/>
      </c>
      <c r="CJL57" s="82" t="str">
        <f>IF(ISNUMBER(outYear),CJL37+CJL42+#REF!+#REF!,"")</f>
        <v/>
      </c>
      <c r="CJM57" s="82" t="str">
        <f>IF(ISNUMBER(outYear),CJM37+CJM42+#REF!+#REF!,"")</f>
        <v/>
      </c>
      <c r="CJN57" s="82" t="str">
        <f>IF(ISNUMBER(outYear),CJN37+CJN42+#REF!+#REF!,"")</f>
        <v/>
      </c>
      <c r="CJO57" s="82" t="str">
        <f>IF(ISNUMBER(outYear),CJO37+CJO42+#REF!+#REF!,"")</f>
        <v/>
      </c>
      <c r="CJP57" s="82" t="str">
        <f>IF(ISNUMBER(outYear),CJP37+CJP42+#REF!+#REF!,"")</f>
        <v/>
      </c>
      <c r="CJQ57" s="82" t="str">
        <f>IF(ISNUMBER(outYear),CJQ37+CJQ42+#REF!+#REF!,"")</f>
        <v/>
      </c>
      <c r="CJR57" s="82" t="str">
        <f>IF(ISNUMBER(outYear),CJR37+CJR42+#REF!+#REF!,"")</f>
        <v/>
      </c>
      <c r="CJS57" s="82" t="str">
        <f>IF(ISNUMBER(outYear),CJS37+CJS42+#REF!+#REF!,"")</f>
        <v/>
      </c>
      <c r="CJT57" s="82" t="str">
        <f>IF(ISNUMBER(outYear),CJT37+CJT42+#REF!+#REF!,"")</f>
        <v/>
      </c>
      <c r="CJU57" s="82" t="str">
        <f>IF(ISNUMBER(outYear),CJU37+CJU42+#REF!+#REF!,"")</f>
        <v/>
      </c>
      <c r="CJV57" s="82" t="str">
        <f>IF(ISNUMBER(outYear),CJV37+CJV42+#REF!+#REF!,"")</f>
        <v/>
      </c>
      <c r="CJW57" s="82" t="str">
        <f>IF(ISNUMBER(outYear),CJW37+CJW42+#REF!+#REF!,"")</f>
        <v/>
      </c>
      <c r="CJX57" s="82" t="str">
        <f>IF(ISNUMBER(outYear),CJX37+CJX42+#REF!+#REF!,"")</f>
        <v/>
      </c>
      <c r="CJY57" s="82" t="str">
        <f>IF(ISNUMBER(outYear),CJY37+CJY42+#REF!+#REF!,"")</f>
        <v/>
      </c>
      <c r="CJZ57" s="82" t="str">
        <f>IF(ISNUMBER(outYear),CJZ37+CJZ42+#REF!+#REF!,"")</f>
        <v/>
      </c>
      <c r="CKA57" s="82" t="str">
        <f>IF(ISNUMBER(outYear),CKA37+CKA42+#REF!+#REF!,"")</f>
        <v/>
      </c>
      <c r="CKB57" s="82" t="str">
        <f>IF(ISNUMBER(outYear),CKB37+CKB42+#REF!+#REF!,"")</f>
        <v/>
      </c>
      <c r="CKC57" s="82" t="str">
        <f>IF(ISNUMBER(outYear),CKC37+CKC42+#REF!+#REF!,"")</f>
        <v/>
      </c>
      <c r="CKD57" s="82" t="str">
        <f>IF(ISNUMBER(outYear),CKD37+CKD42+#REF!+#REF!,"")</f>
        <v/>
      </c>
      <c r="CKE57" s="82" t="str">
        <f>IF(ISNUMBER(outYear),CKE37+CKE42+#REF!+#REF!,"")</f>
        <v/>
      </c>
      <c r="CKF57" s="82" t="str">
        <f>IF(ISNUMBER(outYear),CKF37+CKF42+#REF!+#REF!,"")</f>
        <v/>
      </c>
      <c r="CKG57" s="82" t="str">
        <f>IF(ISNUMBER(outYear),CKG37+CKG42+#REF!+#REF!,"")</f>
        <v/>
      </c>
      <c r="CKH57" s="82" t="str">
        <f>IF(ISNUMBER(outYear),CKH37+CKH42+#REF!+#REF!,"")</f>
        <v/>
      </c>
      <c r="CKI57" s="82" t="str">
        <f>IF(ISNUMBER(outYear),CKI37+CKI42+#REF!+#REF!,"")</f>
        <v/>
      </c>
      <c r="CKJ57" s="82" t="str">
        <f>IF(ISNUMBER(outYear),CKJ37+CKJ42+#REF!+#REF!,"")</f>
        <v/>
      </c>
      <c r="CKK57" s="82" t="str">
        <f>IF(ISNUMBER(outYear),CKK37+CKK42+#REF!+#REF!,"")</f>
        <v/>
      </c>
      <c r="CKL57" s="82" t="str">
        <f>IF(ISNUMBER(outYear),CKL37+CKL42+#REF!+#REF!,"")</f>
        <v/>
      </c>
      <c r="CKM57" s="82" t="str">
        <f>IF(ISNUMBER(outYear),CKM37+CKM42+#REF!+#REF!,"")</f>
        <v/>
      </c>
      <c r="CKN57" s="82" t="str">
        <f>IF(ISNUMBER(outYear),CKN37+CKN42+#REF!+#REF!,"")</f>
        <v/>
      </c>
      <c r="CKO57" s="82" t="str">
        <f>IF(ISNUMBER(outYear),CKO37+CKO42+#REF!+#REF!,"")</f>
        <v/>
      </c>
      <c r="CKP57" s="82" t="str">
        <f>IF(ISNUMBER(outYear),CKP37+CKP42+#REF!+#REF!,"")</f>
        <v/>
      </c>
      <c r="CKQ57" s="82" t="str">
        <f>IF(ISNUMBER(outYear),CKQ37+CKQ42+#REF!+#REF!,"")</f>
        <v/>
      </c>
      <c r="CKR57" s="82" t="str">
        <f>IF(ISNUMBER(outYear),CKR37+CKR42+#REF!+#REF!,"")</f>
        <v/>
      </c>
      <c r="CKS57" s="82" t="str">
        <f>IF(ISNUMBER(outYear),CKS37+CKS42+#REF!+#REF!,"")</f>
        <v/>
      </c>
      <c r="CKT57" s="82" t="str">
        <f>IF(ISNUMBER(outYear),CKT37+CKT42+#REF!+#REF!,"")</f>
        <v/>
      </c>
      <c r="CKU57" s="82" t="str">
        <f>IF(ISNUMBER(outYear),CKU37+CKU42+#REF!+#REF!,"")</f>
        <v/>
      </c>
      <c r="CKV57" s="82" t="str">
        <f>IF(ISNUMBER(outYear),CKV37+CKV42+#REF!+#REF!,"")</f>
        <v/>
      </c>
      <c r="CKW57" s="82" t="str">
        <f>IF(ISNUMBER(outYear),CKW37+CKW42+#REF!+#REF!,"")</f>
        <v/>
      </c>
      <c r="CKX57" s="82" t="str">
        <f>IF(ISNUMBER(outYear),CKX37+CKX42+#REF!+#REF!,"")</f>
        <v/>
      </c>
      <c r="CKY57" s="82" t="str">
        <f>IF(ISNUMBER(outYear),CKY37+CKY42+#REF!+#REF!,"")</f>
        <v/>
      </c>
      <c r="CKZ57" s="82" t="str">
        <f>IF(ISNUMBER(outYear),CKZ37+CKZ42+#REF!+#REF!,"")</f>
        <v/>
      </c>
      <c r="CLA57" s="82" t="str">
        <f>IF(ISNUMBER(outYear),CLA37+CLA42+#REF!+#REF!,"")</f>
        <v/>
      </c>
      <c r="CLB57" s="82" t="str">
        <f>IF(ISNUMBER(outYear),CLB37+CLB42+#REF!+#REF!,"")</f>
        <v/>
      </c>
      <c r="CLC57" s="82" t="str">
        <f>IF(ISNUMBER(outYear),CLC37+CLC42+#REF!+#REF!,"")</f>
        <v/>
      </c>
      <c r="CLD57" s="82" t="str">
        <f>IF(ISNUMBER(outYear),CLD37+CLD42+#REF!+#REF!,"")</f>
        <v/>
      </c>
      <c r="CLE57" s="82" t="str">
        <f>IF(ISNUMBER(outYear),CLE37+CLE42+#REF!+#REF!,"")</f>
        <v/>
      </c>
      <c r="CLF57" s="82" t="str">
        <f>IF(ISNUMBER(outYear),CLF37+CLF42+#REF!+#REF!,"")</f>
        <v/>
      </c>
      <c r="CLG57" s="82" t="str">
        <f>IF(ISNUMBER(outYear),CLG37+CLG42+#REF!+#REF!,"")</f>
        <v/>
      </c>
      <c r="CLH57" s="82" t="str">
        <f>IF(ISNUMBER(outYear),CLH37+CLH42+#REF!+#REF!,"")</f>
        <v/>
      </c>
      <c r="CLI57" s="82" t="str">
        <f>IF(ISNUMBER(outYear),CLI37+CLI42+#REF!+#REF!,"")</f>
        <v/>
      </c>
      <c r="CLJ57" s="82" t="str">
        <f>IF(ISNUMBER(outYear),CLJ37+CLJ42+#REF!+#REF!,"")</f>
        <v/>
      </c>
      <c r="CLK57" s="82" t="str">
        <f>IF(ISNUMBER(outYear),CLK37+CLK42+#REF!+#REF!,"")</f>
        <v/>
      </c>
      <c r="CLL57" s="82" t="str">
        <f>IF(ISNUMBER(outYear),CLL37+CLL42+#REF!+#REF!,"")</f>
        <v/>
      </c>
      <c r="CLM57" s="82" t="str">
        <f>IF(ISNUMBER(outYear),CLM37+CLM42+#REF!+#REF!,"")</f>
        <v/>
      </c>
      <c r="CLN57" s="82" t="str">
        <f>IF(ISNUMBER(outYear),CLN37+CLN42+#REF!+#REF!,"")</f>
        <v/>
      </c>
      <c r="CLO57" s="82" t="str">
        <f>IF(ISNUMBER(outYear),CLO37+CLO42+#REF!+#REF!,"")</f>
        <v/>
      </c>
      <c r="CLP57" s="82" t="str">
        <f>IF(ISNUMBER(outYear),CLP37+CLP42+#REF!+#REF!,"")</f>
        <v/>
      </c>
      <c r="CLQ57" s="82" t="str">
        <f>IF(ISNUMBER(outYear),CLQ37+CLQ42+#REF!+#REF!,"")</f>
        <v/>
      </c>
      <c r="CLR57" s="82" t="str">
        <f>IF(ISNUMBER(outYear),CLR37+CLR42+#REF!+#REF!,"")</f>
        <v/>
      </c>
      <c r="CLS57" s="82" t="str">
        <f>IF(ISNUMBER(outYear),CLS37+CLS42+#REF!+#REF!,"")</f>
        <v/>
      </c>
      <c r="CLT57" s="82" t="str">
        <f>IF(ISNUMBER(outYear),CLT37+CLT42+#REF!+#REF!,"")</f>
        <v/>
      </c>
      <c r="CLU57" s="82" t="str">
        <f>IF(ISNUMBER(outYear),CLU37+CLU42+#REF!+#REF!,"")</f>
        <v/>
      </c>
      <c r="CLV57" s="82" t="str">
        <f>IF(ISNUMBER(outYear),CLV37+CLV42+#REF!+#REF!,"")</f>
        <v/>
      </c>
      <c r="CLW57" s="82" t="str">
        <f>IF(ISNUMBER(outYear),CLW37+CLW42+#REF!+#REF!,"")</f>
        <v/>
      </c>
      <c r="CLX57" s="82" t="str">
        <f>IF(ISNUMBER(outYear),CLX37+CLX42+#REF!+#REF!,"")</f>
        <v/>
      </c>
      <c r="CLY57" s="82" t="str">
        <f>IF(ISNUMBER(outYear),CLY37+CLY42+#REF!+#REF!,"")</f>
        <v/>
      </c>
      <c r="CLZ57" s="82" t="str">
        <f>IF(ISNUMBER(outYear),CLZ37+CLZ42+#REF!+#REF!,"")</f>
        <v/>
      </c>
      <c r="CMA57" s="82" t="str">
        <f>IF(ISNUMBER(outYear),CMA37+CMA42+#REF!+#REF!,"")</f>
        <v/>
      </c>
      <c r="CMB57" s="82" t="str">
        <f>IF(ISNUMBER(outYear),CMB37+CMB42+#REF!+#REF!,"")</f>
        <v/>
      </c>
      <c r="CMC57" s="82" t="str">
        <f>IF(ISNUMBER(outYear),CMC37+CMC42+#REF!+#REF!,"")</f>
        <v/>
      </c>
      <c r="CMD57" s="82" t="str">
        <f>IF(ISNUMBER(outYear),CMD37+CMD42+#REF!+#REF!,"")</f>
        <v/>
      </c>
      <c r="CME57" s="82" t="str">
        <f>IF(ISNUMBER(outYear),CME37+CME42+#REF!+#REF!,"")</f>
        <v/>
      </c>
      <c r="CMF57" s="82" t="str">
        <f>IF(ISNUMBER(outYear),CMF37+CMF42+#REF!+#REF!,"")</f>
        <v/>
      </c>
      <c r="CMG57" s="82" t="str">
        <f>IF(ISNUMBER(outYear),CMG37+CMG42+#REF!+#REF!,"")</f>
        <v/>
      </c>
      <c r="CMH57" s="82" t="str">
        <f>IF(ISNUMBER(outYear),CMH37+CMH42+#REF!+#REF!,"")</f>
        <v/>
      </c>
      <c r="CMI57" s="82" t="str">
        <f>IF(ISNUMBER(outYear),CMI37+CMI42+#REF!+#REF!,"")</f>
        <v/>
      </c>
      <c r="CMJ57" s="82" t="str">
        <f>IF(ISNUMBER(outYear),CMJ37+CMJ42+#REF!+#REF!,"")</f>
        <v/>
      </c>
      <c r="CMK57" s="82" t="str">
        <f>IF(ISNUMBER(outYear),CMK37+CMK42+#REF!+#REF!,"")</f>
        <v/>
      </c>
      <c r="CML57" s="82" t="str">
        <f>IF(ISNUMBER(outYear),CML37+CML42+#REF!+#REF!,"")</f>
        <v/>
      </c>
      <c r="CMM57" s="82" t="str">
        <f>IF(ISNUMBER(outYear),CMM37+CMM42+#REF!+#REF!,"")</f>
        <v/>
      </c>
      <c r="CMN57" s="82" t="str">
        <f>IF(ISNUMBER(outYear),CMN37+CMN42+#REF!+#REF!,"")</f>
        <v/>
      </c>
      <c r="CMO57" s="82" t="str">
        <f>IF(ISNUMBER(outYear),CMO37+CMO42+#REF!+#REF!,"")</f>
        <v/>
      </c>
      <c r="CMP57" s="82" t="str">
        <f>IF(ISNUMBER(outYear),CMP37+CMP42+#REF!+#REF!,"")</f>
        <v/>
      </c>
      <c r="CMQ57" s="82" t="str">
        <f>IF(ISNUMBER(outYear),CMQ37+CMQ42+#REF!+#REF!,"")</f>
        <v/>
      </c>
      <c r="CMR57" s="82" t="str">
        <f>IF(ISNUMBER(outYear),CMR37+CMR42+#REF!+#REF!,"")</f>
        <v/>
      </c>
      <c r="CMS57" s="82" t="str">
        <f>IF(ISNUMBER(outYear),CMS37+CMS42+#REF!+#REF!,"")</f>
        <v/>
      </c>
      <c r="CMT57" s="82" t="str">
        <f>IF(ISNUMBER(outYear),CMT37+CMT42+#REF!+#REF!,"")</f>
        <v/>
      </c>
      <c r="CMU57" s="82" t="str">
        <f>IF(ISNUMBER(outYear),CMU37+CMU42+#REF!+#REF!,"")</f>
        <v/>
      </c>
      <c r="CMV57" s="82" t="str">
        <f>IF(ISNUMBER(outYear),CMV37+CMV42+#REF!+#REF!,"")</f>
        <v/>
      </c>
      <c r="CMW57" s="82" t="str">
        <f>IF(ISNUMBER(outYear),CMW37+CMW42+#REF!+#REF!,"")</f>
        <v/>
      </c>
      <c r="CMX57" s="82" t="str">
        <f>IF(ISNUMBER(outYear),CMX37+CMX42+#REF!+#REF!,"")</f>
        <v/>
      </c>
      <c r="CMY57" s="82" t="str">
        <f>IF(ISNUMBER(outYear),CMY37+CMY42+#REF!+#REF!,"")</f>
        <v/>
      </c>
      <c r="CMZ57" s="82" t="str">
        <f>IF(ISNUMBER(outYear),CMZ37+CMZ42+#REF!+#REF!,"")</f>
        <v/>
      </c>
      <c r="CNA57" s="82" t="str">
        <f>IF(ISNUMBER(outYear),CNA37+CNA42+#REF!+#REF!,"")</f>
        <v/>
      </c>
      <c r="CNB57" s="82" t="str">
        <f>IF(ISNUMBER(outYear),CNB37+CNB42+#REF!+#REF!,"")</f>
        <v/>
      </c>
      <c r="CNC57" s="82" t="str">
        <f>IF(ISNUMBER(outYear),CNC37+CNC42+#REF!+#REF!,"")</f>
        <v/>
      </c>
      <c r="CND57" s="82" t="str">
        <f>IF(ISNUMBER(outYear),CND37+CND42+#REF!+#REF!,"")</f>
        <v/>
      </c>
      <c r="CNE57" s="82" t="str">
        <f>IF(ISNUMBER(outYear),CNE37+CNE42+#REF!+#REF!,"")</f>
        <v/>
      </c>
      <c r="CNF57" s="82" t="str">
        <f>IF(ISNUMBER(outYear),CNF37+CNF42+#REF!+#REF!,"")</f>
        <v/>
      </c>
      <c r="CNG57" s="82" t="str">
        <f>IF(ISNUMBER(outYear),CNG37+CNG42+#REF!+#REF!,"")</f>
        <v/>
      </c>
      <c r="CNH57" s="82" t="str">
        <f>IF(ISNUMBER(outYear),CNH37+CNH42+#REF!+#REF!,"")</f>
        <v/>
      </c>
      <c r="CNI57" s="82" t="str">
        <f>IF(ISNUMBER(outYear),CNI37+CNI42+#REF!+#REF!,"")</f>
        <v/>
      </c>
      <c r="CNJ57" s="82" t="str">
        <f>IF(ISNUMBER(outYear),CNJ37+CNJ42+#REF!+#REF!,"")</f>
        <v/>
      </c>
      <c r="CNK57" s="82" t="str">
        <f>IF(ISNUMBER(outYear),CNK37+CNK42+#REF!+#REF!,"")</f>
        <v/>
      </c>
      <c r="CNL57" s="82" t="str">
        <f>IF(ISNUMBER(outYear),CNL37+CNL42+#REF!+#REF!,"")</f>
        <v/>
      </c>
      <c r="CNM57" s="82" t="str">
        <f>IF(ISNUMBER(outYear),CNM37+CNM42+#REF!+#REF!,"")</f>
        <v/>
      </c>
      <c r="CNN57" s="82" t="str">
        <f>IF(ISNUMBER(outYear),CNN37+CNN42+#REF!+#REF!,"")</f>
        <v/>
      </c>
      <c r="CNO57" s="82" t="str">
        <f>IF(ISNUMBER(outYear),CNO37+CNO42+#REF!+#REF!,"")</f>
        <v/>
      </c>
      <c r="CNP57" s="82" t="str">
        <f>IF(ISNUMBER(outYear),CNP37+CNP42+#REF!+#REF!,"")</f>
        <v/>
      </c>
      <c r="CNQ57" s="82" t="str">
        <f>IF(ISNUMBER(outYear),CNQ37+CNQ42+#REF!+#REF!,"")</f>
        <v/>
      </c>
      <c r="CNR57" s="82" t="str">
        <f>IF(ISNUMBER(outYear),CNR37+CNR42+#REF!+#REF!,"")</f>
        <v/>
      </c>
      <c r="CNS57" s="82" t="str">
        <f>IF(ISNUMBER(outYear),CNS37+CNS42+#REF!+#REF!,"")</f>
        <v/>
      </c>
      <c r="CNT57" s="82" t="str">
        <f>IF(ISNUMBER(outYear),CNT37+CNT42+#REF!+#REF!,"")</f>
        <v/>
      </c>
      <c r="CNU57" s="82" t="str">
        <f>IF(ISNUMBER(outYear),CNU37+CNU42+#REF!+#REF!,"")</f>
        <v/>
      </c>
      <c r="CNV57" s="82" t="str">
        <f>IF(ISNUMBER(outYear),CNV37+CNV42+#REF!+#REF!,"")</f>
        <v/>
      </c>
      <c r="CNW57" s="82" t="str">
        <f>IF(ISNUMBER(outYear),CNW37+CNW42+#REF!+#REF!,"")</f>
        <v/>
      </c>
      <c r="CNX57" s="82" t="str">
        <f>IF(ISNUMBER(outYear),CNX37+CNX42+#REF!+#REF!,"")</f>
        <v/>
      </c>
      <c r="CNY57" s="82" t="str">
        <f>IF(ISNUMBER(outYear),CNY37+CNY42+#REF!+#REF!,"")</f>
        <v/>
      </c>
      <c r="CNZ57" s="82" t="str">
        <f>IF(ISNUMBER(outYear),CNZ37+CNZ42+#REF!+#REF!,"")</f>
        <v/>
      </c>
      <c r="COA57" s="82" t="str">
        <f>IF(ISNUMBER(outYear),COA37+COA42+#REF!+#REF!,"")</f>
        <v/>
      </c>
      <c r="COB57" s="82" t="str">
        <f>IF(ISNUMBER(outYear),COB37+COB42+#REF!+#REF!,"")</f>
        <v/>
      </c>
      <c r="COC57" s="82" t="str">
        <f>IF(ISNUMBER(outYear),COC37+COC42+#REF!+#REF!,"")</f>
        <v/>
      </c>
      <c r="COD57" s="82" t="str">
        <f>IF(ISNUMBER(outYear),COD37+COD42+#REF!+#REF!,"")</f>
        <v/>
      </c>
      <c r="COE57" s="82" t="str">
        <f>IF(ISNUMBER(outYear),COE37+COE42+#REF!+#REF!,"")</f>
        <v/>
      </c>
      <c r="COF57" s="82" t="str">
        <f>IF(ISNUMBER(outYear),COF37+COF42+#REF!+#REF!,"")</f>
        <v/>
      </c>
      <c r="COG57" s="82" t="str">
        <f>IF(ISNUMBER(outYear),COG37+COG42+#REF!+#REF!,"")</f>
        <v/>
      </c>
      <c r="COH57" s="82" t="str">
        <f>IF(ISNUMBER(outYear),COH37+COH42+#REF!+#REF!,"")</f>
        <v/>
      </c>
      <c r="COI57" s="82" t="str">
        <f>IF(ISNUMBER(outYear),COI37+COI42+#REF!+#REF!,"")</f>
        <v/>
      </c>
      <c r="COJ57" s="82" t="str">
        <f>IF(ISNUMBER(outYear),COJ37+COJ42+#REF!+#REF!,"")</f>
        <v/>
      </c>
      <c r="COK57" s="82" t="str">
        <f>IF(ISNUMBER(outYear),COK37+COK42+#REF!+#REF!,"")</f>
        <v/>
      </c>
      <c r="COL57" s="82" t="str">
        <f>IF(ISNUMBER(outYear),COL37+COL42+#REF!+#REF!,"")</f>
        <v/>
      </c>
      <c r="COM57" s="82" t="str">
        <f>IF(ISNUMBER(outYear),COM37+COM42+#REF!+#REF!,"")</f>
        <v/>
      </c>
      <c r="CON57" s="82" t="str">
        <f>IF(ISNUMBER(outYear),CON37+CON42+#REF!+#REF!,"")</f>
        <v/>
      </c>
      <c r="COO57" s="82" t="str">
        <f>IF(ISNUMBER(outYear),COO37+COO42+#REF!+#REF!,"")</f>
        <v/>
      </c>
      <c r="COP57" s="82" t="str">
        <f>IF(ISNUMBER(outYear),COP37+COP42+#REF!+#REF!,"")</f>
        <v/>
      </c>
      <c r="COQ57" s="82" t="str">
        <f>IF(ISNUMBER(outYear),COQ37+COQ42+#REF!+#REF!,"")</f>
        <v/>
      </c>
      <c r="COR57" s="82" t="str">
        <f>IF(ISNUMBER(outYear),COR37+COR42+#REF!+#REF!,"")</f>
        <v/>
      </c>
      <c r="COS57" s="82" t="str">
        <f>IF(ISNUMBER(outYear),COS37+COS42+#REF!+#REF!,"")</f>
        <v/>
      </c>
      <c r="COT57" s="82" t="str">
        <f>IF(ISNUMBER(outYear),COT37+COT42+#REF!+#REF!,"")</f>
        <v/>
      </c>
      <c r="COU57" s="82" t="str">
        <f>IF(ISNUMBER(outYear),COU37+COU42+#REF!+#REF!,"")</f>
        <v/>
      </c>
      <c r="COV57" s="82" t="str">
        <f>IF(ISNUMBER(outYear),COV37+COV42+#REF!+#REF!,"")</f>
        <v/>
      </c>
      <c r="COW57" s="82" t="str">
        <f>IF(ISNUMBER(outYear),COW37+COW42+#REF!+#REF!,"")</f>
        <v/>
      </c>
      <c r="COX57" s="82" t="str">
        <f>IF(ISNUMBER(outYear),COX37+COX42+#REF!+#REF!,"")</f>
        <v/>
      </c>
      <c r="COY57" s="82" t="str">
        <f>IF(ISNUMBER(outYear),COY37+COY42+#REF!+#REF!,"")</f>
        <v/>
      </c>
      <c r="COZ57" s="82" t="str">
        <f>IF(ISNUMBER(outYear),COZ37+COZ42+#REF!+#REF!,"")</f>
        <v/>
      </c>
      <c r="CPA57" s="82" t="str">
        <f>IF(ISNUMBER(outYear),CPA37+CPA42+#REF!+#REF!,"")</f>
        <v/>
      </c>
      <c r="CPB57" s="82" t="str">
        <f>IF(ISNUMBER(outYear),CPB37+CPB42+#REF!+#REF!,"")</f>
        <v/>
      </c>
      <c r="CPC57" s="82" t="str">
        <f>IF(ISNUMBER(outYear),CPC37+CPC42+#REF!+#REF!,"")</f>
        <v/>
      </c>
      <c r="CPD57" s="82" t="str">
        <f>IF(ISNUMBER(outYear),CPD37+CPD42+#REF!+#REF!,"")</f>
        <v/>
      </c>
      <c r="CPE57" s="82" t="str">
        <f>IF(ISNUMBER(outYear),CPE37+CPE42+#REF!+#REF!,"")</f>
        <v/>
      </c>
      <c r="CPF57" s="82" t="str">
        <f>IF(ISNUMBER(outYear),CPF37+CPF42+#REF!+#REF!,"")</f>
        <v/>
      </c>
      <c r="CPG57" s="82" t="str">
        <f>IF(ISNUMBER(outYear),CPG37+CPG42+#REF!+#REF!,"")</f>
        <v/>
      </c>
      <c r="CPH57" s="82" t="str">
        <f>IF(ISNUMBER(outYear),CPH37+CPH42+#REF!+#REF!,"")</f>
        <v/>
      </c>
      <c r="CPI57" s="82" t="str">
        <f>IF(ISNUMBER(outYear),CPI37+CPI42+#REF!+#REF!,"")</f>
        <v/>
      </c>
      <c r="CPJ57" s="82" t="str">
        <f>IF(ISNUMBER(outYear),CPJ37+CPJ42+#REF!+#REF!,"")</f>
        <v/>
      </c>
      <c r="CPK57" s="82" t="str">
        <f>IF(ISNUMBER(outYear),CPK37+CPK42+#REF!+#REF!,"")</f>
        <v/>
      </c>
      <c r="CPL57" s="82" t="str">
        <f>IF(ISNUMBER(outYear),CPL37+CPL42+#REF!+#REF!,"")</f>
        <v/>
      </c>
      <c r="CPM57" s="82" t="str">
        <f>IF(ISNUMBER(outYear),CPM37+CPM42+#REF!+#REF!,"")</f>
        <v/>
      </c>
      <c r="CPN57" s="82" t="str">
        <f>IF(ISNUMBER(outYear),CPN37+CPN42+#REF!+#REF!,"")</f>
        <v/>
      </c>
      <c r="CPO57" s="82" t="str">
        <f>IF(ISNUMBER(outYear),CPO37+CPO42+#REF!+#REF!,"")</f>
        <v/>
      </c>
      <c r="CPP57" s="82" t="str">
        <f>IF(ISNUMBER(outYear),CPP37+CPP42+#REF!+#REF!,"")</f>
        <v/>
      </c>
      <c r="CPQ57" s="82" t="str">
        <f>IF(ISNUMBER(outYear),CPQ37+CPQ42+#REF!+#REF!,"")</f>
        <v/>
      </c>
      <c r="CPR57" s="82" t="str">
        <f>IF(ISNUMBER(outYear),CPR37+CPR42+#REF!+#REF!,"")</f>
        <v/>
      </c>
      <c r="CPS57" s="82" t="str">
        <f>IF(ISNUMBER(outYear),CPS37+CPS42+#REF!+#REF!,"")</f>
        <v/>
      </c>
      <c r="CPT57" s="82" t="str">
        <f>IF(ISNUMBER(outYear),CPT37+CPT42+#REF!+#REF!,"")</f>
        <v/>
      </c>
      <c r="CPU57" s="82" t="str">
        <f>IF(ISNUMBER(outYear),CPU37+CPU42+#REF!+#REF!,"")</f>
        <v/>
      </c>
      <c r="CPV57" s="82" t="str">
        <f>IF(ISNUMBER(outYear),CPV37+CPV42+#REF!+#REF!,"")</f>
        <v/>
      </c>
      <c r="CPW57" s="82" t="str">
        <f>IF(ISNUMBER(outYear),CPW37+CPW42+#REF!+#REF!,"")</f>
        <v/>
      </c>
      <c r="CPX57" s="82" t="str">
        <f>IF(ISNUMBER(outYear),CPX37+CPX42+#REF!+#REF!,"")</f>
        <v/>
      </c>
      <c r="CPY57" s="82" t="str">
        <f>IF(ISNUMBER(outYear),CPY37+CPY42+#REF!+#REF!,"")</f>
        <v/>
      </c>
      <c r="CPZ57" s="82" t="str">
        <f>IF(ISNUMBER(outYear),CPZ37+CPZ42+#REF!+#REF!,"")</f>
        <v/>
      </c>
      <c r="CQA57" s="82" t="str">
        <f>IF(ISNUMBER(outYear),CQA37+CQA42+#REF!+#REF!,"")</f>
        <v/>
      </c>
      <c r="CQB57" s="82" t="str">
        <f>IF(ISNUMBER(outYear),CQB37+CQB42+#REF!+#REF!,"")</f>
        <v/>
      </c>
      <c r="CQC57" s="82" t="str">
        <f>IF(ISNUMBER(outYear),CQC37+CQC42+#REF!+#REF!,"")</f>
        <v/>
      </c>
      <c r="CQD57" s="82" t="str">
        <f>IF(ISNUMBER(outYear),CQD37+CQD42+#REF!+#REF!,"")</f>
        <v/>
      </c>
      <c r="CQE57" s="82" t="str">
        <f>IF(ISNUMBER(outYear),CQE37+CQE42+#REF!+#REF!,"")</f>
        <v/>
      </c>
      <c r="CQF57" s="82" t="str">
        <f>IF(ISNUMBER(outYear),CQF37+CQF42+#REF!+#REF!,"")</f>
        <v/>
      </c>
      <c r="CQG57" s="82" t="str">
        <f>IF(ISNUMBER(outYear),CQG37+CQG42+#REF!+#REF!,"")</f>
        <v/>
      </c>
      <c r="CQH57" s="82" t="str">
        <f>IF(ISNUMBER(outYear),CQH37+CQH42+#REF!+#REF!,"")</f>
        <v/>
      </c>
      <c r="CQI57" s="82" t="str">
        <f>IF(ISNUMBER(outYear),CQI37+CQI42+#REF!+#REF!,"")</f>
        <v/>
      </c>
      <c r="CQJ57" s="82" t="str">
        <f>IF(ISNUMBER(outYear),CQJ37+CQJ42+#REF!+#REF!,"")</f>
        <v/>
      </c>
      <c r="CQK57" s="82" t="str">
        <f>IF(ISNUMBER(outYear),CQK37+CQK42+#REF!+#REF!,"")</f>
        <v/>
      </c>
      <c r="CQL57" s="82" t="str">
        <f>IF(ISNUMBER(outYear),CQL37+CQL42+#REF!+#REF!,"")</f>
        <v/>
      </c>
      <c r="CQM57" s="82" t="str">
        <f>IF(ISNUMBER(outYear),CQM37+CQM42+#REF!+#REF!,"")</f>
        <v/>
      </c>
      <c r="CQN57" s="82" t="str">
        <f>IF(ISNUMBER(outYear),CQN37+CQN42+#REF!+#REF!,"")</f>
        <v/>
      </c>
      <c r="CQO57" s="82" t="str">
        <f>IF(ISNUMBER(outYear),CQO37+CQO42+#REF!+#REF!,"")</f>
        <v/>
      </c>
      <c r="CQP57" s="82" t="str">
        <f>IF(ISNUMBER(outYear),CQP37+CQP42+#REF!+#REF!,"")</f>
        <v/>
      </c>
      <c r="CQQ57" s="82" t="str">
        <f>IF(ISNUMBER(outYear),CQQ37+CQQ42+#REF!+#REF!,"")</f>
        <v/>
      </c>
      <c r="CQR57" s="82" t="str">
        <f>IF(ISNUMBER(outYear),CQR37+CQR42+#REF!+#REF!,"")</f>
        <v/>
      </c>
      <c r="CQS57" s="82" t="str">
        <f>IF(ISNUMBER(outYear),CQS37+CQS42+#REF!+#REF!,"")</f>
        <v/>
      </c>
      <c r="CQT57" s="82" t="str">
        <f>IF(ISNUMBER(outYear),CQT37+CQT42+#REF!+#REF!,"")</f>
        <v/>
      </c>
      <c r="CQU57" s="82" t="str">
        <f>IF(ISNUMBER(outYear),CQU37+CQU42+#REF!+#REF!,"")</f>
        <v/>
      </c>
      <c r="CQV57" s="82" t="str">
        <f>IF(ISNUMBER(outYear),CQV37+CQV42+#REF!+#REF!,"")</f>
        <v/>
      </c>
      <c r="CQW57" s="82" t="str">
        <f>IF(ISNUMBER(outYear),CQW37+CQW42+#REF!+#REF!,"")</f>
        <v/>
      </c>
      <c r="CQX57" s="82" t="str">
        <f>IF(ISNUMBER(outYear),CQX37+CQX42+#REF!+#REF!,"")</f>
        <v/>
      </c>
      <c r="CQY57" s="82" t="str">
        <f>IF(ISNUMBER(outYear),CQY37+CQY42+#REF!+#REF!,"")</f>
        <v/>
      </c>
      <c r="CQZ57" s="82" t="str">
        <f>IF(ISNUMBER(outYear),CQZ37+CQZ42+#REF!+#REF!,"")</f>
        <v/>
      </c>
      <c r="CRA57" s="82" t="str">
        <f>IF(ISNUMBER(outYear),CRA37+CRA42+#REF!+#REF!,"")</f>
        <v/>
      </c>
      <c r="CRB57" s="82" t="str">
        <f>IF(ISNUMBER(outYear),CRB37+CRB42+#REF!+#REF!,"")</f>
        <v/>
      </c>
      <c r="CRC57" s="82" t="str">
        <f>IF(ISNUMBER(outYear),CRC37+CRC42+#REF!+#REF!,"")</f>
        <v/>
      </c>
      <c r="CRD57" s="82" t="str">
        <f>IF(ISNUMBER(outYear),CRD37+CRD42+#REF!+#REF!,"")</f>
        <v/>
      </c>
      <c r="CRE57" s="82" t="str">
        <f>IF(ISNUMBER(outYear),CRE37+CRE42+#REF!+#REF!,"")</f>
        <v/>
      </c>
      <c r="CRF57" s="82" t="str">
        <f>IF(ISNUMBER(outYear),CRF37+CRF42+#REF!+#REF!,"")</f>
        <v/>
      </c>
      <c r="CRG57" s="82" t="str">
        <f>IF(ISNUMBER(outYear),CRG37+CRG42+#REF!+#REF!,"")</f>
        <v/>
      </c>
      <c r="CRH57" s="82" t="str">
        <f>IF(ISNUMBER(outYear),CRH37+CRH42+#REF!+#REF!,"")</f>
        <v/>
      </c>
      <c r="CRI57" s="82" t="str">
        <f>IF(ISNUMBER(outYear),CRI37+CRI42+#REF!+#REF!,"")</f>
        <v/>
      </c>
      <c r="CRJ57" s="82" t="str">
        <f>IF(ISNUMBER(outYear),CRJ37+CRJ42+#REF!+#REF!,"")</f>
        <v/>
      </c>
      <c r="CRK57" s="82" t="str">
        <f>IF(ISNUMBER(outYear),CRK37+CRK42+#REF!+#REF!,"")</f>
        <v/>
      </c>
      <c r="CRL57" s="82" t="str">
        <f>IF(ISNUMBER(outYear),CRL37+CRL42+#REF!+#REF!,"")</f>
        <v/>
      </c>
      <c r="CRM57" s="82" t="str">
        <f>IF(ISNUMBER(outYear),CRM37+CRM42+#REF!+#REF!,"")</f>
        <v/>
      </c>
      <c r="CRN57" s="82" t="str">
        <f>IF(ISNUMBER(outYear),CRN37+CRN42+#REF!+#REF!,"")</f>
        <v/>
      </c>
      <c r="CRO57" s="82" t="str">
        <f>IF(ISNUMBER(outYear),CRO37+CRO42+#REF!+#REF!,"")</f>
        <v/>
      </c>
      <c r="CRP57" s="82" t="str">
        <f>IF(ISNUMBER(outYear),CRP37+CRP42+#REF!+#REF!,"")</f>
        <v/>
      </c>
      <c r="CRQ57" s="82" t="str">
        <f>IF(ISNUMBER(outYear),CRQ37+CRQ42+#REF!+#REF!,"")</f>
        <v/>
      </c>
      <c r="CRR57" s="82" t="str">
        <f>IF(ISNUMBER(outYear),CRR37+CRR42+#REF!+#REF!,"")</f>
        <v/>
      </c>
      <c r="CRS57" s="82" t="str">
        <f>IF(ISNUMBER(outYear),CRS37+CRS42+#REF!+#REF!,"")</f>
        <v/>
      </c>
      <c r="CRT57" s="82" t="str">
        <f>IF(ISNUMBER(outYear),CRT37+CRT42+#REF!+#REF!,"")</f>
        <v/>
      </c>
      <c r="CRU57" s="82" t="str">
        <f>IF(ISNUMBER(outYear),CRU37+CRU42+#REF!+#REF!,"")</f>
        <v/>
      </c>
      <c r="CRV57" s="82" t="str">
        <f>IF(ISNUMBER(outYear),CRV37+CRV42+#REF!+#REF!,"")</f>
        <v/>
      </c>
      <c r="CRW57" s="82" t="str">
        <f>IF(ISNUMBER(outYear),CRW37+CRW42+#REF!+#REF!,"")</f>
        <v/>
      </c>
      <c r="CRX57" s="82" t="str">
        <f>IF(ISNUMBER(outYear),CRX37+CRX42+#REF!+#REF!,"")</f>
        <v/>
      </c>
      <c r="CRY57" s="82" t="str">
        <f>IF(ISNUMBER(outYear),CRY37+CRY42+#REF!+#REF!,"")</f>
        <v/>
      </c>
      <c r="CRZ57" s="82" t="str">
        <f>IF(ISNUMBER(outYear),CRZ37+CRZ42+#REF!+#REF!,"")</f>
        <v/>
      </c>
      <c r="CSA57" s="82" t="str">
        <f>IF(ISNUMBER(outYear),CSA37+CSA42+#REF!+#REF!,"")</f>
        <v/>
      </c>
      <c r="CSB57" s="82" t="str">
        <f>IF(ISNUMBER(outYear),CSB37+CSB42+#REF!+#REF!,"")</f>
        <v/>
      </c>
      <c r="CSC57" s="82" t="str">
        <f>IF(ISNUMBER(outYear),CSC37+CSC42+#REF!+#REF!,"")</f>
        <v/>
      </c>
      <c r="CSD57" s="82" t="str">
        <f>IF(ISNUMBER(outYear),CSD37+CSD42+#REF!+#REF!,"")</f>
        <v/>
      </c>
      <c r="CSE57" s="82" t="str">
        <f>IF(ISNUMBER(outYear),CSE37+CSE42+#REF!+#REF!,"")</f>
        <v/>
      </c>
      <c r="CSF57" s="82" t="str">
        <f>IF(ISNUMBER(outYear),CSF37+CSF42+#REF!+#REF!,"")</f>
        <v/>
      </c>
      <c r="CSG57" s="82" t="str">
        <f>IF(ISNUMBER(outYear),CSG37+CSG42+#REF!+#REF!,"")</f>
        <v/>
      </c>
      <c r="CSH57" s="82" t="str">
        <f>IF(ISNUMBER(outYear),CSH37+CSH42+#REF!+#REF!,"")</f>
        <v/>
      </c>
      <c r="CSI57" s="82" t="str">
        <f>IF(ISNUMBER(outYear),CSI37+CSI42+#REF!+#REF!,"")</f>
        <v/>
      </c>
      <c r="CSJ57" s="82" t="str">
        <f>IF(ISNUMBER(outYear),CSJ37+CSJ42+#REF!+#REF!,"")</f>
        <v/>
      </c>
      <c r="CSK57" s="82" t="str">
        <f>IF(ISNUMBER(outYear),CSK37+CSK42+#REF!+#REF!,"")</f>
        <v/>
      </c>
      <c r="CSL57" s="82" t="str">
        <f>IF(ISNUMBER(outYear),CSL37+CSL42+#REF!+#REF!,"")</f>
        <v/>
      </c>
      <c r="CSM57" s="82" t="str">
        <f>IF(ISNUMBER(outYear),CSM37+CSM42+#REF!+#REF!,"")</f>
        <v/>
      </c>
      <c r="CSN57" s="82" t="str">
        <f>IF(ISNUMBER(outYear),CSN37+CSN42+#REF!+#REF!,"")</f>
        <v/>
      </c>
      <c r="CSO57" s="82" t="str">
        <f>IF(ISNUMBER(outYear),CSO37+CSO42+#REF!+#REF!,"")</f>
        <v/>
      </c>
      <c r="CSP57" s="82" t="str">
        <f>IF(ISNUMBER(outYear),CSP37+CSP42+#REF!+#REF!,"")</f>
        <v/>
      </c>
      <c r="CSQ57" s="82" t="str">
        <f>IF(ISNUMBER(outYear),CSQ37+CSQ42+#REF!+#REF!,"")</f>
        <v/>
      </c>
      <c r="CSR57" s="82" t="str">
        <f>IF(ISNUMBER(outYear),CSR37+CSR42+#REF!+#REF!,"")</f>
        <v/>
      </c>
      <c r="CSS57" s="82" t="str">
        <f>IF(ISNUMBER(outYear),CSS37+CSS42+#REF!+#REF!,"")</f>
        <v/>
      </c>
      <c r="CST57" s="82" t="str">
        <f>IF(ISNUMBER(outYear),CST37+CST42+#REF!+#REF!,"")</f>
        <v/>
      </c>
      <c r="CSU57" s="82" t="str">
        <f>IF(ISNUMBER(outYear),CSU37+CSU42+#REF!+#REF!,"")</f>
        <v/>
      </c>
      <c r="CSV57" s="82" t="str">
        <f>IF(ISNUMBER(outYear),CSV37+CSV42+#REF!+#REF!,"")</f>
        <v/>
      </c>
      <c r="CSW57" s="82" t="str">
        <f>IF(ISNUMBER(outYear),CSW37+CSW42+#REF!+#REF!,"")</f>
        <v/>
      </c>
      <c r="CSX57" s="82" t="str">
        <f>IF(ISNUMBER(outYear),CSX37+CSX42+#REF!+#REF!,"")</f>
        <v/>
      </c>
      <c r="CSY57" s="82" t="str">
        <f>IF(ISNUMBER(outYear),CSY37+CSY42+#REF!+#REF!,"")</f>
        <v/>
      </c>
      <c r="CSZ57" s="82" t="str">
        <f>IF(ISNUMBER(outYear),CSZ37+CSZ42+#REF!+#REF!,"")</f>
        <v/>
      </c>
      <c r="CTA57" s="82" t="str">
        <f>IF(ISNUMBER(outYear),CTA37+CTA42+#REF!+#REF!,"")</f>
        <v/>
      </c>
      <c r="CTB57" s="82" t="str">
        <f>IF(ISNUMBER(outYear),CTB37+CTB42+#REF!+#REF!,"")</f>
        <v/>
      </c>
      <c r="CTC57" s="82" t="str">
        <f>IF(ISNUMBER(outYear),CTC37+CTC42+#REF!+#REF!,"")</f>
        <v/>
      </c>
      <c r="CTD57" s="82" t="str">
        <f>IF(ISNUMBER(outYear),CTD37+CTD42+#REF!+#REF!,"")</f>
        <v/>
      </c>
      <c r="CTE57" s="82" t="str">
        <f>IF(ISNUMBER(outYear),CTE37+CTE42+#REF!+#REF!,"")</f>
        <v/>
      </c>
      <c r="CTF57" s="82" t="str">
        <f>IF(ISNUMBER(outYear),CTF37+CTF42+#REF!+#REF!,"")</f>
        <v/>
      </c>
      <c r="CTG57" s="82" t="str">
        <f>IF(ISNUMBER(outYear),CTG37+CTG42+#REF!+#REF!,"")</f>
        <v/>
      </c>
      <c r="CTH57" s="82" t="str">
        <f>IF(ISNUMBER(outYear),CTH37+CTH42+#REF!+#REF!,"")</f>
        <v/>
      </c>
      <c r="CTI57" s="82" t="str">
        <f>IF(ISNUMBER(outYear),CTI37+CTI42+#REF!+#REF!,"")</f>
        <v/>
      </c>
      <c r="CTJ57" s="82" t="str">
        <f>IF(ISNUMBER(outYear),CTJ37+CTJ42+#REF!+#REF!,"")</f>
        <v/>
      </c>
      <c r="CTK57" s="82" t="str">
        <f>IF(ISNUMBER(outYear),CTK37+CTK42+#REF!+#REF!,"")</f>
        <v/>
      </c>
      <c r="CTL57" s="82" t="str">
        <f>IF(ISNUMBER(outYear),CTL37+CTL42+#REF!+#REF!,"")</f>
        <v/>
      </c>
      <c r="CTM57" s="82" t="str">
        <f>IF(ISNUMBER(outYear),CTM37+CTM42+#REF!+#REF!,"")</f>
        <v/>
      </c>
      <c r="CTN57" s="82" t="str">
        <f>IF(ISNUMBER(outYear),CTN37+CTN42+#REF!+#REF!,"")</f>
        <v/>
      </c>
      <c r="CTO57" s="82" t="str">
        <f>IF(ISNUMBER(outYear),CTO37+CTO42+#REF!+#REF!,"")</f>
        <v/>
      </c>
      <c r="CTP57" s="82" t="str">
        <f>IF(ISNUMBER(outYear),CTP37+CTP42+#REF!+#REF!,"")</f>
        <v/>
      </c>
      <c r="CTQ57" s="82" t="str">
        <f>IF(ISNUMBER(outYear),CTQ37+CTQ42+#REF!+#REF!,"")</f>
        <v/>
      </c>
      <c r="CTR57" s="82" t="str">
        <f>IF(ISNUMBER(outYear),CTR37+CTR42+#REF!+#REF!,"")</f>
        <v/>
      </c>
      <c r="CTS57" s="82" t="str">
        <f>IF(ISNUMBER(outYear),CTS37+CTS42+#REF!+#REF!,"")</f>
        <v/>
      </c>
      <c r="CTT57" s="82" t="str">
        <f>IF(ISNUMBER(outYear),CTT37+CTT42+#REF!+#REF!,"")</f>
        <v/>
      </c>
      <c r="CTU57" s="82" t="str">
        <f>IF(ISNUMBER(outYear),CTU37+CTU42+#REF!+#REF!,"")</f>
        <v/>
      </c>
      <c r="CTV57" s="82" t="str">
        <f>IF(ISNUMBER(outYear),CTV37+CTV42+#REF!+#REF!,"")</f>
        <v/>
      </c>
      <c r="CTW57" s="82" t="str">
        <f>IF(ISNUMBER(outYear),CTW37+CTW42+#REF!+#REF!,"")</f>
        <v/>
      </c>
      <c r="CTX57" s="82" t="str">
        <f>IF(ISNUMBER(outYear),CTX37+CTX42+#REF!+#REF!,"")</f>
        <v/>
      </c>
      <c r="CTY57" s="82" t="str">
        <f>IF(ISNUMBER(outYear),CTY37+CTY42+#REF!+#REF!,"")</f>
        <v/>
      </c>
      <c r="CTZ57" s="82" t="str">
        <f>IF(ISNUMBER(outYear),CTZ37+CTZ42+#REF!+#REF!,"")</f>
        <v/>
      </c>
      <c r="CUA57" s="82" t="str">
        <f>IF(ISNUMBER(outYear),CUA37+CUA42+#REF!+#REF!,"")</f>
        <v/>
      </c>
      <c r="CUB57" s="82" t="str">
        <f>IF(ISNUMBER(outYear),CUB37+CUB42+#REF!+#REF!,"")</f>
        <v/>
      </c>
      <c r="CUC57" s="82" t="str">
        <f>IF(ISNUMBER(outYear),CUC37+CUC42+#REF!+#REF!,"")</f>
        <v/>
      </c>
      <c r="CUD57" s="82" t="str">
        <f>IF(ISNUMBER(outYear),CUD37+CUD42+#REF!+#REF!,"")</f>
        <v/>
      </c>
      <c r="CUE57" s="82" t="str">
        <f>IF(ISNUMBER(outYear),CUE37+CUE42+#REF!+#REF!,"")</f>
        <v/>
      </c>
      <c r="CUF57" s="82" t="str">
        <f>IF(ISNUMBER(outYear),CUF37+CUF42+#REF!+#REF!,"")</f>
        <v/>
      </c>
      <c r="CUG57" s="82" t="str">
        <f>IF(ISNUMBER(outYear),CUG37+CUG42+#REF!+#REF!,"")</f>
        <v/>
      </c>
      <c r="CUH57" s="82" t="str">
        <f>IF(ISNUMBER(outYear),CUH37+CUH42+#REF!+#REF!,"")</f>
        <v/>
      </c>
      <c r="CUI57" s="82" t="str">
        <f>IF(ISNUMBER(outYear),CUI37+CUI42+#REF!+#REF!,"")</f>
        <v/>
      </c>
      <c r="CUJ57" s="82" t="str">
        <f>IF(ISNUMBER(outYear),CUJ37+CUJ42+#REF!+#REF!,"")</f>
        <v/>
      </c>
      <c r="CUK57" s="82" t="str">
        <f>IF(ISNUMBER(outYear),CUK37+CUK42+#REF!+#REF!,"")</f>
        <v/>
      </c>
      <c r="CUL57" s="82" t="str">
        <f>IF(ISNUMBER(outYear),CUL37+CUL42+#REF!+#REF!,"")</f>
        <v/>
      </c>
      <c r="CUM57" s="82" t="str">
        <f>IF(ISNUMBER(outYear),CUM37+CUM42+#REF!+#REF!,"")</f>
        <v/>
      </c>
      <c r="CUN57" s="82" t="str">
        <f>IF(ISNUMBER(outYear),CUN37+CUN42+#REF!+#REF!,"")</f>
        <v/>
      </c>
      <c r="CUO57" s="82" t="str">
        <f>IF(ISNUMBER(outYear),CUO37+CUO42+#REF!+#REF!,"")</f>
        <v/>
      </c>
      <c r="CUP57" s="82" t="str">
        <f>IF(ISNUMBER(outYear),CUP37+CUP42+#REF!+#REF!,"")</f>
        <v/>
      </c>
      <c r="CUQ57" s="82" t="str">
        <f>IF(ISNUMBER(outYear),CUQ37+CUQ42+#REF!+#REF!,"")</f>
        <v/>
      </c>
      <c r="CUR57" s="82" t="str">
        <f>IF(ISNUMBER(outYear),CUR37+CUR42+#REF!+#REF!,"")</f>
        <v/>
      </c>
      <c r="CUS57" s="82" t="str">
        <f>IF(ISNUMBER(outYear),CUS37+CUS42+#REF!+#REF!,"")</f>
        <v/>
      </c>
      <c r="CUT57" s="82" t="str">
        <f>IF(ISNUMBER(outYear),CUT37+CUT42+#REF!+#REF!,"")</f>
        <v/>
      </c>
      <c r="CUU57" s="82" t="str">
        <f>IF(ISNUMBER(outYear),CUU37+CUU42+#REF!+#REF!,"")</f>
        <v/>
      </c>
      <c r="CUV57" s="82" t="str">
        <f>IF(ISNUMBER(outYear),CUV37+CUV42+#REF!+#REF!,"")</f>
        <v/>
      </c>
      <c r="CUW57" s="82" t="str">
        <f>IF(ISNUMBER(outYear),CUW37+CUW42+#REF!+#REF!,"")</f>
        <v/>
      </c>
      <c r="CUX57" s="82" t="str">
        <f>IF(ISNUMBER(outYear),CUX37+CUX42+#REF!+#REF!,"")</f>
        <v/>
      </c>
      <c r="CUY57" s="82" t="str">
        <f>IF(ISNUMBER(outYear),CUY37+CUY42+#REF!+#REF!,"")</f>
        <v/>
      </c>
      <c r="CUZ57" s="82" t="str">
        <f>IF(ISNUMBER(outYear),CUZ37+CUZ42+#REF!+#REF!,"")</f>
        <v/>
      </c>
      <c r="CVA57" s="82" t="str">
        <f>IF(ISNUMBER(outYear),CVA37+CVA42+#REF!+#REF!,"")</f>
        <v/>
      </c>
      <c r="CVB57" s="82" t="str">
        <f>IF(ISNUMBER(outYear),CVB37+CVB42+#REF!+#REF!,"")</f>
        <v/>
      </c>
      <c r="CVC57" s="82" t="str">
        <f>IF(ISNUMBER(outYear),CVC37+CVC42+#REF!+#REF!,"")</f>
        <v/>
      </c>
      <c r="CVD57" s="82" t="str">
        <f>IF(ISNUMBER(outYear),CVD37+CVD42+#REF!+#REF!,"")</f>
        <v/>
      </c>
      <c r="CVE57" s="82" t="str">
        <f>IF(ISNUMBER(outYear),CVE37+CVE42+#REF!+#REF!,"")</f>
        <v/>
      </c>
      <c r="CVF57" s="82" t="str">
        <f>IF(ISNUMBER(outYear),CVF37+CVF42+#REF!+#REF!,"")</f>
        <v/>
      </c>
      <c r="CVG57" s="82" t="str">
        <f>IF(ISNUMBER(outYear),CVG37+CVG42+#REF!+#REF!,"")</f>
        <v/>
      </c>
      <c r="CVH57" s="82" t="str">
        <f>IF(ISNUMBER(outYear),CVH37+CVH42+#REF!+#REF!,"")</f>
        <v/>
      </c>
      <c r="CVI57" s="82" t="str">
        <f>IF(ISNUMBER(outYear),CVI37+CVI42+#REF!+#REF!,"")</f>
        <v/>
      </c>
      <c r="CVJ57" s="82" t="str">
        <f>IF(ISNUMBER(outYear),CVJ37+CVJ42+#REF!+#REF!,"")</f>
        <v/>
      </c>
      <c r="CVK57" s="82" t="str">
        <f>IF(ISNUMBER(outYear),CVK37+CVK42+#REF!+#REF!,"")</f>
        <v/>
      </c>
      <c r="CVL57" s="82" t="str">
        <f>IF(ISNUMBER(outYear),CVL37+CVL42+#REF!+#REF!,"")</f>
        <v/>
      </c>
      <c r="CVM57" s="82" t="str">
        <f>IF(ISNUMBER(outYear),CVM37+CVM42+#REF!+#REF!,"")</f>
        <v/>
      </c>
      <c r="CVN57" s="82" t="str">
        <f>IF(ISNUMBER(outYear),CVN37+CVN42+#REF!+#REF!,"")</f>
        <v/>
      </c>
      <c r="CVO57" s="82" t="str">
        <f>IF(ISNUMBER(outYear),CVO37+CVO42+#REF!+#REF!,"")</f>
        <v/>
      </c>
      <c r="CVP57" s="82" t="str">
        <f>IF(ISNUMBER(outYear),CVP37+CVP42+#REF!+#REF!,"")</f>
        <v/>
      </c>
      <c r="CVQ57" s="82" t="str">
        <f>IF(ISNUMBER(outYear),CVQ37+CVQ42+#REF!+#REF!,"")</f>
        <v/>
      </c>
      <c r="CVR57" s="82" t="str">
        <f>IF(ISNUMBER(outYear),CVR37+CVR42+#REF!+#REF!,"")</f>
        <v/>
      </c>
      <c r="CVS57" s="82" t="str">
        <f>IF(ISNUMBER(outYear),CVS37+CVS42+#REF!+#REF!,"")</f>
        <v/>
      </c>
      <c r="CVT57" s="82" t="str">
        <f>IF(ISNUMBER(outYear),CVT37+CVT42+#REF!+#REF!,"")</f>
        <v/>
      </c>
      <c r="CVU57" s="82" t="str">
        <f>IF(ISNUMBER(outYear),CVU37+CVU42+#REF!+#REF!,"")</f>
        <v/>
      </c>
      <c r="CVV57" s="82" t="str">
        <f>IF(ISNUMBER(outYear),CVV37+CVV42+#REF!+#REF!,"")</f>
        <v/>
      </c>
      <c r="CVW57" s="82" t="str">
        <f>IF(ISNUMBER(outYear),CVW37+CVW42+#REF!+#REF!,"")</f>
        <v/>
      </c>
      <c r="CVX57" s="82" t="str">
        <f>IF(ISNUMBER(outYear),CVX37+CVX42+#REF!+#REF!,"")</f>
        <v/>
      </c>
      <c r="CVY57" s="82" t="str">
        <f>IF(ISNUMBER(outYear),CVY37+CVY42+#REF!+#REF!,"")</f>
        <v/>
      </c>
      <c r="CVZ57" s="82" t="str">
        <f>IF(ISNUMBER(outYear),CVZ37+CVZ42+#REF!+#REF!,"")</f>
        <v/>
      </c>
      <c r="CWA57" s="82" t="str">
        <f>IF(ISNUMBER(outYear),CWA37+CWA42+#REF!+#REF!,"")</f>
        <v/>
      </c>
      <c r="CWB57" s="82" t="str">
        <f>IF(ISNUMBER(outYear),CWB37+CWB42+#REF!+#REF!,"")</f>
        <v/>
      </c>
      <c r="CWC57" s="82" t="str">
        <f>IF(ISNUMBER(outYear),CWC37+CWC42+#REF!+#REF!,"")</f>
        <v/>
      </c>
      <c r="CWD57" s="82" t="str">
        <f>IF(ISNUMBER(outYear),CWD37+CWD42+#REF!+#REF!,"")</f>
        <v/>
      </c>
      <c r="CWE57" s="82" t="str">
        <f>IF(ISNUMBER(outYear),CWE37+CWE42+#REF!+#REF!,"")</f>
        <v/>
      </c>
      <c r="CWF57" s="82" t="str">
        <f>IF(ISNUMBER(outYear),CWF37+CWF42+#REF!+#REF!,"")</f>
        <v/>
      </c>
      <c r="CWG57" s="82" t="str">
        <f>IF(ISNUMBER(outYear),CWG37+CWG42+#REF!+#REF!,"")</f>
        <v/>
      </c>
      <c r="CWH57" s="82" t="str">
        <f>IF(ISNUMBER(outYear),CWH37+CWH42+#REF!+#REF!,"")</f>
        <v/>
      </c>
      <c r="CWI57" s="82" t="str">
        <f>IF(ISNUMBER(outYear),CWI37+CWI42+#REF!+#REF!,"")</f>
        <v/>
      </c>
      <c r="CWJ57" s="82" t="str">
        <f>IF(ISNUMBER(outYear),CWJ37+CWJ42+#REF!+#REF!,"")</f>
        <v/>
      </c>
      <c r="CWK57" s="82" t="str">
        <f>IF(ISNUMBER(outYear),CWK37+CWK42+#REF!+#REF!,"")</f>
        <v/>
      </c>
      <c r="CWL57" s="82" t="str">
        <f>IF(ISNUMBER(outYear),CWL37+CWL42+#REF!+#REF!,"")</f>
        <v/>
      </c>
      <c r="CWM57" s="82" t="str">
        <f>IF(ISNUMBER(outYear),CWM37+CWM42+#REF!+#REF!,"")</f>
        <v/>
      </c>
      <c r="CWN57" s="82" t="str">
        <f>IF(ISNUMBER(outYear),CWN37+CWN42+#REF!+#REF!,"")</f>
        <v/>
      </c>
      <c r="CWO57" s="82" t="str">
        <f>IF(ISNUMBER(outYear),CWO37+CWO42+#REF!+#REF!,"")</f>
        <v/>
      </c>
      <c r="CWP57" s="82" t="str">
        <f>IF(ISNUMBER(outYear),CWP37+CWP42+#REF!+#REF!,"")</f>
        <v/>
      </c>
      <c r="CWQ57" s="82" t="str">
        <f>IF(ISNUMBER(outYear),CWQ37+CWQ42+#REF!+#REF!,"")</f>
        <v/>
      </c>
      <c r="CWR57" s="82" t="str">
        <f>IF(ISNUMBER(outYear),CWR37+CWR42+#REF!+#REF!,"")</f>
        <v/>
      </c>
      <c r="CWS57" s="82" t="str">
        <f>IF(ISNUMBER(outYear),CWS37+CWS42+#REF!+#REF!,"")</f>
        <v/>
      </c>
      <c r="CWT57" s="82" t="str">
        <f>IF(ISNUMBER(outYear),CWT37+CWT42+#REF!+#REF!,"")</f>
        <v/>
      </c>
      <c r="CWU57" s="82" t="str">
        <f>IF(ISNUMBER(outYear),CWU37+CWU42+#REF!+#REF!,"")</f>
        <v/>
      </c>
      <c r="CWV57" s="82" t="str">
        <f>IF(ISNUMBER(outYear),CWV37+CWV42+#REF!+#REF!,"")</f>
        <v/>
      </c>
      <c r="CWW57" s="82" t="str">
        <f>IF(ISNUMBER(outYear),CWW37+CWW42+#REF!+#REF!,"")</f>
        <v/>
      </c>
      <c r="CWX57" s="82" t="str">
        <f>IF(ISNUMBER(outYear),CWX37+CWX42+#REF!+#REF!,"")</f>
        <v/>
      </c>
      <c r="CWY57" s="82" t="str">
        <f>IF(ISNUMBER(outYear),CWY37+CWY42+#REF!+#REF!,"")</f>
        <v/>
      </c>
      <c r="CWZ57" s="82" t="str">
        <f>IF(ISNUMBER(outYear),CWZ37+CWZ42+#REF!+#REF!,"")</f>
        <v/>
      </c>
      <c r="CXA57" s="82" t="str">
        <f>IF(ISNUMBER(outYear),CXA37+CXA42+#REF!+#REF!,"")</f>
        <v/>
      </c>
      <c r="CXB57" s="82" t="str">
        <f>IF(ISNUMBER(outYear),CXB37+CXB42+#REF!+#REF!,"")</f>
        <v/>
      </c>
      <c r="CXC57" s="82" t="str">
        <f>IF(ISNUMBER(outYear),CXC37+CXC42+#REF!+#REF!,"")</f>
        <v/>
      </c>
      <c r="CXD57" s="82" t="str">
        <f>IF(ISNUMBER(outYear),CXD37+CXD42+#REF!+#REF!,"")</f>
        <v/>
      </c>
      <c r="CXE57" s="82" t="str">
        <f>IF(ISNUMBER(outYear),CXE37+CXE42+#REF!+#REF!,"")</f>
        <v/>
      </c>
      <c r="CXF57" s="82" t="str">
        <f>IF(ISNUMBER(outYear),CXF37+CXF42+#REF!+#REF!,"")</f>
        <v/>
      </c>
      <c r="CXG57" s="82" t="str">
        <f>IF(ISNUMBER(outYear),CXG37+CXG42+#REF!+#REF!,"")</f>
        <v/>
      </c>
      <c r="CXH57" s="82" t="str">
        <f>IF(ISNUMBER(outYear),CXH37+CXH42+#REF!+#REF!,"")</f>
        <v/>
      </c>
      <c r="CXI57" s="82" t="str">
        <f>IF(ISNUMBER(outYear),CXI37+CXI42+#REF!+#REF!,"")</f>
        <v/>
      </c>
      <c r="CXJ57" s="82" t="str">
        <f>IF(ISNUMBER(outYear),CXJ37+CXJ42+#REF!+#REF!,"")</f>
        <v/>
      </c>
      <c r="CXK57" s="82" t="str">
        <f>IF(ISNUMBER(outYear),CXK37+CXK42+#REF!+#REF!,"")</f>
        <v/>
      </c>
      <c r="CXL57" s="82" t="str">
        <f>IF(ISNUMBER(outYear),CXL37+CXL42+#REF!+#REF!,"")</f>
        <v/>
      </c>
      <c r="CXM57" s="82" t="str">
        <f>IF(ISNUMBER(outYear),CXM37+CXM42+#REF!+#REF!,"")</f>
        <v/>
      </c>
      <c r="CXN57" s="82" t="str">
        <f>IF(ISNUMBER(outYear),CXN37+CXN42+#REF!+#REF!,"")</f>
        <v/>
      </c>
      <c r="CXO57" s="82" t="str">
        <f>IF(ISNUMBER(outYear),CXO37+CXO42+#REF!+#REF!,"")</f>
        <v/>
      </c>
      <c r="CXP57" s="82" t="str">
        <f>IF(ISNUMBER(outYear),CXP37+CXP42+#REF!+#REF!,"")</f>
        <v/>
      </c>
      <c r="CXQ57" s="82" t="str">
        <f>IF(ISNUMBER(outYear),CXQ37+CXQ42+#REF!+#REF!,"")</f>
        <v/>
      </c>
      <c r="CXR57" s="82" t="str">
        <f>IF(ISNUMBER(outYear),CXR37+CXR42+#REF!+#REF!,"")</f>
        <v/>
      </c>
      <c r="CXS57" s="82" t="str">
        <f>IF(ISNUMBER(outYear),CXS37+CXS42+#REF!+#REF!,"")</f>
        <v/>
      </c>
      <c r="CXT57" s="82" t="str">
        <f>IF(ISNUMBER(outYear),CXT37+CXT42+#REF!+#REF!,"")</f>
        <v/>
      </c>
      <c r="CXU57" s="82" t="str">
        <f>IF(ISNUMBER(outYear),CXU37+CXU42+#REF!+#REF!,"")</f>
        <v/>
      </c>
      <c r="CXV57" s="82" t="str">
        <f>IF(ISNUMBER(outYear),CXV37+CXV42+#REF!+#REF!,"")</f>
        <v/>
      </c>
      <c r="CXW57" s="82" t="str">
        <f>IF(ISNUMBER(outYear),CXW37+CXW42+#REF!+#REF!,"")</f>
        <v/>
      </c>
      <c r="CXX57" s="82" t="str">
        <f>IF(ISNUMBER(outYear),CXX37+CXX42+#REF!+#REF!,"")</f>
        <v/>
      </c>
      <c r="CXY57" s="82" t="str">
        <f>IF(ISNUMBER(outYear),CXY37+CXY42+#REF!+#REF!,"")</f>
        <v/>
      </c>
      <c r="CXZ57" s="82" t="str">
        <f>IF(ISNUMBER(outYear),CXZ37+CXZ42+#REF!+#REF!,"")</f>
        <v/>
      </c>
      <c r="CYA57" s="82" t="str">
        <f>IF(ISNUMBER(outYear),CYA37+CYA42+#REF!+#REF!,"")</f>
        <v/>
      </c>
      <c r="CYB57" s="82" t="str">
        <f>IF(ISNUMBER(outYear),CYB37+CYB42+#REF!+#REF!,"")</f>
        <v/>
      </c>
      <c r="CYC57" s="82" t="str">
        <f>IF(ISNUMBER(outYear),CYC37+CYC42+#REF!+#REF!,"")</f>
        <v/>
      </c>
      <c r="CYD57" s="82" t="str">
        <f>IF(ISNUMBER(outYear),CYD37+CYD42+#REF!+#REF!,"")</f>
        <v/>
      </c>
      <c r="CYE57" s="82" t="str">
        <f>IF(ISNUMBER(outYear),CYE37+CYE42+#REF!+#REF!,"")</f>
        <v/>
      </c>
      <c r="CYF57" s="82" t="str">
        <f>IF(ISNUMBER(outYear),CYF37+CYF42+#REF!+#REF!,"")</f>
        <v/>
      </c>
      <c r="CYG57" s="82" t="str">
        <f>IF(ISNUMBER(outYear),CYG37+CYG42+#REF!+#REF!,"")</f>
        <v/>
      </c>
      <c r="CYH57" s="82" t="str">
        <f>IF(ISNUMBER(outYear),CYH37+CYH42+#REF!+#REF!,"")</f>
        <v/>
      </c>
      <c r="CYI57" s="82" t="str">
        <f>IF(ISNUMBER(outYear),CYI37+CYI42+#REF!+#REF!,"")</f>
        <v/>
      </c>
      <c r="CYJ57" s="82" t="str">
        <f>IF(ISNUMBER(outYear),CYJ37+CYJ42+#REF!+#REF!,"")</f>
        <v/>
      </c>
      <c r="CYK57" s="82" t="str">
        <f>IF(ISNUMBER(outYear),CYK37+CYK42+#REF!+#REF!,"")</f>
        <v/>
      </c>
      <c r="CYL57" s="82" t="str">
        <f>IF(ISNUMBER(outYear),CYL37+CYL42+#REF!+#REF!,"")</f>
        <v/>
      </c>
      <c r="CYM57" s="82" t="str">
        <f>IF(ISNUMBER(outYear),CYM37+CYM42+#REF!+#REF!,"")</f>
        <v/>
      </c>
      <c r="CYN57" s="82" t="str">
        <f>IF(ISNUMBER(outYear),CYN37+CYN42+#REF!+#REF!,"")</f>
        <v/>
      </c>
      <c r="CYO57" s="82" t="str">
        <f>IF(ISNUMBER(outYear),CYO37+CYO42+#REF!+#REF!,"")</f>
        <v/>
      </c>
      <c r="CYP57" s="82" t="str">
        <f>IF(ISNUMBER(outYear),CYP37+CYP42+#REF!+#REF!,"")</f>
        <v/>
      </c>
      <c r="CYQ57" s="82" t="str">
        <f>IF(ISNUMBER(outYear),CYQ37+CYQ42+#REF!+#REF!,"")</f>
        <v/>
      </c>
      <c r="CYR57" s="82" t="str">
        <f>IF(ISNUMBER(outYear),CYR37+CYR42+#REF!+#REF!,"")</f>
        <v/>
      </c>
      <c r="CYS57" s="82" t="str">
        <f>IF(ISNUMBER(outYear),CYS37+CYS42+#REF!+#REF!,"")</f>
        <v/>
      </c>
      <c r="CYT57" s="82" t="str">
        <f>IF(ISNUMBER(outYear),CYT37+CYT42+#REF!+#REF!,"")</f>
        <v/>
      </c>
      <c r="CYU57" s="82" t="str">
        <f>IF(ISNUMBER(outYear),CYU37+CYU42+#REF!+#REF!,"")</f>
        <v/>
      </c>
      <c r="CYV57" s="82" t="str">
        <f>IF(ISNUMBER(outYear),CYV37+CYV42+#REF!+#REF!,"")</f>
        <v/>
      </c>
      <c r="CYW57" s="82" t="str">
        <f>IF(ISNUMBER(outYear),CYW37+CYW42+#REF!+#REF!,"")</f>
        <v/>
      </c>
      <c r="CYX57" s="82" t="str">
        <f>IF(ISNUMBER(outYear),CYX37+CYX42+#REF!+#REF!,"")</f>
        <v/>
      </c>
      <c r="CYY57" s="82" t="str">
        <f>IF(ISNUMBER(outYear),CYY37+CYY42+#REF!+#REF!,"")</f>
        <v/>
      </c>
      <c r="CYZ57" s="82" t="str">
        <f>IF(ISNUMBER(outYear),CYZ37+CYZ42+#REF!+#REF!,"")</f>
        <v/>
      </c>
      <c r="CZA57" s="82" t="str">
        <f>IF(ISNUMBER(outYear),CZA37+CZA42+#REF!+#REF!,"")</f>
        <v/>
      </c>
      <c r="CZB57" s="82" t="str">
        <f>IF(ISNUMBER(outYear),CZB37+CZB42+#REF!+#REF!,"")</f>
        <v/>
      </c>
      <c r="CZC57" s="82" t="str">
        <f>IF(ISNUMBER(outYear),CZC37+CZC42+#REF!+#REF!,"")</f>
        <v/>
      </c>
      <c r="CZD57" s="82" t="str">
        <f>IF(ISNUMBER(outYear),CZD37+CZD42+#REF!+#REF!,"")</f>
        <v/>
      </c>
      <c r="CZE57" s="82" t="str">
        <f>IF(ISNUMBER(outYear),CZE37+CZE42+#REF!+#REF!,"")</f>
        <v/>
      </c>
      <c r="CZF57" s="82" t="str">
        <f>IF(ISNUMBER(outYear),CZF37+CZF42+#REF!+#REF!,"")</f>
        <v/>
      </c>
      <c r="CZG57" s="82" t="str">
        <f>IF(ISNUMBER(outYear),CZG37+CZG42+#REF!+#REF!,"")</f>
        <v/>
      </c>
      <c r="CZH57" s="82" t="str">
        <f>IF(ISNUMBER(outYear),CZH37+CZH42+#REF!+#REF!,"")</f>
        <v/>
      </c>
      <c r="CZI57" s="82" t="str">
        <f>IF(ISNUMBER(outYear),CZI37+CZI42+#REF!+#REF!,"")</f>
        <v/>
      </c>
      <c r="CZJ57" s="82" t="str">
        <f>IF(ISNUMBER(outYear),CZJ37+CZJ42+#REF!+#REF!,"")</f>
        <v/>
      </c>
      <c r="CZK57" s="82" t="str">
        <f>IF(ISNUMBER(outYear),CZK37+CZK42+#REF!+#REF!,"")</f>
        <v/>
      </c>
      <c r="CZL57" s="82" t="str">
        <f>IF(ISNUMBER(outYear),CZL37+CZL42+#REF!+#REF!,"")</f>
        <v/>
      </c>
      <c r="CZM57" s="82" t="str">
        <f>IF(ISNUMBER(outYear),CZM37+CZM42+#REF!+#REF!,"")</f>
        <v/>
      </c>
      <c r="CZN57" s="82" t="str">
        <f>IF(ISNUMBER(outYear),CZN37+CZN42+#REF!+#REF!,"")</f>
        <v/>
      </c>
      <c r="CZO57" s="82" t="str">
        <f>IF(ISNUMBER(outYear),CZO37+CZO42+#REF!+#REF!,"")</f>
        <v/>
      </c>
      <c r="CZP57" s="82" t="str">
        <f>IF(ISNUMBER(outYear),CZP37+CZP42+#REF!+#REF!,"")</f>
        <v/>
      </c>
      <c r="CZQ57" s="82" t="str">
        <f>IF(ISNUMBER(outYear),CZQ37+CZQ42+#REF!+#REF!,"")</f>
        <v/>
      </c>
      <c r="CZR57" s="82" t="str">
        <f>IF(ISNUMBER(outYear),CZR37+CZR42+#REF!+#REF!,"")</f>
        <v/>
      </c>
      <c r="CZS57" s="82" t="str">
        <f>IF(ISNUMBER(outYear),CZS37+CZS42+#REF!+#REF!,"")</f>
        <v/>
      </c>
      <c r="CZT57" s="82" t="str">
        <f>IF(ISNUMBER(outYear),CZT37+CZT42+#REF!+#REF!,"")</f>
        <v/>
      </c>
      <c r="CZU57" s="82" t="str">
        <f>IF(ISNUMBER(outYear),CZU37+CZU42+#REF!+#REF!,"")</f>
        <v/>
      </c>
      <c r="CZV57" s="82" t="str">
        <f>IF(ISNUMBER(outYear),CZV37+CZV42+#REF!+#REF!,"")</f>
        <v/>
      </c>
      <c r="CZW57" s="82" t="str">
        <f>IF(ISNUMBER(outYear),CZW37+CZW42+#REF!+#REF!,"")</f>
        <v/>
      </c>
      <c r="CZX57" s="82" t="str">
        <f>IF(ISNUMBER(outYear),CZX37+CZX42+#REF!+#REF!,"")</f>
        <v/>
      </c>
      <c r="CZY57" s="82" t="str">
        <f>IF(ISNUMBER(outYear),CZY37+CZY42+#REF!+#REF!,"")</f>
        <v/>
      </c>
      <c r="CZZ57" s="82" t="str">
        <f>IF(ISNUMBER(outYear),CZZ37+CZZ42+#REF!+#REF!,"")</f>
        <v/>
      </c>
      <c r="DAA57" s="82" t="str">
        <f>IF(ISNUMBER(outYear),DAA37+DAA42+#REF!+#REF!,"")</f>
        <v/>
      </c>
      <c r="DAB57" s="82" t="str">
        <f>IF(ISNUMBER(outYear),DAB37+DAB42+#REF!+#REF!,"")</f>
        <v/>
      </c>
      <c r="DAC57" s="82" t="str">
        <f>IF(ISNUMBER(outYear),DAC37+DAC42+#REF!+#REF!,"")</f>
        <v/>
      </c>
      <c r="DAD57" s="82" t="str">
        <f>IF(ISNUMBER(outYear),DAD37+DAD42+#REF!+#REF!,"")</f>
        <v/>
      </c>
      <c r="DAE57" s="82" t="str">
        <f>IF(ISNUMBER(outYear),DAE37+DAE42+#REF!+#REF!,"")</f>
        <v/>
      </c>
      <c r="DAF57" s="82" t="str">
        <f>IF(ISNUMBER(outYear),DAF37+DAF42+#REF!+#REF!,"")</f>
        <v/>
      </c>
      <c r="DAG57" s="82" t="str">
        <f>IF(ISNUMBER(outYear),DAG37+DAG42+#REF!+#REF!,"")</f>
        <v/>
      </c>
      <c r="DAH57" s="82" t="str">
        <f>IF(ISNUMBER(outYear),DAH37+DAH42+#REF!+#REF!,"")</f>
        <v/>
      </c>
      <c r="DAI57" s="82" t="str">
        <f>IF(ISNUMBER(outYear),DAI37+DAI42+#REF!+#REF!,"")</f>
        <v/>
      </c>
      <c r="DAJ57" s="82" t="str">
        <f>IF(ISNUMBER(outYear),DAJ37+DAJ42+#REF!+#REF!,"")</f>
        <v/>
      </c>
      <c r="DAK57" s="82" t="str">
        <f>IF(ISNUMBER(outYear),DAK37+DAK42+#REF!+#REF!,"")</f>
        <v/>
      </c>
      <c r="DAL57" s="82" t="str">
        <f>IF(ISNUMBER(outYear),DAL37+DAL42+#REF!+#REF!,"")</f>
        <v/>
      </c>
      <c r="DAM57" s="82" t="str">
        <f>IF(ISNUMBER(outYear),DAM37+DAM42+#REF!+#REF!,"")</f>
        <v/>
      </c>
      <c r="DAN57" s="82" t="str">
        <f>IF(ISNUMBER(outYear),DAN37+DAN42+#REF!+#REF!,"")</f>
        <v/>
      </c>
      <c r="DAO57" s="82" t="str">
        <f>IF(ISNUMBER(outYear),DAO37+DAO42+#REF!+#REF!,"")</f>
        <v/>
      </c>
      <c r="DAP57" s="82" t="str">
        <f>IF(ISNUMBER(outYear),DAP37+DAP42+#REF!+#REF!,"")</f>
        <v/>
      </c>
      <c r="DAQ57" s="82" t="str">
        <f>IF(ISNUMBER(outYear),DAQ37+DAQ42+#REF!+#REF!,"")</f>
        <v/>
      </c>
      <c r="DAR57" s="82" t="str">
        <f>IF(ISNUMBER(outYear),DAR37+DAR42+#REF!+#REF!,"")</f>
        <v/>
      </c>
      <c r="DAS57" s="82" t="str">
        <f>IF(ISNUMBER(outYear),DAS37+DAS42+#REF!+#REF!,"")</f>
        <v/>
      </c>
      <c r="DAT57" s="82" t="str">
        <f>IF(ISNUMBER(outYear),DAT37+DAT42+#REF!+#REF!,"")</f>
        <v/>
      </c>
      <c r="DAU57" s="82" t="str">
        <f>IF(ISNUMBER(outYear),DAU37+DAU42+#REF!+#REF!,"")</f>
        <v/>
      </c>
      <c r="DAV57" s="82" t="str">
        <f>IF(ISNUMBER(outYear),DAV37+DAV42+#REF!+#REF!,"")</f>
        <v/>
      </c>
      <c r="DAW57" s="82" t="str">
        <f>IF(ISNUMBER(outYear),DAW37+DAW42+#REF!+#REF!,"")</f>
        <v/>
      </c>
      <c r="DAX57" s="82" t="str">
        <f>IF(ISNUMBER(outYear),DAX37+DAX42+#REF!+#REF!,"")</f>
        <v/>
      </c>
      <c r="DAY57" s="82" t="str">
        <f>IF(ISNUMBER(outYear),DAY37+DAY42+#REF!+#REF!,"")</f>
        <v/>
      </c>
      <c r="DAZ57" s="82" t="str">
        <f>IF(ISNUMBER(outYear),DAZ37+DAZ42+#REF!+#REF!,"")</f>
        <v/>
      </c>
      <c r="DBA57" s="82" t="str">
        <f>IF(ISNUMBER(outYear),DBA37+DBA42+#REF!+#REF!,"")</f>
        <v/>
      </c>
      <c r="DBB57" s="82" t="str">
        <f>IF(ISNUMBER(outYear),DBB37+DBB42+#REF!+#REF!,"")</f>
        <v/>
      </c>
      <c r="DBC57" s="82" t="str">
        <f>IF(ISNUMBER(outYear),DBC37+DBC42+#REF!+#REF!,"")</f>
        <v/>
      </c>
      <c r="DBD57" s="82" t="str">
        <f>IF(ISNUMBER(outYear),DBD37+DBD42+#REF!+#REF!,"")</f>
        <v/>
      </c>
      <c r="DBE57" s="82" t="str">
        <f>IF(ISNUMBER(outYear),DBE37+DBE42+#REF!+#REF!,"")</f>
        <v/>
      </c>
      <c r="DBF57" s="82" t="str">
        <f>IF(ISNUMBER(outYear),DBF37+DBF42+#REF!+#REF!,"")</f>
        <v/>
      </c>
      <c r="DBG57" s="82" t="str">
        <f>IF(ISNUMBER(outYear),DBG37+DBG42+#REF!+#REF!,"")</f>
        <v/>
      </c>
      <c r="DBH57" s="82" t="str">
        <f>IF(ISNUMBER(outYear),DBH37+DBH42+#REF!+#REF!,"")</f>
        <v/>
      </c>
      <c r="DBI57" s="82" t="str">
        <f>IF(ISNUMBER(outYear),DBI37+DBI42+#REF!+#REF!,"")</f>
        <v/>
      </c>
      <c r="DBJ57" s="82" t="str">
        <f>IF(ISNUMBER(outYear),DBJ37+DBJ42+#REF!+#REF!,"")</f>
        <v/>
      </c>
      <c r="DBK57" s="82" t="str">
        <f>IF(ISNUMBER(outYear),DBK37+DBK42+#REF!+#REF!,"")</f>
        <v/>
      </c>
      <c r="DBL57" s="82" t="str">
        <f>IF(ISNUMBER(outYear),DBL37+DBL42+#REF!+#REF!,"")</f>
        <v/>
      </c>
      <c r="DBM57" s="82" t="str">
        <f>IF(ISNUMBER(outYear),DBM37+DBM42+#REF!+#REF!,"")</f>
        <v/>
      </c>
      <c r="DBN57" s="82" t="str">
        <f>IF(ISNUMBER(outYear),DBN37+DBN42+#REF!+#REF!,"")</f>
        <v/>
      </c>
      <c r="DBO57" s="82" t="str">
        <f>IF(ISNUMBER(outYear),DBO37+DBO42+#REF!+#REF!,"")</f>
        <v/>
      </c>
      <c r="DBP57" s="82" t="str">
        <f>IF(ISNUMBER(outYear),DBP37+DBP42+#REF!+#REF!,"")</f>
        <v/>
      </c>
      <c r="DBQ57" s="82" t="str">
        <f>IF(ISNUMBER(outYear),DBQ37+DBQ42+#REF!+#REF!,"")</f>
        <v/>
      </c>
      <c r="DBR57" s="82" t="str">
        <f>IF(ISNUMBER(outYear),DBR37+DBR42+#REF!+#REF!,"")</f>
        <v/>
      </c>
      <c r="DBS57" s="82" t="str">
        <f>IF(ISNUMBER(outYear),DBS37+DBS42+#REF!+#REF!,"")</f>
        <v/>
      </c>
      <c r="DBT57" s="82" t="str">
        <f>IF(ISNUMBER(outYear),DBT37+DBT42+#REF!+#REF!,"")</f>
        <v/>
      </c>
      <c r="DBU57" s="82" t="str">
        <f>IF(ISNUMBER(outYear),DBU37+DBU42+#REF!+#REF!,"")</f>
        <v/>
      </c>
      <c r="DBV57" s="82" t="str">
        <f>IF(ISNUMBER(outYear),DBV37+DBV42+#REF!+#REF!,"")</f>
        <v/>
      </c>
      <c r="DBW57" s="82" t="str">
        <f>IF(ISNUMBER(outYear),DBW37+DBW42+#REF!+#REF!,"")</f>
        <v/>
      </c>
      <c r="DBX57" s="82" t="str">
        <f>IF(ISNUMBER(outYear),DBX37+DBX42+#REF!+#REF!,"")</f>
        <v/>
      </c>
      <c r="DBY57" s="82" t="str">
        <f>IF(ISNUMBER(outYear),DBY37+DBY42+#REF!+#REF!,"")</f>
        <v/>
      </c>
      <c r="DBZ57" s="82" t="str">
        <f>IF(ISNUMBER(outYear),DBZ37+DBZ42+#REF!+#REF!,"")</f>
        <v/>
      </c>
      <c r="DCA57" s="82" t="str">
        <f>IF(ISNUMBER(outYear),DCA37+DCA42+#REF!+#REF!,"")</f>
        <v/>
      </c>
      <c r="DCB57" s="82" t="str">
        <f>IF(ISNUMBER(outYear),DCB37+DCB42+#REF!+#REF!,"")</f>
        <v/>
      </c>
      <c r="DCC57" s="82" t="str">
        <f>IF(ISNUMBER(outYear),DCC37+DCC42+#REF!+#REF!,"")</f>
        <v/>
      </c>
      <c r="DCD57" s="82" t="str">
        <f>IF(ISNUMBER(outYear),DCD37+DCD42+#REF!+#REF!,"")</f>
        <v/>
      </c>
      <c r="DCE57" s="82" t="str">
        <f>IF(ISNUMBER(outYear),DCE37+DCE42+#REF!+#REF!,"")</f>
        <v/>
      </c>
      <c r="DCF57" s="82" t="str">
        <f>IF(ISNUMBER(outYear),DCF37+DCF42+#REF!+#REF!,"")</f>
        <v/>
      </c>
      <c r="DCG57" s="82" t="str">
        <f>IF(ISNUMBER(outYear),DCG37+DCG42+#REF!+#REF!,"")</f>
        <v/>
      </c>
      <c r="DCH57" s="82" t="str">
        <f>IF(ISNUMBER(outYear),DCH37+DCH42+#REF!+#REF!,"")</f>
        <v/>
      </c>
      <c r="DCI57" s="82" t="str">
        <f>IF(ISNUMBER(outYear),DCI37+DCI42+#REF!+#REF!,"")</f>
        <v/>
      </c>
      <c r="DCJ57" s="82" t="str">
        <f>IF(ISNUMBER(outYear),DCJ37+DCJ42+#REF!+#REF!,"")</f>
        <v/>
      </c>
      <c r="DCK57" s="82" t="str">
        <f>IF(ISNUMBER(outYear),DCK37+DCK42+#REF!+#REF!,"")</f>
        <v/>
      </c>
      <c r="DCL57" s="82" t="str">
        <f>IF(ISNUMBER(outYear),DCL37+DCL42+#REF!+#REF!,"")</f>
        <v/>
      </c>
      <c r="DCM57" s="82" t="str">
        <f>IF(ISNUMBER(outYear),DCM37+DCM42+#REF!+#REF!,"")</f>
        <v/>
      </c>
      <c r="DCN57" s="82" t="str">
        <f>IF(ISNUMBER(outYear),DCN37+DCN42+#REF!+#REF!,"")</f>
        <v/>
      </c>
      <c r="DCO57" s="82" t="str">
        <f>IF(ISNUMBER(outYear),DCO37+DCO42+#REF!+#REF!,"")</f>
        <v/>
      </c>
      <c r="DCP57" s="82" t="str">
        <f>IF(ISNUMBER(outYear),DCP37+DCP42+#REF!+#REF!,"")</f>
        <v/>
      </c>
      <c r="DCQ57" s="82" t="str">
        <f>IF(ISNUMBER(outYear),DCQ37+DCQ42+#REF!+#REF!,"")</f>
        <v/>
      </c>
      <c r="DCR57" s="82" t="str">
        <f>IF(ISNUMBER(outYear),DCR37+DCR42+#REF!+#REF!,"")</f>
        <v/>
      </c>
      <c r="DCS57" s="82" t="str">
        <f>IF(ISNUMBER(outYear),DCS37+DCS42+#REF!+#REF!,"")</f>
        <v/>
      </c>
      <c r="DCT57" s="82" t="str">
        <f>IF(ISNUMBER(outYear),DCT37+DCT42+#REF!+#REF!,"")</f>
        <v/>
      </c>
      <c r="DCU57" s="82" t="str">
        <f>IF(ISNUMBER(outYear),DCU37+DCU42+#REF!+#REF!,"")</f>
        <v/>
      </c>
      <c r="DCV57" s="82" t="str">
        <f>IF(ISNUMBER(outYear),DCV37+DCV42+#REF!+#REF!,"")</f>
        <v/>
      </c>
      <c r="DCW57" s="82" t="str">
        <f>IF(ISNUMBER(outYear),DCW37+DCW42+#REF!+#REF!,"")</f>
        <v/>
      </c>
      <c r="DCX57" s="82" t="str">
        <f>IF(ISNUMBER(outYear),DCX37+DCX42+#REF!+#REF!,"")</f>
        <v/>
      </c>
      <c r="DCY57" s="82" t="str">
        <f>IF(ISNUMBER(outYear),DCY37+DCY42+#REF!+#REF!,"")</f>
        <v/>
      </c>
      <c r="DCZ57" s="82" t="str">
        <f>IF(ISNUMBER(outYear),DCZ37+DCZ42+#REF!+#REF!,"")</f>
        <v/>
      </c>
      <c r="DDA57" s="82" t="str">
        <f>IF(ISNUMBER(outYear),DDA37+DDA42+#REF!+#REF!,"")</f>
        <v/>
      </c>
      <c r="DDB57" s="82" t="str">
        <f>IF(ISNUMBER(outYear),DDB37+DDB42+#REF!+#REF!,"")</f>
        <v/>
      </c>
      <c r="DDC57" s="82" t="str">
        <f>IF(ISNUMBER(outYear),DDC37+DDC42+#REF!+#REF!,"")</f>
        <v/>
      </c>
      <c r="DDD57" s="82" t="str">
        <f>IF(ISNUMBER(outYear),DDD37+DDD42+#REF!+#REF!,"")</f>
        <v/>
      </c>
      <c r="DDE57" s="82" t="str">
        <f>IF(ISNUMBER(outYear),DDE37+DDE42+#REF!+#REF!,"")</f>
        <v/>
      </c>
      <c r="DDF57" s="82" t="str">
        <f>IF(ISNUMBER(outYear),DDF37+DDF42+#REF!+#REF!,"")</f>
        <v/>
      </c>
      <c r="DDG57" s="82" t="str">
        <f>IF(ISNUMBER(outYear),DDG37+DDG42+#REF!+#REF!,"")</f>
        <v/>
      </c>
      <c r="DDH57" s="82" t="str">
        <f>IF(ISNUMBER(outYear),DDH37+DDH42+#REF!+#REF!,"")</f>
        <v/>
      </c>
      <c r="DDI57" s="82" t="str">
        <f>IF(ISNUMBER(outYear),DDI37+DDI42+#REF!+#REF!,"")</f>
        <v/>
      </c>
      <c r="DDJ57" s="82" t="str">
        <f>IF(ISNUMBER(outYear),DDJ37+DDJ42+#REF!+#REF!,"")</f>
        <v/>
      </c>
      <c r="DDK57" s="82" t="str">
        <f>IF(ISNUMBER(outYear),DDK37+DDK42+#REF!+#REF!,"")</f>
        <v/>
      </c>
      <c r="DDL57" s="82" t="str">
        <f>IF(ISNUMBER(outYear),DDL37+DDL42+#REF!+#REF!,"")</f>
        <v/>
      </c>
      <c r="DDM57" s="82" t="str">
        <f>IF(ISNUMBER(outYear),DDM37+DDM42+#REF!+#REF!,"")</f>
        <v/>
      </c>
      <c r="DDN57" s="82" t="str">
        <f>IF(ISNUMBER(outYear),DDN37+DDN42+#REF!+#REF!,"")</f>
        <v/>
      </c>
      <c r="DDO57" s="82" t="str">
        <f>IF(ISNUMBER(outYear),DDO37+DDO42+#REF!+#REF!,"")</f>
        <v/>
      </c>
      <c r="DDP57" s="82" t="str">
        <f>IF(ISNUMBER(outYear),DDP37+DDP42+#REF!+#REF!,"")</f>
        <v/>
      </c>
      <c r="DDQ57" s="82" t="str">
        <f>IF(ISNUMBER(outYear),DDQ37+DDQ42+#REF!+#REF!,"")</f>
        <v/>
      </c>
      <c r="DDR57" s="82" t="str">
        <f>IF(ISNUMBER(outYear),DDR37+DDR42+#REF!+#REF!,"")</f>
        <v/>
      </c>
      <c r="DDS57" s="82" t="str">
        <f>IF(ISNUMBER(outYear),DDS37+DDS42+#REF!+#REF!,"")</f>
        <v/>
      </c>
      <c r="DDT57" s="82" t="str">
        <f>IF(ISNUMBER(outYear),DDT37+DDT42+#REF!+#REF!,"")</f>
        <v/>
      </c>
      <c r="DDU57" s="82" t="str">
        <f>IF(ISNUMBER(outYear),DDU37+DDU42+#REF!+#REF!,"")</f>
        <v/>
      </c>
      <c r="DDV57" s="82" t="str">
        <f>IF(ISNUMBER(outYear),DDV37+DDV42+#REF!+#REF!,"")</f>
        <v/>
      </c>
      <c r="DDW57" s="82" t="str">
        <f>IF(ISNUMBER(outYear),DDW37+DDW42+#REF!+#REF!,"")</f>
        <v/>
      </c>
      <c r="DDX57" s="82" t="str">
        <f>IF(ISNUMBER(outYear),DDX37+DDX42+#REF!+#REF!,"")</f>
        <v/>
      </c>
      <c r="DDY57" s="82" t="str">
        <f>IF(ISNUMBER(outYear),DDY37+DDY42+#REF!+#REF!,"")</f>
        <v/>
      </c>
      <c r="DDZ57" s="82" t="str">
        <f>IF(ISNUMBER(outYear),DDZ37+DDZ42+#REF!+#REF!,"")</f>
        <v/>
      </c>
      <c r="DEA57" s="82" t="str">
        <f>IF(ISNUMBER(outYear),DEA37+DEA42+#REF!+#REF!,"")</f>
        <v/>
      </c>
      <c r="DEB57" s="82" t="str">
        <f>IF(ISNUMBER(outYear),DEB37+DEB42+#REF!+#REF!,"")</f>
        <v/>
      </c>
      <c r="DEC57" s="82" t="str">
        <f>IF(ISNUMBER(outYear),DEC37+DEC42+#REF!+#REF!,"")</f>
        <v/>
      </c>
      <c r="DED57" s="82" t="str">
        <f>IF(ISNUMBER(outYear),DED37+DED42+#REF!+#REF!,"")</f>
        <v/>
      </c>
      <c r="DEE57" s="82" t="str">
        <f>IF(ISNUMBER(outYear),DEE37+DEE42+#REF!+#REF!,"")</f>
        <v/>
      </c>
      <c r="DEF57" s="82" t="str">
        <f>IF(ISNUMBER(outYear),DEF37+DEF42+#REF!+#REF!,"")</f>
        <v/>
      </c>
      <c r="DEG57" s="82" t="str">
        <f>IF(ISNUMBER(outYear),DEG37+DEG42+#REF!+#REF!,"")</f>
        <v/>
      </c>
      <c r="DEH57" s="82" t="str">
        <f>IF(ISNUMBER(outYear),DEH37+DEH42+#REF!+#REF!,"")</f>
        <v/>
      </c>
      <c r="DEI57" s="82" t="str">
        <f>IF(ISNUMBER(outYear),DEI37+DEI42+#REF!+#REF!,"")</f>
        <v/>
      </c>
      <c r="DEJ57" s="82" t="str">
        <f>IF(ISNUMBER(outYear),DEJ37+DEJ42+#REF!+#REF!,"")</f>
        <v/>
      </c>
      <c r="DEK57" s="82" t="str">
        <f>IF(ISNUMBER(outYear),DEK37+DEK42+#REF!+#REF!,"")</f>
        <v/>
      </c>
      <c r="DEL57" s="82" t="str">
        <f>IF(ISNUMBER(outYear),DEL37+DEL42+#REF!+#REF!,"")</f>
        <v/>
      </c>
      <c r="DEM57" s="82" t="str">
        <f>IF(ISNUMBER(outYear),DEM37+DEM42+#REF!+#REF!,"")</f>
        <v/>
      </c>
      <c r="DEN57" s="82" t="str">
        <f>IF(ISNUMBER(outYear),DEN37+DEN42+#REF!+#REF!,"")</f>
        <v/>
      </c>
      <c r="DEO57" s="82" t="str">
        <f>IF(ISNUMBER(outYear),DEO37+DEO42+#REF!+#REF!,"")</f>
        <v/>
      </c>
      <c r="DEP57" s="82" t="str">
        <f>IF(ISNUMBER(outYear),DEP37+DEP42+#REF!+#REF!,"")</f>
        <v/>
      </c>
      <c r="DEQ57" s="82" t="str">
        <f>IF(ISNUMBER(outYear),DEQ37+DEQ42+#REF!+#REF!,"")</f>
        <v/>
      </c>
      <c r="DER57" s="82" t="str">
        <f>IF(ISNUMBER(outYear),DER37+DER42+#REF!+#REF!,"")</f>
        <v/>
      </c>
      <c r="DES57" s="82" t="str">
        <f>IF(ISNUMBER(outYear),DES37+DES42+#REF!+#REF!,"")</f>
        <v/>
      </c>
      <c r="DET57" s="82" t="str">
        <f>IF(ISNUMBER(outYear),DET37+DET42+#REF!+#REF!,"")</f>
        <v/>
      </c>
      <c r="DEU57" s="82" t="str">
        <f>IF(ISNUMBER(outYear),DEU37+DEU42+#REF!+#REF!,"")</f>
        <v/>
      </c>
      <c r="DEV57" s="82" t="str">
        <f>IF(ISNUMBER(outYear),DEV37+DEV42+#REF!+#REF!,"")</f>
        <v/>
      </c>
      <c r="DEW57" s="82" t="str">
        <f>IF(ISNUMBER(outYear),DEW37+DEW42+#REF!+#REF!,"")</f>
        <v/>
      </c>
      <c r="DEX57" s="82" t="str">
        <f>IF(ISNUMBER(outYear),DEX37+DEX42+#REF!+#REF!,"")</f>
        <v/>
      </c>
      <c r="DEY57" s="82" t="str">
        <f>IF(ISNUMBER(outYear),DEY37+DEY42+#REF!+#REF!,"")</f>
        <v/>
      </c>
      <c r="DEZ57" s="82" t="str">
        <f>IF(ISNUMBER(outYear),DEZ37+DEZ42+#REF!+#REF!,"")</f>
        <v/>
      </c>
      <c r="DFA57" s="82" t="str">
        <f>IF(ISNUMBER(outYear),DFA37+DFA42+#REF!+#REF!,"")</f>
        <v/>
      </c>
      <c r="DFB57" s="82" t="str">
        <f>IF(ISNUMBER(outYear),DFB37+DFB42+#REF!+#REF!,"")</f>
        <v/>
      </c>
      <c r="DFC57" s="82" t="str">
        <f>IF(ISNUMBER(outYear),DFC37+DFC42+#REF!+#REF!,"")</f>
        <v/>
      </c>
      <c r="DFD57" s="82" t="str">
        <f>IF(ISNUMBER(outYear),DFD37+DFD42+#REF!+#REF!,"")</f>
        <v/>
      </c>
      <c r="DFE57" s="82" t="str">
        <f>IF(ISNUMBER(outYear),DFE37+DFE42+#REF!+#REF!,"")</f>
        <v/>
      </c>
      <c r="DFF57" s="82" t="str">
        <f>IF(ISNUMBER(outYear),DFF37+DFF42+#REF!+#REF!,"")</f>
        <v/>
      </c>
      <c r="DFG57" s="82" t="str">
        <f>IF(ISNUMBER(outYear),DFG37+DFG42+#REF!+#REF!,"")</f>
        <v/>
      </c>
      <c r="DFH57" s="82" t="str">
        <f>IF(ISNUMBER(outYear),DFH37+DFH42+#REF!+#REF!,"")</f>
        <v/>
      </c>
      <c r="DFI57" s="82" t="str">
        <f>IF(ISNUMBER(outYear),DFI37+DFI42+#REF!+#REF!,"")</f>
        <v/>
      </c>
      <c r="DFJ57" s="82" t="str">
        <f>IF(ISNUMBER(outYear),DFJ37+DFJ42+#REF!+#REF!,"")</f>
        <v/>
      </c>
      <c r="DFK57" s="82" t="str">
        <f>IF(ISNUMBER(outYear),DFK37+DFK42+#REF!+#REF!,"")</f>
        <v/>
      </c>
      <c r="DFL57" s="82" t="str">
        <f>IF(ISNUMBER(outYear),DFL37+DFL42+#REF!+#REF!,"")</f>
        <v/>
      </c>
      <c r="DFM57" s="82" t="str">
        <f>IF(ISNUMBER(outYear),DFM37+DFM42+#REF!+#REF!,"")</f>
        <v/>
      </c>
      <c r="DFN57" s="82" t="str">
        <f>IF(ISNUMBER(outYear),DFN37+DFN42+#REF!+#REF!,"")</f>
        <v/>
      </c>
      <c r="DFO57" s="82" t="str">
        <f>IF(ISNUMBER(outYear),DFO37+DFO42+#REF!+#REF!,"")</f>
        <v/>
      </c>
      <c r="DFP57" s="82" t="str">
        <f>IF(ISNUMBER(outYear),DFP37+DFP42+#REF!+#REF!,"")</f>
        <v/>
      </c>
      <c r="DFQ57" s="82" t="str">
        <f>IF(ISNUMBER(outYear),DFQ37+DFQ42+#REF!+#REF!,"")</f>
        <v/>
      </c>
      <c r="DFR57" s="82" t="str">
        <f>IF(ISNUMBER(outYear),DFR37+DFR42+#REF!+#REF!,"")</f>
        <v/>
      </c>
      <c r="DFS57" s="82" t="str">
        <f>IF(ISNUMBER(outYear),DFS37+DFS42+#REF!+#REF!,"")</f>
        <v/>
      </c>
      <c r="DFT57" s="82" t="str">
        <f>IF(ISNUMBER(outYear),DFT37+DFT42+#REF!+#REF!,"")</f>
        <v/>
      </c>
      <c r="DFU57" s="82" t="str">
        <f>IF(ISNUMBER(outYear),DFU37+DFU42+#REF!+#REF!,"")</f>
        <v/>
      </c>
      <c r="DFV57" s="82" t="str">
        <f>IF(ISNUMBER(outYear),DFV37+DFV42+#REF!+#REF!,"")</f>
        <v/>
      </c>
      <c r="DFW57" s="82" t="str">
        <f>IF(ISNUMBER(outYear),DFW37+DFW42+#REF!+#REF!,"")</f>
        <v/>
      </c>
      <c r="DFX57" s="82" t="str">
        <f>IF(ISNUMBER(outYear),DFX37+DFX42+#REF!+#REF!,"")</f>
        <v/>
      </c>
      <c r="DFY57" s="82" t="str">
        <f>IF(ISNUMBER(outYear),DFY37+DFY42+#REF!+#REF!,"")</f>
        <v/>
      </c>
      <c r="DFZ57" s="82" t="str">
        <f>IF(ISNUMBER(outYear),DFZ37+DFZ42+#REF!+#REF!,"")</f>
        <v/>
      </c>
      <c r="DGA57" s="82" t="str">
        <f>IF(ISNUMBER(outYear),DGA37+DGA42+#REF!+#REF!,"")</f>
        <v/>
      </c>
      <c r="DGB57" s="82" t="str">
        <f>IF(ISNUMBER(outYear),DGB37+DGB42+#REF!+#REF!,"")</f>
        <v/>
      </c>
      <c r="DGC57" s="82" t="str">
        <f>IF(ISNUMBER(outYear),DGC37+DGC42+#REF!+#REF!,"")</f>
        <v/>
      </c>
      <c r="DGD57" s="82" t="str">
        <f>IF(ISNUMBER(outYear),DGD37+DGD42+#REF!+#REF!,"")</f>
        <v/>
      </c>
      <c r="DGE57" s="82" t="str">
        <f>IF(ISNUMBER(outYear),DGE37+DGE42+#REF!+#REF!,"")</f>
        <v/>
      </c>
      <c r="DGF57" s="82" t="str">
        <f>IF(ISNUMBER(outYear),DGF37+DGF42+#REF!+#REF!,"")</f>
        <v/>
      </c>
      <c r="DGG57" s="82" t="str">
        <f>IF(ISNUMBER(outYear),DGG37+DGG42+#REF!+#REF!,"")</f>
        <v/>
      </c>
      <c r="DGH57" s="82" t="str">
        <f>IF(ISNUMBER(outYear),DGH37+DGH42+#REF!+#REF!,"")</f>
        <v/>
      </c>
      <c r="DGI57" s="82" t="str">
        <f>IF(ISNUMBER(outYear),DGI37+DGI42+#REF!+#REF!,"")</f>
        <v/>
      </c>
      <c r="DGJ57" s="82" t="str">
        <f>IF(ISNUMBER(outYear),DGJ37+DGJ42+#REF!+#REF!,"")</f>
        <v/>
      </c>
      <c r="DGK57" s="82" t="str">
        <f>IF(ISNUMBER(outYear),DGK37+DGK42+#REF!+#REF!,"")</f>
        <v/>
      </c>
      <c r="DGL57" s="82" t="str">
        <f>IF(ISNUMBER(outYear),DGL37+DGL42+#REF!+#REF!,"")</f>
        <v/>
      </c>
      <c r="DGM57" s="82" t="str">
        <f>IF(ISNUMBER(outYear),DGM37+DGM42+#REF!+#REF!,"")</f>
        <v/>
      </c>
      <c r="DGN57" s="82" t="str">
        <f>IF(ISNUMBER(outYear),DGN37+DGN42+#REF!+#REF!,"")</f>
        <v/>
      </c>
      <c r="DGO57" s="82" t="str">
        <f>IF(ISNUMBER(outYear),DGO37+DGO42+#REF!+#REF!,"")</f>
        <v/>
      </c>
      <c r="DGP57" s="82" t="str">
        <f>IF(ISNUMBER(outYear),DGP37+DGP42+#REF!+#REF!,"")</f>
        <v/>
      </c>
      <c r="DGQ57" s="82" t="str">
        <f>IF(ISNUMBER(outYear),DGQ37+DGQ42+#REF!+#REF!,"")</f>
        <v/>
      </c>
      <c r="DGR57" s="82" t="str">
        <f>IF(ISNUMBER(outYear),DGR37+DGR42+#REF!+#REF!,"")</f>
        <v/>
      </c>
      <c r="DGS57" s="82" t="str">
        <f>IF(ISNUMBER(outYear),DGS37+DGS42+#REF!+#REF!,"")</f>
        <v/>
      </c>
      <c r="DGT57" s="82" t="str">
        <f>IF(ISNUMBER(outYear),DGT37+DGT42+#REF!+#REF!,"")</f>
        <v/>
      </c>
      <c r="DGU57" s="82" t="str">
        <f>IF(ISNUMBER(outYear),DGU37+DGU42+#REF!+#REF!,"")</f>
        <v/>
      </c>
      <c r="DGV57" s="82" t="str">
        <f>IF(ISNUMBER(outYear),DGV37+DGV42+#REF!+#REF!,"")</f>
        <v/>
      </c>
      <c r="DGW57" s="82" t="str">
        <f>IF(ISNUMBER(outYear),DGW37+DGW42+#REF!+#REF!,"")</f>
        <v/>
      </c>
      <c r="DGX57" s="82" t="str">
        <f>IF(ISNUMBER(outYear),DGX37+DGX42+#REF!+#REF!,"")</f>
        <v/>
      </c>
      <c r="DGY57" s="82" t="str">
        <f>IF(ISNUMBER(outYear),DGY37+DGY42+#REF!+#REF!,"")</f>
        <v/>
      </c>
      <c r="DGZ57" s="82" t="str">
        <f>IF(ISNUMBER(outYear),DGZ37+DGZ42+#REF!+#REF!,"")</f>
        <v/>
      </c>
      <c r="DHA57" s="82" t="str">
        <f>IF(ISNUMBER(outYear),DHA37+DHA42+#REF!+#REF!,"")</f>
        <v/>
      </c>
      <c r="DHB57" s="82" t="str">
        <f>IF(ISNUMBER(outYear),DHB37+DHB42+#REF!+#REF!,"")</f>
        <v/>
      </c>
      <c r="DHC57" s="82" t="str">
        <f>IF(ISNUMBER(outYear),DHC37+DHC42+#REF!+#REF!,"")</f>
        <v/>
      </c>
      <c r="DHD57" s="82" t="str">
        <f>IF(ISNUMBER(outYear),DHD37+DHD42+#REF!+#REF!,"")</f>
        <v/>
      </c>
      <c r="DHE57" s="82" t="str">
        <f>IF(ISNUMBER(outYear),DHE37+DHE42+#REF!+#REF!,"")</f>
        <v/>
      </c>
      <c r="DHF57" s="82" t="str">
        <f>IF(ISNUMBER(outYear),DHF37+DHF42+#REF!+#REF!,"")</f>
        <v/>
      </c>
      <c r="DHG57" s="82" t="str">
        <f>IF(ISNUMBER(outYear),DHG37+DHG42+#REF!+#REF!,"")</f>
        <v/>
      </c>
      <c r="DHH57" s="82" t="str">
        <f>IF(ISNUMBER(outYear),DHH37+DHH42+#REF!+#REF!,"")</f>
        <v/>
      </c>
      <c r="DHI57" s="82" t="str">
        <f>IF(ISNUMBER(outYear),DHI37+DHI42+#REF!+#REF!,"")</f>
        <v/>
      </c>
      <c r="DHJ57" s="82" t="str">
        <f>IF(ISNUMBER(outYear),DHJ37+DHJ42+#REF!+#REF!,"")</f>
        <v/>
      </c>
      <c r="DHK57" s="82" t="str">
        <f>IF(ISNUMBER(outYear),DHK37+DHK42+#REF!+#REF!,"")</f>
        <v/>
      </c>
      <c r="DHL57" s="82" t="str">
        <f>IF(ISNUMBER(outYear),DHL37+DHL42+#REF!+#REF!,"")</f>
        <v/>
      </c>
      <c r="DHM57" s="82" t="str">
        <f>IF(ISNUMBER(outYear),DHM37+DHM42+#REF!+#REF!,"")</f>
        <v/>
      </c>
      <c r="DHN57" s="82" t="str">
        <f>IF(ISNUMBER(outYear),DHN37+DHN42+#REF!+#REF!,"")</f>
        <v/>
      </c>
      <c r="DHO57" s="82" t="str">
        <f>IF(ISNUMBER(outYear),DHO37+DHO42+#REF!+#REF!,"")</f>
        <v/>
      </c>
      <c r="DHP57" s="82" t="str">
        <f>IF(ISNUMBER(outYear),DHP37+DHP42+#REF!+#REF!,"")</f>
        <v/>
      </c>
      <c r="DHQ57" s="82" t="str">
        <f>IF(ISNUMBER(outYear),DHQ37+DHQ42+#REF!+#REF!,"")</f>
        <v/>
      </c>
      <c r="DHR57" s="82" t="str">
        <f>IF(ISNUMBER(outYear),DHR37+DHR42+#REF!+#REF!,"")</f>
        <v/>
      </c>
      <c r="DHS57" s="82" t="str">
        <f>IF(ISNUMBER(outYear),DHS37+DHS42+#REF!+#REF!,"")</f>
        <v/>
      </c>
      <c r="DHT57" s="82" t="str">
        <f>IF(ISNUMBER(outYear),DHT37+DHT42+#REF!+#REF!,"")</f>
        <v/>
      </c>
      <c r="DHU57" s="82" t="str">
        <f>IF(ISNUMBER(outYear),DHU37+DHU42+#REF!+#REF!,"")</f>
        <v/>
      </c>
      <c r="DHV57" s="82" t="str">
        <f>IF(ISNUMBER(outYear),DHV37+DHV42+#REF!+#REF!,"")</f>
        <v/>
      </c>
      <c r="DHW57" s="82" t="str">
        <f>IF(ISNUMBER(outYear),DHW37+DHW42+#REF!+#REF!,"")</f>
        <v/>
      </c>
      <c r="DHX57" s="82" t="str">
        <f>IF(ISNUMBER(outYear),DHX37+DHX42+#REF!+#REF!,"")</f>
        <v/>
      </c>
      <c r="DHY57" s="82" t="str">
        <f>IF(ISNUMBER(outYear),DHY37+DHY42+#REF!+#REF!,"")</f>
        <v/>
      </c>
      <c r="DHZ57" s="82" t="str">
        <f>IF(ISNUMBER(outYear),DHZ37+DHZ42+#REF!+#REF!,"")</f>
        <v/>
      </c>
      <c r="DIA57" s="82" t="str">
        <f>IF(ISNUMBER(outYear),DIA37+DIA42+#REF!+#REF!,"")</f>
        <v/>
      </c>
      <c r="DIB57" s="82" t="str">
        <f>IF(ISNUMBER(outYear),DIB37+DIB42+#REF!+#REF!,"")</f>
        <v/>
      </c>
      <c r="DIC57" s="82" t="str">
        <f>IF(ISNUMBER(outYear),DIC37+DIC42+#REF!+#REF!,"")</f>
        <v/>
      </c>
      <c r="DID57" s="82" t="str">
        <f>IF(ISNUMBER(outYear),DID37+DID42+#REF!+#REF!,"")</f>
        <v/>
      </c>
      <c r="DIE57" s="82" t="str">
        <f>IF(ISNUMBER(outYear),DIE37+DIE42+#REF!+#REF!,"")</f>
        <v/>
      </c>
      <c r="DIF57" s="82" t="str">
        <f>IF(ISNUMBER(outYear),DIF37+DIF42+#REF!+#REF!,"")</f>
        <v/>
      </c>
      <c r="DIG57" s="82" t="str">
        <f>IF(ISNUMBER(outYear),DIG37+DIG42+#REF!+#REF!,"")</f>
        <v/>
      </c>
      <c r="DIH57" s="82" t="str">
        <f>IF(ISNUMBER(outYear),DIH37+DIH42+#REF!+#REF!,"")</f>
        <v/>
      </c>
      <c r="DII57" s="82" t="str">
        <f>IF(ISNUMBER(outYear),DII37+DII42+#REF!+#REF!,"")</f>
        <v/>
      </c>
      <c r="DIJ57" s="82" t="str">
        <f>IF(ISNUMBER(outYear),DIJ37+DIJ42+#REF!+#REF!,"")</f>
        <v/>
      </c>
      <c r="DIK57" s="82" t="str">
        <f>IF(ISNUMBER(outYear),DIK37+DIK42+#REF!+#REF!,"")</f>
        <v/>
      </c>
      <c r="DIL57" s="82" t="str">
        <f>IF(ISNUMBER(outYear),DIL37+DIL42+#REF!+#REF!,"")</f>
        <v/>
      </c>
      <c r="DIM57" s="82" t="str">
        <f>IF(ISNUMBER(outYear),DIM37+DIM42+#REF!+#REF!,"")</f>
        <v/>
      </c>
      <c r="DIN57" s="82" t="str">
        <f>IF(ISNUMBER(outYear),DIN37+DIN42+#REF!+#REF!,"")</f>
        <v/>
      </c>
      <c r="DIO57" s="82" t="str">
        <f>IF(ISNUMBER(outYear),DIO37+DIO42+#REF!+#REF!,"")</f>
        <v/>
      </c>
      <c r="DIP57" s="82" t="str">
        <f>IF(ISNUMBER(outYear),DIP37+DIP42+#REF!+#REF!,"")</f>
        <v/>
      </c>
      <c r="DIQ57" s="82" t="str">
        <f>IF(ISNUMBER(outYear),DIQ37+DIQ42+#REF!+#REF!,"")</f>
        <v/>
      </c>
      <c r="DIR57" s="82" t="str">
        <f>IF(ISNUMBER(outYear),DIR37+DIR42+#REF!+#REF!,"")</f>
        <v/>
      </c>
      <c r="DIS57" s="82" t="str">
        <f>IF(ISNUMBER(outYear),DIS37+DIS42+#REF!+#REF!,"")</f>
        <v/>
      </c>
      <c r="DIT57" s="82" t="str">
        <f>IF(ISNUMBER(outYear),DIT37+DIT42+#REF!+#REF!,"")</f>
        <v/>
      </c>
      <c r="DIU57" s="82" t="str">
        <f>IF(ISNUMBER(outYear),DIU37+DIU42+#REF!+#REF!,"")</f>
        <v/>
      </c>
      <c r="DIV57" s="82" t="str">
        <f>IF(ISNUMBER(outYear),DIV37+DIV42+#REF!+#REF!,"")</f>
        <v/>
      </c>
      <c r="DIW57" s="82" t="str">
        <f>IF(ISNUMBER(outYear),DIW37+DIW42+#REF!+#REF!,"")</f>
        <v/>
      </c>
      <c r="DIX57" s="82" t="str">
        <f>IF(ISNUMBER(outYear),DIX37+DIX42+#REF!+#REF!,"")</f>
        <v/>
      </c>
      <c r="DIY57" s="82" t="str">
        <f>IF(ISNUMBER(outYear),DIY37+DIY42+#REF!+#REF!,"")</f>
        <v/>
      </c>
      <c r="DIZ57" s="82" t="str">
        <f>IF(ISNUMBER(outYear),DIZ37+DIZ42+#REF!+#REF!,"")</f>
        <v/>
      </c>
      <c r="DJA57" s="82" t="str">
        <f>IF(ISNUMBER(outYear),DJA37+DJA42+#REF!+#REF!,"")</f>
        <v/>
      </c>
      <c r="DJB57" s="82" t="str">
        <f>IF(ISNUMBER(outYear),DJB37+DJB42+#REF!+#REF!,"")</f>
        <v/>
      </c>
      <c r="DJC57" s="82" t="str">
        <f>IF(ISNUMBER(outYear),DJC37+DJC42+#REF!+#REF!,"")</f>
        <v/>
      </c>
      <c r="DJD57" s="82" t="str">
        <f>IF(ISNUMBER(outYear),DJD37+DJD42+#REF!+#REF!,"")</f>
        <v/>
      </c>
      <c r="DJE57" s="82" t="str">
        <f>IF(ISNUMBER(outYear),DJE37+DJE42+#REF!+#REF!,"")</f>
        <v/>
      </c>
      <c r="DJF57" s="82" t="str">
        <f>IF(ISNUMBER(outYear),DJF37+DJF42+#REF!+#REF!,"")</f>
        <v/>
      </c>
      <c r="DJG57" s="82" t="str">
        <f>IF(ISNUMBER(outYear),DJG37+DJG42+#REF!+#REF!,"")</f>
        <v/>
      </c>
      <c r="DJH57" s="82" t="str">
        <f>IF(ISNUMBER(outYear),DJH37+DJH42+#REF!+#REF!,"")</f>
        <v/>
      </c>
      <c r="DJI57" s="82" t="str">
        <f>IF(ISNUMBER(outYear),DJI37+DJI42+#REF!+#REF!,"")</f>
        <v/>
      </c>
      <c r="DJJ57" s="82" t="str">
        <f>IF(ISNUMBER(outYear),DJJ37+DJJ42+#REF!+#REF!,"")</f>
        <v/>
      </c>
      <c r="DJK57" s="82" t="str">
        <f>IF(ISNUMBER(outYear),DJK37+DJK42+#REF!+#REF!,"")</f>
        <v/>
      </c>
      <c r="DJL57" s="82" t="str">
        <f>IF(ISNUMBER(outYear),DJL37+DJL42+#REF!+#REF!,"")</f>
        <v/>
      </c>
      <c r="DJM57" s="82" t="str">
        <f>IF(ISNUMBER(outYear),DJM37+DJM42+#REF!+#REF!,"")</f>
        <v/>
      </c>
      <c r="DJN57" s="82" t="str">
        <f>IF(ISNUMBER(outYear),DJN37+DJN42+#REF!+#REF!,"")</f>
        <v/>
      </c>
      <c r="DJO57" s="82" t="str">
        <f>IF(ISNUMBER(outYear),DJO37+DJO42+#REF!+#REF!,"")</f>
        <v/>
      </c>
      <c r="DJP57" s="82" t="str">
        <f>IF(ISNUMBER(outYear),DJP37+DJP42+#REF!+#REF!,"")</f>
        <v/>
      </c>
      <c r="DJQ57" s="82" t="str">
        <f>IF(ISNUMBER(outYear),DJQ37+DJQ42+#REF!+#REF!,"")</f>
        <v/>
      </c>
      <c r="DJR57" s="82" t="str">
        <f>IF(ISNUMBER(outYear),DJR37+DJR42+#REF!+#REF!,"")</f>
        <v/>
      </c>
      <c r="DJS57" s="82" t="str">
        <f>IF(ISNUMBER(outYear),DJS37+DJS42+#REF!+#REF!,"")</f>
        <v/>
      </c>
      <c r="DJT57" s="82" t="str">
        <f>IF(ISNUMBER(outYear),DJT37+DJT42+#REF!+#REF!,"")</f>
        <v/>
      </c>
      <c r="DJU57" s="82" t="str">
        <f>IF(ISNUMBER(outYear),DJU37+DJU42+#REF!+#REF!,"")</f>
        <v/>
      </c>
      <c r="DJV57" s="82" t="str">
        <f>IF(ISNUMBER(outYear),DJV37+DJV42+#REF!+#REF!,"")</f>
        <v/>
      </c>
      <c r="DJW57" s="82" t="str">
        <f>IF(ISNUMBER(outYear),DJW37+DJW42+#REF!+#REF!,"")</f>
        <v/>
      </c>
      <c r="DJX57" s="82" t="str">
        <f>IF(ISNUMBER(outYear),DJX37+DJX42+#REF!+#REF!,"")</f>
        <v/>
      </c>
      <c r="DJY57" s="82" t="str">
        <f>IF(ISNUMBER(outYear),DJY37+DJY42+#REF!+#REF!,"")</f>
        <v/>
      </c>
      <c r="DJZ57" s="82" t="str">
        <f>IF(ISNUMBER(outYear),DJZ37+DJZ42+#REF!+#REF!,"")</f>
        <v/>
      </c>
      <c r="DKA57" s="82" t="str">
        <f>IF(ISNUMBER(outYear),DKA37+DKA42+#REF!+#REF!,"")</f>
        <v/>
      </c>
      <c r="DKB57" s="82" t="str">
        <f>IF(ISNUMBER(outYear),DKB37+DKB42+#REF!+#REF!,"")</f>
        <v/>
      </c>
      <c r="DKC57" s="82" t="str">
        <f>IF(ISNUMBER(outYear),DKC37+DKC42+#REF!+#REF!,"")</f>
        <v/>
      </c>
      <c r="DKD57" s="82" t="str">
        <f>IF(ISNUMBER(outYear),DKD37+DKD42+#REF!+#REF!,"")</f>
        <v/>
      </c>
      <c r="DKE57" s="82" t="str">
        <f>IF(ISNUMBER(outYear),DKE37+DKE42+#REF!+#REF!,"")</f>
        <v/>
      </c>
      <c r="DKF57" s="82" t="str">
        <f>IF(ISNUMBER(outYear),DKF37+DKF42+#REF!+#REF!,"")</f>
        <v/>
      </c>
      <c r="DKG57" s="82" t="str">
        <f>IF(ISNUMBER(outYear),DKG37+DKG42+#REF!+#REF!,"")</f>
        <v/>
      </c>
      <c r="DKH57" s="82" t="str">
        <f>IF(ISNUMBER(outYear),DKH37+DKH42+#REF!+#REF!,"")</f>
        <v/>
      </c>
      <c r="DKI57" s="82" t="str">
        <f>IF(ISNUMBER(outYear),DKI37+DKI42+#REF!+#REF!,"")</f>
        <v/>
      </c>
      <c r="DKJ57" s="82" t="str">
        <f>IF(ISNUMBER(outYear),DKJ37+DKJ42+#REF!+#REF!,"")</f>
        <v/>
      </c>
      <c r="DKK57" s="82" t="str">
        <f>IF(ISNUMBER(outYear),DKK37+DKK42+#REF!+#REF!,"")</f>
        <v/>
      </c>
      <c r="DKL57" s="82" t="str">
        <f>IF(ISNUMBER(outYear),DKL37+DKL42+#REF!+#REF!,"")</f>
        <v/>
      </c>
      <c r="DKM57" s="82" t="str">
        <f>IF(ISNUMBER(outYear),DKM37+DKM42+#REF!+#REF!,"")</f>
        <v/>
      </c>
      <c r="DKN57" s="82" t="str">
        <f>IF(ISNUMBER(outYear),DKN37+DKN42+#REF!+#REF!,"")</f>
        <v/>
      </c>
      <c r="DKO57" s="82" t="str">
        <f>IF(ISNUMBER(outYear),DKO37+DKO42+#REF!+#REF!,"")</f>
        <v/>
      </c>
      <c r="DKP57" s="82" t="str">
        <f>IF(ISNUMBER(outYear),DKP37+DKP42+#REF!+#REF!,"")</f>
        <v/>
      </c>
      <c r="DKQ57" s="82" t="str">
        <f>IF(ISNUMBER(outYear),DKQ37+DKQ42+#REF!+#REF!,"")</f>
        <v/>
      </c>
      <c r="DKR57" s="82" t="str">
        <f>IF(ISNUMBER(outYear),DKR37+DKR42+#REF!+#REF!,"")</f>
        <v/>
      </c>
      <c r="DKS57" s="82" t="str">
        <f>IF(ISNUMBER(outYear),DKS37+DKS42+#REF!+#REF!,"")</f>
        <v/>
      </c>
      <c r="DKT57" s="82" t="str">
        <f>IF(ISNUMBER(outYear),DKT37+DKT42+#REF!+#REF!,"")</f>
        <v/>
      </c>
      <c r="DKU57" s="82" t="str">
        <f>IF(ISNUMBER(outYear),DKU37+DKU42+#REF!+#REF!,"")</f>
        <v/>
      </c>
      <c r="DKV57" s="82" t="str">
        <f>IF(ISNUMBER(outYear),DKV37+DKV42+#REF!+#REF!,"")</f>
        <v/>
      </c>
      <c r="DKW57" s="82" t="str">
        <f>IF(ISNUMBER(outYear),DKW37+DKW42+#REF!+#REF!,"")</f>
        <v/>
      </c>
      <c r="DKX57" s="82" t="str">
        <f>IF(ISNUMBER(outYear),DKX37+DKX42+#REF!+#REF!,"")</f>
        <v/>
      </c>
      <c r="DKY57" s="82" t="str">
        <f>IF(ISNUMBER(outYear),DKY37+DKY42+#REF!+#REF!,"")</f>
        <v/>
      </c>
      <c r="DKZ57" s="82" t="str">
        <f>IF(ISNUMBER(outYear),DKZ37+DKZ42+#REF!+#REF!,"")</f>
        <v/>
      </c>
      <c r="DLA57" s="82" t="str">
        <f>IF(ISNUMBER(outYear),DLA37+DLA42+#REF!+#REF!,"")</f>
        <v/>
      </c>
      <c r="DLB57" s="82" t="str">
        <f>IF(ISNUMBER(outYear),DLB37+DLB42+#REF!+#REF!,"")</f>
        <v/>
      </c>
      <c r="DLC57" s="82" t="str">
        <f>IF(ISNUMBER(outYear),DLC37+DLC42+#REF!+#REF!,"")</f>
        <v/>
      </c>
      <c r="DLD57" s="82" t="str">
        <f>IF(ISNUMBER(outYear),DLD37+DLD42+#REF!+#REF!,"")</f>
        <v/>
      </c>
      <c r="DLE57" s="82" t="str">
        <f>IF(ISNUMBER(outYear),DLE37+DLE42+#REF!+#REF!,"")</f>
        <v/>
      </c>
      <c r="DLF57" s="82" t="str">
        <f>IF(ISNUMBER(outYear),DLF37+DLF42+#REF!+#REF!,"")</f>
        <v/>
      </c>
      <c r="DLG57" s="82" t="str">
        <f>IF(ISNUMBER(outYear),DLG37+DLG42+#REF!+#REF!,"")</f>
        <v/>
      </c>
      <c r="DLH57" s="82" t="str">
        <f>IF(ISNUMBER(outYear),DLH37+DLH42+#REF!+#REF!,"")</f>
        <v/>
      </c>
      <c r="DLI57" s="82" t="str">
        <f>IF(ISNUMBER(outYear),DLI37+DLI42+#REF!+#REF!,"")</f>
        <v/>
      </c>
      <c r="DLJ57" s="82" t="str">
        <f>IF(ISNUMBER(outYear),DLJ37+DLJ42+#REF!+#REF!,"")</f>
        <v/>
      </c>
      <c r="DLK57" s="82" t="str">
        <f>IF(ISNUMBER(outYear),DLK37+DLK42+#REF!+#REF!,"")</f>
        <v/>
      </c>
      <c r="DLL57" s="82" t="str">
        <f>IF(ISNUMBER(outYear),DLL37+DLL42+#REF!+#REF!,"")</f>
        <v/>
      </c>
      <c r="DLM57" s="82" t="str">
        <f>IF(ISNUMBER(outYear),DLM37+DLM42+#REF!+#REF!,"")</f>
        <v/>
      </c>
      <c r="DLN57" s="82" t="str">
        <f>IF(ISNUMBER(outYear),DLN37+DLN42+#REF!+#REF!,"")</f>
        <v/>
      </c>
      <c r="DLO57" s="82" t="str">
        <f>IF(ISNUMBER(outYear),DLO37+DLO42+#REF!+#REF!,"")</f>
        <v/>
      </c>
      <c r="DLP57" s="82" t="str">
        <f>IF(ISNUMBER(outYear),DLP37+DLP42+#REF!+#REF!,"")</f>
        <v/>
      </c>
      <c r="DLQ57" s="82" t="str">
        <f>IF(ISNUMBER(outYear),DLQ37+DLQ42+#REF!+#REF!,"")</f>
        <v/>
      </c>
      <c r="DLR57" s="82" t="str">
        <f>IF(ISNUMBER(outYear),DLR37+DLR42+#REF!+#REF!,"")</f>
        <v/>
      </c>
      <c r="DLS57" s="82" t="str">
        <f>IF(ISNUMBER(outYear),DLS37+DLS42+#REF!+#REF!,"")</f>
        <v/>
      </c>
      <c r="DLT57" s="82" t="str">
        <f>IF(ISNUMBER(outYear),DLT37+DLT42+#REF!+#REF!,"")</f>
        <v/>
      </c>
      <c r="DLU57" s="82" t="str">
        <f>IF(ISNUMBER(outYear),DLU37+DLU42+#REF!+#REF!,"")</f>
        <v/>
      </c>
      <c r="DLV57" s="82" t="str">
        <f>IF(ISNUMBER(outYear),DLV37+DLV42+#REF!+#REF!,"")</f>
        <v/>
      </c>
      <c r="DLW57" s="82" t="str">
        <f>IF(ISNUMBER(outYear),DLW37+DLW42+#REF!+#REF!,"")</f>
        <v/>
      </c>
      <c r="DLX57" s="82" t="str">
        <f>IF(ISNUMBER(outYear),DLX37+DLX42+#REF!+#REF!,"")</f>
        <v/>
      </c>
      <c r="DLY57" s="82" t="str">
        <f>IF(ISNUMBER(outYear),DLY37+DLY42+#REF!+#REF!,"")</f>
        <v/>
      </c>
      <c r="DLZ57" s="82" t="str">
        <f>IF(ISNUMBER(outYear),DLZ37+DLZ42+#REF!+#REF!,"")</f>
        <v/>
      </c>
      <c r="DMA57" s="82" t="str">
        <f>IF(ISNUMBER(outYear),DMA37+DMA42+#REF!+#REF!,"")</f>
        <v/>
      </c>
      <c r="DMB57" s="82" t="str">
        <f>IF(ISNUMBER(outYear),DMB37+DMB42+#REF!+#REF!,"")</f>
        <v/>
      </c>
      <c r="DMC57" s="82" t="str">
        <f>IF(ISNUMBER(outYear),DMC37+DMC42+#REF!+#REF!,"")</f>
        <v/>
      </c>
      <c r="DMD57" s="82" t="str">
        <f>IF(ISNUMBER(outYear),DMD37+DMD42+#REF!+#REF!,"")</f>
        <v/>
      </c>
      <c r="DME57" s="82" t="str">
        <f>IF(ISNUMBER(outYear),DME37+DME42+#REF!+#REF!,"")</f>
        <v/>
      </c>
      <c r="DMF57" s="82" t="str">
        <f>IF(ISNUMBER(outYear),DMF37+DMF42+#REF!+#REF!,"")</f>
        <v/>
      </c>
      <c r="DMG57" s="82" t="str">
        <f>IF(ISNUMBER(outYear),DMG37+DMG42+#REF!+#REF!,"")</f>
        <v/>
      </c>
      <c r="DMH57" s="82" t="str">
        <f>IF(ISNUMBER(outYear),DMH37+DMH42+#REF!+#REF!,"")</f>
        <v/>
      </c>
      <c r="DMI57" s="82" t="str">
        <f>IF(ISNUMBER(outYear),DMI37+DMI42+#REF!+#REF!,"")</f>
        <v/>
      </c>
      <c r="DMJ57" s="82" t="str">
        <f>IF(ISNUMBER(outYear),DMJ37+DMJ42+#REF!+#REF!,"")</f>
        <v/>
      </c>
      <c r="DMK57" s="82" t="str">
        <f>IF(ISNUMBER(outYear),DMK37+DMK42+#REF!+#REF!,"")</f>
        <v/>
      </c>
      <c r="DML57" s="82" t="str">
        <f>IF(ISNUMBER(outYear),DML37+DML42+#REF!+#REF!,"")</f>
        <v/>
      </c>
      <c r="DMM57" s="82" t="str">
        <f>IF(ISNUMBER(outYear),DMM37+DMM42+#REF!+#REF!,"")</f>
        <v/>
      </c>
      <c r="DMN57" s="82" t="str">
        <f>IF(ISNUMBER(outYear),DMN37+DMN42+#REF!+#REF!,"")</f>
        <v/>
      </c>
      <c r="DMO57" s="82" t="str">
        <f>IF(ISNUMBER(outYear),DMO37+DMO42+#REF!+#REF!,"")</f>
        <v/>
      </c>
      <c r="DMP57" s="82" t="str">
        <f>IF(ISNUMBER(outYear),DMP37+DMP42+#REF!+#REF!,"")</f>
        <v/>
      </c>
      <c r="DMQ57" s="82" t="str">
        <f>IF(ISNUMBER(outYear),DMQ37+DMQ42+#REF!+#REF!,"")</f>
        <v/>
      </c>
      <c r="DMR57" s="82" t="str">
        <f>IF(ISNUMBER(outYear),DMR37+DMR42+#REF!+#REF!,"")</f>
        <v/>
      </c>
      <c r="DMS57" s="82" t="str">
        <f>IF(ISNUMBER(outYear),DMS37+DMS42+#REF!+#REF!,"")</f>
        <v/>
      </c>
      <c r="DMT57" s="82" t="str">
        <f>IF(ISNUMBER(outYear),DMT37+DMT42+#REF!+#REF!,"")</f>
        <v/>
      </c>
      <c r="DMU57" s="82" t="str">
        <f>IF(ISNUMBER(outYear),DMU37+DMU42+#REF!+#REF!,"")</f>
        <v/>
      </c>
      <c r="DMV57" s="82" t="str">
        <f>IF(ISNUMBER(outYear),DMV37+DMV42+#REF!+#REF!,"")</f>
        <v/>
      </c>
      <c r="DMW57" s="82" t="str">
        <f>IF(ISNUMBER(outYear),DMW37+DMW42+#REF!+#REF!,"")</f>
        <v/>
      </c>
      <c r="DMX57" s="82" t="str">
        <f>IF(ISNUMBER(outYear),DMX37+DMX42+#REF!+#REF!,"")</f>
        <v/>
      </c>
      <c r="DMY57" s="82" t="str">
        <f>IF(ISNUMBER(outYear),DMY37+DMY42+#REF!+#REF!,"")</f>
        <v/>
      </c>
      <c r="DMZ57" s="82" t="str">
        <f>IF(ISNUMBER(outYear),DMZ37+DMZ42+#REF!+#REF!,"")</f>
        <v/>
      </c>
      <c r="DNA57" s="82" t="str">
        <f>IF(ISNUMBER(outYear),DNA37+DNA42+#REF!+#REF!,"")</f>
        <v/>
      </c>
      <c r="DNB57" s="82" t="str">
        <f>IF(ISNUMBER(outYear),DNB37+DNB42+#REF!+#REF!,"")</f>
        <v/>
      </c>
      <c r="DNC57" s="82" t="str">
        <f>IF(ISNUMBER(outYear),DNC37+DNC42+#REF!+#REF!,"")</f>
        <v/>
      </c>
      <c r="DND57" s="82" t="str">
        <f>IF(ISNUMBER(outYear),DND37+DND42+#REF!+#REF!,"")</f>
        <v/>
      </c>
      <c r="DNE57" s="82" t="str">
        <f>IF(ISNUMBER(outYear),DNE37+DNE42+#REF!+#REF!,"")</f>
        <v/>
      </c>
      <c r="DNF57" s="82" t="str">
        <f>IF(ISNUMBER(outYear),DNF37+DNF42+#REF!+#REF!,"")</f>
        <v/>
      </c>
      <c r="DNG57" s="82" t="str">
        <f>IF(ISNUMBER(outYear),DNG37+DNG42+#REF!+#REF!,"")</f>
        <v/>
      </c>
      <c r="DNH57" s="82" t="str">
        <f>IF(ISNUMBER(outYear),DNH37+DNH42+#REF!+#REF!,"")</f>
        <v/>
      </c>
      <c r="DNI57" s="82" t="str">
        <f>IF(ISNUMBER(outYear),DNI37+DNI42+#REF!+#REF!,"")</f>
        <v/>
      </c>
      <c r="DNJ57" s="82" t="str">
        <f>IF(ISNUMBER(outYear),DNJ37+DNJ42+#REF!+#REF!,"")</f>
        <v/>
      </c>
      <c r="DNK57" s="82" t="str">
        <f>IF(ISNUMBER(outYear),DNK37+DNK42+#REF!+#REF!,"")</f>
        <v/>
      </c>
      <c r="DNL57" s="82" t="str">
        <f>IF(ISNUMBER(outYear),DNL37+DNL42+#REF!+#REF!,"")</f>
        <v/>
      </c>
      <c r="DNM57" s="82" t="str">
        <f>IF(ISNUMBER(outYear),DNM37+DNM42+#REF!+#REF!,"")</f>
        <v/>
      </c>
      <c r="DNN57" s="82" t="str">
        <f>IF(ISNUMBER(outYear),DNN37+DNN42+#REF!+#REF!,"")</f>
        <v/>
      </c>
      <c r="DNO57" s="82" t="str">
        <f>IF(ISNUMBER(outYear),DNO37+DNO42+#REF!+#REF!,"")</f>
        <v/>
      </c>
      <c r="DNP57" s="82" t="str">
        <f>IF(ISNUMBER(outYear),DNP37+DNP42+#REF!+#REF!,"")</f>
        <v/>
      </c>
      <c r="DNQ57" s="82" t="str">
        <f>IF(ISNUMBER(outYear),DNQ37+DNQ42+#REF!+#REF!,"")</f>
        <v/>
      </c>
      <c r="DNR57" s="82" t="str">
        <f>IF(ISNUMBER(outYear),DNR37+DNR42+#REF!+#REF!,"")</f>
        <v/>
      </c>
      <c r="DNS57" s="82" t="str">
        <f>IF(ISNUMBER(outYear),DNS37+DNS42+#REF!+#REF!,"")</f>
        <v/>
      </c>
      <c r="DNT57" s="82" t="str">
        <f>IF(ISNUMBER(outYear),DNT37+DNT42+#REF!+#REF!,"")</f>
        <v/>
      </c>
      <c r="DNU57" s="82" t="str">
        <f>IF(ISNUMBER(outYear),DNU37+DNU42+#REF!+#REF!,"")</f>
        <v/>
      </c>
      <c r="DNV57" s="82" t="str">
        <f>IF(ISNUMBER(outYear),DNV37+DNV42+#REF!+#REF!,"")</f>
        <v/>
      </c>
      <c r="DNW57" s="82" t="str">
        <f>IF(ISNUMBER(outYear),DNW37+DNW42+#REF!+#REF!,"")</f>
        <v/>
      </c>
      <c r="DNX57" s="82" t="str">
        <f>IF(ISNUMBER(outYear),DNX37+DNX42+#REF!+#REF!,"")</f>
        <v/>
      </c>
      <c r="DNY57" s="82" t="str">
        <f>IF(ISNUMBER(outYear),DNY37+DNY42+#REF!+#REF!,"")</f>
        <v/>
      </c>
      <c r="DNZ57" s="82" t="str">
        <f>IF(ISNUMBER(outYear),DNZ37+DNZ42+#REF!+#REF!,"")</f>
        <v/>
      </c>
      <c r="DOA57" s="82" t="str">
        <f>IF(ISNUMBER(outYear),DOA37+DOA42+#REF!+#REF!,"")</f>
        <v/>
      </c>
      <c r="DOB57" s="82" t="str">
        <f>IF(ISNUMBER(outYear),DOB37+DOB42+#REF!+#REF!,"")</f>
        <v/>
      </c>
      <c r="DOC57" s="82" t="str">
        <f>IF(ISNUMBER(outYear),DOC37+DOC42+#REF!+#REF!,"")</f>
        <v/>
      </c>
      <c r="DOD57" s="82" t="str">
        <f>IF(ISNUMBER(outYear),DOD37+DOD42+#REF!+#REF!,"")</f>
        <v/>
      </c>
      <c r="DOE57" s="82" t="str">
        <f>IF(ISNUMBER(outYear),DOE37+DOE42+#REF!+#REF!,"")</f>
        <v/>
      </c>
      <c r="DOF57" s="82" t="str">
        <f>IF(ISNUMBER(outYear),DOF37+DOF42+#REF!+#REF!,"")</f>
        <v/>
      </c>
      <c r="DOG57" s="82" t="str">
        <f>IF(ISNUMBER(outYear),DOG37+DOG42+#REF!+#REF!,"")</f>
        <v/>
      </c>
      <c r="DOH57" s="82" t="str">
        <f>IF(ISNUMBER(outYear),DOH37+DOH42+#REF!+#REF!,"")</f>
        <v/>
      </c>
      <c r="DOI57" s="82" t="str">
        <f>IF(ISNUMBER(outYear),DOI37+DOI42+#REF!+#REF!,"")</f>
        <v/>
      </c>
      <c r="DOJ57" s="82" t="str">
        <f>IF(ISNUMBER(outYear),DOJ37+DOJ42+#REF!+#REF!,"")</f>
        <v/>
      </c>
      <c r="DOK57" s="82" t="str">
        <f>IF(ISNUMBER(outYear),DOK37+DOK42+#REF!+#REF!,"")</f>
        <v/>
      </c>
      <c r="DOL57" s="82" t="str">
        <f>IF(ISNUMBER(outYear),DOL37+DOL42+#REF!+#REF!,"")</f>
        <v/>
      </c>
      <c r="DOM57" s="82" t="str">
        <f>IF(ISNUMBER(outYear),DOM37+DOM42+#REF!+#REF!,"")</f>
        <v/>
      </c>
      <c r="DON57" s="82" t="str">
        <f>IF(ISNUMBER(outYear),DON37+DON42+#REF!+#REF!,"")</f>
        <v/>
      </c>
      <c r="DOO57" s="82" t="str">
        <f>IF(ISNUMBER(outYear),DOO37+DOO42+#REF!+#REF!,"")</f>
        <v/>
      </c>
      <c r="DOP57" s="82" t="str">
        <f>IF(ISNUMBER(outYear),DOP37+DOP42+#REF!+#REF!,"")</f>
        <v/>
      </c>
      <c r="DOQ57" s="82" t="str">
        <f>IF(ISNUMBER(outYear),DOQ37+DOQ42+#REF!+#REF!,"")</f>
        <v/>
      </c>
      <c r="DOR57" s="82" t="str">
        <f>IF(ISNUMBER(outYear),DOR37+DOR42+#REF!+#REF!,"")</f>
        <v/>
      </c>
      <c r="DOS57" s="82" t="str">
        <f>IF(ISNUMBER(outYear),DOS37+DOS42+#REF!+#REF!,"")</f>
        <v/>
      </c>
      <c r="DOT57" s="82" t="str">
        <f>IF(ISNUMBER(outYear),DOT37+DOT42+#REF!+#REF!,"")</f>
        <v/>
      </c>
      <c r="DOU57" s="82" t="str">
        <f>IF(ISNUMBER(outYear),DOU37+DOU42+#REF!+#REF!,"")</f>
        <v/>
      </c>
      <c r="DOV57" s="82" t="str">
        <f>IF(ISNUMBER(outYear),DOV37+DOV42+#REF!+#REF!,"")</f>
        <v/>
      </c>
      <c r="DOW57" s="82" t="str">
        <f>IF(ISNUMBER(outYear),DOW37+DOW42+#REF!+#REF!,"")</f>
        <v/>
      </c>
      <c r="DOX57" s="82" t="str">
        <f>IF(ISNUMBER(outYear),DOX37+DOX42+#REF!+#REF!,"")</f>
        <v/>
      </c>
      <c r="DOY57" s="82" t="str">
        <f>IF(ISNUMBER(outYear),DOY37+DOY42+#REF!+#REF!,"")</f>
        <v/>
      </c>
      <c r="DOZ57" s="82" t="str">
        <f>IF(ISNUMBER(outYear),DOZ37+DOZ42+#REF!+#REF!,"")</f>
        <v/>
      </c>
      <c r="DPA57" s="82" t="str">
        <f>IF(ISNUMBER(outYear),DPA37+DPA42+#REF!+#REF!,"")</f>
        <v/>
      </c>
      <c r="DPB57" s="82" t="str">
        <f>IF(ISNUMBER(outYear),DPB37+DPB42+#REF!+#REF!,"")</f>
        <v/>
      </c>
      <c r="DPC57" s="82" t="str">
        <f>IF(ISNUMBER(outYear),DPC37+DPC42+#REF!+#REF!,"")</f>
        <v/>
      </c>
      <c r="DPD57" s="82" t="str">
        <f>IF(ISNUMBER(outYear),DPD37+DPD42+#REF!+#REF!,"")</f>
        <v/>
      </c>
      <c r="DPE57" s="82" t="str">
        <f>IF(ISNUMBER(outYear),DPE37+DPE42+#REF!+#REF!,"")</f>
        <v/>
      </c>
      <c r="DPF57" s="82" t="str">
        <f>IF(ISNUMBER(outYear),DPF37+DPF42+#REF!+#REF!,"")</f>
        <v/>
      </c>
      <c r="DPG57" s="82" t="str">
        <f>IF(ISNUMBER(outYear),DPG37+DPG42+#REF!+#REF!,"")</f>
        <v/>
      </c>
      <c r="DPH57" s="82" t="str">
        <f>IF(ISNUMBER(outYear),DPH37+DPH42+#REF!+#REF!,"")</f>
        <v/>
      </c>
      <c r="DPI57" s="82" t="str">
        <f>IF(ISNUMBER(outYear),DPI37+DPI42+#REF!+#REF!,"")</f>
        <v/>
      </c>
      <c r="DPJ57" s="82" t="str">
        <f>IF(ISNUMBER(outYear),DPJ37+DPJ42+#REF!+#REF!,"")</f>
        <v/>
      </c>
      <c r="DPK57" s="82" t="str">
        <f>IF(ISNUMBER(outYear),DPK37+DPK42+#REF!+#REF!,"")</f>
        <v/>
      </c>
      <c r="DPL57" s="82" t="str">
        <f>IF(ISNUMBER(outYear),DPL37+DPL42+#REF!+#REF!,"")</f>
        <v/>
      </c>
      <c r="DPM57" s="82" t="str">
        <f>IF(ISNUMBER(outYear),DPM37+DPM42+#REF!+#REF!,"")</f>
        <v/>
      </c>
      <c r="DPN57" s="82" t="str">
        <f>IF(ISNUMBER(outYear),DPN37+DPN42+#REF!+#REF!,"")</f>
        <v/>
      </c>
      <c r="DPO57" s="82" t="str">
        <f>IF(ISNUMBER(outYear),DPO37+DPO42+#REF!+#REF!,"")</f>
        <v/>
      </c>
      <c r="DPP57" s="82" t="str">
        <f>IF(ISNUMBER(outYear),DPP37+DPP42+#REF!+#REF!,"")</f>
        <v/>
      </c>
      <c r="DPQ57" s="82" t="str">
        <f>IF(ISNUMBER(outYear),DPQ37+DPQ42+#REF!+#REF!,"")</f>
        <v/>
      </c>
      <c r="DPR57" s="82" t="str">
        <f>IF(ISNUMBER(outYear),DPR37+DPR42+#REF!+#REF!,"")</f>
        <v/>
      </c>
      <c r="DPS57" s="82" t="str">
        <f>IF(ISNUMBER(outYear),DPS37+DPS42+#REF!+#REF!,"")</f>
        <v/>
      </c>
      <c r="DPT57" s="82" t="str">
        <f>IF(ISNUMBER(outYear),DPT37+DPT42+#REF!+#REF!,"")</f>
        <v/>
      </c>
      <c r="DPU57" s="82" t="str">
        <f>IF(ISNUMBER(outYear),DPU37+DPU42+#REF!+#REF!,"")</f>
        <v/>
      </c>
      <c r="DPV57" s="82" t="str">
        <f>IF(ISNUMBER(outYear),DPV37+DPV42+#REF!+#REF!,"")</f>
        <v/>
      </c>
      <c r="DPW57" s="82" t="str">
        <f>IF(ISNUMBER(outYear),DPW37+DPW42+#REF!+#REF!,"")</f>
        <v/>
      </c>
      <c r="DPX57" s="82" t="str">
        <f>IF(ISNUMBER(outYear),DPX37+DPX42+#REF!+#REF!,"")</f>
        <v/>
      </c>
      <c r="DPY57" s="82" t="str">
        <f>IF(ISNUMBER(outYear),DPY37+DPY42+#REF!+#REF!,"")</f>
        <v/>
      </c>
      <c r="DPZ57" s="82" t="str">
        <f>IF(ISNUMBER(outYear),DPZ37+DPZ42+#REF!+#REF!,"")</f>
        <v/>
      </c>
      <c r="DQA57" s="82" t="str">
        <f>IF(ISNUMBER(outYear),DQA37+DQA42+#REF!+#REF!,"")</f>
        <v/>
      </c>
      <c r="DQB57" s="82" t="str">
        <f>IF(ISNUMBER(outYear),DQB37+DQB42+#REF!+#REF!,"")</f>
        <v/>
      </c>
      <c r="DQC57" s="82" t="str">
        <f>IF(ISNUMBER(outYear),DQC37+DQC42+#REF!+#REF!,"")</f>
        <v/>
      </c>
      <c r="DQD57" s="82" t="str">
        <f>IF(ISNUMBER(outYear),DQD37+DQD42+#REF!+#REF!,"")</f>
        <v/>
      </c>
      <c r="DQE57" s="82" t="str">
        <f>IF(ISNUMBER(outYear),DQE37+DQE42+#REF!+#REF!,"")</f>
        <v/>
      </c>
      <c r="DQF57" s="82" t="str">
        <f>IF(ISNUMBER(outYear),DQF37+DQF42+#REF!+#REF!,"")</f>
        <v/>
      </c>
      <c r="DQG57" s="82" t="str">
        <f>IF(ISNUMBER(outYear),DQG37+DQG42+#REF!+#REF!,"")</f>
        <v/>
      </c>
      <c r="DQH57" s="82" t="str">
        <f>IF(ISNUMBER(outYear),DQH37+DQH42+#REF!+#REF!,"")</f>
        <v/>
      </c>
      <c r="DQI57" s="82" t="str">
        <f>IF(ISNUMBER(outYear),DQI37+DQI42+#REF!+#REF!,"")</f>
        <v/>
      </c>
      <c r="DQJ57" s="82" t="str">
        <f>IF(ISNUMBER(outYear),DQJ37+DQJ42+#REF!+#REF!,"")</f>
        <v/>
      </c>
      <c r="DQK57" s="82" t="str">
        <f>IF(ISNUMBER(outYear),DQK37+DQK42+#REF!+#REF!,"")</f>
        <v/>
      </c>
      <c r="DQL57" s="82" t="str">
        <f>IF(ISNUMBER(outYear),DQL37+DQL42+#REF!+#REF!,"")</f>
        <v/>
      </c>
      <c r="DQM57" s="82" t="str">
        <f>IF(ISNUMBER(outYear),DQM37+DQM42+#REF!+#REF!,"")</f>
        <v/>
      </c>
      <c r="DQN57" s="82" t="str">
        <f>IF(ISNUMBER(outYear),DQN37+DQN42+#REF!+#REF!,"")</f>
        <v/>
      </c>
      <c r="DQO57" s="82" t="str">
        <f>IF(ISNUMBER(outYear),DQO37+DQO42+#REF!+#REF!,"")</f>
        <v/>
      </c>
      <c r="DQP57" s="82" t="str">
        <f>IF(ISNUMBER(outYear),DQP37+DQP42+#REF!+#REF!,"")</f>
        <v/>
      </c>
      <c r="DQQ57" s="82" t="str">
        <f>IF(ISNUMBER(outYear),DQQ37+DQQ42+#REF!+#REF!,"")</f>
        <v/>
      </c>
      <c r="DQR57" s="82" t="str">
        <f>IF(ISNUMBER(outYear),DQR37+DQR42+#REF!+#REF!,"")</f>
        <v/>
      </c>
      <c r="DQS57" s="82" t="str">
        <f>IF(ISNUMBER(outYear),DQS37+DQS42+#REF!+#REF!,"")</f>
        <v/>
      </c>
      <c r="DQT57" s="82" t="str">
        <f>IF(ISNUMBER(outYear),DQT37+DQT42+#REF!+#REF!,"")</f>
        <v/>
      </c>
      <c r="DQU57" s="82" t="str">
        <f>IF(ISNUMBER(outYear),DQU37+DQU42+#REF!+#REF!,"")</f>
        <v/>
      </c>
      <c r="DQV57" s="82" t="str">
        <f>IF(ISNUMBER(outYear),DQV37+DQV42+#REF!+#REF!,"")</f>
        <v/>
      </c>
      <c r="DQW57" s="82" t="str">
        <f>IF(ISNUMBER(outYear),DQW37+DQW42+#REF!+#REF!,"")</f>
        <v/>
      </c>
      <c r="DQX57" s="82" t="str">
        <f>IF(ISNUMBER(outYear),DQX37+DQX42+#REF!+#REF!,"")</f>
        <v/>
      </c>
      <c r="DQY57" s="82" t="str">
        <f>IF(ISNUMBER(outYear),DQY37+DQY42+#REF!+#REF!,"")</f>
        <v/>
      </c>
      <c r="DQZ57" s="82" t="str">
        <f>IF(ISNUMBER(outYear),DQZ37+DQZ42+#REF!+#REF!,"")</f>
        <v/>
      </c>
      <c r="DRA57" s="82" t="str">
        <f>IF(ISNUMBER(outYear),DRA37+DRA42+#REF!+#REF!,"")</f>
        <v/>
      </c>
      <c r="DRB57" s="82" t="str">
        <f>IF(ISNUMBER(outYear),DRB37+DRB42+#REF!+#REF!,"")</f>
        <v/>
      </c>
      <c r="DRC57" s="82" t="str">
        <f>IF(ISNUMBER(outYear),DRC37+DRC42+#REF!+#REF!,"")</f>
        <v/>
      </c>
      <c r="DRD57" s="82" t="str">
        <f>IF(ISNUMBER(outYear),DRD37+DRD42+#REF!+#REF!,"")</f>
        <v/>
      </c>
      <c r="DRE57" s="82" t="str">
        <f>IF(ISNUMBER(outYear),DRE37+DRE42+#REF!+#REF!,"")</f>
        <v/>
      </c>
      <c r="DRF57" s="82" t="str">
        <f>IF(ISNUMBER(outYear),DRF37+DRF42+#REF!+#REF!,"")</f>
        <v/>
      </c>
      <c r="DRG57" s="82" t="str">
        <f>IF(ISNUMBER(outYear),DRG37+DRG42+#REF!+#REF!,"")</f>
        <v/>
      </c>
      <c r="DRH57" s="82" t="str">
        <f>IF(ISNUMBER(outYear),DRH37+DRH42+#REF!+#REF!,"")</f>
        <v/>
      </c>
      <c r="DRI57" s="82" t="str">
        <f>IF(ISNUMBER(outYear),DRI37+DRI42+#REF!+#REF!,"")</f>
        <v/>
      </c>
      <c r="DRJ57" s="82" t="str">
        <f>IF(ISNUMBER(outYear),DRJ37+DRJ42+#REF!+#REF!,"")</f>
        <v/>
      </c>
      <c r="DRK57" s="82" t="str">
        <f>IF(ISNUMBER(outYear),DRK37+DRK42+#REF!+#REF!,"")</f>
        <v/>
      </c>
      <c r="DRL57" s="82" t="str">
        <f>IF(ISNUMBER(outYear),DRL37+DRL42+#REF!+#REF!,"")</f>
        <v/>
      </c>
      <c r="DRM57" s="82" t="str">
        <f>IF(ISNUMBER(outYear),DRM37+DRM42+#REF!+#REF!,"")</f>
        <v/>
      </c>
      <c r="DRN57" s="82" t="str">
        <f>IF(ISNUMBER(outYear),DRN37+DRN42+#REF!+#REF!,"")</f>
        <v/>
      </c>
      <c r="DRO57" s="82" t="str">
        <f>IF(ISNUMBER(outYear),DRO37+DRO42+#REF!+#REF!,"")</f>
        <v/>
      </c>
      <c r="DRP57" s="82" t="str">
        <f>IF(ISNUMBER(outYear),DRP37+DRP42+#REF!+#REF!,"")</f>
        <v/>
      </c>
      <c r="DRQ57" s="82" t="str">
        <f>IF(ISNUMBER(outYear),DRQ37+DRQ42+#REF!+#REF!,"")</f>
        <v/>
      </c>
      <c r="DRR57" s="82" t="str">
        <f>IF(ISNUMBER(outYear),DRR37+DRR42+#REF!+#REF!,"")</f>
        <v/>
      </c>
      <c r="DRS57" s="82" t="str">
        <f>IF(ISNUMBER(outYear),DRS37+DRS42+#REF!+#REF!,"")</f>
        <v/>
      </c>
      <c r="DRT57" s="82" t="str">
        <f>IF(ISNUMBER(outYear),DRT37+DRT42+#REF!+#REF!,"")</f>
        <v/>
      </c>
      <c r="DRU57" s="82" t="str">
        <f>IF(ISNUMBER(outYear),DRU37+DRU42+#REF!+#REF!,"")</f>
        <v/>
      </c>
      <c r="DRV57" s="82" t="str">
        <f>IF(ISNUMBER(outYear),DRV37+DRV42+#REF!+#REF!,"")</f>
        <v/>
      </c>
      <c r="DRW57" s="82" t="str">
        <f>IF(ISNUMBER(outYear),DRW37+DRW42+#REF!+#REF!,"")</f>
        <v/>
      </c>
      <c r="DRX57" s="82" t="str">
        <f>IF(ISNUMBER(outYear),DRX37+DRX42+#REF!+#REF!,"")</f>
        <v/>
      </c>
      <c r="DRY57" s="82" t="str">
        <f>IF(ISNUMBER(outYear),DRY37+DRY42+#REF!+#REF!,"")</f>
        <v/>
      </c>
      <c r="DRZ57" s="82" t="str">
        <f>IF(ISNUMBER(outYear),DRZ37+DRZ42+#REF!+#REF!,"")</f>
        <v/>
      </c>
      <c r="DSA57" s="82" t="str">
        <f>IF(ISNUMBER(outYear),DSA37+DSA42+#REF!+#REF!,"")</f>
        <v/>
      </c>
      <c r="DSB57" s="82" t="str">
        <f>IF(ISNUMBER(outYear),DSB37+DSB42+#REF!+#REF!,"")</f>
        <v/>
      </c>
      <c r="DSC57" s="82" t="str">
        <f>IF(ISNUMBER(outYear),DSC37+DSC42+#REF!+#REF!,"")</f>
        <v/>
      </c>
      <c r="DSD57" s="82" t="str">
        <f>IF(ISNUMBER(outYear),DSD37+DSD42+#REF!+#REF!,"")</f>
        <v/>
      </c>
      <c r="DSE57" s="82" t="str">
        <f>IF(ISNUMBER(outYear),DSE37+DSE42+#REF!+#REF!,"")</f>
        <v/>
      </c>
      <c r="DSF57" s="82" t="str">
        <f>IF(ISNUMBER(outYear),DSF37+DSF42+#REF!+#REF!,"")</f>
        <v/>
      </c>
      <c r="DSG57" s="82" t="str">
        <f>IF(ISNUMBER(outYear),DSG37+DSG42+#REF!+#REF!,"")</f>
        <v/>
      </c>
      <c r="DSH57" s="82" t="str">
        <f>IF(ISNUMBER(outYear),DSH37+DSH42+#REF!+#REF!,"")</f>
        <v/>
      </c>
      <c r="DSI57" s="82" t="str">
        <f>IF(ISNUMBER(outYear),DSI37+DSI42+#REF!+#REF!,"")</f>
        <v/>
      </c>
      <c r="DSJ57" s="82" t="str">
        <f>IF(ISNUMBER(outYear),DSJ37+DSJ42+#REF!+#REF!,"")</f>
        <v/>
      </c>
      <c r="DSK57" s="82" t="str">
        <f>IF(ISNUMBER(outYear),DSK37+DSK42+#REF!+#REF!,"")</f>
        <v/>
      </c>
      <c r="DSL57" s="82" t="str">
        <f>IF(ISNUMBER(outYear),DSL37+DSL42+#REF!+#REF!,"")</f>
        <v/>
      </c>
      <c r="DSM57" s="82" t="str">
        <f>IF(ISNUMBER(outYear),DSM37+DSM42+#REF!+#REF!,"")</f>
        <v/>
      </c>
      <c r="DSN57" s="82" t="str">
        <f>IF(ISNUMBER(outYear),DSN37+DSN42+#REF!+#REF!,"")</f>
        <v/>
      </c>
      <c r="DSO57" s="82" t="str">
        <f>IF(ISNUMBER(outYear),DSO37+DSO42+#REF!+#REF!,"")</f>
        <v/>
      </c>
      <c r="DSP57" s="82" t="str">
        <f>IF(ISNUMBER(outYear),DSP37+DSP42+#REF!+#REF!,"")</f>
        <v/>
      </c>
      <c r="DSQ57" s="82" t="str">
        <f>IF(ISNUMBER(outYear),DSQ37+DSQ42+#REF!+#REF!,"")</f>
        <v/>
      </c>
      <c r="DSR57" s="82" t="str">
        <f>IF(ISNUMBER(outYear),DSR37+DSR42+#REF!+#REF!,"")</f>
        <v/>
      </c>
      <c r="DSS57" s="82" t="str">
        <f>IF(ISNUMBER(outYear),DSS37+DSS42+#REF!+#REF!,"")</f>
        <v/>
      </c>
      <c r="DST57" s="82" t="str">
        <f>IF(ISNUMBER(outYear),DST37+DST42+#REF!+#REF!,"")</f>
        <v/>
      </c>
      <c r="DSU57" s="82" t="str">
        <f>IF(ISNUMBER(outYear),DSU37+DSU42+#REF!+#REF!,"")</f>
        <v/>
      </c>
      <c r="DSV57" s="82" t="str">
        <f>IF(ISNUMBER(outYear),DSV37+DSV42+#REF!+#REF!,"")</f>
        <v/>
      </c>
      <c r="DSW57" s="82" t="str">
        <f>IF(ISNUMBER(outYear),DSW37+DSW42+#REF!+#REF!,"")</f>
        <v/>
      </c>
      <c r="DSX57" s="82" t="str">
        <f>IF(ISNUMBER(outYear),DSX37+DSX42+#REF!+#REF!,"")</f>
        <v/>
      </c>
      <c r="DSY57" s="82" t="str">
        <f>IF(ISNUMBER(outYear),DSY37+DSY42+#REF!+#REF!,"")</f>
        <v/>
      </c>
      <c r="DSZ57" s="82" t="str">
        <f>IF(ISNUMBER(outYear),DSZ37+DSZ42+#REF!+#REF!,"")</f>
        <v/>
      </c>
      <c r="DTA57" s="82" t="str">
        <f>IF(ISNUMBER(outYear),DTA37+DTA42+#REF!+#REF!,"")</f>
        <v/>
      </c>
      <c r="DTB57" s="82" t="str">
        <f>IF(ISNUMBER(outYear),DTB37+DTB42+#REF!+#REF!,"")</f>
        <v/>
      </c>
      <c r="DTC57" s="82" t="str">
        <f>IF(ISNUMBER(outYear),DTC37+DTC42+#REF!+#REF!,"")</f>
        <v/>
      </c>
      <c r="DTD57" s="82" t="str">
        <f>IF(ISNUMBER(outYear),DTD37+DTD42+#REF!+#REF!,"")</f>
        <v/>
      </c>
      <c r="DTE57" s="82" t="str">
        <f>IF(ISNUMBER(outYear),DTE37+DTE42+#REF!+#REF!,"")</f>
        <v/>
      </c>
      <c r="DTF57" s="82" t="str">
        <f>IF(ISNUMBER(outYear),DTF37+DTF42+#REF!+#REF!,"")</f>
        <v/>
      </c>
      <c r="DTG57" s="82" t="str">
        <f>IF(ISNUMBER(outYear),DTG37+DTG42+#REF!+#REF!,"")</f>
        <v/>
      </c>
      <c r="DTH57" s="82" t="str">
        <f>IF(ISNUMBER(outYear),DTH37+DTH42+#REF!+#REF!,"")</f>
        <v/>
      </c>
      <c r="DTI57" s="82" t="str">
        <f>IF(ISNUMBER(outYear),DTI37+DTI42+#REF!+#REF!,"")</f>
        <v/>
      </c>
      <c r="DTJ57" s="82" t="str">
        <f>IF(ISNUMBER(outYear),DTJ37+DTJ42+#REF!+#REF!,"")</f>
        <v/>
      </c>
      <c r="DTK57" s="82" t="str">
        <f>IF(ISNUMBER(outYear),DTK37+DTK42+#REF!+#REF!,"")</f>
        <v/>
      </c>
      <c r="DTL57" s="82" t="str">
        <f>IF(ISNUMBER(outYear),DTL37+DTL42+#REF!+#REF!,"")</f>
        <v/>
      </c>
      <c r="DTM57" s="82" t="str">
        <f>IF(ISNUMBER(outYear),DTM37+DTM42+#REF!+#REF!,"")</f>
        <v/>
      </c>
      <c r="DTN57" s="82" t="str">
        <f>IF(ISNUMBER(outYear),DTN37+DTN42+#REF!+#REF!,"")</f>
        <v/>
      </c>
      <c r="DTO57" s="82" t="str">
        <f>IF(ISNUMBER(outYear),DTO37+DTO42+#REF!+#REF!,"")</f>
        <v/>
      </c>
      <c r="DTP57" s="82" t="str">
        <f>IF(ISNUMBER(outYear),DTP37+DTP42+#REF!+#REF!,"")</f>
        <v/>
      </c>
      <c r="DTQ57" s="82" t="str">
        <f>IF(ISNUMBER(outYear),DTQ37+DTQ42+#REF!+#REF!,"")</f>
        <v/>
      </c>
      <c r="DTR57" s="82" t="str">
        <f>IF(ISNUMBER(outYear),DTR37+DTR42+#REF!+#REF!,"")</f>
        <v/>
      </c>
      <c r="DTS57" s="82" t="str">
        <f>IF(ISNUMBER(outYear),DTS37+DTS42+#REF!+#REF!,"")</f>
        <v/>
      </c>
      <c r="DTT57" s="82" t="str">
        <f>IF(ISNUMBER(outYear),DTT37+DTT42+#REF!+#REF!,"")</f>
        <v/>
      </c>
      <c r="DTU57" s="82" t="str">
        <f>IF(ISNUMBER(outYear),DTU37+DTU42+#REF!+#REF!,"")</f>
        <v/>
      </c>
      <c r="DTV57" s="82" t="str">
        <f>IF(ISNUMBER(outYear),DTV37+DTV42+#REF!+#REF!,"")</f>
        <v/>
      </c>
      <c r="DTW57" s="82" t="str">
        <f>IF(ISNUMBER(outYear),DTW37+DTW42+#REF!+#REF!,"")</f>
        <v/>
      </c>
      <c r="DTX57" s="82" t="str">
        <f>IF(ISNUMBER(outYear),DTX37+DTX42+#REF!+#REF!,"")</f>
        <v/>
      </c>
      <c r="DTY57" s="82" t="str">
        <f>IF(ISNUMBER(outYear),DTY37+DTY42+#REF!+#REF!,"")</f>
        <v/>
      </c>
      <c r="DTZ57" s="82" t="str">
        <f>IF(ISNUMBER(outYear),DTZ37+DTZ42+#REF!+#REF!,"")</f>
        <v/>
      </c>
      <c r="DUA57" s="82" t="str">
        <f>IF(ISNUMBER(outYear),DUA37+DUA42+#REF!+#REF!,"")</f>
        <v/>
      </c>
      <c r="DUB57" s="82" t="str">
        <f>IF(ISNUMBER(outYear),DUB37+DUB42+#REF!+#REF!,"")</f>
        <v/>
      </c>
      <c r="DUC57" s="82" t="str">
        <f>IF(ISNUMBER(outYear),DUC37+DUC42+#REF!+#REF!,"")</f>
        <v/>
      </c>
      <c r="DUD57" s="82" t="str">
        <f>IF(ISNUMBER(outYear),DUD37+DUD42+#REF!+#REF!,"")</f>
        <v/>
      </c>
      <c r="DUE57" s="82" t="str">
        <f>IF(ISNUMBER(outYear),DUE37+DUE42+#REF!+#REF!,"")</f>
        <v/>
      </c>
      <c r="DUF57" s="82" t="str">
        <f>IF(ISNUMBER(outYear),DUF37+DUF42+#REF!+#REF!,"")</f>
        <v/>
      </c>
      <c r="DUG57" s="82" t="str">
        <f>IF(ISNUMBER(outYear),DUG37+DUG42+#REF!+#REF!,"")</f>
        <v/>
      </c>
      <c r="DUH57" s="82" t="str">
        <f>IF(ISNUMBER(outYear),DUH37+DUH42+#REF!+#REF!,"")</f>
        <v/>
      </c>
      <c r="DUI57" s="82" t="str">
        <f>IF(ISNUMBER(outYear),DUI37+DUI42+#REF!+#REF!,"")</f>
        <v/>
      </c>
      <c r="DUJ57" s="82" t="str">
        <f>IF(ISNUMBER(outYear),DUJ37+DUJ42+#REF!+#REF!,"")</f>
        <v/>
      </c>
      <c r="DUK57" s="82" t="str">
        <f>IF(ISNUMBER(outYear),DUK37+DUK42+#REF!+#REF!,"")</f>
        <v/>
      </c>
      <c r="DUL57" s="82" t="str">
        <f>IF(ISNUMBER(outYear),DUL37+DUL42+#REF!+#REF!,"")</f>
        <v/>
      </c>
      <c r="DUM57" s="82" t="str">
        <f>IF(ISNUMBER(outYear),DUM37+DUM42+#REF!+#REF!,"")</f>
        <v/>
      </c>
      <c r="DUN57" s="82" t="str">
        <f>IF(ISNUMBER(outYear),DUN37+DUN42+#REF!+#REF!,"")</f>
        <v/>
      </c>
      <c r="DUO57" s="82" t="str">
        <f>IF(ISNUMBER(outYear),DUO37+DUO42+#REF!+#REF!,"")</f>
        <v/>
      </c>
      <c r="DUP57" s="82" t="str">
        <f>IF(ISNUMBER(outYear),DUP37+DUP42+#REF!+#REF!,"")</f>
        <v/>
      </c>
      <c r="DUQ57" s="82" t="str">
        <f>IF(ISNUMBER(outYear),DUQ37+DUQ42+#REF!+#REF!,"")</f>
        <v/>
      </c>
      <c r="DUR57" s="82" t="str">
        <f>IF(ISNUMBER(outYear),DUR37+DUR42+#REF!+#REF!,"")</f>
        <v/>
      </c>
      <c r="DUS57" s="82" t="str">
        <f>IF(ISNUMBER(outYear),DUS37+DUS42+#REF!+#REF!,"")</f>
        <v/>
      </c>
      <c r="DUT57" s="82" t="str">
        <f>IF(ISNUMBER(outYear),DUT37+DUT42+#REF!+#REF!,"")</f>
        <v/>
      </c>
      <c r="DUU57" s="82" t="str">
        <f>IF(ISNUMBER(outYear),DUU37+DUU42+#REF!+#REF!,"")</f>
        <v/>
      </c>
      <c r="DUV57" s="82" t="str">
        <f>IF(ISNUMBER(outYear),DUV37+DUV42+#REF!+#REF!,"")</f>
        <v/>
      </c>
      <c r="DUW57" s="82" t="str">
        <f>IF(ISNUMBER(outYear),DUW37+DUW42+#REF!+#REF!,"")</f>
        <v/>
      </c>
      <c r="DUX57" s="82" t="str">
        <f>IF(ISNUMBER(outYear),DUX37+DUX42+#REF!+#REF!,"")</f>
        <v/>
      </c>
      <c r="DUY57" s="82" t="str">
        <f>IF(ISNUMBER(outYear),DUY37+DUY42+#REF!+#REF!,"")</f>
        <v/>
      </c>
      <c r="DUZ57" s="82" t="str">
        <f>IF(ISNUMBER(outYear),DUZ37+DUZ42+#REF!+#REF!,"")</f>
        <v/>
      </c>
      <c r="DVA57" s="82" t="str">
        <f>IF(ISNUMBER(outYear),DVA37+DVA42+#REF!+#REF!,"")</f>
        <v/>
      </c>
      <c r="DVB57" s="82" t="str">
        <f>IF(ISNUMBER(outYear),DVB37+DVB42+#REF!+#REF!,"")</f>
        <v/>
      </c>
      <c r="DVC57" s="82" t="str">
        <f>IF(ISNUMBER(outYear),DVC37+DVC42+#REF!+#REF!,"")</f>
        <v/>
      </c>
      <c r="DVD57" s="82" t="str">
        <f>IF(ISNUMBER(outYear),DVD37+DVD42+#REF!+#REF!,"")</f>
        <v/>
      </c>
      <c r="DVE57" s="82" t="str">
        <f>IF(ISNUMBER(outYear),DVE37+DVE42+#REF!+#REF!,"")</f>
        <v/>
      </c>
      <c r="DVF57" s="82" t="str">
        <f>IF(ISNUMBER(outYear),DVF37+DVF42+#REF!+#REF!,"")</f>
        <v/>
      </c>
      <c r="DVG57" s="82" t="str">
        <f>IF(ISNUMBER(outYear),DVG37+DVG42+#REF!+#REF!,"")</f>
        <v/>
      </c>
      <c r="DVH57" s="82" t="str">
        <f>IF(ISNUMBER(outYear),DVH37+DVH42+#REF!+#REF!,"")</f>
        <v/>
      </c>
      <c r="DVI57" s="82" t="str">
        <f>IF(ISNUMBER(outYear),DVI37+DVI42+#REF!+#REF!,"")</f>
        <v/>
      </c>
      <c r="DVJ57" s="82" t="str">
        <f>IF(ISNUMBER(outYear),DVJ37+DVJ42+#REF!+#REF!,"")</f>
        <v/>
      </c>
      <c r="DVK57" s="82" t="str">
        <f>IF(ISNUMBER(outYear),DVK37+DVK42+#REF!+#REF!,"")</f>
        <v/>
      </c>
      <c r="DVL57" s="82" t="str">
        <f>IF(ISNUMBER(outYear),DVL37+DVL42+#REF!+#REF!,"")</f>
        <v/>
      </c>
      <c r="DVM57" s="82" t="str">
        <f>IF(ISNUMBER(outYear),DVM37+DVM42+#REF!+#REF!,"")</f>
        <v/>
      </c>
      <c r="DVN57" s="82" t="str">
        <f>IF(ISNUMBER(outYear),DVN37+DVN42+#REF!+#REF!,"")</f>
        <v/>
      </c>
      <c r="DVO57" s="82" t="str">
        <f>IF(ISNUMBER(outYear),DVO37+DVO42+#REF!+#REF!,"")</f>
        <v/>
      </c>
      <c r="DVP57" s="82" t="str">
        <f>IF(ISNUMBER(outYear),DVP37+DVP42+#REF!+#REF!,"")</f>
        <v/>
      </c>
      <c r="DVQ57" s="82" t="str">
        <f>IF(ISNUMBER(outYear),DVQ37+DVQ42+#REF!+#REF!,"")</f>
        <v/>
      </c>
      <c r="DVR57" s="82" t="str">
        <f>IF(ISNUMBER(outYear),DVR37+DVR42+#REF!+#REF!,"")</f>
        <v/>
      </c>
      <c r="DVS57" s="82" t="str">
        <f>IF(ISNUMBER(outYear),DVS37+DVS42+#REF!+#REF!,"")</f>
        <v/>
      </c>
      <c r="DVT57" s="82" t="str">
        <f>IF(ISNUMBER(outYear),DVT37+DVT42+#REF!+#REF!,"")</f>
        <v/>
      </c>
      <c r="DVU57" s="82" t="str">
        <f>IF(ISNUMBER(outYear),DVU37+DVU42+#REF!+#REF!,"")</f>
        <v/>
      </c>
      <c r="DVV57" s="82" t="str">
        <f>IF(ISNUMBER(outYear),DVV37+DVV42+#REF!+#REF!,"")</f>
        <v/>
      </c>
      <c r="DVW57" s="82" t="str">
        <f>IF(ISNUMBER(outYear),DVW37+DVW42+#REF!+#REF!,"")</f>
        <v/>
      </c>
      <c r="DVX57" s="82" t="str">
        <f>IF(ISNUMBER(outYear),DVX37+DVX42+#REF!+#REF!,"")</f>
        <v/>
      </c>
      <c r="DVY57" s="82" t="str">
        <f>IF(ISNUMBER(outYear),DVY37+DVY42+#REF!+#REF!,"")</f>
        <v/>
      </c>
      <c r="DVZ57" s="82" t="str">
        <f>IF(ISNUMBER(outYear),DVZ37+DVZ42+#REF!+#REF!,"")</f>
        <v/>
      </c>
      <c r="DWA57" s="82" t="str">
        <f>IF(ISNUMBER(outYear),DWA37+DWA42+#REF!+#REF!,"")</f>
        <v/>
      </c>
      <c r="DWB57" s="82" t="str">
        <f>IF(ISNUMBER(outYear),DWB37+DWB42+#REF!+#REF!,"")</f>
        <v/>
      </c>
      <c r="DWC57" s="82" t="str">
        <f>IF(ISNUMBER(outYear),DWC37+DWC42+#REF!+#REF!,"")</f>
        <v/>
      </c>
      <c r="DWD57" s="82" t="str">
        <f>IF(ISNUMBER(outYear),DWD37+DWD42+#REF!+#REF!,"")</f>
        <v/>
      </c>
      <c r="DWE57" s="82" t="str">
        <f>IF(ISNUMBER(outYear),DWE37+DWE42+#REF!+#REF!,"")</f>
        <v/>
      </c>
      <c r="DWF57" s="82" t="str">
        <f>IF(ISNUMBER(outYear),DWF37+DWF42+#REF!+#REF!,"")</f>
        <v/>
      </c>
      <c r="DWG57" s="82" t="str">
        <f>IF(ISNUMBER(outYear),DWG37+DWG42+#REF!+#REF!,"")</f>
        <v/>
      </c>
      <c r="DWH57" s="82" t="str">
        <f>IF(ISNUMBER(outYear),DWH37+DWH42+#REF!+#REF!,"")</f>
        <v/>
      </c>
      <c r="DWI57" s="82" t="str">
        <f>IF(ISNUMBER(outYear),DWI37+DWI42+#REF!+#REF!,"")</f>
        <v/>
      </c>
      <c r="DWJ57" s="82" t="str">
        <f>IF(ISNUMBER(outYear),DWJ37+DWJ42+#REF!+#REF!,"")</f>
        <v/>
      </c>
      <c r="DWK57" s="82" t="str">
        <f>IF(ISNUMBER(outYear),DWK37+DWK42+#REF!+#REF!,"")</f>
        <v/>
      </c>
      <c r="DWL57" s="82" t="str">
        <f>IF(ISNUMBER(outYear),DWL37+DWL42+#REF!+#REF!,"")</f>
        <v/>
      </c>
      <c r="DWM57" s="82" t="str">
        <f>IF(ISNUMBER(outYear),DWM37+DWM42+#REF!+#REF!,"")</f>
        <v/>
      </c>
      <c r="DWN57" s="82" t="str">
        <f>IF(ISNUMBER(outYear),DWN37+DWN42+#REF!+#REF!,"")</f>
        <v/>
      </c>
      <c r="DWO57" s="82" t="str">
        <f>IF(ISNUMBER(outYear),DWO37+DWO42+#REF!+#REF!,"")</f>
        <v/>
      </c>
      <c r="DWP57" s="82" t="str">
        <f>IF(ISNUMBER(outYear),DWP37+DWP42+#REF!+#REF!,"")</f>
        <v/>
      </c>
      <c r="DWQ57" s="82" t="str">
        <f>IF(ISNUMBER(outYear),DWQ37+DWQ42+#REF!+#REF!,"")</f>
        <v/>
      </c>
      <c r="DWR57" s="82" t="str">
        <f>IF(ISNUMBER(outYear),DWR37+DWR42+#REF!+#REF!,"")</f>
        <v/>
      </c>
      <c r="DWS57" s="82" t="str">
        <f>IF(ISNUMBER(outYear),DWS37+DWS42+#REF!+#REF!,"")</f>
        <v/>
      </c>
      <c r="DWT57" s="82" t="str">
        <f>IF(ISNUMBER(outYear),DWT37+DWT42+#REF!+#REF!,"")</f>
        <v/>
      </c>
      <c r="DWU57" s="82" t="str">
        <f>IF(ISNUMBER(outYear),DWU37+DWU42+#REF!+#REF!,"")</f>
        <v/>
      </c>
      <c r="DWV57" s="82" t="str">
        <f>IF(ISNUMBER(outYear),DWV37+DWV42+#REF!+#REF!,"")</f>
        <v/>
      </c>
      <c r="DWW57" s="82" t="str">
        <f>IF(ISNUMBER(outYear),DWW37+DWW42+#REF!+#REF!,"")</f>
        <v/>
      </c>
      <c r="DWX57" s="82" t="str">
        <f>IF(ISNUMBER(outYear),DWX37+DWX42+#REF!+#REF!,"")</f>
        <v/>
      </c>
      <c r="DWY57" s="82" t="str">
        <f>IF(ISNUMBER(outYear),DWY37+DWY42+#REF!+#REF!,"")</f>
        <v/>
      </c>
      <c r="DWZ57" s="82" t="str">
        <f>IF(ISNUMBER(outYear),DWZ37+DWZ42+#REF!+#REF!,"")</f>
        <v/>
      </c>
      <c r="DXA57" s="82" t="str">
        <f>IF(ISNUMBER(outYear),DXA37+DXA42+#REF!+#REF!,"")</f>
        <v/>
      </c>
      <c r="DXB57" s="82" t="str">
        <f>IF(ISNUMBER(outYear),DXB37+DXB42+#REF!+#REF!,"")</f>
        <v/>
      </c>
      <c r="DXC57" s="82" t="str">
        <f>IF(ISNUMBER(outYear),DXC37+DXC42+#REF!+#REF!,"")</f>
        <v/>
      </c>
      <c r="DXD57" s="82" t="str">
        <f>IF(ISNUMBER(outYear),DXD37+DXD42+#REF!+#REF!,"")</f>
        <v/>
      </c>
      <c r="DXE57" s="82" t="str">
        <f>IF(ISNUMBER(outYear),DXE37+DXE42+#REF!+#REF!,"")</f>
        <v/>
      </c>
      <c r="DXF57" s="82" t="str">
        <f>IF(ISNUMBER(outYear),DXF37+DXF42+#REF!+#REF!,"")</f>
        <v/>
      </c>
      <c r="DXG57" s="82" t="str">
        <f>IF(ISNUMBER(outYear),DXG37+DXG42+#REF!+#REF!,"")</f>
        <v/>
      </c>
      <c r="DXH57" s="82" t="str">
        <f>IF(ISNUMBER(outYear),DXH37+DXH42+#REF!+#REF!,"")</f>
        <v/>
      </c>
      <c r="DXI57" s="82" t="str">
        <f>IF(ISNUMBER(outYear),DXI37+DXI42+#REF!+#REF!,"")</f>
        <v/>
      </c>
      <c r="DXJ57" s="82" t="str">
        <f>IF(ISNUMBER(outYear),DXJ37+DXJ42+#REF!+#REF!,"")</f>
        <v/>
      </c>
      <c r="DXK57" s="82" t="str">
        <f>IF(ISNUMBER(outYear),DXK37+DXK42+#REF!+#REF!,"")</f>
        <v/>
      </c>
      <c r="DXL57" s="82" t="str">
        <f>IF(ISNUMBER(outYear),DXL37+DXL42+#REF!+#REF!,"")</f>
        <v/>
      </c>
      <c r="DXM57" s="82" t="str">
        <f>IF(ISNUMBER(outYear),DXM37+DXM42+#REF!+#REF!,"")</f>
        <v/>
      </c>
      <c r="DXN57" s="82" t="str">
        <f>IF(ISNUMBER(outYear),DXN37+DXN42+#REF!+#REF!,"")</f>
        <v/>
      </c>
      <c r="DXO57" s="82" t="str">
        <f>IF(ISNUMBER(outYear),DXO37+DXO42+#REF!+#REF!,"")</f>
        <v/>
      </c>
      <c r="DXP57" s="82" t="str">
        <f>IF(ISNUMBER(outYear),DXP37+DXP42+#REF!+#REF!,"")</f>
        <v/>
      </c>
      <c r="DXQ57" s="82" t="str">
        <f>IF(ISNUMBER(outYear),DXQ37+DXQ42+#REF!+#REF!,"")</f>
        <v/>
      </c>
      <c r="DXR57" s="82" t="str">
        <f>IF(ISNUMBER(outYear),DXR37+DXR42+#REF!+#REF!,"")</f>
        <v/>
      </c>
      <c r="DXS57" s="82" t="str">
        <f>IF(ISNUMBER(outYear),DXS37+DXS42+#REF!+#REF!,"")</f>
        <v/>
      </c>
      <c r="DXT57" s="82" t="str">
        <f>IF(ISNUMBER(outYear),DXT37+DXT42+#REF!+#REF!,"")</f>
        <v/>
      </c>
      <c r="DXU57" s="82" t="str">
        <f>IF(ISNUMBER(outYear),DXU37+DXU42+#REF!+#REF!,"")</f>
        <v/>
      </c>
      <c r="DXV57" s="82" t="str">
        <f>IF(ISNUMBER(outYear),DXV37+DXV42+#REF!+#REF!,"")</f>
        <v/>
      </c>
      <c r="DXW57" s="82" t="str">
        <f>IF(ISNUMBER(outYear),DXW37+DXW42+#REF!+#REF!,"")</f>
        <v/>
      </c>
      <c r="DXX57" s="82" t="str">
        <f>IF(ISNUMBER(outYear),DXX37+DXX42+#REF!+#REF!,"")</f>
        <v/>
      </c>
      <c r="DXY57" s="82" t="str">
        <f>IF(ISNUMBER(outYear),DXY37+DXY42+#REF!+#REF!,"")</f>
        <v/>
      </c>
      <c r="DXZ57" s="82" t="str">
        <f>IF(ISNUMBER(outYear),DXZ37+DXZ42+#REF!+#REF!,"")</f>
        <v/>
      </c>
      <c r="DYA57" s="82" t="str">
        <f>IF(ISNUMBER(outYear),DYA37+DYA42+#REF!+#REF!,"")</f>
        <v/>
      </c>
      <c r="DYB57" s="82" t="str">
        <f>IF(ISNUMBER(outYear),DYB37+DYB42+#REF!+#REF!,"")</f>
        <v/>
      </c>
      <c r="DYC57" s="82" t="str">
        <f>IF(ISNUMBER(outYear),DYC37+DYC42+#REF!+#REF!,"")</f>
        <v/>
      </c>
      <c r="DYD57" s="82" t="str">
        <f>IF(ISNUMBER(outYear),DYD37+DYD42+#REF!+#REF!,"")</f>
        <v/>
      </c>
      <c r="DYE57" s="82" t="str">
        <f>IF(ISNUMBER(outYear),DYE37+DYE42+#REF!+#REF!,"")</f>
        <v/>
      </c>
      <c r="DYF57" s="82" t="str">
        <f>IF(ISNUMBER(outYear),DYF37+DYF42+#REF!+#REF!,"")</f>
        <v/>
      </c>
      <c r="DYG57" s="82" t="str">
        <f>IF(ISNUMBER(outYear),DYG37+DYG42+#REF!+#REF!,"")</f>
        <v/>
      </c>
      <c r="DYH57" s="82" t="str">
        <f>IF(ISNUMBER(outYear),DYH37+DYH42+#REF!+#REF!,"")</f>
        <v/>
      </c>
      <c r="DYI57" s="82" t="str">
        <f>IF(ISNUMBER(outYear),DYI37+DYI42+#REF!+#REF!,"")</f>
        <v/>
      </c>
      <c r="DYJ57" s="82" t="str">
        <f>IF(ISNUMBER(outYear),DYJ37+DYJ42+#REF!+#REF!,"")</f>
        <v/>
      </c>
      <c r="DYK57" s="82" t="str">
        <f>IF(ISNUMBER(outYear),DYK37+DYK42+#REF!+#REF!,"")</f>
        <v/>
      </c>
      <c r="DYL57" s="82" t="str">
        <f>IF(ISNUMBER(outYear),DYL37+DYL42+#REF!+#REF!,"")</f>
        <v/>
      </c>
      <c r="DYM57" s="82" t="str">
        <f>IF(ISNUMBER(outYear),DYM37+DYM42+#REF!+#REF!,"")</f>
        <v/>
      </c>
      <c r="DYN57" s="82" t="str">
        <f>IF(ISNUMBER(outYear),DYN37+DYN42+#REF!+#REF!,"")</f>
        <v/>
      </c>
      <c r="DYO57" s="82" t="str">
        <f>IF(ISNUMBER(outYear),DYO37+DYO42+#REF!+#REF!,"")</f>
        <v/>
      </c>
      <c r="DYP57" s="82" t="str">
        <f>IF(ISNUMBER(outYear),DYP37+DYP42+#REF!+#REF!,"")</f>
        <v/>
      </c>
      <c r="DYQ57" s="82" t="str">
        <f>IF(ISNUMBER(outYear),DYQ37+DYQ42+#REF!+#REF!,"")</f>
        <v/>
      </c>
      <c r="DYR57" s="82" t="str">
        <f>IF(ISNUMBER(outYear),DYR37+DYR42+#REF!+#REF!,"")</f>
        <v/>
      </c>
      <c r="DYS57" s="82" t="str">
        <f>IF(ISNUMBER(outYear),DYS37+DYS42+#REF!+#REF!,"")</f>
        <v/>
      </c>
      <c r="DYT57" s="82" t="str">
        <f>IF(ISNUMBER(outYear),DYT37+DYT42+#REF!+#REF!,"")</f>
        <v/>
      </c>
      <c r="DYU57" s="82" t="str">
        <f>IF(ISNUMBER(outYear),DYU37+DYU42+#REF!+#REF!,"")</f>
        <v/>
      </c>
      <c r="DYV57" s="82" t="str">
        <f>IF(ISNUMBER(outYear),DYV37+DYV42+#REF!+#REF!,"")</f>
        <v/>
      </c>
      <c r="DYW57" s="82" t="str">
        <f>IF(ISNUMBER(outYear),DYW37+DYW42+#REF!+#REF!,"")</f>
        <v/>
      </c>
      <c r="DYX57" s="82" t="str">
        <f>IF(ISNUMBER(outYear),DYX37+DYX42+#REF!+#REF!,"")</f>
        <v/>
      </c>
      <c r="DYY57" s="82" t="str">
        <f>IF(ISNUMBER(outYear),DYY37+DYY42+#REF!+#REF!,"")</f>
        <v/>
      </c>
      <c r="DYZ57" s="82" t="str">
        <f>IF(ISNUMBER(outYear),DYZ37+DYZ42+#REF!+#REF!,"")</f>
        <v/>
      </c>
      <c r="DZA57" s="82" t="str">
        <f>IF(ISNUMBER(outYear),DZA37+DZA42+#REF!+#REF!,"")</f>
        <v/>
      </c>
      <c r="DZB57" s="82" t="str">
        <f>IF(ISNUMBER(outYear),DZB37+DZB42+#REF!+#REF!,"")</f>
        <v/>
      </c>
      <c r="DZC57" s="82" t="str">
        <f>IF(ISNUMBER(outYear),DZC37+DZC42+#REF!+#REF!,"")</f>
        <v/>
      </c>
      <c r="DZD57" s="82" t="str">
        <f>IF(ISNUMBER(outYear),DZD37+DZD42+#REF!+#REF!,"")</f>
        <v/>
      </c>
      <c r="DZE57" s="82" t="str">
        <f>IF(ISNUMBER(outYear),DZE37+DZE42+#REF!+#REF!,"")</f>
        <v/>
      </c>
      <c r="DZF57" s="82" t="str">
        <f>IF(ISNUMBER(outYear),DZF37+DZF42+#REF!+#REF!,"")</f>
        <v/>
      </c>
      <c r="DZG57" s="82" t="str">
        <f>IF(ISNUMBER(outYear),DZG37+DZG42+#REF!+#REF!,"")</f>
        <v/>
      </c>
      <c r="DZH57" s="82" t="str">
        <f>IF(ISNUMBER(outYear),DZH37+DZH42+#REF!+#REF!,"")</f>
        <v/>
      </c>
      <c r="DZI57" s="82" t="str">
        <f>IF(ISNUMBER(outYear),DZI37+DZI42+#REF!+#REF!,"")</f>
        <v/>
      </c>
      <c r="DZJ57" s="82" t="str">
        <f>IF(ISNUMBER(outYear),DZJ37+DZJ42+#REF!+#REF!,"")</f>
        <v/>
      </c>
      <c r="DZK57" s="82" t="str">
        <f>IF(ISNUMBER(outYear),DZK37+DZK42+#REF!+#REF!,"")</f>
        <v/>
      </c>
      <c r="DZL57" s="82" t="str">
        <f>IF(ISNUMBER(outYear),DZL37+DZL42+#REF!+#REF!,"")</f>
        <v/>
      </c>
      <c r="DZM57" s="82" t="str">
        <f>IF(ISNUMBER(outYear),DZM37+DZM42+#REF!+#REF!,"")</f>
        <v/>
      </c>
      <c r="DZN57" s="82" t="str">
        <f>IF(ISNUMBER(outYear),DZN37+DZN42+#REF!+#REF!,"")</f>
        <v/>
      </c>
      <c r="DZO57" s="82" t="str">
        <f>IF(ISNUMBER(outYear),DZO37+DZO42+#REF!+#REF!,"")</f>
        <v/>
      </c>
      <c r="DZP57" s="82" t="str">
        <f>IF(ISNUMBER(outYear),DZP37+DZP42+#REF!+#REF!,"")</f>
        <v/>
      </c>
      <c r="DZQ57" s="82" t="str">
        <f>IF(ISNUMBER(outYear),DZQ37+DZQ42+#REF!+#REF!,"")</f>
        <v/>
      </c>
      <c r="DZR57" s="82" t="str">
        <f>IF(ISNUMBER(outYear),DZR37+DZR42+#REF!+#REF!,"")</f>
        <v/>
      </c>
      <c r="DZS57" s="82" t="str">
        <f>IF(ISNUMBER(outYear),DZS37+DZS42+#REF!+#REF!,"")</f>
        <v/>
      </c>
      <c r="DZT57" s="82" t="str">
        <f>IF(ISNUMBER(outYear),DZT37+DZT42+#REF!+#REF!,"")</f>
        <v/>
      </c>
      <c r="DZU57" s="82" t="str">
        <f>IF(ISNUMBER(outYear),DZU37+DZU42+#REF!+#REF!,"")</f>
        <v/>
      </c>
      <c r="DZV57" s="82" t="str">
        <f>IF(ISNUMBER(outYear),DZV37+DZV42+#REF!+#REF!,"")</f>
        <v/>
      </c>
      <c r="DZW57" s="82" t="str">
        <f>IF(ISNUMBER(outYear),DZW37+DZW42+#REF!+#REF!,"")</f>
        <v/>
      </c>
      <c r="DZX57" s="82" t="str">
        <f>IF(ISNUMBER(outYear),DZX37+DZX42+#REF!+#REF!,"")</f>
        <v/>
      </c>
      <c r="DZY57" s="82" t="str">
        <f>IF(ISNUMBER(outYear),DZY37+DZY42+#REF!+#REF!,"")</f>
        <v/>
      </c>
      <c r="DZZ57" s="82" t="str">
        <f>IF(ISNUMBER(outYear),DZZ37+DZZ42+#REF!+#REF!,"")</f>
        <v/>
      </c>
      <c r="EAA57" s="82" t="str">
        <f>IF(ISNUMBER(outYear),EAA37+EAA42+#REF!+#REF!,"")</f>
        <v/>
      </c>
      <c r="EAB57" s="82" t="str">
        <f>IF(ISNUMBER(outYear),EAB37+EAB42+#REF!+#REF!,"")</f>
        <v/>
      </c>
      <c r="EAC57" s="82" t="str">
        <f>IF(ISNUMBER(outYear),EAC37+EAC42+#REF!+#REF!,"")</f>
        <v/>
      </c>
      <c r="EAD57" s="82" t="str">
        <f>IF(ISNUMBER(outYear),EAD37+EAD42+#REF!+#REF!,"")</f>
        <v/>
      </c>
      <c r="EAE57" s="82" t="str">
        <f>IF(ISNUMBER(outYear),EAE37+EAE42+#REF!+#REF!,"")</f>
        <v/>
      </c>
      <c r="EAF57" s="82" t="str">
        <f>IF(ISNUMBER(outYear),EAF37+EAF42+#REF!+#REF!,"")</f>
        <v/>
      </c>
      <c r="EAG57" s="82" t="str">
        <f>IF(ISNUMBER(outYear),EAG37+EAG42+#REF!+#REF!,"")</f>
        <v/>
      </c>
      <c r="EAH57" s="82" t="str">
        <f>IF(ISNUMBER(outYear),EAH37+EAH42+#REF!+#REF!,"")</f>
        <v/>
      </c>
      <c r="EAI57" s="82" t="str">
        <f>IF(ISNUMBER(outYear),EAI37+EAI42+#REF!+#REF!,"")</f>
        <v/>
      </c>
      <c r="EAJ57" s="82" t="str">
        <f>IF(ISNUMBER(outYear),EAJ37+EAJ42+#REF!+#REF!,"")</f>
        <v/>
      </c>
      <c r="EAK57" s="82" t="str">
        <f>IF(ISNUMBER(outYear),EAK37+EAK42+#REF!+#REF!,"")</f>
        <v/>
      </c>
      <c r="EAL57" s="82" t="str">
        <f>IF(ISNUMBER(outYear),EAL37+EAL42+#REF!+#REF!,"")</f>
        <v/>
      </c>
      <c r="EAM57" s="82" t="str">
        <f>IF(ISNUMBER(outYear),EAM37+EAM42+#REF!+#REF!,"")</f>
        <v/>
      </c>
      <c r="EAN57" s="82" t="str">
        <f>IF(ISNUMBER(outYear),EAN37+EAN42+#REF!+#REF!,"")</f>
        <v/>
      </c>
      <c r="EAO57" s="82" t="str">
        <f>IF(ISNUMBER(outYear),EAO37+EAO42+#REF!+#REF!,"")</f>
        <v/>
      </c>
      <c r="EAP57" s="82" t="str">
        <f>IF(ISNUMBER(outYear),EAP37+EAP42+#REF!+#REF!,"")</f>
        <v/>
      </c>
      <c r="EAQ57" s="82" t="str">
        <f>IF(ISNUMBER(outYear),EAQ37+EAQ42+#REF!+#REF!,"")</f>
        <v/>
      </c>
      <c r="EAR57" s="82" t="str">
        <f>IF(ISNUMBER(outYear),EAR37+EAR42+#REF!+#REF!,"")</f>
        <v/>
      </c>
      <c r="EAS57" s="82" t="str">
        <f>IF(ISNUMBER(outYear),EAS37+EAS42+#REF!+#REF!,"")</f>
        <v/>
      </c>
      <c r="EAT57" s="82" t="str">
        <f>IF(ISNUMBER(outYear),EAT37+EAT42+#REF!+#REF!,"")</f>
        <v/>
      </c>
      <c r="EAU57" s="82" t="str">
        <f>IF(ISNUMBER(outYear),EAU37+EAU42+#REF!+#REF!,"")</f>
        <v/>
      </c>
      <c r="EAV57" s="82" t="str">
        <f>IF(ISNUMBER(outYear),EAV37+EAV42+#REF!+#REF!,"")</f>
        <v/>
      </c>
      <c r="EAW57" s="82" t="str">
        <f>IF(ISNUMBER(outYear),EAW37+EAW42+#REF!+#REF!,"")</f>
        <v/>
      </c>
      <c r="EAX57" s="82" t="str">
        <f>IF(ISNUMBER(outYear),EAX37+EAX42+#REF!+#REF!,"")</f>
        <v/>
      </c>
      <c r="EAY57" s="82" t="str">
        <f>IF(ISNUMBER(outYear),EAY37+EAY42+#REF!+#REF!,"")</f>
        <v/>
      </c>
      <c r="EAZ57" s="82" t="str">
        <f>IF(ISNUMBER(outYear),EAZ37+EAZ42+#REF!+#REF!,"")</f>
        <v/>
      </c>
      <c r="EBA57" s="82" t="str">
        <f>IF(ISNUMBER(outYear),EBA37+EBA42+#REF!+#REF!,"")</f>
        <v/>
      </c>
      <c r="EBB57" s="82" t="str">
        <f>IF(ISNUMBER(outYear),EBB37+EBB42+#REF!+#REF!,"")</f>
        <v/>
      </c>
      <c r="EBC57" s="82" t="str">
        <f>IF(ISNUMBER(outYear),EBC37+EBC42+#REF!+#REF!,"")</f>
        <v/>
      </c>
      <c r="EBD57" s="82" t="str">
        <f>IF(ISNUMBER(outYear),EBD37+EBD42+#REF!+#REF!,"")</f>
        <v/>
      </c>
      <c r="EBE57" s="82" t="str">
        <f>IF(ISNUMBER(outYear),EBE37+EBE42+#REF!+#REF!,"")</f>
        <v/>
      </c>
      <c r="EBF57" s="82" t="str">
        <f>IF(ISNUMBER(outYear),EBF37+EBF42+#REF!+#REF!,"")</f>
        <v/>
      </c>
      <c r="EBG57" s="82" t="str">
        <f>IF(ISNUMBER(outYear),EBG37+EBG42+#REF!+#REF!,"")</f>
        <v/>
      </c>
      <c r="EBH57" s="82" t="str">
        <f>IF(ISNUMBER(outYear),EBH37+EBH42+#REF!+#REF!,"")</f>
        <v/>
      </c>
      <c r="EBI57" s="82" t="str">
        <f>IF(ISNUMBER(outYear),EBI37+EBI42+#REF!+#REF!,"")</f>
        <v/>
      </c>
      <c r="EBJ57" s="82" t="str">
        <f>IF(ISNUMBER(outYear),EBJ37+EBJ42+#REF!+#REF!,"")</f>
        <v/>
      </c>
      <c r="EBK57" s="82" t="str">
        <f>IF(ISNUMBER(outYear),EBK37+EBK42+#REF!+#REF!,"")</f>
        <v/>
      </c>
      <c r="EBL57" s="82" t="str">
        <f>IF(ISNUMBER(outYear),EBL37+EBL42+#REF!+#REF!,"")</f>
        <v/>
      </c>
      <c r="EBM57" s="82" t="str">
        <f>IF(ISNUMBER(outYear),EBM37+EBM42+#REF!+#REF!,"")</f>
        <v/>
      </c>
      <c r="EBN57" s="82" t="str">
        <f>IF(ISNUMBER(outYear),EBN37+EBN42+#REF!+#REF!,"")</f>
        <v/>
      </c>
      <c r="EBO57" s="82" t="str">
        <f>IF(ISNUMBER(outYear),EBO37+EBO42+#REF!+#REF!,"")</f>
        <v/>
      </c>
      <c r="EBP57" s="82" t="str">
        <f>IF(ISNUMBER(outYear),EBP37+EBP42+#REF!+#REF!,"")</f>
        <v/>
      </c>
      <c r="EBQ57" s="82" t="str">
        <f>IF(ISNUMBER(outYear),EBQ37+EBQ42+#REF!+#REF!,"")</f>
        <v/>
      </c>
      <c r="EBR57" s="82" t="str">
        <f>IF(ISNUMBER(outYear),EBR37+EBR42+#REF!+#REF!,"")</f>
        <v/>
      </c>
      <c r="EBS57" s="82" t="str">
        <f>IF(ISNUMBER(outYear),EBS37+EBS42+#REF!+#REF!,"")</f>
        <v/>
      </c>
      <c r="EBT57" s="82" t="str">
        <f>IF(ISNUMBER(outYear),EBT37+EBT42+#REF!+#REF!,"")</f>
        <v/>
      </c>
      <c r="EBU57" s="82" t="str">
        <f>IF(ISNUMBER(outYear),EBU37+EBU42+#REF!+#REF!,"")</f>
        <v/>
      </c>
      <c r="EBV57" s="82" t="str">
        <f>IF(ISNUMBER(outYear),EBV37+EBV42+#REF!+#REF!,"")</f>
        <v/>
      </c>
      <c r="EBW57" s="82" t="str">
        <f>IF(ISNUMBER(outYear),EBW37+EBW42+#REF!+#REF!,"")</f>
        <v/>
      </c>
      <c r="EBX57" s="82" t="str">
        <f>IF(ISNUMBER(outYear),EBX37+EBX42+#REF!+#REF!,"")</f>
        <v/>
      </c>
      <c r="EBY57" s="82" t="str">
        <f>IF(ISNUMBER(outYear),EBY37+EBY42+#REF!+#REF!,"")</f>
        <v/>
      </c>
      <c r="EBZ57" s="82" t="str">
        <f>IF(ISNUMBER(outYear),EBZ37+EBZ42+#REF!+#REF!,"")</f>
        <v/>
      </c>
      <c r="ECA57" s="82" t="str">
        <f>IF(ISNUMBER(outYear),ECA37+ECA42+#REF!+#REF!,"")</f>
        <v/>
      </c>
      <c r="ECB57" s="82" t="str">
        <f>IF(ISNUMBER(outYear),ECB37+ECB42+#REF!+#REF!,"")</f>
        <v/>
      </c>
      <c r="ECC57" s="82" t="str">
        <f>IF(ISNUMBER(outYear),ECC37+ECC42+#REF!+#REF!,"")</f>
        <v/>
      </c>
      <c r="ECD57" s="82" t="str">
        <f>IF(ISNUMBER(outYear),ECD37+ECD42+#REF!+#REF!,"")</f>
        <v/>
      </c>
      <c r="ECE57" s="82" t="str">
        <f>IF(ISNUMBER(outYear),ECE37+ECE42+#REF!+#REF!,"")</f>
        <v/>
      </c>
      <c r="ECF57" s="82" t="str">
        <f>IF(ISNUMBER(outYear),ECF37+ECF42+#REF!+#REF!,"")</f>
        <v/>
      </c>
      <c r="ECG57" s="82" t="str">
        <f>IF(ISNUMBER(outYear),ECG37+ECG42+#REF!+#REF!,"")</f>
        <v/>
      </c>
      <c r="ECH57" s="82" t="str">
        <f>IF(ISNUMBER(outYear),ECH37+ECH42+#REF!+#REF!,"")</f>
        <v/>
      </c>
      <c r="ECI57" s="82" t="str">
        <f>IF(ISNUMBER(outYear),ECI37+ECI42+#REF!+#REF!,"")</f>
        <v/>
      </c>
      <c r="ECJ57" s="82" t="str">
        <f>IF(ISNUMBER(outYear),ECJ37+ECJ42+#REF!+#REF!,"")</f>
        <v/>
      </c>
      <c r="ECK57" s="82" t="str">
        <f>IF(ISNUMBER(outYear),ECK37+ECK42+#REF!+#REF!,"")</f>
        <v/>
      </c>
      <c r="ECL57" s="82" t="str">
        <f>IF(ISNUMBER(outYear),ECL37+ECL42+#REF!+#REF!,"")</f>
        <v/>
      </c>
      <c r="ECM57" s="82" t="str">
        <f>IF(ISNUMBER(outYear),ECM37+ECM42+#REF!+#REF!,"")</f>
        <v/>
      </c>
      <c r="ECN57" s="82" t="str">
        <f>IF(ISNUMBER(outYear),ECN37+ECN42+#REF!+#REF!,"")</f>
        <v/>
      </c>
      <c r="ECO57" s="82" t="str">
        <f>IF(ISNUMBER(outYear),ECO37+ECO42+#REF!+#REF!,"")</f>
        <v/>
      </c>
      <c r="ECP57" s="82" t="str">
        <f>IF(ISNUMBER(outYear),ECP37+ECP42+#REF!+#REF!,"")</f>
        <v/>
      </c>
      <c r="ECQ57" s="82" t="str">
        <f>IF(ISNUMBER(outYear),ECQ37+ECQ42+#REF!+#REF!,"")</f>
        <v/>
      </c>
      <c r="ECR57" s="82" t="str">
        <f>IF(ISNUMBER(outYear),ECR37+ECR42+#REF!+#REF!,"")</f>
        <v/>
      </c>
      <c r="ECS57" s="82" t="str">
        <f>IF(ISNUMBER(outYear),ECS37+ECS42+#REF!+#REF!,"")</f>
        <v/>
      </c>
      <c r="ECT57" s="82" t="str">
        <f>IF(ISNUMBER(outYear),ECT37+ECT42+#REF!+#REF!,"")</f>
        <v/>
      </c>
      <c r="ECU57" s="82" t="str">
        <f>IF(ISNUMBER(outYear),ECU37+ECU42+#REF!+#REF!,"")</f>
        <v/>
      </c>
      <c r="ECV57" s="82" t="str">
        <f>IF(ISNUMBER(outYear),ECV37+ECV42+#REF!+#REF!,"")</f>
        <v/>
      </c>
      <c r="ECW57" s="82" t="str">
        <f>IF(ISNUMBER(outYear),ECW37+ECW42+#REF!+#REF!,"")</f>
        <v/>
      </c>
      <c r="ECX57" s="82" t="str">
        <f>IF(ISNUMBER(outYear),ECX37+ECX42+#REF!+#REF!,"")</f>
        <v/>
      </c>
      <c r="ECY57" s="82" t="str">
        <f>IF(ISNUMBER(outYear),ECY37+ECY42+#REF!+#REF!,"")</f>
        <v/>
      </c>
      <c r="ECZ57" s="82" t="str">
        <f>IF(ISNUMBER(outYear),ECZ37+ECZ42+#REF!+#REF!,"")</f>
        <v/>
      </c>
      <c r="EDA57" s="82" t="str">
        <f>IF(ISNUMBER(outYear),EDA37+EDA42+#REF!+#REF!,"")</f>
        <v/>
      </c>
      <c r="EDB57" s="82" t="str">
        <f>IF(ISNUMBER(outYear),EDB37+EDB42+#REF!+#REF!,"")</f>
        <v/>
      </c>
      <c r="EDC57" s="82" t="str">
        <f>IF(ISNUMBER(outYear),EDC37+EDC42+#REF!+#REF!,"")</f>
        <v/>
      </c>
      <c r="EDD57" s="82" t="str">
        <f>IF(ISNUMBER(outYear),EDD37+EDD42+#REF!+#REF!,"")</f>
        <v/>
      </c>
      <c r="EDE57" s="82" t="str">
        <f>IF(ISNUMBER(outYear),EDE37+EDE42+#REF!+#REF!,"")</f>
        <v/>
      </c>
      <c r="EDF57" s="82" t="str">
        <f>IF(ISNUMBER(outYear),EDF37+EDF42+#REF!+#REF!,"")</f>
        <v/>
      </c>
      <c r="EDG57" s="82" t="str">
        <f>IF(ISNUMBER(outYear),EDG37+EDG42+#REF!+#REF!,"")</f>
        <v/>
      </c>
      <c r="EDH57" s="82" t="str">
        <f>IF(ISNUMBER(outYear),EDH37+EDH42+#REF!+#REF!,"")</f>
        <v/>
      </c>
      <c r="EDI57" s="82" t="str">
        <f>IF(ISNUMBER(outYear),EDI37+EDI42+#REF!+#REF!,"")</f>
        <v/>
      </c>
      <c r="EDJ57" s="82" t="str">
        <f>IF(ISNUMBER(outYear),EDJ37+EDJ42+#REF!+#REF!,"")</f>
        <v/>
      </c>
      <c r="EDK57" s="82" t="str">
        <f>IF(ISNUMBER(outYear),EDK37+EDK42+#REF!+#REF!,"")</f>
        <v/>
      </c>
      <c r="EDL57" s="82" t="str">
        <f>IF(ISNUMBER(outYear),EDL37+EDL42+#REF!+#REF!,"")</f>
        <v/>
      </c>
      <c r="EDM57" s="82" t="str">
        <f>IF(ISNUMBER(outYear),EDM37+EDM42+#REF!+#REF!,"")</f>
        <v/>
      </c>
      <c r="EDN57" s="82" t="str">
        <f>IF(ISNUMBER(outYear),EDN37+EDN42+#REF!+#REF!,"")</f>
        <v/>
      </c>
      <c r="EDO57" s="82" t="str">
        <f>IF(ISNUMBER(outYear),EDO37+EDO42+#REF!+#REF!,"")</f>
        <v/>
      </c>
      <c r="EDP57" s="82" t="str">
        <f>IF(ISNUMBER(outYear),EDP37+EDP42+#REF!+#REF!,"")</f>
        <v/>
      </c>
      <c r="EDQ57" s="82" t="str">
        <f>IF(ISNUMBER(outYear),EDQ37+EDQ42+#REF!+#REF!,"")</f>
        <v/>
      </c>
      <c r="EDR57" s="82" t="str">
        <f>IF(ISNUMBER(outYear),EDR37+EDR42+#REF!+#REF!,"")</f>
        <v/>
      </c>
      <c r="EDS57" s="82" t="str">
        <f>IF(ISNUMBER(outYear),EDS37+EDS42+#REF!+#REF!,"")</f>
        <v/>
      </c>
      <c r="EDT57" s="82" t="str">
        <f>IF(ISNUMBER(outYear),EDT37+EDT42+#REF!+#REF!,"")</f>
        <v/>
      </c>
      <c r="EDU57" s="82" t="str">
        <f>IF(ISNUMBER(outYear),EDU37+EDU42+#REF!+#REF!,"")</f>
        <v/>
      </c>
      <c r="EDV57" s="82" t="str">
        <f>IF(ISNUMBER(outYear),EDV37+EDV42+#REF!+#REF!,"")</f>
        <v/>
      </c>
      <c r="EDW57" s="82" t="str">
        <f>IF(ISNUMBER(outYear),EDW37+EDW42+#REF!+#REF!,"")</f>
        <v/>
      </c>
      <c r="EDX57" s="82" t="str">
        <f>IF(ISNUMBER(outYear),EDX37+EDX42+#REF!+#REF!,"")</f>
        <v/>
      </c>
      <c r="EDY57" s="82" t="str">
        <f>IF(ISNUMBER(outYear),EDY37+EDY42+#REF!+#REF!,"")</f>
        <v/>
      </c>
      <c r="EDZ57" s="82" t="str">
        <f>IF(ISNUMBER(outYear),EDZ37+EDZ42+#REF!+#REF!,"")</f>
        <v/>
      </c>
      <c r="EEA57" s="82" t="str">
        <f>IF(ISNUMBER(outYear),EEA37+EEA42+#REF!+#REF!,"")</f>
        <v/>
      </c>
      <c r="EEB57" s="82" t="str">
        <f>IF(ISNUMBER(outYear),EEB37+EEB42+#REF!+#REF!,"")</f>
        <v/>
      </c>
      <c r="EEC57" s="82" t="str">
        <f>IF(ISNUMBER(outYear),EEC37+EEC42+#REF!+#REF!,"")</f>
        <v/>
      </c>
      <c r="EED57" s="82" t="str">
        <f>IF(ISNUMBER(outYear),EED37+EED42+#REF!+#REF!,"")</f>
        <v/>
      </c>
      <c r="EEE57" s="82" t="str">
        <f>IF(ISNUMBER(outYear),EEE37+EEE42+#REF!+#REF!,"")</f>
        <v/>
      </c>
      <c r="EEF57" s="82" t="str">
        <f>IF(ISNUMBER(outYear),EEF37+EEF42+#REF!+#REF!,"")</f>
        <v/>
      </c>
      <c r="EEG57" s="82" t="str">
        <f>IF(ISNUMBER(outYear),EEG37+EEG42+#REF!+#REF!,"")</f>
        <v/>
      </c>
      <c r="EEH57" s="82" t="str">
        <f>IF(ISNUMBER(outYear),EEH37+EEH42+#REF!+#REF!,"")</f>
        <v/>
      </c>
      <c r="EEI57" s="82" t="str">
        <f>IF(ISNUMBER(outYear),EEI37+EEI42+#REF!+#REF!,"")</f>
        <v/>
      </c>
      <c r="EEJ57" s="82" t="str">
        <f>IF(ISNUMBER(outYear),EEJ37+EEJ42+#REF!+#REF!,"")</f>
        <v/>
      </c>
      <c r="EEK57" s="82" t="str">
        <f>IF(ISNUMBER(outYear),EEK37+EEK42+#REF!+#REF!,"")</f>
        <v/>
      </c>
      <c r="EEL57" s="82" t="str">
        <f>IF(ISNUMBER(outYear),EEL37+EEL42+#REF!+#REF!,"")</f>
        <v/>
      </c>
      <c r="EEM57" s="82" t="str">
        <f>IF(ISNUMBER(outYear),EEM37+EEM42+#REF!+#REF!,"")</f>
        <v/>
      </c>
      <c r="EEN57" s="82" t="str">
        <f>IF(ISNUMBER(outYear),EEN37+EEN42+#REF!+#REF!,"")</f>
        <v/>
      </c>
      <c r="EEO57" s="82" t="str">
        <f>IF(ISNUMBER(outYear),EEO37+EEO42+#REF!+#REF!,"")</f>
        <v/>
      </c>
      <c r="EEP57" s="82" t="str">
        <f>IF(ISNUMBER(outYear),EEP37+EEP42+#REF!+#REF!,"")</f>
        <v/>
      </c>
      <c r="EEQ57" s="82" t="str">
        <f>IF(ISNUMBER(outYear),EEQ37+EEQ42+#REF!+#REF!,"")</f>
        <v/>
      </c>
      <c r="EER57" s="82" t="str">
        <f>IF(ISNUMBER(outYear),EER37+EER42+#REF!+#REF!,"")</f>
        <v/>
      </c>
      <c r="EES57" s="82" t="str">
        <f>IF(ISNUMBER(outYear),EES37+EES42+#REF!+#REF!,"")</f>
        <v/>
      </c>
      <c r="EET57" s="82" t="str">
        <f>IF(ISNUMBER(outYear),EET37+EET42+#REF!+#REF!,"")</f>
        <v/>
      </c>
      <c r="EEU57" s="82" t="str">
        <f>IF(ISNUMBER(outYear),EEU37+EEU42+#REF!+#REF!,"")</f>
        <v/>
      </c>
      <c r="EEV57" s="82" t="str">
        <f>IF(ISNUMBER(outYear),EEV37+EEV42+#REF!+#REF!,"")</f>
        <v/>
      </c>
      <c r="EEW57" s="82" t="str">
        <f>IF(ISNUMBER(outYear),EEW37+EEW42+#REF!+#REF!,"")</f>
        <v/>
      </c>
      <c r="EEX57" s="82" t="str">
        <f>IF(ISNUMBER(outYear),EEX37+EEX42+#REF!+#REF!,"")</f>
        <v/>
      </c>
      <c r="EEY57" s="82" t="str">
        <f>IF(ISNUMBER(outYear),EEY37+EEY42+#REF!+#REF!,"")</f>
        <v/>
      </c>
      <c r="EEZ57" s="82" t="str">
        <f>IF(ISNUMBER(outYear),EEZ37+EEZ42+#REF!+#REF!,"")</f>
        <v/>
      </c>
      <c r="EFA57" s="82" t="str">
        <f>IF(ISNUMBER(outYear),EFA37+EFA42+#REF!+#REF!,"")</f>
        <v/>
      </c>
      <c r="EFB57" s="82" t="str">
        <f>IF(ISNUMBER(outYear),EFB37+EFB42+#REF!+#REF!,"")</f>
        <v/>
      </c>
      <c r="EFC57" s="82" t="str">
        <f>IF(ISNUMBER(outYear),EFC37+EFC42+#REF!+#REF!,"")</f>
        <v/>
      </c>
      <c r="EFD57" s="82" t="str">
        <f>IF(ISNUMBER(outYear),EFD37+EFD42+#REF!+#REF!,"")</f>
        <v/>
      </c>
      <c r="EFE57" s="82" t="str">
        <f>IF(ISNUMBER(outYear),EFE37+EFE42+#REF!+#REF!,"")</f>
        <v/>
      </c>
      <c r="EFF57" s="82" t="str">
        <f>IF(ISNUMBER(outYear),EFF37+EFF42+#REF!+#REF!,"")</f>
        <v/>
      </c>
      <c r="EFG57" s="82" t="str">
        <f>IF(ISNUMBER(outYear),EFG37+EFG42+#REF!+#REF!,"")</f>
        <v/>
      </c>
      <c r="EFH57" s="82" t="str">
        <f>IF(ISNUMBER(outYear),EFH37+EFH42+#REF!+#REF!,"")</f>
        <v/>
      </c>
      <c r="EFI57" s="82" t="str">
        <f>IF(ISNUMBER(outYear),EFI37+EFI42+#REF!+#REF!,"")</f>
        <v/>
      </c>
      <c r="EFJ57" s="82" t="str">
        <f>IF(ISNUMBER(outYear),EFJ37+EFJ42+#REF!+#REF!,"")</f>
        <v/>
      </c>
      <c r="EFK57" s="82" t="str">
        <f>IF(ISNUMBER(outYear),EFK37+EFK42+#REF!+#REF!,"")</f>
        <v/>
      </c>
      <c r="EFL57" s="82" t="str">
        <f>IF(ISNUMBER(outYear),EFL37+EFL42+#REF!+#REF!,"")</f>
        <v/>
      </c>
      <c r="EFM57" s="82" t="str">
        <f>IF(ISNUMBER(outYear),EFM37+EFM42+#REF!+#REF!,"")</f>
        <v/>
      </c>
      <c r="EFN57" s="82" t="str">
        <f>IF(ISNUMBER(outYear),EFN37+EFN42+#REF!+#REF!,"")</f>
        <v/>
      </c>
      <c r="EFO57" s="82" t="str">
        <f>IF(ISNUMBER(outYear),EFO37+EFO42+#REF!+#REF!,"")</f>
        <v/>
      </c>
      <c r="EFP57" s="82" t="str">
        <f>IF(ISNUMBER(outYear),EFP37+EFP42+#REF!+#REF!,"")</f>
        <v/>
      </c>
      <c r="EFQ57" s="82" t="str">
        <f>IF(ISNUMBER(outYear),EFQ37+EFQ42+#REF!+#REF!,"")</f>
        <v/>
      </c>
      <c r="EFR57" s="82" t="str">
        <f>IF(ISNUMBER(outYear),EFR37+EFR42+#REF!+#REF!,"")</f>
        <v/>
      </c>
      <c r="EFS57" s="82" t="str">
        <f>IF(ISNUMBER(outYear),EFS37+EFS42+#REF!+#REF!,"")</f>
        <v/>
      </c>
      <c r="EFT57" s="82" t="str">
        <f>IF(ISNUMBER(outYear),EFT37+EFT42+#REF!+#REF!,"")</f>
        <v/>
      </c>
      <c r="EFU57" s="82" t="str">
        <f>IF(ISNUMBER(outYear),EFU37+EFU42+#REF!+#REF!,"")</f>
        <v/>
      </c>
      <c r="EFV57" s="82" t="str">
        <f>IF(ISNUMBER(outYear),EFV37+EFV42+#REF!+#REF!,"")</f>
        <v/>
      </c>
      <c r="EFW57" s="82" t="str">
        <f>IF(ISNUMBER(outYear),EFW37+EFW42+#REF!+#REF!,"")</f>
        <v/>
      </c>
      <c r="EFX57" s="82" t="str">
        <f>IF(ISNUMBER(outYear),EFX37+EFX42+#REF!+#REF!,"")</f>
        <v/>
      </c>
      <c r="EFY57" s="82" t="str">
        <f>IF(ISNUMBER(outYear),EFY37+EFY42+#REF!+#REF!,"")</f>
        <v/>
      </c>
      <c r="EFZ57" s="82" t="str">
        <f>IF(ISNUMBER(outYear),EFZ37+EFZ42+#REF!+#REF!,"")</f>
        <v/>
      </c>
      <c r="EGA57" s="82" t="str">
        <f>IF(ISNUMBER(outYear),EGA37+EGA42+#REF!+#REF!,"")</f>
        <v/>
      </c>
      <c r="EGB57" s="82" t="str">
        <f>IF(ISNUMBER(outYear),EGB37+EGB42+#REF!+#REF!,"")</f>
        <v/>
      </c>
      <c r="EGC57" s="82" t="str">
        <f>IF(ISNUMBER(outYear),EGC37+EGC42+#REF!+#REF!,"")</f>
        <v/>
      </c>
      <c r="EGD57" s="82" t="str">
        <f>IF(ISNUMBER(outYear),EGD37+EGD42+#REF!+#REF!,"")</f>
        <v/>
      </c>
      <c r="EGE57" s="82" t="str">
        <f>IF(ISNUMBER(outYear),EGE37+EGE42+#REF!+#REF!,"")</f>
        <v/>
      </c>
      <c r="EGF57" s="82" t="str">
        <f>IF(ISNUMBER(outYear),EGF37+EGF42+#REF!+#REF!,"")</f>
        <v/>
      </c>
      <c r="EGG57" s="82" t="str">
        <f>IF(ISNUMBER(outYear),EGG37+EGG42+#REF!+#REF!,"")</f>
        <v/>
      </c>
      <c r="EGH57" s="82" t="str">
        <f>IF(ISNUMBER(outYear),EGH37+EGH42+#REF!+#REF!,"")</f>
        <v/>
      </c>
      <c r="EGI57" s="82" t="str">
        <f>IF(ISNUMBER(outYear),EGI37+EGI42+#REF!+#REF!,"")</f>
        <v/>
      </c>
      <c r="EGJ57" s="82" t="str">
        <f>IF(ISNUMBER(outYear),EGJ37+EGJ42+#REF!+#REF!,"")</f>
        <v/>
      </c>
      <c r="EGK57" s="82" t="str">
        <f>IF(ISNUMBER(outYear),EGK37+EGK42+#REF!+#REF!,"")</f>
        <v/>
      </c>
      <c r="EGL57" s="82" t="str">
        <f>IF(ISNUMBER(outYear),EGL37+EGL42+#REF!+#REF!,"")</f>
        <v/>
      </c>
      <c r="EGM57" s="82" t="str">
        <f>IF(ISNUMBER(outYear),EGM37+EGM42+#REF!+#REF!,"")</f>
        <v/>
      </c>
      <c r="EGN57" s="82" t="str">
        <f>IF(ISNUMBER(outYear),EGN37+EGN42+#REF!+#REF!,"")</f>
        <v/>
      </c>
      <c r="EGO57" s="82" t="str">
        <f>IF(ISNUMBER(outYear),EGO37+EGO42+#REF!+#REF!,"")</f>
        <v/>
      </c>
      <c r="EGP57" s="82" t="str">
        <f>IF(ISNUMBER(outYear),EGP37+EGP42+#REF!+#REF!,"")</f>
        <v/>
      </c>
      <c r="EGQ57" s="82" t="str">
        <f>IF(ISNUMBER(outYear),EGQ37+EGQ42+#REF!+#REF!,"")</f>
        <v/>
      </c>
      <c r="EGR57" s="82" t="str">
        <f>IF(ISNUMBER(outYear),EGR37+EGR42+#REF!+#REF!,"")</f>
        <v/>
      </c>
      <c r="EGS57" s="82" t="str">
        <f>IF(ISNUMBER(outYear),EGS37+EGS42+#REF!+#REF!,"")</f>
        <v/>
      </c>
      <c r="EGT57" s="82" t="str">
        <f>IF(ISNUMBER(outYear),EGT37+EGT42+#REF!+#REF!,"")</f>
        <v/>
      </c>
      <c r="EGU57" s="82" t="str">
        <f>IF(ISNUMBER(outYear),EGU37+EGU42+#REF!+#REF!,"")</f>
        <v/>
      </c>
      <c r="EGV57" s="82" t="str">
        <f>IF(ISNUMBER(outYear),EGV37+EGV42+#REF!+#REF!,"")</f>
        <v/>
      </c>
      <c r="EGW57" s="82" t="str">
        <f>IF(ISNUMBER(outYear),EGW37+EGW42+#REF!+#REF!,"")</f>
        <v/>
      </c>
      <c r="EGX57" s="82" t="str">
        <f>IF(ISNUMBER(outYear),EGX37+EGX42+#REF!+#REF!,"")</f>
        <v/>
      </c>
      <c r="EGY57" s="82" t="str">
        <f>IF(ISNUMBER(outYear),EGY37+EGY42+#REF!+#REF!,"")</f>
        <v/>
      </c>
      <c r="EGZ57" s="82" t="str">
        <f>IF(ISNUMBER(outYear),EGZ37+EGZ42+#REF!+#REF!,"")</f>
        <v/>
      </c>
      <c r="EHA57" s="82" t="str">
        <f>IF(ISNUMBER(outYear),EHA37+EHA42+#REF!+#REF!,"")</f>
        <v/>
      </c>
      <c r="EHB57" s="82" t="str">
        <f>IF(ISNUMBER(outYear),EHB37+EHB42+#REF!+#REF!,"")</f>
        <v/>
      </c>
      <c r="EHC57" s="82" t="str">
        <f>IF(ISNUMBER(outYear),EHC37+EHC42+#REF!+#REF!,"")</f>
        <v/>
      </c>
      <c r="EHD57" s="82" t="str">
        <f>IF(ISNUMBER(outYear),EHD37+EHD42+#REF!+#REF!,"")</f>
        <v/>
      </c>
      <c r="EHE57" s="82" t="str">
        <f>IF(ISNUMBER(outYear),EHE37+EHE42+#REF!+#REF!,"")</f>
        <v/>
      </c>
      <c r="EHF57" s="82" t="str">
        <f>IF(ISNUMBER(outYear),EHF37+EHF42+#REF!+#REF!,"")</f>
        <v/>
      </c>
      <c r="EHG57" s="82" t="str">
        <f>IF(ISNUMBER(outYear),EHG37+EHG42+#REF!+#REF!,"")</f>
        <v/>
      </c>
      <c r="EHH57" s="82" t="str">
        <f>IF(ISNUMBER(outYear),EHH37+EHH42+#REF!+#REF!,"")</f>
        <v/>
      </c>
      <c r="EHI57" s="82" t="str">
        <f>IF(ISNUMBER(outYear),EHI37+EHI42+#REF!+#REF!,"")</f>
        <v/>
      </c>
      <c r="EHJ57" s="82" t="str">
        <f>IF(ISNUMBER(outYear),EHJ37+EHJ42+#REF!+#REF!,"")</f>
        <v/>
      </c>
      <c r="EHK57" s="82" t="str">
        <f>IF(ISNUMBER(outYear),EHK37+EHK42+#REF!+#REF!,"")</f>
        <v/>
      </c>
      <c r="EHL57" s="82" t="str">
        <f>IF(ISNUMBER(outYear),EHL37+EHL42+#REF!+#REF!,"")</f>
        <v/>
      </c>
      <c r="EHM57" s="82" t="str">
        <f>IF(ISNUMBER(outYear),EHM37+EHM42+#REF!+#REF!,"")</f>
        <v/>
      </c>
      <c r="EHN57" s="82" t="str">
        <f>IF(ISNUMBER(outYear),EHN37+EHN42+#REF!+#REF!,"")</f>
        <v/>
      </c>
      <c r="EHO57" s="82" t="str">
        <f>IF(ISNUMBER(outYear),EHO37+EHO42+#REF!+#REF!,"")</f>
        <v/>
      </c>
      <c r="EHP57" s="82" t="str">
        <f>IF(ISNUMBER(outYear),EHP37+EHP42+#REF!+#REF!,"")</f>
        <v/>
      </c>
      <c r="EHQ57" s="82" t="str">
        <f>IF(ISNUMBER(outYear),EHQ37+EHQ42+#REF!+#REF!,"")</f>
        <v/>
      </c>
      <c r="EHR57" s="82" t="str">
        <f>IF(ISNUMBER(outYear),EHR37+EHR42+#REF!+#REF!,"")</f>
        <v/>
      </c>
      <c r="EHS57" s="82" t="str">
        <f>IF(ISNUMBER(outYear),EHS37+EHS42+#REF!+#REF!,"")</f>
        <v/>
      </c>
      <c r="EHT57" s="82" t="str">
        <f>IF(ISNUMBER(outYear),EHT37+EHT42+#REF!+#REF!,"")</f>
        <v/>
      </c>
      <c r="EHU57" s="82" t="str">
        <f>IF(ISNUMBER(outYear),EHU37+EHU42+#REF!+#REF!,"")</f>
        <v/>
      </c>
      <c r="EHV57" s="82" t="str">
        <f>IF(ISNUMBER(outYear),EHV37+EHV42+#REF!+#REF!,"")</f>
        <v/>
      </c>
      <c r="EHW57" s="82" t="str">
        <f>IF(ISNUMBER(outYear),EHW37+EHW42+#REF!+#REF!,"")</f>
        <v/>
      </c>
      <c r="EHX57" s="82" t="str">
        <f>IF(ISNUMBER(outYear),EHX37+EHX42+#REF!+#REF!,"")</f>
        <v/>
      </c>
      <c r="EHY57" s="82" t="str">
        <f>IF(ISNUMBER(outYear),EHY37+EHY42+#REF!+#REF!,"")</f>
        <v/>
      </c>
      <c r="EHZ57" s="82" t="str">
        <f>IF(ISNUMBER(outYear),EHZ37+EHZ42+#REF!+#REF!,"")</f>
        <v/>
      </c>
      <c r="EIA57" s="82" t="str">
        <f>IF(ISNUMBER(outYear),EIA37+EIA42+#REF!+#REF!,"")</f>
        <v/>
      </c>
      <c r="EIB57" s="82" t="str">
        <f>IF(ISNUMBER(outYear),EIB37+EIB42+#REF!+#REF!,"")</f>
        <v/>
      </c>
      <c r="EIC57" s="82" t="str">
        <f>IF(ISNUMBER(outYear),EIC37+EIC42+#REF!+#REF!,"")</f>
        <v/>
      </c>
      <c r="EID57" s="82" t="str">
        <f>IF(ISNUMBER(outYear),EID37+EID42+#REF!+#REF!,"")</f>
        <v/>
      </c>
      <c r="EIE57" s="82" t="str">
        <f>IF(ISNUMBER(outYear),EIE37+EIE42+#REF!+#REF!,"")</f>
        <v/>
      </c>
      <c r="EIF57" s="82" t="str">
        <f>IF(ISNUMBER(outYear),EIF37+EIF42+#REF!+#REF!,"")</f>
        <v/>
      </c>
      <c r="EIG57" s="82" t="str">
        <f>IF(ISNUMBER(outYear),EIG37+EIG42+#REF!+#REF!,"")</f>
        <v/>
      </c>
      <c r="EIH57" s="82" t="str">
        <f>IF(ISNUMBER(outYear),EIH37+EIH42+#REF!+#REF!,"")</f>
        <v/>
      </c>
      <c r="EII57" s="82" t="str">
        <f>IF(ISNUMBER(outYear),EII37+EII42+#REF!+#REF!,"")</f>
        <v/>
      </c>
      <c r="EIJ57" s="82" t="str">
        <f>IF(ISNUMBER(outYear),EIJ37+EIJ42+#REF!+#REF!,"")</f>
        <v/>
      </c>
      <c r="EIK57" s="82" t="str">
        <f>IF(ISNUMBER(outYear),EIK37+EIK42+#REF!+#REF!,"")</f>
        <v/>
      </c>
      <c r="EIL57" s="82" t="str">
        <f>IF(ISNUMBER(outYear),EIL37+EIL42+#REF!+#REF!,"")</f>
        <v/>
      </c>
      <c r="EIM57" s="82" t="str">
        <f>IF(ISNUMBER(outYear),EIM37+EIM42+#REF!+#REF!,"")</f>
        <v/>
      </c>
      <c r="EIN57" s="82" t="str">
        <f>IF(ISNUMBER(outYear),EIN37+EIN42+#REF!+#REF!,"")</f>
        <v/>
      </c>
      <c r="EIO57" s="82" t="str">
        <f>IF(ISNUMBER(outYear),EIO37+EIO42+#REF!+#REF!,"")</f>
        <v/>
      </c>
      <c r="EIP57" s="82" t="str">
        <f>IF(ISNUMBER(outYear),EIP37+EIP42+#REF!+#REF!,"")</f>
        <v/>
      </c>
      <c r="EIQ57" s="82" t="str">
        <f>IF(ISNUMBER(outYear),EIQ37+EIQ42+#REF!+#REF!,"")</f>
        <v/>
      </c>
      <c r="EIR57" s="82" t="str">
        <f>IF(ISNUMBER(outYear),EIR37+EIR42+#REF!+#REF!,"")</f>
        <v/>
      </c>
      <c r="EIS57" s="82" t="str">
        <f>IF(ISNUMBER(outYear),EIS37+EIS42+#REF!+#REF!,"")</f>
        <v/>
      </c>
      <c r="EIT57" s="82" t="str">
        <f>IF(ISNUMBER(outYear),EIT37+EIT42+#REF!+#REF!,"")</f>
        <v/>
      </c>
      <c r="EIU57" s="82" t="str">
        <f>IF(ISNUMBER(outYear),EIU37+EIU42+#REF!+#REF!,"")</f>
        <v/>
      </c>
      <c r="EIV57" s="82" t="str">
        <f>IF(ISNUMBER(outYear),EIV37+EIV42+#REF!+#REF!,"")</f>
        <v/>
      </c>
      <c r="EIW57" s="82" t="str">
        <f>IF(ISNUMBER(outYear),EIW37+EIW42+#REF!+#REF!,"")</f>
        <v/>
      </c>
      <c r="EIX57" s="82" t="str">
        <f>IF(ISNUMBER(outYear),EIX37+EIX42+#REF!+#REF!,"")</f>
        <v/>
      </c>
      <c r="EIY57" s="82" t="str">
        <f>IF(ISNUMBER(outYear),EIY37+EIY42+#REF!+#REF!,"")</f>
        <v/>
      </c>
      <c r="EIZ57" s="82" t="str">
        <f>IF(ISNUMBER(outYear),EIZ37+EIZ42+#REF!+#REF!,"")</f>
        <v/>
      </c>
      <c r="EJA57" s="82" t="str">
        <f>IF(ISNUMBER(outYear),EJA37+EJA42+#REF!+#REF!,"")</f>
        <v/>
      </c>
      <c r="EJB57" s="82" t="str">
        <f>IF(ISNUMBER(outYear),EJB37+EJB42+#REF!+#REF!,"")</f>
        <v/>
      </c>
      <c r="EJC57" s="82" t="str">
        <f>IF(ISNUMBER(outYear),EJC37+EJC42+#REF!+#REF!,"")</f>
        <v/>
      </c>
      <c r="EJD57" s="82" t="str">
        <f>IF(ISNUMBER(outYear),EJD37+EJD42+#REF!+#REF!,"")</f>
        <v/>
      </c>
      <c r="EJE57" s="82" t="str">
        <f>IF(ISNUMBER(outYear),EJE37+EJE42+#REF!+#REF!,"")</f>
        <v/>
      </c>
      <c r="EJF57" s="82" t="str">
        <f>IF(ISNUMBER(outYear),EJF37+EJF42+#REF!+#REF!,"")</f>
        <v/>
      </c>
      <c r="EJG57" s="82" t="str">
        <f>IF(ISNUMBER(outYear),EJG37+EJG42+#REF!+#REF!,"")</f>
        <v/>
      </c>
      <c r="EJH57" s="82" t="str">
        <f>IF(ISNUMBER(outYear),EJH37+EJH42+#REF!+#REF!,"")</f>
        <v/>
      </c>
      <c r="EJI57" s="82" t="str">
        <f>IF(ISNUMBER(outYear),EJI37+EJI42+#REF!+#REF!,"")</f>
        <v/>
      </c>
      <c r="EJJ57" s="82" t="str">
        <f>IF(ISNUMBER(outYear),EJJ37+EJJ42+#REF!+#REF!,"")</f>
        <v/>
      </c>
      <c r="EJK57" s="82" t="str">
        <f>IF(ISNUMBER(outYear),EJK37+EJK42+#REF!+#REF!,"")</f>
        <v/>
      </c>
      <c r="EJL57" s="82" t="str">
        <f>IF(ISNUMBER(outYear),EJL37+EJL42+#REF!+#REF!,"")</f>
        <v/>
      </c>
      <c r="EJM57" s="82" t="str">
        <f>IF(ISNUMBER(outYear),EJM37+EJM42+#REF!+#REF!,"")</f>
        <v/>
      </c>
      <c r="EJN57" s="82" t="str">
        <f>IF(ISNUMBER(outYear),EJN37+EJN42+#REF!+#REF!,"")</f>
        <v/>
      </c>
      <c r="EJO57" s="82" t="str">
        <f>IF(ISNUMBER(outYear),EJO37+EJO42+#REF!+#REF!,"")</f>
        <v/>
      </c>
      <c r="EJP57" s="82" t="str">
        <f>IF(ISNUMBER(outYear),EJP37+EJP42+#REF!+#REF!,"")</f>
        <v/>
      </c>
      <c r="EJQ57" s="82" t="str">
        <f>IF(ISNUMBER(outYear),EJQ37+EJQ42+#REF!+#REF!,"")</f>
        <v/>
      </c>
      <c r="EJR57" s="82" t="str">
        <f>IF(ISNUMBER(outYear),EJR37+EJR42+#REF!+#REF!,"")</f>
        <v/>
      </c>
      <c r="EJS57" s="82" t="str">
        <f>IF(ISNUMBER(outYear),EJS37+EJS42+#REF!+#REF!,"")</f>
        <v/>
      </c>
      <c r="EJT57" s="82" t="str">
        <f>IF(ISNUMBER(outYear),EJT37+EJT42+#REF!+#REF!,"")</f>
        <v/>
      </c>
      <c r="EJU57" s="82" t="str">
        <f>IF(ISNUMBER(outYear),EJU37+EJU42+#REF!+#REF!,"")</f>
        <v/>
      </c>
      <c r="EJV57" s="82" t="str">
        <f>IF(ISNUMBER(outYear),EJV37+EJV42+#REF!+#REF!,"")</f>
        <v/>
      </c>
      <c r="EJW57" s="82" t="str">
        <f>IF(ISNUMBER(outYear),EJW37+EJW42+#REF!+#REF!,"")</f>
        <v/>
      </c>
      <c r="EJX57" s="82" t="str">
        <f>IF(ISNUMBER(outYear),EJX37+EJX42+#REF!+#REF!,"")</f>
        <v/>
      </c>
      <c r="EJY57" s="82" t="str">
        <f>IF(ISNUMBER(outYear),EJY37+EJY42+#REF!+#REF!,"")</f>
        <v/>
      </c>
      <c r="EJZ57" s="82" t="str">
        <f>IF(ISNUMBER(outYear),EJZ37+EJZ42+#REF!+#REF!,"")</f>
        <v/>
      </c>
      <c r="EKA57" s="82" t="str">
        <f>IF(ISNUMBER(outYear),EKA37+EKA42+#REF!+#REF!,"")</f>
        <v/>
      </c>
      <c r="EKB57" s="82" t="str">
        <f>IF(ISNUMBER(outYear),EKB37+EKB42+#REF!+#REF!,"")</f>
        <v/>
      </c>
      <c r="EKC57" s="82" t="str">
        <f>IF(ISNUMBER(outYear),EKC37+EKC42+#REF!+#REF!,"")</f>
        <v/>
      </c>
      <c r="EKD57" s="82" t="str">
        <f>IF(ISNUMBER(outYear),EKD37+EKD42+#REF!+#REF!,"")</f>
        <v/>
      </c>
      <c r="EKE57" s="82" t="str">
        <f>IF(ISNUMBER(outYear),EKE37+EKE42+#REF!+#REF!,"")</f>
        <v/>
      </c>
      <c r="EKF57" s="82" t="str">
        <f>IF(ISNUMBER(outYear),EKF37+EKF42+#REF!+#REF!,"")</f>
        <v/>
      </c>
      <c r="EKG57" s="82" t="str">
        <f>IF(ISNUMBER(outYear),EKG37+EKG42+#REF!+#REF!,"")</f>
        <v/>
      </c>
      <c r="EKH57" s="82" t="str">
        <f>IF(ISNUMBER(outYear),EKH37+EKH42+#REF!+#REF!,"")</f>
        <v/>
      </c>
      <c r="EKI57" s="82" t="str">
        <f>IF(ISNUMBER(outYear),EKI37+EKI42+#REF!+#REF!,"")</f>
        <v/>
      </c>
      <c r="EKJ57" s="82" t="str">
        <f>IF(ISNUMBER(outYear),EKJ37+EKJ42+#REF!+#REF!,"")</f>
        <v/>
      </c>
      <c r="EKK57" s="82" t="str">
        <f>IF(ISNUMBER(outYear),EKK37+EKK42+#REF!+#REF!,"")</f>
        <v/>
      </c>
      <c r="EKL57" s="82" t="str">
        <f>IF(ISNUMBER(outYear),EKL37+EKL42+#REF!+#REF!,"")</f>
        <v/>
      </c>
      <c r="EKM57" s="82" t="str">
        <f>IF(ISNUMBER(outYear),EKM37+EKM42+#REF!+#REF!,"")</f>
        <v/>
      </c>
      <c r="EKN57" s="82" t="str">
        <f>IF(ISNUMBER(outYear),EKN37+EKN42+#REF!+#REF!,"")</f>
        <v/>
      </c>
      <c r="EKO57" s="82" t="str">
        <f>IF(ISNUMBER(outYear),EKO37+EKO42+#REF!+#REF!,"")</f>
        <v/>
      </c>
      <c r="EKP57" s="82" t="str">
        <f>IF(ISNUMBER(outYear),EKP37+EKP42+#REF!+#REF!,"")</f>
        <v/>
      </c>
      <c r="EKQ57" s="82" t="str">
        <f>IF(ISNUMBER(outYear),EKQ37+EKQ42+#REF!+#REF!,"")</f>
        <v/>
      </c>
      <c r="EKR57" s="82" t="str">
        <f>IF(ISNUMBER(outYear),EKR37+EKR42+#REF!+#REF!,"")</f>
        <v/>
      </c>
      <c r="EKS57" s="82" t="str">
        <f>IF(ISNUMBER(outYear),EKS37+EKS42+#REF!+#REF!,"")</f>
        <v/>
      </c>
      <c r="EKT57" s="82" t="str">
        <f>IF(ISNUMBER(outYear),EKT37+EKT42+#REF!+#REF!,"")</f>
        <v/>
      </c>
      <c r="EKU57" s="82" t="str">
        <f>IF(ISNUMBER(outYear),EKU37+EKU42+#REF!+#REF!,"")</f>
        <v/>
      </c>
      <c r="EKV57" s="82" t="str">
        <f>IF(ISNUMBER(outYear),EKV37+EKV42+#REF!+#REF!,"")</f>
        <v/>
      </c>
      <c r="EKW57" s="82" t="str">
        <f>IF(ISNUMBER(outYear),EKW37+EKW42+#REF!+#REF!,"")</f>
        <v/>
      </c>
      <c r="EKX57" s="82" t="str">
        <f>IF(ISNUMBER(outYear),EKX37+EKX42+#REF!+#REF!,"")</f>
        <v/>
      </c>
      <c r="EKY57" s="82" t="str">
        <f>IF(ISNUMBER(outYear),EKY37+EKY42+#REF!+#REF!,"")</f>
        <v/>
      </c>
      <c r="EKZ57" s="82" t="str">
        <f>IF(ISNUMBER(outYear),EKZ37+EKZ42+#REF!+#REF!,"")</f>
        <v/>
      </c>
      <c r="ELA57" s="82" t="str">
        <f>IF(ISNUMBER(outYear),ELA37+ELA42+#REF!+#REF!,"")</f>
        <v/>
      </c>
      <c r="ELB57" s="82" t="str">
        <f>IF(ISNUMBER(outYear),ELB37+ELB42+#REF!+#REF!,"")</f>
        <v/>
      </c>
      <c r="ELC57" s="82" t="str">
        <f>IF(ISNUMBER(outYear),ELC37+ELC42+#REF!+#REF!,"")</f>
        <v/>
      </c>
      <c r="ELD57" s="82" t="str">
        <f>IF(ISNUMBER(outYear),ELD37+ELD42+#REF!+#REF!,"")</f>
        <v/>
      </c>
      <c r="ELE57" s="82" t="str">
        <f>IF(ISNUMBER(outYear),ELE37+ELE42+#REF!+#REF!,"")</f>
        <v/>
      </c>
      <c r="ELF57" s="82" t="str">
        <f>IF(ISNUMBER(outYear),ELF37+ELF42+#REF!+#REF!,"")</f>
        <v/>
      </c>
      <c r="ELG57" s="82" t="str">
        <f>IF(ISNUMBER(outYear),ELG37+ELG42+#REF!+#REF!,"")</f>
        <v/>
      </c>
      <c r="ELH57" s="82" t="str">
        <f>IF(ISNUMBER(outYear),ELH37+ELH42+#REF!+#REF!,"")</f>
        <v/>
      </c>
      <c r="ELI57" s="82" t="str">
        <f>IF(ISNUMBER(outYear),ELI37+ELI42+#REF!+#REF!,"")</f>
        <v/>
      </c>
      <c r="ELJ57" s="82" t="str">
        <f>IF(ISNUMBER(outYear),ELJ37+ELJ42+#REF!+#REF!,"")</f>
        <v/>
      </c>
      <c r="ELK57" s="82" t="str">
        <f>IF(ISNUMBER(outYear),ELK37+ELK42+#REF!+#REF!,"")</f>
        <v/>
      </c>
      <c r="ELL57" s="82" t="str">
        <f>IF(ISNUMBER(outYear),ELL37+ELL42+#REF!+#REF!,"")</f>
        <v/>
      </c>
      <c r="ELM57" s="82" t="str">
        <f>IF(ISNUMBER(outYear),ELM37+ELM42+#REF!+#REF!,"")</f>
        <v/>
      </c>
      <c r="ELN57" s="82" t="str">
        <f>IF(ISNUMBER(outYear),ELN37+ELN42+#REF!+#REF!,"")</f>
        <v/>
      </c>
      <c r="ELO57" s="82" t="str">
        <f>IF(ISNUMBER(outYear),ELO37+ELO42+#REF!+#REF!,"")</f>
        <v/>
      </c>
      <c r="ELP57" s="82" t="str">
        <f>IF(ISNUMBER(outYear),ELP37+ELP42+#REF!+#REF!,"")</f>
        <v/>
      </c>
      <c r="ELQ57" s="82" t="str">
        <f>IF(ISNUMBER(outYear),ELQ37+ELQ42+#REF!+#REF!,"")</f>
        <v/>
      </c>
      <c r="ELR57" s="82" t="str">
        <f>IF(ISNUMBER(outYear),ELR37+ELR42+#REF!+#REF!,"")</f>
        <v/>
      </c>
      <c r="ELS57" s="82" t="str">
        <f>IF(ISNUMBER(outYear),ELS37+ELS42+#REF!+#REF!,"")</f>
        <v/>
      </c>
      <c r="ELT57" s="82" t="str">
        <f>IF(ISNUMBER(outYear),ELT37+ELT42+#REF!+#REF!,"")</f>
        <v/>
      </c>
      <c r="ELU57" s="82" t="str">
        <f>IF(ISNUMBER(outYear),ELU37+ELU42+#REF!+#REF!,"")</f>
        <v/>
      </c>
      <c r="ELV57" s="82" t="str">
        <f>IF(ISNUMBER(outYear),ELV37+ELV42+#REF!+#REF!,"")</f>
        <v/>
      </c>
      <c r="ELW57" s="82" t="str">
        <f>IF(ISNUMBER(outYear),ELW37+ELW42+#REF!+#REF!,"")</f>
        <v/>
      </c>
      <c r="ELX57" s="82" t="str">
        <f>IF(ISNUMBER(outYear),ELX37+ELX42+#REF!+#REF!,"")</f>
        <v/>
      </c>
      <c r="ELY57" s="82" t="str">
        <f>IF(ISNUMBER(outYear),ELY37+ELY42+#REF!+#REF!,"")</f>
        <v/>
      </c>
      <c r="ELZ57" s="82" t="str">
        <f>IF(ISNUMBER(outYear),ELZ37+ELZ42+#REF!+#REF!,"")</f>
        <v/>
      </c>
      <c r="EMA57" s="82" t="str">
        <f>IF(ISNUMBER(outYear),EMA37+EMA42+#REF!+#REF!,"")</f>
        <v/>
      </c>
      <c r="EMB57" s="82" t="str">
        <f>IF(ISNUMBER(outYear),EMB37+EMB42+#REF!+#REF!,"")</f>
        <v/>
      </c>
      <c r="EMC57" s="82" t="str">
        <f>IF(ISNUMBER(outYear),EMC37+EMC42+#REF!+#REF!,"")</f>
        <v/>
      </c>
      <c r="EMD57" s="82" t="str">
        <f>IF(ISNUMBER(outYear),EMD37+EMD42+#REF!+#REF!,"")</f>
        <v/>
      </c>
      <c r="EME57" s="82" t="str">
        <f>IF(ISNUMBER(outYear),EME37+EME42+#REF!+#REF!,"")</f>
        <v/>
      </c>
      <c r="EMF57" s="82" t="str">
        <f>IF(ISNUMBER(outYear),EMF37+EMF42+#REF!+#REF!,"")</f>
        <v/>
      </c>
      <c r="EMG57" s="82" t="str">
        <f>IF(ISNUMBER(outYear),EMG37+EMG42+#REF!+#REF!,"")</f>
        <v/>
      </c>
      <c r="EMH57" s="82" t="str">
        <f>IF(ISNUMBER(outYear),EMH37+EMH42+#REF!+#REF!,"")</f>
        <v/>
      </c>
      <c r="EMI57" s="82" t="str">
        <f>IF(ISNUMBER(outYear),EMI37+EMI42+#REF!+#REF!,"")</f>
        <v/>
      </c>
      <c r="EMJ57" s="82" t="str">
        <f>IF(ISNUMBER(outYear),EMJ37+EMJ42+#REF!+#REF!,"")</f>
        <v/>
      </c>
      <c r="EMK57" s="82" t="str">
        <f>IF(ISNUMBER(outYear),EMK37+EMK42+#REF!+#REF!,"")</f>
        <v/>
      </c>
      <c r="EML57" s="82" t="str">
        <f>IF(ISNUMBER(outYear),EML37+EML42+#REF!+#REF!,"")</f>
        <v/>
      </c>
      <c r="EMM57" s="82" t="str">
        <f>IF(ISNUMBER(outYear),EMM37+EMM42+#REF!+#REF!,"")</f>
        <v/>
      </c>
      <c r="EMN57" s="82" t="str">
        <f>IF(ISNUMBER(outYear),EMN37+EMN42+#REF!+#REF!,"")</f>
        <v/>
      </c>
      <c r="EMO57" s="82" t="str">
        <f>IF(ISNUMBER(outYear),EMO37+EMO42+#REF!+#REF!,"")</f>
        <v/>
      </c>
      <c r="EMP57" s="82" t="str">
        <f>IF(ISNUMBER(outYear),EMP37+EMP42+#REF!+#REF!,"")</f>
        <v/>
      </c>
      <c r="EMQ57" s="82" t="str">
        <f>IF(ISNUMBER(outYear),EMQ37+EMQ42+#REF!+#REF!,"")</f>
        <v/>
      </c>
      <c r="EMR57" s="82" t="str">
        <f>IF(ISNUMBER(outYear),EMR37+EMR42+#REF!+#REF!,"")</f>
        <v/>
      </c>
      <c r="EMS57" s="82" t="str">
        <f>IF(ISNUMBER(outYear),EMS37+EMS42+#REF!+#REF!,"")</f>
        <v/>
      </c>
      <c r="EMT57" s="82" t="str">
        <f>IF(ISNUMBER(outYear),EMT37+EMT42+#REF!+#REF!,"")</f>
        <v/>
      </c>
      <c r="EMU57" s="82" t="str">
        <f>IF(ISNUMBER(outYear),EMU37+EMU42+#REF!+#REF!,"")</f>
        <v/>
      </c>
      <c r="EMV57" s="82" t="str">
        <f>IF(ISNUMBER(outYear),EMV37+EMV42+#REF!+#REF!,"")</f>
        <v/>
      </c>
      <c r="EMW57" s="82" t="str">
        <f>IF(ISNUMBER(outYear),EMW37+EMW42+#REF!+#REF!,"")</f>
        <v/>
      </c>
      <c r="EMX57" s="82" t="str">
        <f>IF(ISNUMBER(outYear),EMX37+EMX42+#REF!+#REF!,"")</f>
        <v/>
      </c>
      <c r="EMY57" s="82" t="str">
        <f>IF(ISNUMBER(outYear),EMY37+EMY42+#REF!+#REF!,"")</f>
        <v/>
      </c>
      <c r="EMZ57" s="82" t="str">
        <f>IF(ISNUMBER(outYear),EMZ37+EMZ42+#REF!+#REF!,"")</f>
        <v/>
      </c>
      <c r="ENA57" s="82" t="str">
        <f>IF(ISNUMBER(outYear),ENA37+ENA42+#REF!+#REF!,"")</f>
        <v/>
      </c>
      <c r="ENB57" s="82" t="str">
        <f>IF(ISNUMBER(outYear),ENB37+ENB42+#REF!+#REF!,"")</f>
        <v/>
      </c>
      <c r="ENC57" s="82" t="str">
        <f>IF(ISNUMBER(outYear),ENC37+ENC42+#REF!+#REF!,"")</f>
        <v/>
      </c>
      <c r="END57" s="82" t="str">
        <f>IF(ISNUMBER(outYear),END37+END42+#REF!+#REF!,"")</f>
        <v/>
      </c>
      <c r="ENE57" s="82" t="str">
        <f>IF(ISNUMBER(outYear),ENE37+ENE42+#REF!+#REF!,"")</f>
        <v/>
      </c>
      <c r="ENF57" s="82" t="str">
        <f>IF(ISNUMBER(outYear),ENF37+ENF42+#REF!+#REF!,"")</f>
        <v/>
      </c>
      <c r="ENG57" s="82" t="str">
        <f>IF(ISNUMBER(outYear),ENG37+ENG42+#REF!+#REF!,"")</f>
        <v/>
      </c>
      <c r="ENH57" s="82" t="str">
        <f>IF(ISNUMBER(outYear),ENH37+ENH42+#REF!+#REF!,"")</f>
        <v/>
      </c>
      <c r="ENI57" s="82" t="str">
        <f>IF(ISNUMBER(outYear),ENI37+ENI42+#REF!+#REF!,"")</f>
        <v/>
      </c>
      <c r="ENJ57" s="82" t="str">
        <f>IF(ISNUMBER(outYear),ENJ37+ENJ42+#REF!+#REF!,"")</f>
        <v/>
      </c>
      <c r="ENK57" s="82" t="str">
        <f>IF(ISNUMBER(outYear),ENK37+ENK42+#REF!+#REF!,"")</f>
        <v/>
      </c>
      <c r="ENL57" s="82" t="str">
        <f>IF(ISNUMBER(outYear),ENL37+ENL42+#REF!+#REF!,"")</f>
        <v/>
      </c>
      <c r="ENM57" s="82" t="str">
        <f>IF(ISNUMBER(outYear),ENM37+ENM42+#REF!+#REF!,"")</f>
        <v/>
      </c>
      <c r="ENN57" s="82" t="str">
        <f>IF(ISNUMBER(outYear),ENN37+ENN42+#REF!+#REF!,"")</f>
        <v/>
      </c>
      <c r="ENO57" s="82" t="str">
        <f>IF(ISNUMBER(outYear),ENO37+ENO42+#REF!+#REF!,"")</f>
        <v/>
      </c>
      <c r="ENP57" s="82" t="str">
        <f>IF(ISNUMBER(outYear),ENP37+ENP42+#REF!+#REF!,"")</f>
        <v/>
      </c>
      <c r="ENQ57" s="82" t="str">
        <f>IF(ISNUMBER(outYear),ENQ37+ENQ42+#REF!+#REF!,"")</f>
        <v/>
      </c>
      <c r="ENR57" s="82" t="str">
        <f>IF(ISNUMBER(outYear),ENR37+ENR42+#REF!+#REF!,"")</f>
        <v/>
      </c>
      <c r="ENS57" s="82" t="str">
        <f>IF(ISNUMBER(outYear),ENS37+ENS42+#REF!+#REF!,"")</f>
        <v/>
      </c>
      <c r="ENT57" s="82" t="str">
        <f>IF(ISNUMBER(outYear),ENT37+ENT42+#REF!+#REF!,"")</f>
        <v/>
      </c>
      <c r="ENU57" s="82" t="str">
        <f>IF(ISNUMBER(outYear),ENU37+ENU42+#REF!+#REF!,"")</f>
        <v/>
      </c>
      <c r="ENV57" s="82" t="str">
        <f>IF(ISNUMBER(outYear),ENV37+ENV42+#REF!+#REF!,"")</f>
        <v/>
      </c>
      <c r="ENW57" s="82" t="str">
        <f>IF(ISNUMBER(outYear),ENW37+ENW42+#REF!+#REF!,"")</f>
        <v/>
      </c>
      <c r="ENX57" s="82" t="str">
        <f>IF(ISNUMBER(outYear),ENX37+ENX42+#REF!+#REF!,"")</f>
        <v/>
      </c>
      <c r="ENY57" s="82" t="str">
        <f>IF(ISNUMBER(outYear),ENY37+ENY42+#REF!+#REF!,"")</f>
        <v/>
      </c>
      <c r="ENZ57" s="82" t="str">
        <f>IF(ISNUMBER(outYear),ENZ37+ENZ42+#REF!+#REF!,"")</f>
        <v/>
      </c>
      <c r="EOA57" s="82" t="str">
        <f>IF(ISNUMBER(outYear),EOA37+EOA42+#REF!+#REF!,"")</f>
        <v/>
      </c>
      <c r="EOB57" s="82" t="str">
        <f>IF(ISNUMBER(outYear),EOB37+EOB42+#REF!+#REF!,"")</f>
        <v/>
      </c>
      <c r="EOC57" s="82" t="str">
        <f>IF(ISNUMBER(outYear),EOC37+EOC42+#REF!+#REF!,"")</f>
        <v/>
      </c>
      <c r="EOD57" s="82" t="str">
        <f>IF(ISNUMBER(outYear),EOD37+EOD42+#REF!+#REF!,"")</f>
        <v/>
      </c>
      <c r="EOE57" s="82" t="str">
        <f>IF(ISNUMBER(outYear),EOE37+EOE42+#REF!+#REF!,"")</f>
        <v/>
      </c>
      <c r="EOF57" s="82" t="str">
        <f>IF(ISNUMBER(outYear),EOF37+EOF42+#REF!+#REF!,"")</f>
        <v/>
      </c>
      <c r="EOG57" s="82" t="str">
        <f>IF(ISNUMBER(outYear),EOG37+EOG42+#REF!+#REF!,"")</f>
        <v/>
      </c>
      <c r="EOH57" s="82" t="str">
        <f>IF(ISNUMBER(outYear),EOH37+EOH42+#REF!+#REF!,"")</f>
        <v/>
      </c>
      <c r="EOI57" s="82" t="str">
        <f>IF(ISNUMBER(outYear),EOI37+EOI42+#REF!+#REF!,"")</f>
        <v/>
      </c>
      <c r="EOJ57" s="82" t="str">
        <f>IF(ISNUMBER(outYear),EOJ37+EOJ42+#REF!+#REF!,"")</f>
        <v/>
      </c>
      <c r="EOK57" s="82" t="str">
        <f>IF(ISNUMBER(outYear),EOK37+EOK42+#REF!+#REF!,"")</f>
        <v/>
      </c>
      <c r="EOL57" s="82" t="str">
        <f>IF(ISNUMBER(outYear),EOL37+EOL42+#REF!+#REF!,"")</f>
        <v/>
      </c>
      <c r="EOM57" s="82" t="str">
        <f>IF(ISNUMBER(outYear),EOM37+EOM42+#REF!+#REF!,"")</f>
        <v/>
      </c>
      <c r="EON57" s="82" t="str">
        <f>IF(ISNUMBER(outYear),EON37+EON42+#REF!+#REF!,"")</f>
        <v/>
      </c>
      <c r="EOO57" s="82" t="str">
        <f>IF(ISNUMBER(outYear),EOO37+EOO42+#REF!+#REF!,"")</f>
        <v/>
      </c>
      <c r="EOP57" s="82" t="str">
        <f>IF(ISNUMBER(outYear),EOP37+EOP42+#REF!+#REF!,"")</f>
        <v/>
      </c>
      <c r="EOQ57" s="82" t="str">
        <f>IF(ISNUMBER(outYear),EOQ37+EOQ42+#REF!+#REF!,"")</f>
        <v/>
      </c>
      <c r="EOR57" s="82" t="str">
        <f>IF(ISNUMBER(outYear),EOR37+EOR42+#REF!+#REF!,"")</f>
        <v/>
      </c>
      <c r="EOS57" s="82" t="str">
        <f>IF(ISNUMBER(outYear),EOS37+EOS42+#REF!+#REF!,"")</f>
        <v/>
      </c>
      <c r="EOT57" s="82" t="str">
        <f>IF(ISNUMBER(outYear),EOT37+EOT42+#REF!+#REF!,"")</f>
        <v/>
      </c>
      <c r="EOU57" s="82" t="str">
        <f>IF(ISNUMBER(outYear),EOU37+EOU42+#REF!+#REF!,"")</f>
        <v/>
      </c>
      <c r="EOV57" s="82" t="str">
        <f>IF(ISNUMBER(outYear),EOV37+EOV42+#REF!+#REF!,"")</f>
        <v/>
      </c>
      <c r="EOW57" s="82" t="str">
        <f>IF(ISNUMBER(outYear),EOW37+EOW42+#REF!+#REF!,"")</f>
        <v/>
      </c>
      <c r="EOX57" s="82" t="str">
        <f>IF(ISNUMBER(outYear),EOX37+EOX42+#REF!+#REF!,"")</f>
        <v/>
      </c>
      <c r="EOY57" s="82" t="str">
        <f>IF(ISNUMBER(outYear),EOY37+EOY42+#REF!+#REF!,"")</f>
        <v/>
      </c>
      <c r="EOZ57" s="82" t="str">
        <f>IF(ISNUMBER(outYear),EOZ37+EOZ42+#REF!+#REF!,"")</f>
        <v/>
      </c>
      <c r="EPA57" s="82" t="str">
        <f>IF(ISNUMBER(outYear),EPA37+EPA42+#REF!+#REF!,"")</f>
        <v/>
      </c>
      <c r="EPB57" s="82" t="str">
        <f>IF(ISNUMBER(outYear),EPB37+EPB42+#REF!+#REF!,"")</f>
        <v/>
      </c>
      <c r="EPC57" s="82" t="str">
        <f>IF(ISNUMBER(outYear),EPC37+EPC42+#REF!+#REF!,"")</f>
        <v/>
      </c>
      <c r="EPD57" s="82" t="str">
        <f>IF(ISNUMBER(outYear),EPD37+EPD42+#REF!+#REF!,"")</f>
        <v/>
      </c>
      <c r="EPE57" s="82" t="str">
        <f>IF(ISNUMBER(outYear),EPE37+EPE42+#REF!+#REF!,"")</f>
        <v/>
      </c>
      <c r="EPF57" s="82" t="str">
        <f>IF(ISNUMBER(outYear),EPF37+EPF42+#REF!+#REF!,"")</f>
        <v/>
      </c>
      <c r="EPG57" s="82" t="str">
        <f>IF(ISNUMBER(outYear),EPG37+EPG42+#REF!+#REF!,"")</f>
        <v/>
      </c>
      <c r="EPH57" s="82" t="str">
        <f>IF(ISNUMBER(outYear),EPH37+EPH42+#REF!+#REF!,"")</f>
        <v/>
      </c>
      <c r="EPI57" s="82" t="str">
        <f>IF(ISNUMBER(outYear),EPI37+EPI42+#REF!+#REF!,"")</f>
        <v/>
      </c>
      <c r="EPJ57" s="82" t="str">
        <f>IF(ISNUMBER(outYear),EPJ37+EPJ42+#REF!+#REF!,"")</f>
        <v/>
      </c>
      <c r="EPK57" s="82" t="str">
        <f>IF(ISNUMBER(outYear),EPK37+EPK42+#REF!+#REF!,"")</f>
        <v/>
      </c>
      <c r="EPL57" s="82" t="str">
        <f>IF(ISNUMBER(outYear),EPL37+EPL42+#REF!+#REF!,"")</f>
        <v/>
      </c>
      <c r="EPM57" s="82" t="str">
        <f>IF(ISNUMBER(outYear),EPM37+EPM42+#REF!+#REF!,"")</f>
        <v/>
      </c>
      <c r="EPN57" s="82" t="str">
        <f>IF(ISNUMBER(outYear),EPN37+EPN42+#REF!+#REF!,"")</f>
        <v/>
      </c>
      <c r="EPO57" s="82" t="str">
        <f>IF(ISNUMBER(outYear),EPO37+EPO42+#REF!+#REF!,"")</f>
        <v/>
      </c>
      <c r="EPP57" s="82" t="str">
        <f>IF(ISNUMBER(outYear),EPP37+EPP42+#REF!+#REF!,"")</f>
        <v/>
      </c>
      <c r="EPQ57" s="82" t="str">
        <f>IF(ISNUMBER(outYear),EPQ37+EPQ42+#REF!+#REF!,"")</f>
        <v/>
      </c>
      <c r="EPR57" s="82" t="str">
        <f>IF(ISNUMBER(outYear),EPR37+EPR42+#REF!+#REF!,"")</f>
        <v/>
      </c>
      <c r="EPS57" s="82" t="str">
        <f>IF(ISNUMBER(outYear),EPS37+EPS42+#REF!+#REF!,"")</f>
        <v/>
      </c>
      <c r="EPT57" s="82" t="str">
        <f>IF(ISNUMBER(outYear),EPT37+EPT42+#REF!+#REF!,"")</f>
        <v/>
      </c>
      <c r="EPU57" s="82" t="str">
        <f>IF(ISNUMBER(outYear),EPU37+EPU42+#REF!+#REF!,"")</f>
        <v/>
      </c>
      <c r="EPV57" s="82" t="str">
        <f>IF(ISNUMBER(outYear),EPV37+EPV42+#REF!+#REF!,"")</f>
        <v/>
      </c>
      <c r="EPW57" s="82" t="str">
        <f>IF(ISNUMBER(outYear),EPW37+EPW42+#REF!+#REF!,"")</f>
        <v/>
      </c>
      <c r="EPX57" s="82" t="str">
        <f>IF(ISNUMBER(outYear),EPX37+EPX42+#REF!+#REF!,"")</f>
        <v/>
      </c>
      <c r="EPY57" s="82" t="str">
        <f>IF(ISNUMBER(outYear),EPY37+EPY42+#REF!+#REF!,"")</f>
        <v/>
      </c>
      <c r="EPZ57" s="82" t="str">
        <f>IF(ISNUMBER(outYear),EPZ37+EPZ42+#REF!+#REF!,"")</f>
        <v/>
      </c>
      <c r="EQA57" s="82" t="str">
        <f>IF(ISNUMBER(outYear),EQA37+EQA42+#REF!+#REF!,"")</f>
        <v/>
      </c>
      <c r="EQB57" s="82" t="str">
        <f>IF(ISNUMBER(outYear),EQB37+EQB42+#REF!+#REF!,"")</f>
        <v/>
      </c>
      <c r="EQC57" s="82" t="str">
        <f>IF(ISNUMBER(outYear),EQC37+EQC42+#REF!+#REF!,"")</f>
        <v/>
      </c>
      <c r="EQD57" s="82" t="str">
        <f>IF(ISNUMBER(outYear),EQD37+EQD42+#REF!+#REF!,"")</f>
        <v/>
      </c>
      <c r="EQE57" s="82" t="str">
        <f>IF(ISNUMBER(outYear),EQE37+EQE42+#REF!+#REF!,"")</f>
        <v/>
      </c>
      <c r="EQF57" s="82" t="str">
        <f>IF(ISNUMBER(outYear),EQF37+EQF42+#REF!+#REF!,"")</f>
        <v/>
      </c>
      <c r="EQG57" s="82" t="str">
        <f>IF(ISNUMBER(outYear),EQG37+EQG42+#REF!+#REF!,"")</f>
        <v/>
      </c>
      <c r="EQH57" s="82" t="str">
        <f>IF(ISNUMBER(outYear),EQH37+EQH42+#REF!+#REF!,"")</f>
        <v/>
      </c>
      <c r="EQI57" s="82" t="str">
        <f>IF(ISNUMBER(outYear),EQI37+EQI42+#REF!+#REF!,"")</f>
        <v/>
      </c>
      <c r="EQJ57" s="82" t="str">
        <f>IF(ISNUMBER(outYear),EQJ37+EQJ42+#REF!+#REF!,"")</f>
        <v/>
      </c>
      <c r="EQK57" s="82" t="str">
        <f>IF(ISNUMBER(outYear),EQK37+EQK42+#REF!+#REF!,"")</f>
        <v/>
      </c>
      <c r="EQL57" s="82" t="str">
        <f>IF(ISNUMBER(outYear),EQL37+EQL42+#REF!+#REF!,"")</f>
        <v/>
      </c>
      <c r="EQM57" s="82" t="str">
        <f>IF(ISNUMBER(outYear),EQM37+EQM42+#REF!+#REF!,"")</f>
        <v/>
      </c>
      <c r="EQN57" s="82" t="str">
        <f>IF(ISNUMBER(outYear),EQN37+EQN42+#REF!+#REF!,"")</f>
        <v/>
      </c>
      <c r="EQO57" s="82" t="str">
        <f>IF(ISNUMBER(outYear),EQO37+EQO42+#REF!+#REF!,"")</f>
        <v/>
      </c>
      <c r="EQP57" s="82" t="str">
        <f>IF(ISNUMBER(outYear),EQP37+EQP42+#REF!+#REF!,"")</f>
        <v/>
      </c>
      <c r="EQQ57" s="82" t="str">
        <f>IF(ISNUMBER(outYear),EQQ37+EQQ42+#REF!+#REF!,"")</f>
        <v/>
      </c>
      <c r="EQR57" s="82" t="str">
        <f>IF(ISNUMBER(outYear),EQR37+EQR42+#REF!+#REF!,"")</f>
        <v/>
      </c>
      <c r="EQS57" s="82" t="str">
        <f>IF(ISNUMBER(outYear),EQS37+EQS42+#REF!+#REF!,"")</f>
        <v/>
      </c>
      <c r="EQT57" s="82" t="str">
        <f>IF(ISNUMBER(outYear),EQT37+EQT42+#REF!+#REF!,"")</f>
        <v/>
      </c>
      <c r="EQU57" s="82" t="str">
        <f>IF(ISNUMBER(outYear),EQU37+EQU42+#REF!+#REF!,"")</f>
        <v/>
      </c>
      <c r="EQV57" s="82" t="str">
        <f>IF(ISNUMBER(outYear),EQV37+EQV42+#REF!+#REF!,"")</f>
        <v/>
      </c>
      <c r="EQW57" s="82" t="str">
        <f>IF(ISNUMBER(outYear),EQW37+EQW42+#REF!+#REF!,"")</f>
        <v/>
      </c>
      <c r="EQX57" s="82" t="str">
        <f>IF(ISNUMBER(outYear),EQX37+EQX42+#REF!+#REF!,"")</f>
        <v/>
      </c>
      <c r="EQY57" s="82" t="str">
        <f>IF(ISNUMBER(outYear),EQY37+EQY42+#REF!+#REF!,"")</f>
        <v/>
      </c>
      <c r="EQZ57" s="82" t="str">
        <f>IF(ISNUMBER(outYear),EQZ37+EQZ42+#REF!+#REF!,"")</f>
        <v/>
      </c>
      <c r="ERA57" s="82" t="str">
        <f>IF(ISNUMBER(outYear),ERA37+ERA42+#REF!+#REF!,"")</f>
        <v/>
      </c>
      <c r="ERB57" s="82" t="str">
        <f>IF(ISNUMBER(outYear),ERB37+ERB42+#REF!+#REF!,"")</f>
        <v/>
      </c>
      <c r="ERC57" s="82" t="str">
        <f>IF(ISNUMBER(outYear),ERC37+ERC42+#REF!+#REF!,"")</f>
        <v/>
      </c>
      <c r="ERD57" s="82" t="str">
        <f>IF(ISNUMBER(outYear),ERD37+ERD42+#REF!+#REF!,"")</f>
        <v/>
      </c>
      <c r="ERE57" s="82" t="str">
        <f>IF(ISNUMBER(outYear),ERE37+ERE42+#REF!+#REF!,"")</f>
        <v/>
      </c>
      <c r="ERF57" s="82" t="str">
        <f>IF(ISNUMBER(outYear),ERF37+ERF42+#REF!+#REF!,"")</f>
        <v/>
      </c>
      <c r="ERG57" s="82" t="str">
        <f>IF(ISNUMBER(outYear),ERG37+ERG42+#REF!+#REF!,"")</f>
        <v/>
      </c>
      <c r="ERH57" s="82" t="str">
        <f>IF(ISNUMBER(outYear),ERH37+ERH42+#REF!+#REF!,"")</f>
        <v/>
      </c>
      <c r="ERI57" s="82" t="str">
        <f>IF(ISNUMBER(outYear),ERI37+ERI42+#REF!+#REF!,"")</f>
        <v/>
      </c>
      <c r="ERJ57" s="82" t="str">
        <f>IF(ISNUMBER(outYear),ERJ37+ERJ42+#REF!+#REF!,"")</f>
        <v/>
      </c>
      <c r="ERK57" s="82" t="str">
        <f>IF(ISNUMBER(outYear),ERK37+ERK42+#REF!+#REF!,"")</f>
        <v/>
      </c>
      <c r="ERL57" s="82" t="str">
        <f>IF(ISNUMBER(outYear),ERL37+ERL42+#REF!+#REF!,"")</f>
        <v/>
      </c>
      <c r="ERM57" s="82" t="str">
        <f>IF(ISNUMBER(outYear),ERM37+ERM42+#REF!+#REF!,"")</f>
        <v/>
      </c>
      <c r="ERN57" s="82" t="str">
        <f>IF(ISNUMBER(outYear),ERN37+ERN42+#REF!+#REF!,"")</f>
        <v/>
      </c>
      <c r="ERO57" s="82" t="str">
        <f>IF(ISNUMBER(outYear),ERO37+ERO42+#REF!+#REF!,"")</f>
        <v/>
      </c>
      <c r="ERP57" s="82" t="str">
        <f>IF(ISNUMBER(outYear),ERP37+ERP42+#REF!+#REF!,"")</f>
        <v/>
      </c>
      <c r="ERQ57" s="82" t="str">
        <f>IF(ISNUMBER(outYear),ERQ37+ERQ42+#REF!+#REF!,"")</f>
        <v/>
      </c>
      <c r="ERR57" s="82" t="str">
        <f>IF(ISNUMBER(outYear),ERR37+ERR42+#REF!+#REF!,"")</f>
        <v/>
      </c>
      <c r="ERS57" s="82" t="str">
        <f>IF(ISNUMBER(outYear),ERS37+ERS42+#REF!+#REF!,"")</f>
        <v/>
      </c>
      <c r="ERT57" s="82" t="str">
        <f>IF(ISNUMBER(outYear),ERT37+ERT42+#REF!+#REF!,"")</f>
        <v/>
      </c>
      <c r="ERU57" s="82" t="str">
        <f>IF(ISNUMBER(outYear),ERU37+ERU42+#REF!+#REF!,"")</f>
        <v/>
      </c>
      <c r="ERV57" s="82" t="str">
        <f>IF(ISNUMBER(outYear),ERV37+ERV42+#REF!+#REF!,"")</f>
        <v/>
      </c>
      <c r="ERW57" s="82" t="str">
        <f>IF(ISNUMBER(outYear),ERW37+ERW42+#REF!+#REF!,"")</f>
        <v/>
      </c>
      <c r="ERX57" s="82" t="str">
        <f>IF(ISNUMBER(outYear),ERX37+ERX42+#REF!+#REF!,"")</f>
        <v/>
      </c>
      <c r="ERY57" s="82" t="str">
        <f>IF(ISNUMBER(outYear),ERY37+ERY42+#REF!+#REF!,"")</f>
        <v/>
      </c>
      <c r="ERZ57" s="82" t="str">
        <f>IF(ISNUMBER(outYear),ERZ37+ERZ42+#REF!+#REF!,"")</f>
        <v/>
      </c>
      <c r="ESA57" s="82" t="str">
        <f>IF(ISNUMBER(outYear),ESA37+ESA42+#REF!+#REF!,"")</f>
        <v/>
      </c>
      <c r="ESB57" s="82" t="str">
        <f>IF(ISNUMBER(outYear),ESB37+ESB42+#REF!+#REF!,"")</f>
        <v/>
      </c>
      <c r="ESC57" s="82" t="str">
        <f>IF(ISNUMBER(outYear),ESC37+ESC42+#REF!+#REF!,"")</f>
        <v/>
      </c>
      <c r="ESD57" s="82" t="str">
        <f>IF(ISNUMBER(outYear),ESD37+ESD42+#REF!+#REF!,"")</f>
        <v/>
      </c>
      <c r="ESE57" s="82" t="str">
        <f>IF(ISNUMBER(outYear),ESE37+ESE42+#REF!+#REF!,"")</f>
        <v/>
      </c>
      <c r="ESF57" s="82" t="str">
        <f>IF(ISNUMBER(outYear),ESF37+ESF42+#REF!+#REF!,"")</f>
        <v/>
      </c>
      <c r="ESG57" s="82" t="str">
        <f>IF(ISNUMBER(outYear),ESG37+ESG42+#REF!+#REF!,"")</f>
        <v/>
      </c>
      <c r="ESH57" s="82" t="str">
        <f>IF(ISNUMBER(outYear),ESH37+ESH42+#REF!+#REF!,"")</f>
        <v/>
      </c>
      <c r="ESI57" s="82" t="str">
        <f>IF(ISNUMBER(outYear),ESI37+ESI42+#REF!+#REF!,"")</f>
        <v/>
      </c>
      <c r="ESJ57" s="82" t="str">
        <f>IF(ISNUMBER(outYear),ESJ37+ESJ42+#REF!+#REF!,"")</f>
        <v/>
      </c>
      <c r="ESK57" s="82" t="str">
        <f>IF(ISNUMBER(outYear),ESK37+ESK42+#REF!+#REF!,"")</f>
        <v/>
      </c>
      <c r="ESL57" s="82" t="str">
        <f>IF(ISNUMBER(outYear),ESL37+ESL42+#REF!+#REF!,"")</f>
        <v/>
      </c>
      <c r="ESM57" s="82" t="str">
        <f>IF(ISNUMBER(outYear),ESM37+ESM42+#REF!+#REF!,"")</f>
        <v/>
      </c>
      <c r="ESN57" s="82" t="str">
        <f>IF(ISNUMBER(outYear),ESN37+ESN42+#REF!+#REF!,"")</f>
        <v/>
      </c>
      <c r="ESO57" s="82" t="str">
        <f>IF(ISNUMBER(outYear),ESO37+ESO42+#REF!+#REF!,"")</f>
        <v/>
      </c>
      <c r="ESP57" s="82" t="str">
        <f>IF(ISNUMBER(outYear),ESP37+ESP42+#REF!+#REF!,"")</f>
        <v/>
      </c>
      <c r="ESQ57" s="82" t="str">
        <f>IF(ISNUMBER(outYear),ESQ37+ESQ42+#REF!+#REF!,"")</f>
        <v/>
      </c>
      <c r="ESR57" s="82" t="str">
        <f>IF(ISNUMBER(outYear),ESR37+ESR42+#REF!+#REF!,"")</f>
        <v/>
      </c>
      <c r="ESS57" s="82" t="str">
        <f>IF(ISNUMBER(outYear),ESS37+ESS42+#REF!+#REF!,"")</f>
        <v/>
      </c>
      <c r="EST57" s="82" t="str">
        <f>IF(ISNUMBER(outYear),EST37+EST42+#REF!+#REF!,"")</f>
        <v/>
      </c>
      <c r="ESU57" s="82" t="str">
        <f>IF(ISNUMBER(outYear),ESU37+ESU42+#REF!+#REF!,"")</f>
        <v/>
      </c>
      <c r="ESV57" s="82" t="str">
        <f>IF(ISNUMBER(outYear),ESV37+ESV42+#REF!+#REF!,"")</f>
        <v/>
      </c>
      <c r="ESW57" s="82" t="str">
        <f>IF(ISNUMBER(outYear),ESW37+ESW42+#REF!+#REF!,"")</f>
        <v/>
      </c>
      <c r="ESX57" s="82" t="str">
        <f>IF(ISNUMBER(outYear),ESX37+ESX42+#REF!+#REF!,"")</f>
        <v/>
      </c>
      <c r="ESY57" s="82" t="str">
        <f>IF(ISNUMBER(outYear),ESY37+ESY42+#REF!+#REF!,"")</f>
        <v/>
      </c>
      <c r="ESZ57" s="82" t="str">
        <f>IF(ISNUMBER(outYear),ESZ37+ESZ42+#REF!+#REF!,"")</f>
        <v/>
      </c>
      <c r="ETA57" s="82" t="str">
        <f>IF(ISNUMBER(outYear),ETA37+ETA42+#REF!+#REF!,"")</f>
        <v/>
      </c>
      <c r="ETB57" s="82" t="str">
        <f>IF(ISNUMBER(outYear),ETB37+ETB42+#REF!+#REF!,"")</f>
        <v/>
      </c>
      <c r="ETC57" s="82" t="str">
        <f>IF(ISNUMBER(outYear),ETC37+ETC42+#REF!+#REF!,"")</f>
        <v/>
      </c>
      <c r="ETD57" s="82" t="str">
        <f>IF(ISNUMBER(outYear),ETD37+ETD42+#REF!+#REF!,"")</f>
        <v/>
      </c>
      <c r="ETE57" s="82" t="str">
        <f>IF(ISNUMBER(outYear),ETE37+ETE42+#REF!+#REF!,"")</f>
        <v/>
      </c>
      <c r="ETF57" s="82" t="str">
        <f>IF(ISNUMBER(outYear),ETF37+ETF42+#REF!+#REF!,"")</f>
        <v/>
      </c>
      <c r="ETG57" s="82" t="str">
        <f>IF(ISNUMBER(outYear),ETG37+ETG42+#REF!+#REF!,"")</f>
        <v/>
      </c>
      <c r="ETH57" s="82" t="str">
        <f>IF(ISNUMBER(outYear),ETH37+ETH42+#REF!+#REF!,"")</f>
        <v/>
      </c>
      <c r="ETI57" s="82" t="str">
        <f>IF(ISNUMBER(outYear),ETI37+ETI42+#REF!+#REF!,"")</f>
        <v/>
      </c>
      <c r="ETJ57" s="82" t="str">
        <f>IF(ISNUMBER(outYear),ETJ37+ETJ42+#REF!+#REF!,"")</f>
        <v/>
      </c>
      <c r="ETK57" s="82" t="str">
        <f>IF(ISNUMBER(outYear),ETK37+ETK42+#REF!+#REF!,"")</f>
        <v/>
      </c>
      <c r="ETL57" s="82" t="str">
        <f>IF(ISNUMBER(outYear),ETL37+ETL42+#REF!+#REF!,"")</f>
        <v/>
      </c>
      <c r="ETM57" s="82" t="str">
        <f>IF(ISNUMBER(outYear),ETM37+ETM42+#REF!+#REF!,"")</f>
        <v/>
      </c>
      <c r="ETN57" s="82" t="str">
        <f>IF(ISNUMBER(outYear),ETN37+ETN42+#REF!+#REF!,"")</f>
        <v/>
      </c>
      <c r="ETO57" s="82" t="str">
        <f>IF(ISNUMBER(outYear),ETO37+ETO42+#REF!+#REF!,"")</f>
        <v/>
      </c>
      <c r="ETP57" s="82" t="str">
        <f>IF(ISNUMBER(outYear),ETP37+ETP42+#REF!+#REF!,"")</f>
        <v/>
      </c>
      <c r="ETQ57" s="82" t="str">
        <f>IF(ISNUMBER(outYear),ETQ37+ETQ42+#REF!+#REF!,"")</f>
        <v/>
      </c>
      <c r="ETR57" s="82" t="str">
        <f>IF(ISNUMBER(outYear),ETR37+ETR42+#REF!+#REF!,"")</f>
        <v/>
      </c>
      <c r="ETS57" s="82" t="str">
        <f>IF(ISNUMBER(outYear),ETS37+ETS42+#REF!+#REF!,"")</f>
        <v/>
      </c>
      <c r="ETT57" s="82" t="str">
        <f>IF(ISNUMBER(outYear),ETT37+ETT42+#REF!+#REF!,"")</f>
        <v/>
      </c>
      <c r="ETU57" s="82" t="str">
        <f>IF(ISNUMBER(outYear),ETU37+ETU42+#REF!+#REF!,"")</f>
        <v/>
      </c>
      <c r="ETV57" s="82" t="str">
        <f>IF(ISNUMBER(outYear),ETV37+ETV42+#REF!+#REF!,"")</f>
        <v/>
      </c>
      <c r="ETW57" s="82" t="str">
        <f>IF(ISNUMBER(outYear),ETW37+ETW42+#REF!+#REF!,"")</f>
        <v/>
      </c>
      <c r="ETX57" s="82" t="str">
        <f>IF(ISNUMBER(outYear),ETX37+ETX42+#REF!+#REF!,"")</f>
        <v/>
      </c>
      <c r="ETY57" s="82" t="str">
        <f>IF(ISNUMBER(outYear),ETY37+ETY42+#REF!+#REF!,"")</f>
        <v/>
      </c>
      <c r="ETZ57" s="82" t="str">
        <f>IF(ISNUMBER(outYear),ETZ37+ETZ42+#REF!+#REF!,"")</f>
        <v/>
      </c>
      <c r="EUA57" s="82" t="str">
        <f>IF(ISNUMBER(outYear),EUA37+EUA42+#REF!+#REF!,"")</f>
        <v/>
      </c>
      <c r="EUB57" s="82" t="str">
        <f>IF(ISNUMBER(outYear),EUB37+EUB42+#REF!+#REF!,"")</f>
        <v/>
      </c>
      <c r="EUC57" s="82" t="str">
        <f>IF(ISNUMBER(outYear),EUC37+EUC42+#REF!+#REF!,"")</f>
        <v/>
      </c>
      <c r="EUD57" s="82" t="str">
        <f>IF(ISNUMBER(outYear),EUD37+EUD42+#REF!+#REF!,"")</f>
        <v/>
      </c>
      <c r="EUE57" s="82" t="str">
        <f>IF(ISNUMBER(outYear),EUE37+EUE42+#REF!+#REF!,"")</f>
        <v/>
      </c>
      <c r="EUF57" s="82" t="str">
        <f>IF(ISNUMBER(outYear),EUF37+EUF42+#REF!+#REF!,"")</f>
        <v/>
      </c>
      <c r="EUG57" s="82" t="str">
        <f>IF(ISNUMBER(outYear),EUG37+EUG42+#REF!+#REF!,"")</f>
        <v/>
      </c>
      <c r="EUH57" s="82" t="str">
        <f>IF(ISNUMBER(outYear),EUH37+EUH42+#REF!+#REF!,"")</f>
        <v/>
      </c>
      <c r="EUI57" s="82" t="str">
        <f>IF(ISNUMBER(outYear),EUI37+EUI42+#REF!+#REF!,"")</f>
        <v/>
      </c>
      <c r="EUJ57" s="82" t="str">
        <f>IF(ISNUMBER(outYear),EUJ37+EUJ42+#REF!+#REF!,"")</f>
        <v/>
      </c>
      <c r="EUK57" s="82" t="str">
        <f>IF(ISNUMBER(outYear),EUK37+EUK42+#REF!+#REF!,"")</f>
        <v/>
      </c>
      <c r="EUL57" s="82" t="str">
        <f>IF(ISNUMBER(outYear),EUL37+EUL42+#REF!+#REF!,"")</f>
        <v/>
      </c>
      <c r="EUM57" s="82" t="str">
        <f>IF(ISNUMBER(outYear),EUM37+EUM42+#REF!+#REF!,"")</f>
        <v/>
      </c>
      <c r="EUN57" s="82" t="str">
        <f>IF(ISNUMBER(outYear),EUN37+EUN42+#REF!+#REF!,"")</f>
        <v/>
      </c>
      <c r="EUO57" s="82" t="str">
        <f>IF(ISNUMBER(outYear),EUO37+EUO42+#REF!+#REF!,"")</f>
        <v/>
      </c>
      <c r="EUP57" s="82" t="str">
        <f>IF(ISNUMBER(outYear),EUP37+EUP42+#REF!+#REF!,"")</f>
        <v/>
      </c>
      <c r="EUQ57" s="82" t="str">
        <f>IF(ISNUMBER(outYear),EUQ37+EUQ42+#REF!+#REF!,"")</f>
        <v/>
      </c>
      <c r="EUR57" s="82" t="str">
        <f>IF(ISNUMBER(outYear),EUR37+EUR42+#REF!+#REF!,"")</f>
        <v/>
      </c>
      <c r="EUS57" s="82" t="str">
        <f>IF(ISNUMBER(outYear),EUS37+EUS42+#REF!+#REF!,"")</f>
        <v/>
      </c>
      <c r="EUT57" s="82" t="str">
        <f>IF(ISNUMBER(outYear),EUT37+EUT42+#REF!+#REF!,"")</f>
        <v/>
      </c>
      <c r="EUU57" s="82" t="str">
        <f>IF(ISNUMBER(outYear),EUU37+EUU42+#REF!+#REF!,"")</f>
        <v/>
      </c>
      <c r="EUV57" s="82" t="str">
        <f>IF(ISNUMBER(outYear),EUV37+EUV42+#REF!+#REF!,"")</f>
        <v/>
      </c>
      <c r="EUW57" s="82" t="str">
        <f>IF(ISNUMBER(outYear),EUW37+EUW42+#REF!+#REF!,"")</f>
        <v/>
      </c>
      <c r="EUX57" s="82" t="str">
        <f>IF(ISNUMBER(outYear),EUX37+EUX42+#REF!+#REF!,"")</f>
        <v/>
      </c>
      <c r="EUY57" s="82" t="str">
        <f>IF(ISNUMBER(outYear),EUY37+EUY42+#REF!+#REF!,"")</f>
        <v/>
      </c>
      <c r="EUZ57" s="82" t="str">
        <f>IF(ISNUMBER(outYear),EUZ37+EUZ42+#REF!+#REF!,"")</f>
        <v/>
      </c>
      <c r="EVA57" s="82" t="str">
        <f>IF(ISNUMBER(outYear),EVA37+EVA42+#REF!+#REF!,"")</f>
        <v/>
      </c>
      <c r="EVB57" s="82" t="str">
        <f>IF(ISNUMBER(outYear),EVB37+EVB42+#REF!+#REF!,"")</f>
        <v/>
      </c>
      <c r="EVC57" s="82" t="str">
        <f>IF(ISNUMBER(outYear),EVC37+EVC42+#REF!+#REF!,"")</f>
        <v/>
      </c>
      <c r="EVD57" s="82" t="str">
        <f>IF(ISNUMBER(outYear),EVD37+EVD42+#REF!+#REF!,"")</f>
        <v/>
      </c>
      <c r="EVE57" s="82" t="str">
        <f>IF(ISNUMBER(outYear),EVE37+EVE42+#REF!+#REF!,"")</f>
        <v/>
      </c>
      <c r="EVF57" s="82" t="str">
        <f>IF(ISNUMBER(outYear),EVF37+EVF42+#REF!+#REF!,"")</f>
        <v/>
      </c>
      <c r="EVG57" s="82" t="str">
        <f>IF(ISNUMBER(outYear),EVG37+EVG42+#REF!+#REF!,"")</f>
        <v/>
      </c>
      <c r="EVH57" s="82" t="str">
        <f>IF(ISNUMBER(outYear),EVH37+EVH42+#REF!+#REF!,"")</f>
        <v/>
      </c>
      <c r="EVI57" s="82" t="str">
        <f>IF(ISNUMBER(outYear),EVI37+EVI42+#REF!+#REF!,"")</f>
        <v/>
      </c>
      <c r="EVJ57" s="82" t="str">
        <f>IF(ISNUMBER(outYear),EVJ37+EVJ42+#REF!+#REF!,"")</f>
        <v/>
      </c>
      <c r="EVK57" s="82" t="str">
        <f>IF(ISNUMBER(outYear),EVK37+EVK42+#REF!+#REF!,"")</f>
        <v/>
      </c>
      <c r="EVL57" s="82" t="str">
        <f>IF(ISNUMBER(outYear),EVL37+EVL42+#REF!+#REF!,"")</f>
        <v/>
      </c>
      <c r="EVM57" s="82" t="str">
        <f>IF(ISNUMBER(outYear),EVM37+EVM42+#REF!+#REF!,"")</f>
        <v/>
      </c>
      <c r="EVN57" s="82" t="str">
        <f>IF(ISNUMBER(outYear),EVN37+EVN42+#REF!+#REF!,"")</f>
        <v/>
      </c>
      <c r="EVO57" s="82" t="str">
        <f>IF(ISNUMBER(outYear),EVO37+EVO42+#REF!+#REF!,"")</f>
        <v/>
      </c>
      <c r="EVP57" s="82" t="str">
        <f>IF(ISNUMBER(outYear),EVP37+EVP42+#REF!+#REF!,"")</f>
        <v/>
      </c>
      <c r="EVQ57" s="82" t="str">
        <f>IF(ISNUMBER(outYear),EVQ37+EVQ42+#REF!+#REF!,"")</f>
        <v/>
      </c>
      <c r="EVR57" s="82" t="str">
        <f>IF(ISNUMBER(outYear),EVR37+EVR42+#REF!+#REF!,"")</f>
        <v/>
      </c>
      <c r="EVS57" s="82" t="str">
        <f>IF(ISNUMBER(outYear),EVS37+EVS42+#REF!+#REF!,"")</f>
        <v/>
      </c>
      <c r="EVT57" s="82" t="str">
        <f>IF(ISNUMBER(outYear),EVT37+EVT42+#REF!+#REF!,"")</f>
        <v/>
      </c>
      <c r="EVU57" s="82" t="str">
        <f>IF(ISNUMBER(outYear),EVU37+EVU42+#REF!+#REF!,"")</f>
        <v/>
      </c>
      <c r="EVV57" s="82" t="str">
        <f>IF(ISNUMBER(outYear),EVV37+EVV42+#REF!+#REF!,"")</f>
        <v/>
      </c>
      <c r="EVW57" s="82" t="str">
        <f>IF(ISNUMBER(outYear),EVW37+EVW42+#REF!+#REF!,"")</f>
        <v/>
      </c>
      <c r="EVX57" s="82" t="str">
        <f>IF(ISNUMBER(outYear),EVX37+EVX42+#REF!+#REF!,"")</f>
        <v/>
      </c>
      <c r="EVY57" s="82" t="str">
        <f>IF(ISNUMBER(outYear),EVY37+EVY42+#REF!+#REF!,"")</f>
        <v/>
      </c>
      <c r="EVZ57" s="82" t="str">
        <f>IF(ISNUMBER(outYear),EVZ37+EVZ42+#REF!+#REF!,"")</f>
        <v/>
      </c>
      <c r="EWA57" s="82" t="str">
        <f>IF(ISNUMBER(outYear),EWA37+EWA42+#REF!+#REF!,"")</f>
        <v/>
      </c>
      <c r="EWB57" s="82" t="str">
        <f>IF(ISNUMBER(outYear),EWB37+EWB42+#REF!+#REF!,"")</f>
        <v/>
      </c>
      <c r="EWC57" s="82" t="str">
        <f>IF(ISNUMBER(outYear),EWC37+EWC42+#REF!+#REF!,"")</f>
        <v/>
      </c>
      <c r="EWD57" s="82" t="str">
        <f>IF(ISNUMBER(outYear),EWD37+EWD42+#REF!+#REF!,"")</f>
        <v/>
      </c>
      <c r="EWE57" s="82" t="str">
        <f>IF(ISNUMBER(outYear),EWE37+EWE42+#REF!+#REF!,"")</f>
        <v/>
      </c>
      <c r="EWF57" s="82" t="str">
        <f>IF(ISNUMBER(outYear),EWF37+EWF42+#REF!+#REF!,"")</f>
        <v/>
      </c>
      <c r="EWG57" s="82" t="str">
        <f>IF(ISNUMBER(outYear),EWG37+EWG42+#REF!+#REF!,"")</f>
        <v/>
      </c>
      <c r="EWH57" s="82" t="str">
        <f>IF(ISNUMBER(outYear),EWH37+EWH42+#REF!+#REF!,"")</f>
        <v/>
      </c>
      <c r="EWI57" s="82" t="str">
        <f>IF(ISNUMBER(outYear),EWI37+EWI42+#REF!+#REF!,"")</f>
        <v/>
      </c>
      <c r="EWJ57" s="82" t="str">
        <f>IF(ISNUMBER(outYear),EWJ37+EWJ42+#REF!+#REF!,"")</f>
        <v/>
      </c>
      <c r="EWK57" s="82" t="str">
        <f>IF(ISNUMBER(outYear),EWK37+EWK42+#REF!+#REF!,"")</f>
        <v/>
      </c>
      <c r="EWL57" s="82" t="str">
        <f>IF(ISNUMBER(outYear),EWL37+EWL42+#REF!+#REF!,"")</f>
        <v/>
      </c>
      <c r="EWM57" s="82" t="str">
        <f>IF(ISNUMBER(outYear),EWM37+EWM42+#REF!+#REF!,"")</f>
        <v/>
      </c>
      <c r="EWN57" s="82" t="str">
        <f>IF(ISNUMBER(outYear),EWN37+EWN42+#REF!+#REF!,"")</f>
        <v/>
      </c>
      <c r="EWO57" s="82" t="str">
        <f>IF(ISNUMBER(outYear),EWO37+EWO42+#REF!+#REF!,"")</f>
        <v/>
      </c>
      <c r="EWP57" s="82" t="str">
        <f>IF(ISNUMBER(outYear),EWP37+EWP42+#REF!+#REF!,"")</f>
        <v/>
      </c>
      <c r="EWQ57" s="82" t="str">
        <f>IF(ISNUMBER(outYear),EWQ37+EWQ42+#REF!+#REF!,"")</f>
        <v/>
      </c>
      <c r="EWR57" s="82" t="str">
        <f>IF(ISNUMBER(outYear),EWR37+EWR42+#REF!+#REF!,"")</f>
        <v/>
      </c>
      <c r="EWS57" s="82" t="str">
        <f>IF(ISNUMBER(outYear),EWS37+EWS42+#REF!+#REF!,"")</f>
        <v/>
      </c>
      <c r="EWT57" s="82" t="str">
        <f>IF(ISNUMBER(outYear),EWT37+EWT42+#REF!+#REF!,"")</f>
        <v/>
      </c>
      <c r="EWU57" s="82" t="str">
        <f>IF(ISNUMBER(outYear),EWU37+EWU42+#REF!+#REF!,"")</f>
        <v/>
      </c>
      <c r="EWV57" s="82" t="str">
        <f>IF(ISNUMBER(outYear),EWV37+EWV42+#REF!+#REF!,"")</f>
        <v/>
      </c>
      <c r="EWW57" s="82" t="str">
        <f>IF(ISNUMBER(outYear),EWW37+EWW42+#REF!+#REF!,"")</f>
        <v/>
      </c>
      <c r="EWX57" s="82" t="str">
        <f>IF(ISNUMBER(outYear),EWX37+EWX42+#REF!+#REF!,"")</f>
        <v/>
      </c>
      <c r="EWY57" s="82" t="str">
        <f>IF(ISNUMBER(outYear),EWY37+EWY42+#REF!+#REF!,"")</f>
        <v/>
      </c>
      <c r="EWZ57" s="82" t="str">
        <f>IF(ISNUMBER(outYear),EWZ37+EWZ42+#REF!+#REF!,"")</f>
        <v/>
      </c>
      <c r="EXA57" s="82" t="str">
        <f>IF(ISNUMBER(outYear),EXA37+EXA42+#REF!+#REF!,"")</f>
        <v/>
      </c>
      <c r="EXB57" s="82" t="str">
        <f>IF(ISNUMBER(outYear),EXB37+EXB42+#REF!+#REF!,"")</f>
        <v/>
      </c>
      <c r="EXC57" s="82" t="str">
        <f>IF(ISNUMBER(outYear),EXC37+EXC42+#REF!+#REF!,"")</f>
        <v/>
      </c>
      <c r="EXD57" s="82" t="str">
        <f>IF(ISNUMBER(outYear),EXD37+EXD42+#REF!+#REF!,"")</f>
        <v/>
      </c>
      <c r="EXE57" s="82" t="str">
        <f>IF(ISNUMBER(outYear),EXE37+EXE42+#REF!+#REF!,"")</f>
        <v/>
      </c>
      <c r="EXF57" s="82" t="str">
        <f>IF(ISNUMBER(outYear),EXF37+EXF42+#REF!+#REF!,"")</f>
        <v/>
      </c>
      <c r="EXG57" s="82" t="str">
        <f>IF(ISNUMBER(outYear),EXG37+EXG42+#REF!+#REF!,"")</f>
        <v/>
      </c>
      <c r="EXH57" s="82" t="str">
        <f>IF(ISNUMBER(outYear),EXH37+EXH42+#REF!+#REF!,"")</f>
        <v/>
      </c>
      <c r="EXI57" s="82" t="str">
        <f>IF(ISNUMBER(outYear),EXI37+EXI42+#REF!+#REF!,"")</f>
        <v/>
      </c>
      <c r="EXJ57" s="82" t="str">
        <f>IF(ISNUMBER(outYear),EXJ37+EXJ42+#REF!+#REF!,"")</f>
        <v/>
      </c>
      <c r="EXK57" s="82" t="str">
        <f>IF(ISNUMBER(outYear),EXK37+EXK42+#REF!+#REF!,"")</f>
        <v/>
      </c>
      <c r="EXL57" s="82" t="str">
        <f>IF(ISNUMBER(outYear),EXL37+EXL42+#REF!+#REF!,"")</f>
        <v/>
      </c>
      <c r="EXM57" s="82" t="str">
        <f>IF(ISNUMBER(outYear),EXM37+EXM42+#REF!+#REF!,"")</f>
        <v/>
      </c>
      <c r="EXN57" s="82" t="str">
        <f>IF(ISNUMBER(outYear),EXN37+EXN42+#REF!+#REF!,"")</f>
        <v/>
      </c>
      <c r="EXO57" s="82" t="str">
        <f>IF(ISNUMBER(outYear),EXO37+EXO42+#REF!+#REF!,"")</f>
        <v/>
      </c>
      <c r="EXP57" s="82" t="str">
        <f>IF(ISNUMBER(outYear),EXP37+EXP42+#REF!+#REF!,"")</f>
        <v/>
      </c>
      <c r="EXQ57" s="82" t="str">
        <f>IF(ISNUMBER(outYear),EXQ37+EXQ42+#REF!+#REF!,"")</f>
        <v/>
      </c>
      <c r="EXR57" s="82" t="str">
        <f>IF(ISNUMBER(outYear),EXR37+EXR42+#REF!+#REF!,"")</f>
        <v/>
      </c>
      <c r="EXS57" s="82" t="str">
        <f>IF(ISNUMBER(outYear),EXS37+EXS42+#REF!+#REF!,"")</f>
        <v/>
      </c>
      <c r="EXT57" s="82" t="str">
        <f>IF(ISNUMBER(outYear),EXT37+EXT42+#REF!+#REF!,"")</f>
        <v/>
      </c>
      <c r="EXU57" s="82" t="str">
        <f>IF(ISNUMBER(outYear),EXU37+EXU42+#REF!+#REF!,"")</f>
        <v/>
      </c>
      <c r="EXV57" s="82" t="str">
        <f>IF(ISNUMBER(outYear),EXV37+EXV42+#REF!+#REF!,"")</f>
        <v/>
      </c>
      <c r="EXW57" s="82" t="str">
        <f>IF(ISNUMBER(outYear),EXW37+EXW42+#REF!+#REF!,"")</f>
        <v/>
      </c>
      <c r="EXX57" s="82" t="str">
        <f>IF(ISNUMBER(outYear),EXX37+EXX42+#REF!+#REF!,"")</f>
        <v/>
      </c>
      <c r="EXY57" s="82" t="str">
        <f>IF(ISNUMBER(outYear),EXY37+EXY42+#REF!+#REF!,"")</f>
        <v/>
      </c>
      <c r="EXZ57" s="82" t="str">
        <f>IF(ISNUMBER(outYear),EXZ37+EXZ42+#REF!+#REF!,"")</f>
        <v/>
      </c>
      <c r="EYA57" s="82" t="str">
        <f>IF(ISNUMBER(outYear),EYA37+EYA42+#REF!+#REF!,"")</f>
        <v/>
      </c>
      <c r="EYB57" s="82" t="str">
        <f>IF(ISNUMBER(outYear),EYB37+EYB42+#REF!+#REF!,"")</f>
        <v/>
      </c>
      <c r="EYC57" s="82" t="str">
        <f>IF(ISNUMBER(outYear),EYC37+EYC42+#REF!+#REF!,"")</f>
        <v/>
      </c>
      <c r="EYD57" s="82" t="str">
        <f>IF(ISNUMBER(outYear),EYD37+EYD42+#REF!+#REF!,"")</f>
        <v/>
      </c>
      <c r="EYE57" s="82" t="str">
        <f>IF(ISNUMBER(outYear),EYE37+EYE42+#REF!+#REF!,"")</f>
        <v/>
      </c>
      <c r="EYF57" s="82" t="str">
        <f>IF(ISNUMBER(outYear),EYF37+EYF42+#REF!+#REF!,"")</f>
        <v/>
      </c>
      <c r="EYG57" s="82" t="str">
        <f>IF(ISNUMBER(outYear),EYG37+EYG42+#REF!+#REF!,"")</f>
        <v/>
      </c>
      <c r="EYH57" s="82" t="str">
        <f>IF(ISNUMBER(outYear),EYH37+EYH42+#REF!+#REF!,"")</f>
        <v/>
      </c>
      <c r="EYI57" s="82" t="str">
        <f>IF(ISNUMBER(outYear),EYI37+EYI42+#REF!+#REF!,"")</f>
        <v/>
      </c>
      <c r="EYJ57" s="82" t="str">
        <f>IF(ISNUMBER(outYear),EYJ37+EYJ42+#REF!+#REF!,"")</f>
        <v/>
      </c>
      <c r="EYK57" s="82" t="str">
        <f>IF(ISNUMBER(outYear),EYK37+EYK42+#REF!+#REF!,"")</f>
        <v/>
      </c>
      <c r="EYL57" s="82" t="str">
        <f>IF(ISNUMBER(outYear),EYL37+EYL42+#REF!+#REF!,"")</f>
        <v/>
      </c>
      <c r="EYM57" s="82" t="str">
        <f>IF(ISNUMBER(outYear),EYM37+EYM42+#REF!+#REF!,"")</f>
        <v/>
      </c>
      <c r="EYN57" s="82" t="str">
        <f>IF(ISNUMBER(outYear),EYN37+EYN42+#REF!+#REF!,"")</f>
        <v/>
      </c>
      <c r="EYO57" s="82" t="str">
        <f>IF(ISNUMBER(outYear),EYO37+EYO42+#REF!+#REF!,"")</f>
        <v/>
      </c>
      <c r="EYP57" s="82" t="str">
        <f>IF(ISNUMBER(outYear),EYP37+EYP42+#REF!+#REF!,"")</f>
        <v/>
      </c>
      <c r="EYQ57" s="82" t="str">
        <f>IF(ISNUMBER(outYear),EYQ37+EYQ42+#REF!+#REF!,"")</f>
        <v/>
      </c>
      <c r="EYR57" s="82" t="str">
        <f>IF(ISNUMBER(outYear),EYR37+EYR42+#REF!+#REF!,"")</f>
        <v/>
      </c>
      <c r="EYS57" s="82" t="str">
        <f>IF(ISNUMBER(outYear),EYS37+EYS42+#REF!+#REF!,"")</f>
        <v/>
      </c>
      <c r="EYT57" s="82" t="str">
        <f>IF(ISNUMBER(outYear),EYT37+EYT42+#REF!+#REF!,"")</f>
        <v/>
      </c>
      <c r="EYU57" s="82" t="str">
        <f>IF(ISNUMBER(outYear),EYU37+EYU42+#REF!+#REF!,"")</f>
        <v/>
      </c>
      <c r="EYV57" s="82" t="str">
        <f>IF(ISNUMBER(outYear),EYV37+EYV42+#REF!+#REF!,"")</f>
        <v/>
      </c>
      <c r="EYW57" s="82" t="str">
        <f>IF(ISNUMBER(outYear),EYW37+EYW42+#REF!+#REF!,"")</f>
        <v/>
      </c>
      <c r="EYX57" s="82" t="str">
        <f>IF(ISNUMBER(outYear),EYX37+EYX42+#REF!+#REF!,"")</f>
        <v/>
      </c>
      <c r="EYY57" s="82" t="str">
        <f>IF(ISNUMBER(outYear),EYY37+EYY42+#REF!+#REF!,"")</f>
        <v/>
      </c>
      <c r="EYZ57" s="82" t="str">
        <f>IF(ISNUMBER(outYear),EYZ37+EYZ42+#REF!+#REF!,"")</f>
        <v/>
      </c>
      <c r="EZA57" s="82" t="str">
        <f>IF(ISNUMBER(outYear),EZA37+EZA42+#REF!+#REF!,"")</f>
        <v/>
      </c>
      <c r="EZB57" s="82" t="str">
        <f>IF(ISNUMBER(outYear),EZB37+EZB42+#REF!+#REF!,"")</f>
        <v/>
      </c>
      <c r="EZC57" s="82" t="str">
        <f>IF(ISNUMBER(outYear),EZC37+EZC42+#REF!+#REF!,"")</f>
        <v/>
      </c>
      <c r="EZD57" s="82" t="str">
        <f>IF(ISNUMBER(outYear),EZD37+EZD42+#REF!+#REF!,"")</f>
        <v/>
      </c>
      <c r="EZE57" s="82" t="str">
        <f>IF(ISNUMBER(outYear),EZE37+EZE42+#REF!+#REF!,"")</f>
        <v/>
      </c>
      <c r="EZF57" s="82" t="str">
        <f>IF(ISNUMBER(outYear),EZF37+EZF42+#REF!+#REF!,"")</f>
        <v/>
      </c>
      <c r="EZG57" s="82" t="str">
        <f>IF(ISNUMBER(outYear),EZG37+EZG42+#REF!+#REF!,"")</f>
        <v/>
      </c>
      <c r="EZH57" s="82" t="str">
        <f>IF(ISNUMBER(outYear),EZH37+EZH42+#REF!+#REF!,"")</f>
        <v/>
      </c>
      <c r="EZI57" s="82" t="str">
        <f>IF(ISNUMBER(outYear),EZI37+EZI42+#REF!+#REF!,"")</f>
        <v/>
      </c>
      <c r="EZJ57" s="82" t="str">
        <f>IF(ISNUMBER(outYear),EZJ37+EZJ42+#REF!+#REF!,"")</f>
        <v/>
      </c>
      <c r="EZK57" s="82" t="str">
        <f>IF(ISNUMBER(outYear),EZK37+EZK42+#REF!+#REF!,"")</f>
        <v/>
      </c>
      <c r="EZL57" s="82" t="str">
        <f>IF(ISNUMBER(outYear),EZL37+EZL42+#REF!+#REF!,"")</f>
        <v/>
      </c>
      <c r="EZM57" s="82" t="str">
        <f>IF(ISNUMBER(outYear),EZM37+EZM42+#REF!+#REF!,"")</f>
        <v/>
      </c>
      <c r="EZN57" s="82" t="str">
        <f>IF(ISNUMBER(outYear),EZN37+EZN42+#REF!+#REF!,"")</f>
        <v/>
      </c>
      <c r="EZO57" s="82" t="str">
        <f>IF(ISNUMBER(outYear),EZO37+EZO42+#REF!+#REF!,"")</f>
        <v/>
      </c>
      <c r="EZP57" s="82" t="str">
        <f>IF(ISNUMBER(outYear),EZP37+EZP42+#REF!+#REF!,"")</f>
        <v/>
      </c>
      <c r="EZQ57" s="82" t="str">
        <f>IF(ISNUMBER(outYear),EZQ37+EZQ42+#REF!+#REF!,"")</f>
        <v/>
      </c>
      <c r="EZR57" s="82" t="str">
        <f>IF(ISNUMBER(outYear),EZR37+EZR42+#REF!+#REF!,"")</f>
        <v/>
      </c>
      <c r="EZS57" s="82" t="str">
        <f>IF(ISNUMBER(outYear),EZS37+EZS42+#REF!+#REF!,"")</f>
        <v/>
      </c>
      <c r="EZT57" s="82" t="str">
        <f>IF(ISNUMBER(outYear),EZT37+EZT42+#REF!+#REF!,"")</f>
        <v/>
      </c>
      <c r="EZU57" s="82" t="str">
        <f>IF(ISNUMBER(outYear),EZU37+EZU42+#REF!+#REF!,"")</f>
        <v/>
      </c>
      <c r="EZV57" s="82" t="str">
        <f>IF(ISNUMBER(outYear),EZV37+EZV42+#REF!+#REF!,"")</f>
        <v/>
      </c>
      <c r="EZW57" s="82" t="str">
        <f>IF(ISNUMBER(outYear),EZW37+EZW42+#REF!+#REF!,"")</f>
        <v/>
      </c>
      <c r="EZX57" s="82" t="str">
        <f>IF(ISNUMBER(outYear),EZX37+EZX42+#REF!+#REF!,"")</f>
        <v/>
      </c>
      <c r="EZY57" s="82" t="str">
        <f>IF(ISNUMBER(outYear),EZY37+EZY42+#REF!+#REF!,"")</f>
        <v/>
      </c>
      <c r="EZZ57" s="82" t="str">
        <f>IF(ISNUMBER(outYear),EZZ37+EZZ42+#REF!+#REF!,"")</f>
        <v/>
      </c>
      <c r="FAA57" s="82" t="str">
        <f>IF(ISNUMBER(outYear),FAA37+FAA42+#REF!+#REF!,"")</f>
        <v/>
      </c>
      <c r="FAB57" s="82" t="str">
        <f>IF(ISNUMBER(outYear),FAB37+FAB42+#REF!+#REF!,"")</f>
        <v/>
      </c>
      <c r="FAC57" s="82" t="str">
        <f>IF(ISNUMBER(outYear),FAC37+FAC42+#REF!+#REF!,"")</f>
        <v/>
      </c>
      <c r="FAD57" s="82" t="str">
        <f>IF(ISNUMBER(outYear),FAD37+FAD42+#REF!+#REF!,"")</f>
        <v/>
      </c>
      <c r="FAE57" s="82" t="str">
        <f>IF(ISNUMBER(outYear),FAE37+FAE42+#REF!+#REF!,"")</f>
        <v/>
      </c>
      <c r="FAF57" s="82" t="str">
        <f>IF(ISNUMBER(outYear),FAF37+FAF42+#REF!+#REF!,"")</f>
        <v/>
      </c>
      <c r="FAG57" s="82" t="str">
        <f>IF(ISNUMBER(outYear),FAG37+FAG42+#REF!+#REF!,"")</f>
        <v/>
      </c>
      <c r="FAH57" s="82" t="str">
        <f>IF(ISNUMBER(outYear),FAH37+FAH42+#REF!+#REF!,"")</f>
        <v/>
      </c>
      <c r="FAI57" s="82" t="str">
        <f>IF(ISNUMBER(outYear),FAI37+FAI42+#REF!+#REF!,"")</f>
        <v/>
      </c>
      <c r="FAJ57" s="82" t="str">
        <f>IF(ISNUMBER(outYear),FAJ37+FAJ42+#REF!+#REF!,"")</f>
        <v/>
      </c>
      <c r="FAK57" s="82" t="str">
        <f>IF(ISNUMBER(outYear),FAK37+FAK42+#REF!+#REF!,"")</f>
        <v/>
      </c>
      <c r="FAL57" s="82" t="str">
        <f>IF(ISNUMBER(outYear),FAL37+FAL42+#REF!+#REF!,"")</f>
        <v/>
      </c>
      <c r="FAM57" s="82" t="str">
        <f>IF(ISNUMBER(outYear),FAM37+FAM42+#REF!+#REF!,"")</f>
        <v/>
      </c>
      <c r="FAN57" s="82" t="str">
        <f>IF(ISNUMBER(outYear),FAN37+FAN42+#REF!+#REF!,"")</f>
        <v/>
      </c>
      <c r="FAO57" s="82" t="str">
        <f>IF(ISNUMBER(outYear),FAO37+FAO42+#REF!+#REF!,"")</f>
        <v/>
      </c>
      <c r="FAP57" s="82" t="str">
        <f>IF(ISNUMBER(outYear),FAP37+FAP42+#REF!+#REF!,"")</f>
        <v/>
      </c>
      <c r="FAQ57" s="82" t="str">
        <f>IF(ISNUMBER(outYear),FAQ37+FAQ42+#REF!+#REF!,"")</f>
        <v/>
      </c>
      <c r="FAR57" s="82" t="str">
        <f>IF(ISNUMBER(outYear),FAR37+FAR42+#REF!+#REF!,"")</f>
        <v/>
      </c>
      <c r="FAS57" s="82" t="str">
        <f>IF(ISNUMBER(outYear),FAS37+FAS42+#REF!+#REF!,"")</f>
        <v/>
      </c>
      <c r="FAT57" s="82" t="str">
        <f>IF(ISNUMBER(outYear),FAT37+FAT42+#REF!+#REF!,"")</f>
        <v/>
      </c>
      <c r="FAU57" s="82" t="str">
        <f>IF(ISNUMBER(outYear),FAU37+FAU42+#REF!+#REF!,"")</f>
        <v/>
      </c>
      <c r="FAV57" s="82" t="str">
        <f>IF(ISNUMBER(outYear),FAV37+FAV42+#REF!+#REF!,"")</f>
        <v/>
      </c>
      <c r="FAW57" s="82" t="str">
        <f>IF(ISNUMBER(outYear),FAW37+FAW42+#REF!+#REF!,"")</f>
        <v/>
      </c>
      <c r="FAX57" s="82" t="str">
        <f>IF(ISNUMBER(outYear),FAX37+FAX42+#REF!+#REF!,"")</f>
        <v/>
      </c>
      <c r="FAY57" s="82" t="str">
        <f>IF(ISNUMBER(outYear),FAY37+FAY42+#REF!+#REF!,"")</f>
        <v/>
      </c>
      <c r="FAZ57" s="82" t="str">
        <f>IF(ISNUMBER(outYear),FAZ37+FAZ42+#REF!+#REF!,"")</f>
        <v/>
      </c>
      <c r="FBA57" s="82" t="str">
        <f>IF(ISNUMBER(outYear),FBA37+FBA42+#REF!+#REF!,"")</f>
        <v/>
      </c>
      <c r="FBB57" s="82" t="str">
        <f>IF(ISNUMBER(outYear),FBB37+FBB42+#REF!+#REF!,"")</f>
        <v/>
      </c>
      <c r="FBC57" s="82" t="str">
        <f>IF(ISNUMBER(outYear),FBC37+FBC42+#REF!+#REF!,"")</f>
        <v/>
      </c>
      <c r="FBD57" s="82" t="str">
        <f>IF(ISNUMBER(outYear),FBD37+FBD42+#REF!+#REF!,"")</f>
        <v/>
      </c>
      <c r="FBE57" s="82" t="str">
        <f>IF(ISNUMBER(outYear),FBE37+FBE42+#REF!+#REF!,"")</f>
        <v/>
      </c>
      <c r="FBF57" s="82" t="str">
        <f>IF(ISNUMBER(outYear),FBF37+FBF42+#REF!+#REF!,"")</f>
        <v/>
      </c>
      <c r="FBG57" s="82" t="str">
        <f>IF(ISNUMBER(outYear),FBG37+FBG42+#REF!+#REF!,"")</f>
        <v/>
      </c>
      <c r="FBH57" s="82" t="str">
        <f>IF(ISNUMBER(outYear),FBH37+FBH42+#REF!+#REF!,"")</f>
        <v/>
      </c>
      <c r="FBI57" s="82" t="str">
        <f>IF(ISNUMBER(outYear),FBI37+FBI42+#REF!+#REF!,"")</f>
        <v/>
      </c>
      <c r="FBJ57" s="82" t="str">
        <f>IF(ISNUMBER(outYear),FBJ37+FBJ42+#REF!+#REF!,"")</f>
        <v/>
      </c>
      <c r="FBK57" s="82" t="str">
        <f>IF(ISNUMBER(outYear),FBK37+FBK42+#REF!+#REF!,"")</f>
        <v/>
      </c>
      <c r="FBL57" s="82" t="str">
        <f>IF(ISNUMBER(outYear),FBL37+FBL42+#REF!+#REF!,"")</f>
        <v/>
      </c>
      <c r="FBM57" s="82" t="str">
        <f>IF(ISNUMBER(outYear),FBM37+FBM42+#REF!+#REF!,"")</f>
        <v/>
      </c>
      <c r="FBN57" s="82" t="str">
        <f>IF(ISNUMBER(outYear),FBN37+FBN42+#REF!+#REF!,"")</f>
        <v/>
      </c>
      <c r="FBO57" s="82" t="str">
        <f>IF(ISNUMBER(outYear),FBO37+FBO42+#REF!+#REF!,"")</f>
        <v/>
      </c>
      <c r="FBP57" s="82" t="str">
        <f>IF(ISNUMBER(outYear),FBP37+FBP42+#REF!+#REF!,"")</f>
        <v/>
      </c>
      <c r="FBQ57" s="82" t="str">
        <f>IF(ISNUMBER(outYear),FBQ37+FBQ42+#REF!+#REF!,"")</f>
        <v/>
      </c>
      <c r="FBR57" s="82" t="str">
        <f>IF(ISNUMBER(outYear),FBR37+FBR42+#REF!+#REF!,"")</f>
        <v/>
      </c>
      <c r="FBS57" s="82" t="str">
        <f>IF(ISNUMBER(outYear),FBS37+FBS42+#REF!+#REF!,"")</f>
        <v/>
      </c>
      <c r="FBT57" s="82" t="str">
        <f>IF(ISNUMBER(outYear),FBT37+FBT42+#REF!+#REF!,"")</f>
        <v/>
      </c>
      <c r="FBU57" s="82" t="str">
        <f>IF(ISNUMBER(outYear),FBU37+FBU42+#REF!+#REF!,"")</f>
        <v/>
      </c>
      <c r="FBV57" s="82" t="str">
        <f>IF(ISNUMBER(outYear),FBV37+FBV42+#REF!+#REF!,"")</f>
        <v/>
      </c>
      <c r="FBW57" s="82" t="str">
        <f>IF(ISNUMBER(outYear),FBW37+FBW42+#REF!+#REF!,"")</f>
        <v/>
      </c>
      <c r="FBX57" s="82" t="str">
        <f>IF(ISNUMBER(outYear),FBX37+FBX42+#REF!+#REF!,"")</f>
        <v/>
      </c>
      <c r="FBY57" s="82" t="str">
        <f>IF(ISNUMBER(outYear),FBY37+FBY42+#REF!+#REF!,"")</f>
        <v/>
      </c>
      <c r="FBZ57" s="82" t="str">
        <f>IF(ISNUMBER(outYear),FBZ37+FBZ42+#REF!+#REF!,"")</f>
        <v/>
      </c>
      <c r="FCA57" s="82" t="str">
        <f>IF(ISNUMBER(outYear),FCA37+FCA42+#REF!+#REF!,"")</f>
        <v/>
      </c>
      <c r="FCB57" s="82" t="str">
        <f>IF(ISNUMBER(outYear),FCB37+FCB42+#REF!+#REF!,"")</f>
        <v/>
      </c>
      <c r="FCC57" s="82" t="str">
        <f>IF(ISNUMBER(outYear),FCC37+FCC42+#REF!+#REF!,"")</f>
        <v/>
      </c>
      <c r="FCD57" s="82" t="str">
        <f>IF(ISNUMBER(outYear),FCD37+FCD42+#REF!+#REF!,"")</f>
        <v/>
      </c>
      <c r="FCE57" s="82" t="str">
        <f>IF(ISNUMBER(outYear),FCE37+FCE42+#REF!+#REF!,"")</f>
        <v/>
      </c>
      <c r="FCF57" s="82" t="str">
        <f>IF(ISNUMBER(outYear),FCF37+FCF42+#REF!+#REF!,"")</f>
        <v/>
      </c>
      <c r="FCG57" s="82" t="str">
        <f>IF(ISNUMBER(outYear),FCG37+FCG42+#REF!+#REF!,"")</f>
        <v/>
      </c>
      <c r="FCH57" s="82" t="str">
        <f>IF(ISNUMBER(outYear),FCH37+FCH42+#REF!+#REF!,"")</f>
        <v/>
      </c>
      <c r="FCI57" s="82" t="str">
        <f>IF(ISNUMBER(outYear),FCI37+FCI42+#REF!+#REF!,"")</f>
        <v/>
      </c>
      <c r="FCJ57" s="82" t="str">
        <f>IF(ISNUMBER(outYear),FCJ37+FCJ42+#REF!+#REF!,"")</f>
        <v/>
      </c>
      <c r="FCK57" s="82" t="str">
        <f>IF(ISNUMBER(outYear),FCK37+FCK42+#REF!+#REF!,"")</f>
        <v/>
      </c>
      <c r="FCL57" s="82" t="str">
        <f>IF(ISNUMBER(outYear),FCL37+FCL42+#REF!+#REF!,"")</f>
        <v/>
      </c>
      <c r="FCM57" s="82" t="str">
        <f>IF(ISNUMBER(outYear),FCM37+FCM42+#REF!+#REF!,"")</f>
        <v/>
      </c>
      <c r="FCN57" s="82" t="str">
        <f>IF(ISNUMBER(outYear),FCN37+FCN42+#REF!+#REF!,"")</f>
        <v/>
      </c>
      <c r="FCO57" s="82" t="str">
        <f>IF(ISNUMBER(outYear),FCO37+FCO42+#REF!+#REF!,"")</f>
        <v/>
      </c>
      <c r="FCP57" s="82" t="str">
        <f>IF(ISNUMBER(outYear),FCP37+FCP42+#REF!+#REF!,"")</f>
        <v/>
      </c>
      <c r="FCQ57" s="82" t="str">
        <f>IF(ISNUMBER(outYear),FCQ37+FCQ42+#REF!+#REF!,"")</f>
        <v/>
      </c>
      <c r="FCR57" s="82" t="str">
        <f>IF(ISNUMBER(outYear),FCR37+FCR42+#REF!+#REF!,"")</f>
        <v/>
      </c>
      <c r="FCS57" s="82" t="str">
        <f>IF(ISNUMBER(outYear),FCS37+FCS42+#REF!+#REF!,"")</f>
        <v/>
      </c>
      <c r="FCT57" s="82" t="str">
        <f>IF(ISNUMBER(outYear),FCT37+FCT42+#REF!+#REF!,"")</f>
        <v/>
      </c>
      <c r="FCU57" s="82" t="str">
        <f>IF(ISNUMBER(outYear),FCU37+FCU42+#REF!+#REF!,"")</f>
        <v/>
      </c>
      <c r="FCV57" s="82" t="str">
        <f>IF(ISNUMBER(outYear),FCV37+FCV42+#REF!+#REF!,"")</f>
        <v/>
      </c>
      <c r="FCW57" s="82" t="str">
        <f>IF(ISNUMBER(outYear),FCW37+FCW42+#REF!+#REF!,"")</f>
        <v/>
      </c>
      <c r="FCX57" s="82" t="str">
        <f>IF(ISNUMBER(outYear),FCX37+FCX42+#REF!+#REF!,"")</f>
        <v/>
      </c>
      <c r="FCY57" s="82" t="str">
        <f>IF(ISNUMBER(outYear),FCY37+FCY42+#REF!+#REF!,"")</f>
        <v/>
      </c>
      <c r="FCZ57" s="82" t="str">
        <f>IF(ISNUMBER(outYear),FCZ37+FCZ42+#REF!+#REF!,"")</f>
        <v/>
      </c>
      <c r="FDA57" s="82" t="str">
        <f>IF(ISNUMBER(outYear),FDA37+FDA42+#REF!+#REF!,"")</f>
        <v/>
      </c>
      <c r="FDB57" s="82" t="str">
        <f>IF(ISNUMBER(outYear),FDB37+FDB42+#REF!+#REF!,"")</f>
        <v/>
      </c>
      <c r="FDC57" s="82" t="str">
        <f>IF(ISNUMBER(outYear),FDC37+FDC42+#REF!+#REF!,"")</f>
        <v/>
      </c>
      <c r="FDD57" s="82" t="str">
        <f>IF(ISNUMBER(outYear),FDD37+FDD42+#REF!+#REF!,"")</f>
        <v/>
      </c>
      <c r="FDE57" s="82" t="str">
        <f>IF(ISNUMBER(outYear),FDE37+FDE42+#REF!+#REF!,"")</f>
        <v/>
      </c>
      <c r="FDF57" s="82" t="str">
        <f>IF(ISNUMBER(outYear),FDF37+FDF42+#REF!+#REF!,"")</f>
        <v/>
      </c>
      <c r="FDG57" s="82" t="str">
        <f>IF(ISNUMBER(outYear),FDG37+FDG42+#REF!+#REF!,"")</f>
        <v/>
      </c>
      <c r="FDH57" s="82" t="str">
        <f>IF(ISNUMBER(outYear),FDH37+FDH42+#REF!+#REF!,"")</f>
        <v/>
      </c>
      <c r="FDI57" s="82" t="str">
        <f>IF(ISNUMBER(outYear),FDI37+FDI42+#REF!+#REF!,"")</f>
        <v/>
      </c>
      <c r="FDJ57" s="82" t="str">
        <f>IF(ISNUMBER(outYear),FDJ37+FDJ42+#REF!+#REF!,"")</f>
        <v/>
      </c>
      <c r="FDK57" s="82" t="str">
        <f>IF(ISNUMBER(outYear),FDK37+FDK42+#REF!+#REF!,"")</f>
        <v/>
      </c>
      <c r="FDL57" s="82" t="str">
        <f>IF(ISNUMBER(outYear),FDL37+FDL42+#REF!+#REF!,"")</f>
        <v/>
      </c>
      <c r="FDM57" s="82" t="str">
        <f>IF(ISNUMBER(outYear),FDM37+FDM42+#REF!+#REF!,"")</f>
        <v/>
      </c>
      <c r="FDN57" s="82" t="str">
        <f>IF(ISNUMBER(outYear),FDN37+FDN42+#REF!+#REF!,"")</f>
        <v/>
      </c>
      <c r="FDO57" s="82" t="str">
        <f>IF(ISNUMBER(outYear),FDO37+FDO42+#REF!+#REF!,"")</f>
        <v/>
      </c>
      <c r="FDP57" s="82" t="str">
        <f>IF(ISNUMBER(outYear),FDP37+FDP42+#REF!+#REF!,"")</f>
        <v/>
      </c>
      <c r="FDQ57" s="82" t="str">
        <f>IF(ISNUMBER(outYear),FDQ37+FDQ42+#REF!+#REF!,"")</f>
        <v/>
      </c>
      <c r="FDR57" s="82" t="str">
        <f>IF(ISNUMBER(outYear),FDR37+FDR42+#REF!+#REF!,"")</f>
        <v/>
      </c>
      <c r="FDS57" s="82" t="str">
        <f>IF(ISNUMBER(outYear),FDS37+FDS42+#REF!+#REF!,"")</f>
        <v/>
      </c>
      <c r="FDT57" s="82" t="str">
        <f>IF(ISNUMBER(outYear),FDT37+FDT42+#REF!+#REF!,"")</f>
        <v/>
      </c>
      <c r="FDU57" s="82" t="str">
        <f>IF(ISNUMBER(outYear),FDU37+FDU42+#REF!+#REF!,"")</f>
        <v/>
      </c>
      <c r="FDV57" s="82" t="str">
        <f>IF(ISNUMBER(outYear),FDV37+FDV42+#REF!+#REF!,"")</f>
        <v/>
      </c>
      <c r="FDW57" s="82" t="str">
        <f>IF(ISNUMBER(outYear),FDW37+FDW42+#REF!+#REF!,"")</f>
        <v/>
      </c>
      <c r="FDX57" s="82" t="str">
        <f>IF(ISNUMBER(outYear),FDX37+FDX42+#REF!+#REF!,"")</f>
        <v/>
      </c>
      <c r="FDY57" s="82" t="str">
        <f>IF(ISNUMBER(outYear),FDY37+FDY42+#REF!+#REF!,"")</f>
        <v/>
      </c>
      <c r="FDZ57" s="82" t="str">
        <f>IF(ISNUMBER(outYear),FDZ37+FDZ42+#REF!+#REF!,"")</f>
        <v/>
      </c>
      <c r="FEA57" s="82" t="str">
        <f>IF(ISNUMBER(outYear),FEA37+FEA42+#REF!+#REF!,"")</f>
        <v/>
      </c>
      <c r="FEB57" s="82" t="str">
        <f>IF(ISNUMBER(outYear),FEB37+FEB42+#REF!+#REF!,"")</f>
        <v/>
      </c>
      <c r="FEC57" s="82" t="str">
        <f>IF(ISNUMBER(outYear),FEC37+FEC42+#REF!+#REF!,"")</f>
        <v/>
      </c>
      <c r="FED57" s="82" t="str">
        <f>IF(ISNUMBER(outYear),FED37+FED42+#REF!+#REF!,"")</f>
        <v/>
      </c>
      <c r="FEE57" s="82" t="str">
        <f>IF(ISNUMBER(outYear),FEE37+FEE42+#REF!+#REF!,"")</f>
        <v/>
      </c>
      <c r="FEF57" s="82" t="str">
        <f>IF(ISNUMBER(outYear),FEF37+FEF42+#REF!+#REF!,"")</f>
        <v/>
      </c>
      <c r="FEG57" s="82" t="str">
        <f>IF(ISNUMBER(outYear),FEG37+FEG42+#REF!+#REF!,"")</f>
        <v/>
      </c>
      <c r="FEH57" s="82" t="str">
        <f>IF(ISNUMBER(outYear),FEH37+FEH42+#REF!+#REF!,"")</f>
        <v/>
      </c>
      <c r="FEI57" s="82" t="str">
        <f>IF(ISNUMBER(outYear),FEI37+FEI42+#REF!+#REF!,"")</f>
        <v/>
      </c>
      <c r="FEJ57" s="82" t="str">
        <f>IF(ISNUMBER(outYear),FEJ37+FEJ42+#REF!+#REF!,"")</f>
        <v/>
      </c>
      <c r="FEK57" s="82" t="str">
        <f>IF(ISNUMBER(outYear),FEK37+FEK42+#REF!+#REF!,"")</f>
        <v/>
      </c>
      <c r="FEL57" s="82" t="str">
        <f>IF(ISNUMBER(outYear),FEL37+FEL42+#REF!+#REF!,"")</f>
        <v/>
      </c>
      <c r="FEM57" s="82" t="str">
        <f>IF(ISNUMBER(outYear),FEM37+FEM42+#REF!+#REF!,"")</f>
        <v/>
      </c>
      <c r="FEN57" s="82" t="str">
        <f>IF(ISNUMBER(outYear),FEN37+FEN42+#REF!+#REF!,"")</f>
        <v/>
      </c>
      <c r="FEO57" s="82" t="str">
        <f>IF(ISNUMBER(outYear),FEO37+FEO42+#REF!+#REF!,"")</f>
        <v/>
      </c>
      <c r="FEP57" s="82" t="str">
        <f>IF(ISNUMBER(outYear),FEP37+FEP42+#REF!+#REF!,"")</f>
        <v/>
      </c>
      <c r="FEQ57" s="82" t="str">
        <f>IF(ISNUMBER(outYear),FEQ37+FEQ42+#REF!+#REF!,"")</f>
        <v/>
      </c>
      <c r="FER57" s="82" t="str">
        <f>IF(ISNUMBER(outYear),FER37+FER42+#REF!+#REF!,"")</f>
        <v/>
      </c>
      <c r="FES57" s="82" t="str">
        <f>IF(ISNUMBER(outYear),FES37+FES42+#REF!+#REF!,"")</f>
        <v/>
      </c>
      <c r="FET57" s="82" t="str">
        <f>IF(ISNUMBER(outYear),FET37+FET42+#REF!+#REF!,"")</f>
        <v/>
      </c>
      <c r="FEU57" s="82" t="str">
        <f>IF(ISNUMBER(outYear),FEU37+FEU42+#REF!+#REF!,"")</f>
        <v/>
      </c>
      <c r="FEV57" s="82" t="str">
        <f>IF(ISNUMBER(outYear),FEV37+FEV42+#REF!+#REF!,"")</f>
        <v/>
      </c>
      <c r="FEW57" s="82" t="str">
        <f>IF(ISNUMBER(outYear),FEW37+FEW42+#REF!+#REF!,"")</f>
        <v/>
      </c>
      <c r="FEX57" s="82" t="str">
        <f>IF(ISNUMBER(outYear),FEX37+FEX42+#REF!+#REF!,"")</f>
        <v/>
      </c>
      <c r="FEY57" s="82" t="str">
        <f>IF(ISNUMBER(outYear),FEY37+FEY42+#REF!+#REF!,"")</f>
        <v/>
      </c>
      <c r="FEZ57" s="82" t="str">
        <f>IF(ISNUMBER(outYear),FEZ37+FEZ42+#REF!+#REF!,"")</f>
        <v/>
      </c>
      <c r="FFA57" s="82" t="str">
        <f>IF(ISNUMBER(outYear),FFA37+FFA42+#REF!+#REF!,"")</f>
        <v/>
      </c>
      <c r="FFB57" s="82" t="str">
        <f>IF(ISNUMBER(outYear),FFB37+FFB42+#REF!+#REF!,"")</f>
        <v/>
      </c>
      <c r="FFC57" s="82" t="str">
        <f>IF(ISNUMBER(outYear),FFC37+FFC42+#REF!+#REF!,"")</f>
        <v/>
      </c>
      <c r="FFD57" s="82" t="str">
        <f>IF(ISNUMBER(outYear),FFD37+FFD42+#REF!+#REF!,"")</f>
        <v/>
      </c>
      <c r="FFE57" s="82" t="str">
        <f>IF(ISNUMBER(outYear),FFE37+FFE42+#REF!+#REF!,"")</f>
        <v/>
      </c>
      <c r="FFF57" s="82" t="str">
        <f>IF(ISNUMBER(outYear),FFF37+FFF42+#REF!+#REF!,"")</f>
        <v/>
      </c>
      <c r="FFG57" s="82" t="str">
        <f>IF(ISNUMBER(outYear),FFG37+FFG42+#REF!+#REF!,"")</f>
        <v/>
      </c>
      <c r="FFH57" s="82" t="str">
        <f>IF(ISNUMBER(outYear),FFH37+FFH42+#REF!+#REF!,"")</f>
        <v/>
      </c>
      <c r="FFI57" s="82" t="str">
        <f>IF(ISNUMBER(outYear),FFI37+FFI42+#REF!+#REF!,"")</f>
        <v/>
      </c>
      <c r="FFJ57" s="82" t="str">
        <f>IF(ISNUMBER(outYear),FFJ37+FFJ42+#REF!+#REF!,"")</f>
        <v/>
      </c>
      <c r="FFK57" s="82" t="str">
        <f>IF(ISNUMBER(outYear),FFK37+FFK42+#REF!+#REF!,"")</f>
        <v/>
      </c>
      <c r="FFL57" s="82" t="str">
        <f>IF(ISNUMBER(outYear),FFL37+FFL42+#REF!+#REF!,"")</f>
        <v/>
      </c>
      <c r="FFM57" s="82" t="str">
        <f>IF(ISNUMBER(outYear),FFM37+FFM42+#REF!+#REF!,"")</f>
        <v/>
      </c>
      <c r="FFN57" s="82" t="str">
        <f>IF(ISNUMBER(outYear),FFN37+FFN42+#REF!+#REF!,"")</f>
        <v/>
      </c>
      <c r="FFO57" s="82" t="str">
        <f>IF(ISNUMBER(outYear),FFO37+FFO42+#REF!+#REF!,"")</f>
        <v/>
      </c>
      <c r="FFP57" s="82" t="str">
        <f>IF(ISNUMBER(outYear),FFP37+FFP42+#REF!+#REF!,"")</f>
        <v/>
      </c>
      <c r="FFQ57" s="82" t="str">
        <f>IF(ISNUMBER(outYear),FFQ37+FFQ42+#REF!+#REF!,"")</f>
        <v/>
      </c>
      <c r="FFR57" s="82" t="str">
        <f>IF(ISNUMBER(outYear),FFR37+FFR42+#REF!+#REF!,"")</f>
        <v/>
      </c>
      <c r="FFS57" s="82" t="str">
        <f>IF(ISNUMBER(outYear),FFS37+FFS42+#REF!+#REF!,"")</f>
        <v/>
      </c>
      <c r="FFT57" s="82" t="str">
        <f>IF(ISNUMBER(outYear),FFT37+FFT42+#REF!+#REF!,"")</f>
        <v/>
      </c>
      <c r="FFU57" s="82" t="str">
        <f>IF(ISNUMBER(outYear),FFU37+FFU42+#REF!+#REF!,"")</f>
        <v/>
      </c>
      <c r="FFV57" s="82" t="str">
        <f>IF(ISNUMBER(outYear),FFV37+FFV42+#REF!+#REF!,"")</f>
        <v/>
      </c>
      <c r="FFW57" s="82" t="str">
        <f>IF(ISNUMBER(outYear),FFW37+FFW42+#REF!+#REF!,"")</f>
        <v/>
      </c>
      <c r="FFX57" s="82" t="str">
        <f>IF(ISNUMBER(outYear),FFX37+FFX42+#REF!+#REF!,"")</f>
        <v/>
      </c>
      <c r="FFY57" s="82" t="str">
        <f>IF(ISNUMBER(outYear),FFY37+FFY42+#REF!+#REF!,"")</f>
        <v/>
      </c>
      <c r="FFZ57" s="82" t="str">
        <f>IF(ISNUMBER(outYear),FFZ37+FFZ42+#REF!+#REF!,"")</f>
        <v/>
      </c>
      <c r="FGA57" s="82" t="str">
        <f>IF(ISNUMBER(outYear),FGA37+FGA42+#REF!+#REF!,"")</f>
        <v/>
      </c>
      <c r="FGB57" s="82" t="str">
        <f>IF(ISNUMBER(outYear),FGB37+FGB42+#REF!+#REF!,"")</f>
        <v/>
      </c>
      <c r="FGC57" s="82" t="str">
        <f>IF(ISNUMBER(outYear),FGC37+FGC42+#REF!+#REF!,"")</f>
        <v/>
      </c>
      <c r="FGD57" s="82" t="str">
        <f>IF(ISNUMBER(outYear),FGD37+FGD42+#REF!+#REF!,"")</f>
        <v/>
      </c>
      <c r="FGE57" s="82" t="str">
        <f>IF(ISNUMBER(outYear),FGE37+FGE42+#REF!+#REF!,"")</f>
        <v/>
      </c>
      <c r="FGF57" s="82" t="str">
        <f>IF(ISNUMBER(outYear),FGF37+FGF42+#REF!+#REF!,"")</f>
        <v/>
      </c>
      <c r="FGG57" s="82" t="str">
        <f>IF(ISNUMBER(outYear),FGG37+FGG42+#REF!+#REF!,"")</f>
        <v/>
      </c>
      <c r="FGH57" s="82" t="str">
        <f>IF(ISNUMBER(outYear),FGH37+FGH42+#REF!+#REF!,"")</f>
        <v/>
      </c>
      <c r="FGI57" s="82" t="str">
        <f>IF(ISNUMBER(outYear),FGI37+FGI42+#REF!+#REF!,"")</f>
        <v/>
      </c>
      <c r="FGJ57" s="82" t="str">
        <f>IF(ISNUMBER(outYear),FGJ37+FGJ42+#REF!+#REF!,"")</f>
        <v/>
      </c>
      <c r="FGK57" s="82" t="str">
        <f>IF(ISNUMBER(outYear),FGK37+FGK42+#REF!+#REF!,"")</f>
        <v/>
      </c>
      <c r="FGL57" s="82" t="str">
        <f>IF(ISNUMBER(outYear),FGL37+FGL42+#REF!+#REF!,"")</f>
        <v/>
      </c>
      <c r="FGM57" s="82" t="str">
        <f>IF(ISNUMBER(outYear),FGM37+FGM42+#REF!+#REF!,"")</f>
        <v/>
      </c>
      <c r="FGN57" s="82" t="str">
        <f>IF(ISNUMBER(outYear),FGN37+FGN42+#REF!+#REF!,"")</f>
        <v/>
      </c>
      <c r="FGO57" s="82" t="str">
        <f>IF(ISNUMBER(outYear),FGO37+FGO42+#REF!+#REF!,"")</f>
        <v/>
      </c>
      <c r="FGP57" s="82" t="str">
        <f>IF(ISNUMBER(outYear),FGP37+FGP42+#REF!+#REF!,"")</f>
        <v/>
      </c>
      <c r="FGQ57" s="82" t="str">
        <f>IF(ISNUMBER(outYear),FGQ37+FGQ42+#REF!+#REF!,"")</f>
        <v/>
      </c>
      <c r="FGR57" s="82" t="str">
        <f>IF(ISNUMBER(outYear),FGR37+FGR42+#REF!+#REF!,"")</f>
        <v/>
      </c>
      <c r="FGS57" s="82" t="str">
        <f>IF(ISNUMBER(outYear),FGS37+FGS42+#REF!+#REF!,"")</f>
        <v/>
      </c>
      <c r="FGT57" s="82" t="str">
        <f>IF(ISNUMBER(outYear),FGT37+FGT42+#REF!+#REF!,"")</f>
        <v/>
      </c>
      <c r="FGU57" s="82" t="str">
        <f>IF(ISNUMBER(outYear),FGU37+FGU42+#REF!+#REF!,"")</f>
        <v/>
      </c>
      <c r="FGV57" s="82" t="str">
        <f>IF(ISNUMBER(outYear),FGV37+FGV42+#REF!+#REF!,"")</f>
        <v/>
      </c>
      <c r="FGW57" s="82" t="str">
        <f>IF(ISNUMBER(outYear),FGW37+FGW42+#REF!+#REF!,"")</f>
        <v/>
      </c>
      <c r="FGX57" s="82" t="str">
        <f>IF(ISNUMBER(outYear),FGX37+FGX42+#REF!+#REF!,"")</f>
        <v/>
      </c>
      <c r="FGY57" s="82" t="str">
        <f>IF(ISNUMBER(outYear),FGY37+FGY42+#REF!+#REF!,"")</f>
        <v/>
      </c>
      <c r="FGZ57" s="82" t="str">
        <f>IF(ISNUMBER(outYear),FGZ37+FGZ42+#REF!+#REF!,"")</f>
        <v/>
      </c>
      <c r="FHA57" s="82" t="str">
        <f>IF(ISNUMBER(outYear),FHA37+FHA42+#REF!+#REF!,"")</f>
        <v/>
      </c>
      <c r="FHB57" s="82" t="str">
        <f>IF(ISNUMBER(outYear),FHB37+FHB42+#REF!+#REF!,"")</f>
        <v/>
      </c>
      <c r="FHC57" s="82" t="str">
        <f>IF(ISNUMBER(outYear),FHC37+FHC42+#REF!+#REF!,"")</f>
        <v/>
      </c>
      <c r="FHD57" s="82" t="str">
        <f>IF(ISNUMBER(outYear),FHD37+FHD42+#REF!+#REF!,"")</f>
        <v/>
      </c>
      <c r="FHE57" s="82" t="str">
        <f>IF(ISNUMBER(outYear),FHE37+FHE42+#REF!+#REF!,"")</f>
        <v/>
      </c>
      <c r="FHF57" s="82" t="str">
        <f>IF(ISNUMBER(outYear),FHF37+FHF42+#REF!+#REF!,"")</f>
        <v/>
      </c>
      <c r="FHG57" s="82" t="str">
        <f>IF(ISNUMBER(outYear),FHG37+FHG42+#REF!+#REF!,"")</f>
        <v/>
      </c>
      <c r="FHH57" s="82" t="str">
        <f>IF(ISNUMBER(outYear),FHH37+FHH42+#REF!+#REF!,"")</f>
        <v/>
      </c>
      <c r="FHI57" s="82" t="str">
        <f>IF(ISNUMBER(outYear),FHI37+FHI42+#REF!+#REF!,"")</f>
        <v/>
      </c>
      <c r="FHJ57" s="82" t="str">
        <f>IF(ISNUMBER(outYear),FHJ37+FHJ42+#REF!+#REF!,"")</f>
        <v/>
      </c>
      <c r="FHK57" s="82" t="str">
        <f>IF(ISNUMBER(outYear),FHK37+FHK42+#REF!+#REF!,"")</f>
        <v/>
      </c>
      <c r="FHL57" s="82" t="str">
        <f>IF(ISNUMBER(outYear),FHL37+FHL42+#REF!+#REF!,"")</f>
        <v/>
      </c>
      <c r="FHM57" s="82" t="str">
        <f>IF(ISNUMBER(outYear),FHM37+FHM42+#REF!+#REF!,"")</f>
        <v/>
      </c>
      <c r="FHN57" s="82" t="str">
        <f>IF(ISNUMBER(outYear),FHN37+FHN42+#REF!+#REF!,"")</f>
        <v/>
      </c>
      <c r="FHO57" s="82" t="str">
        <f>IF(ISNUMBER(outYear),FHO37+FHO42+#REF!+#REF!,"")</f>
        <v/>
      </c>
      <c r="FHP57" s="82" t="str">
        <f>IF(ISNUMBER(outYear),FHP37+FHP42+#REF!+#REF!,"")</f>
        <v/>
      </c>
      <c r="FHQ57" s="82" t="str">
        <f>IF(ISNUMBER(outYear),FHQ37+FHQ42+#REF!+#REF!,"")</f>
        <v/>
      </c>
      <c r="FHR57" s="82" t="str">
        <f>IF(ISNUMBER(outYear),FHR37+FHR42+#REF!+#REF!,"")</f>
        <v/>
      </c>
      <c r="FHS57" s="82" t="str">
        <f>IF(ISNUMBER(outYear),FHS37+FHS42+#REF!+#REF!,"")</f>
        <v/>
      </c>
      <c r="FHT57" s="82" t="str">
        <f>IF(ISNUMBER(outYear),FHT37+FHT42+#REF!+#REF!,"")</f>
        <v/>
      </c>
      <c r="FHU57" s="82" t="str">
        <f>IF(ISNUMBER(outYear),FHU37+FHU42+#REF!+#REF!,"")</f>
        <v/>
      </c>
      <c r="FHV57" s="82" t="str">
        <f>IF(ISNUMBER(outYear),FHV37+FHV42+#REF!+#REF!,"")</f>
        <v/>
      </c>
      <c r="FHW57" s="82" t="str">
        <f>IF(ISNUMBER(outYear),FHW37+FHW42+#REF!+#REF!,"")</f>
        <v/>
      </c>
      <c r="FHX57" s="82" t="str">
        <f>IF(ISNUMBER(outYear),FHX37+FHX42+#REF!+#REF!,"")</f>
        <v/>
      </c>
      <c r="FHY57" s="82" t="str">
        <f>IF(ISNUMBER(outYear),FHY37+FHY42+#REF!+#REF!,"")</f>
        <v/>
      </c>
      <c r="FHZ57" s="82" t="str">
        <f>IF(ISNUMBER(outYear),FHZ37+FHZ42+#REF!+#REF!,"")</f>
        <v/>
      </c>
      <c r="FIA57" s="82" t="str">
        <f>IF(ISNUMBER(outYear),FIA37+FIA42+#REF!+#REF!,"")</f>
        <v/>
      </c>
      <c r="FIB57" s="82" t="str">
        <f>IF(ISNUMBER(outYear),FIB37+FIB42+#REF!+#REF!,"")</f>
        <v/>
      </c>
      <c r="FIC57" s="82" t="str">
        <f>IF(ISNUMBER(outYear),FIC37+FIC42+#REF!+#REF!,"")</f>
        <v/>
      </c>
      <c r="FID57" s="82" t="str">
        <f>IF(ISNUMBER(outYear),FID37+FID42+#REF!+#REF!,"")</f>
        <v/>
      </c>
      <c r="FIE57" s="82" t="str">
        <f>IF(ISNUMBER(outYear),FIE37+FIE42+#REF!+#REF!,"")</f>
        <v/>
      </c>
      <c r="FIF57" s="82" t="str">
        <f>IF(ISNUMBER(outYear),FIF37+FIF42+#REF!+#REF!,"")</f>
        <v/>
      </c>
      <c r="FIG57" s="82" t="str">
        <f>IF(ISNUMBER(outYear),FIG37+FIG42+#REF!+#REF!,"")</f>
        <v/>
      </c>
      <c r="FIH57" s="82" t="str">
        <f>IF(ISNUMBER(outYear),FIH37+FIH42+#REF!+#REF!,"")</f>
        <v/>
      </c>
      <c r="FII57" s="82" t="str">
        <f>IF(ISNUMBER(outYear),FII37+FII42+#REF!+#REF!,"")</f>
        <v/>
      </c>
      <c r="FIJ57" s="82" t="str">
        <f>IF(ISNUMBER(outYear),FIJ37+FIJ42+#REF!+#REF!,"")</f>
        <v/>
      </c>
      <c r="FIK57" s="82" t="str">
        <f>IF(ISNUMBER(outYear),FIK37+FIK42+#REF!+#REF!,"")</f>
        <v/>
      </c>
      <c r="FIL57" s="82" t="str">
        <f>IF(ISNUMBER(outYear),FIL37+FIL42+#REF!+#REF!,"")</f>
        <v/>
      </c>
      <c r="FIM57" s="82" t="str">
        <f>IF(ISNUMBER(outYear),FIM37+FIM42+#REF!+#REF!,"")</f>
        <v/>
      </c>
      <c r="FIN57" s="82" t="str">
        <f>IF(ISNUMBER(outYear),FIN37+FIN42+#REF!+#REF!,"")</f>
        <v/>
      </c>
      <c r="FIO57" s="82" t="str">
        <f>IF(ISNUMBER(outYear),FIO37+FIO42+#REF!+#REF!,"")</f>
        <v/>
      </c>
      <c r="FIP57" s="82" t="str">
        <f>IF(ISNUMBER(outYear),FIP37+FIP42+#REF!+#REF!,"")</f>
        <v/>
      </c>
      <c r="FIQ57" s="82" t="str">
        <f>IF(ISNUMBER(outYear),FIQ37+FIQ42+#REF!+#REF!,"")</f>
        <v/>
      </c>
      <c r="FIR57" s="82" t="str">
        <f>IF(ISNUMBER(outYear),FIR37+FIR42+#REF!+#REF!,"")</f>
        <v/>
      </c>
      <c r="FIS57" s="82" t="str">
        <f>IF(ISNUMBER(outYear),FIS37+FIS42+#REF!+#REF!,"")</f>
        <v/>
      </c>
      <c r="FIT57" s="82" t="str">
        <f>IF(ISNUMBER(outYear),FIT37+FIT42+#REF!+#REF!,"")</f>
        <v/>
      </c>
      <c r="FIU57" s="82" t="str">
        <f>IF(ISNUMBER(outYear),FIU37+FIU42+#REF!+#REF!,"")</f>
        <v/>
      </c>
      <c r="FIV57" s="82" t="str">
        <f>IF(ISNUMBER(outYear),FIV37+FIV42+#REF!+#REF!,"")</f>
        <v/>
      </c>
      <c r="FIW57" s="82" t="str">
        <f>IF(ISNUMBER(outYear),FIW37+FIW42+#REF!+#REF!,"")</f>
        <v/>
      </c>
      <c r="FIX57" s="82" t="str">
        <f>IF(ISNUMBER(outYear),FIX37+FIX42+#REF!+#REF!,"")</f>
        <v/>
      </c>
      <c r="FIY57" s="82" t="str">
        <f>IF(ISNUMBER(outYear),FIY37+FIY42+#REF!+#REF!,"")</f>
        <v/>
      </c>
      <c r="FIZ57" s="82" t="str">
        <f>IF(ISNUMBER(outYear),FIZ37+FIZ42+#REF!+#REF!,"")</f>
        <v/>
      </c>
      <c r="FJA57" s="82" t="str">
        <f>IF(ISNUMBER(outYear),FJA37+FJA42+#REF!+#REF!,"")</f>
        <v/>
      </c>
      <c r="FJB57" s="82" t="str">
        <f>IF(ISNUMBER(outYear),FJB37+FJB42+#REF!+#REF!,"")</f>
        <v/>
      </c>
      <c r="FJC57" s="82" t="str">
        <f>IF(ISNUMBER(outYear),FJC37+FJC42+#REF!+#REF!,"")</f>
        <v/>
      </c>
      <c r="FJD57" s="82" t="str">
        <f>IF(ISNUMBER(outYear),FJD37+FJD42+#REF!+#REF!,"")</f>
        <v/>
      </c>
      <c r="FJE57" s="82" t="str">
        <f>IF(ISNUMBER(outYear),FJE37+FJE42+#REF!+#REF!,"")</f>
        <v/>
      </c>
      <c r="FJF57" s="82" t="str">
        <f>IF(ISNUMBER(outYear),FJF37+FJF42+#REF!+#REF!,"")</f>
        <v/>
      </c>
      <c r="FJG57" s="82" t="str">
        <f>IF(ISNUMBER(outYear),FJG37+FJG42+#REF!+#REF!,"")</f>
        <v/>
      </c>
      <c r="FJH57" s="82" t="str">
        <f>IF(ISNUMBER(outYear),FJH37+FJH42+#REF!+#REF!,"")</f>
        <v/>
      </c>
      <c r="FJI57" s="82" t="str">
        <f>IF(ISNUMBER(outYear),FJI37+FJI42+#REF!+#REF!,"")</f>
        <v/>
      </c>
      <c r="FJJ57" s="82" t="str">
        <f>IF(ISNUMBER(outYear),FJJ37+FJJ42+#REF!+#REF!,"")</f>
        <v/>
      </c>
      <c r="FJK57" s="82" t="str">
        <f>IF(ISNUMBER(outYear),FJK37+FJK42+#REF!+#REF!,"")</f>
        <v/>
      </c>
      <c r="FJL57" s="82" t="str">
        <f>IF(ISNUMBER(outYear),FJL37+FJL42+#REF!+#REF!,"")</f>
        <v/>
      </c>
      <c r="FJM57" s="82" t="str">
        <f>IF(ISNUMBER(outYear),FJM37+FJM42+#REF!+#REF!,"")</f>
        <v/>
      </c>
      <c r="FJN57" s="82" t="str">
        <f>IF(ISNUMBER(outYear),FJN37+FJN42+#REF!+#REF!,"")</f>
        <v/>
      </c>
      <c r="FJO57" s="82" t="str">
        <f>IF(ISNUMBER(outYear),FJO37+FJO42+#REF!+#REF!,"")</f>
        <v/>
      </c>
      <c r="FJP57" s="82" t="str">
        <f>IF(ISNUMBER(outYear),FJP37+FJP42+#REF!+#REF!,"")</f>
        <v/>
      </c>
      <c r="FJQ57" s="82" t="str">
        <f>IF(ISNUMBER(outYear),FJQ37+FJQ42+#REF!+#REF!,"")</f>
        <v/>
      </c>
      <c r="FJR57" s="82" t="str">
        <f>IF(ISNUMBER(outYear),FJR37+FJR42+#REF!+#REF!,"")</f>
        <v/>
      </c>
      <c r="FJS57" s="82" t="str">
        <f>IF(ISNUMBER(outYear),FJS37+FJS42+#REF!+#REF!,"")</f>
        <v/>
      </c>
      <c r="FJT57" s="82" t="str">
        <f>IF(ISNUMBER(outYear),FJT37+FJT42+#REF!+#REF!,"")</f>
        <v/>
      </c>
      <c r="FJU57" s="82" t="str">
        <f>IF(ISNUMBER(outYear),FJU37+FJU42+#REF!+#REF!,"")</f>
        <v/>
      </c>
      <c r="FJV57" s="82" t="str">
        <f>IF(ISNUMBER(outYear),FJV37+FJV42+#REF!+#REF!,"")</f>
        <v/>
      </c>
      <c r="FJW57" s="82" t="str">
        <f>IF(ISNUMBER(outYear),FJW37+FJW42+#REF!+#REF!,"")</f>
        <v/>
      </c>
      <c r="FJX57" s="82" t="str">
        <f>IF(ISNUMBER(outYear),FJX37+FJX42+#REF!+#REF!,"")</f>
        <v/>
      </c>
      <c r="FJY57" s="82" t="str">
        <f>IF(ISNUMBER(outYear),FJY37+FJY42+#REF!+#REF!,"")</f>
        <v/>
      </c>
      <c r="FJZ57" s="82" t="str">
        <f>IF(ISNUMBER(outYear),FJZ37+FJZ42+#REF!+#REF!,"")</f>
        <v/>
      </c>
      <c r="FKA57" s="82" t="str">
        <f>IF(ISNUMBER(outYear),FKA37+FKA42+#REF!+#REF!,"")</f>
        <v/>
      </c>
      <c r="FKB57" s="82" t="str">
        <f>IF(ISNUMBER(outYear),FKB37+FKB42+#REF!+#REF!,"")</f>
        <v/>
      </c>
      <c r="FKC57" s="82" t="str">
        <f>IF(ISNUMBER(outYear),FKC37+FKC42+#REF!+#REF!,"")</f>
        <v/>
      </c>
      <c r="FKD57" s="82" t="str">
        <f>IF(ISNUMBER(outYear),FKD37+FKD42+#REF!+#REF!,"")</f>
        <v/>
      </c>
      <c r="FKE57" s="82" t="str">
        <f>IF(ISNUMBER(outYear),FKE37+FKE42+#REF!+#REF!,"")</f>
        <v/>
      </c>
      <c r="FKF57" s="82" t="str">
        <f>IF(ISNUMBER(outYear),FKF37+FKF42+#REF!+#REF!,"")</f>
        <v/>
      </c>
      <c r="FKG57" s="82" t="str">
        <f>IF(ISNUMBER(outYear),FKG37+FKG42+#REF!+#REF!,"")</f>
        <v/>
      </c>
      <c r="FKH57" s="82" t="str">
        <f>IF(ISNUMBER(outYear),FKH37+FKH42+#REF!+#REF!,"")</f>
        <v/>
      </c>
      <c r="FKI57" s="82" t="str">
        <f>IF(ISNUMBER(outYear),FKI37+FKI42+#REF!+#REF!,"")</f>
        <v/>
      </c>
      <c r="FKJ57" s="82" t="str">
        <f>IF(ISNUMBER(outYear),FKJ37+FKJ42+#REF!+#REF!,"")</f>
        <v/>
      </c>
      <c r="FKK57" s="82" t="str">
        <f>IF(ISNUMBER(outYear),FKK37+FKK42+#REF!+#REF!,"")</f>
        <v/>
      </c>
      <c r="FKL57" s="82" t="str">
        <f>IF(ISNUMBER(outYear),FKL37+FKL42+#REF!+#REF!,"")</f>
        <v/>
      </c>
      <c r="FKM57" s="82" t="str">
        <f>IF(ISNUMBER(outYear),FKM37+FKM42+#REF!+#REF!,"")</f>
        <v/>
      </c>
      <c r="FKN57" s="82" t="str">
        <f>IF(ISNUMBER(outYear),FKN37+FKN42+#REF!+#REF!,"")</f>
        <v/>
      </c>
      <c r="FKO57" s="82" t="str">
        <f>IF(ISNUMBER(outYear),FKO37+FKO42+#REF!+#REF!,"")</f>
        <v/>
      </c>
      <c r="FKP57" s="82" t="str">
        <f>IF(ISNUMBER(outYear),FKP37+FKP42+#REF!+#REF!,"")</f>
        <v/>
      </c>
      <c r="FKQ57" s="82" t="str">
        <f>IF(ISNUMBER(outYear),FKQ37+FKQ42+#REF!+#REF!,"")</f>
        <v/>
      </c>
      <c r="FKR57" s="82" t="str">
        <f>IF(ISNUMBER(outYear),FKR37+FKR42+#REF!+#REF!,"")</f>
        <v/>
      </c>
      <c r="FKS57" s="82" t="str">
        <f>IF(ISNUMBER(outYear),FKS37+FKS42+#REF!+#REF!,"")</f>
        <v/>
      </c>
      <c r="FKT57" s="82" t="str">
        <f>IF(ISNUMBER(outYear),FKT37+FKT42+#REF!+#REF!,"")</f>
        <v/>
      </c>
      <c r="FKU57" s="82" t="str">
        <f>IF(ISNUMBER(outYear),FKU37+FKU42+#REF!+#REF!,"")</f>
        <v/>
      </c>
      <c r="FKV57" s="82" t="str">
        <f>IF(ISNUMBER(outYear),FKV37+FKV42+#REF!+#REF!,"")</f>
        <v/>
      </c>
      <c r="FKW57" s="82" t="str">
        <f>IF(ISNUMBER(outYear),FKW37+FKW42+#REF!+#REF!,"")</f>
        <v/>
      </c>
      <c r="FKX57" s="82" t="str">
        <f>IF(ISNUMBER(outYear),FKX37+FKX42+#REF!+#REF!,"")</f>
        <v/>
      </c>
      <c r="FKY57" s="82" t="str">
        <f>IF(ISNUMBER(outYear),FKY37+FKY42+#REF!+#REF!,"")</f>
        <v/>
      </c>
      <c r="FKZ57" s="82" t="str">
        <f>IF(ISNUMBER(outYear),FKZ37+FKZ42+#REF!+#REF!,"")</f>
        <v/>
      </c>
      <c r="FLA57" s="82" t="str">
        <f>IF(ISNUMBER(outYear),FLA37+FLA42+#REF!+#REF!,"")</f>
        <v/>
      </c>
      <c r="FLB57" s="82" t="str">
        <f>IF(ISNUMBER(outYear),FLB37+FLB42+#REF!+#REF!,"")</f>
        <v/>
      </c>
      <c r="FLC57" s="82" t="str">
        <f>IF(ISNUMBER(outYear),FLC37+FLC42+#REF!+#REF!,"")</f>
        <v/>
      </c>
      <c r="FLD57" s="82" t="str">
        <f>IF(ISNUMBER(outYear),FLD37+FLD42+#REF!+#REF!,"")</f>
        <v/>
      </c>
      <c r="FLE57" s="82" t="str">
        <f>IF(ISNUMBER(outYear),FLE37+FLE42+#REF!+#REF!,"")</f>
        <v/>
      </c>
      <c r="FLF57" s="82" t="str">
        <f>IF(ISNUMBER(outYear),FLF37+FLF42+#REF!+#REF!,"")</f>
        <v/>
      </c>
      <c r="FLG57" s="82" t="str">
        <f>IF(ISNUMBER(outYear),FLG37+FLG42+#REF!+#REF!,"")</f>
        <v/>
      </c>
      <c r="FLH57" s="82" t="str">
        <f>IF(ISNUMBER(outYear),FLH37+FLH42+#REF!+#REF!,"")</f>
        <v/>
      </c>
      <c r="FLI57" s="82" t="str">
        <f>IF(ISNUMBER(outYear),FLI37+FLI42+#REF!+#REF!,"")</f>
        <v/>
      </c>
      <c r="FLJ57" s="82" t="str">
        <f>IF(ISNUMBER(outYear),FLJ37+FLJ42+#REF!+#REF!,"")</f>
        <v/>
      </c>
      <c r="FLK57" s="82" t="str">
        <f>IF(ISNUMBER(outYear),FLK37+FLK42+#REF!+#REF!,"")</f>
        <v/>
      </c>
      <c r="FLL57" s="82" t="str">
        <f>IF(ISNUMBER(outYear),FLL37+FLL42+#REF!+#REF!,"")</f>
        <v/>
      </c>
      <c r="FLM57" s="82" t="str">
        <f>IF(ISNUMBER(outYear),FLM37+FLM42+#REF!+#REF!,"")</f>
        <v/>
      </c>
      <c r="FLN57" s="82" t="str">
        <f>IF(ISNUMBER(outYear),FLN37+FLN42+#REF!+#REF!,"")</f>
        <v/>
      </c>
      <c r="FLO57" s="82" t="str">
        <f>IF(ISNUMBER(outYear),FLO37+FLO42+#REF!+#REF!,"")</f>
        <v/>
      </c>
      <c r="FLP57" s="82" t="str">
        <f>IF(ISNUMBER(outYear),FLP37+FLP42+#REF!+#REF!,"")</f>
        <v/>
      </c>
      <c r="FLQ57" s="82" t="str">
        <f>IF(ISNUMBER(outYear),FLQ37+FLQ42+#REF!+#REF!,"")</f>
        <v/>
      </c>
      <c r="FLR57" s="82" t="str">
        <f>IF(ISNUMBER(outYear),FLR37+FLR42+#REF!+#REF!,"")</f>
        <v/>
      </c>
      <c r="FLS57" s="82" t="str">
        <f>IF(ISNUMBER(outYear),FLS37+FLS42+#REF!+#REF!,"")</f>
        <v/>
      </c>
      <c r="FLT57" s="82" t="str">
        <f>IF(ISNUMBER(outYear),FLT37+FLT42+#REF!+#REF!,"")</f>
        <v/>
      </c>
      <c r="FLU57" s="82" t="str">
        <f>IF(ISNUMBER(outYear),FLU37+FLU42+#REF!+#REF!,"")</f>
        <v/>
      </c>
      <c r="FLV57" s="82" t="str">
        <f>IF(ISNUMBER(outYear),FLV37+FLV42+#REF!+#REF!,"")</f>
        <v/>
      </c>
      <c r="FLW57" s="82" t="str">
        <f>IF(ISNUMBER(outYear),FLW37+FLW42+#REF!+#REF!,"")</f>
        <v/>
      </c>
      <c r="FLX57" s="82" t="str">
        <f>IF(ISNUMBER(outYear),FLX37+FLX42+#REF!+#REF!,"")</f>
        <v/>
      </c>
      <c r="FLY57" s="82" t="str">
        <f>IF(ISNUMBER(outYear),FLY37+FLY42+#REF!+#REF!,"")</f>
        <v/>
      </c>
      <c r="FLZ57" s="82" t="str">
        <f>IF(ISNUMBER(outYear),FLZ37+FLZ42+#REF!+#REF!,"")</f>
        <v/>
      </c>
      <c r="FMA57" s="82" t="str">
        <f>IF(ISNUMBER(outYear),FMA37+FMA42+#REF!+#REF!,"")</f>
        <v/>
      </c>
      <c r="FMB57" s="82" t="str">
        <f>IF(ISNUMBER(outYear),FMB37+FMB42+#REF!+#REF!,"")</f>
        <v/>
      </c>
      <c r="FMC57" s="82" t="str">
        <f>IF(ISNUMBER(outYear),FMC37+FMC42+#REF!+#REF!,"")</f>
        <v/>
      </c>
      <c r="FMD57" s="82" t="str">
        <f>IF(ISNUMBER(outYear),FMD37+FMD42+#REF!+#REF!,"")</f>
        <v/>
      </c>
      <c r="FME57" s="82" t="str">
        <f>IF(ISNUMBER(outYear),FME37+FME42+#REF!+#REF!,"")</f>
        <v/>
      </c>
      <c r="FMF57" s="82" t="str">
        <f>IF(ISNUMBER(outYear),FMF37+FMF42+#REF!+#REF!,"")</f>
        <v/>
      </c>
      <c r="FMG57" s="82" t="str">
        <f>IF(ISNUMBER(outYear),FMG37+FMG42+#REF!+#REF!,"")</f>
        <v/>
      </c>
      <c r="FMH57" s="82" t="str">
        <f>IF(ISNUMBER(outYear),FMH37+FMH42+#REF!+#REF!,"")</f>
        <v/>
      </c>
      <c r="FMI57" s="82" t="str">
        <f>IF(ISNUMBER(outYear),FMI37+FMI42+#REF!+#REF!,"")</f>
        <v/>
      </c>
      <c r="FMJ57" s="82" t="str">
        <f>IF(ISNUMBER(outYear),FMJ37+FMJ42+#REF!+#REF!,"")</f>
        <v/>
      </c>
      <c r="FMK57" s="82" t="str">
        <f>IF(ISNUMBER(outYear),FMK37+FMK42+#REF!+#REF!,"")</f>
        <v/>
      </c>
      <c r="FML57" s="82" t="str">
        <f>IF(ISNUMBER(outYear),FML37+FML42+#REF!+#REF!,"")</f>
        <v/>
      </c>
      <c r="FMM57" s="82" t="str">
        <f>IF(ISNUMBER(outYear),FMM37+FMM42+#REF!+#REF!,"")</f>
        <v/>
      </c>
      <c r="FMN57" s="82" t="str">
        <f>IF(ISNUMBER(outYear),FMN37+FMN42+#REF!+#REF!,"")</f>
        <v/>
      </c>
      <c r="FMO57" s="82" t="str">
        <f>IF(ISNUMBER(outYear),FMO37+FMO42+#REF!+#REF!,"")</f>
        <v/>
      </c>
      <c r="FMP57" s="82" t="str">
        <f>IF(ISNUMBER(outYear),FMP37+FMP42+#REF!+#REF!,"")</f>
        <v/>
      </c>
      <c r="FMQ57" s="82" t="str">
        <f>IF(ISNUMBER(outYear),FMQ37+FMQ42+#REF!+#REF!,"")</f>
        <v/>
      </c>
      <c r="FMR57" s="82" t="str">
        <f>IF(ISNUMBER(outYear),FMR37+FMR42+#REF!+#REF!,"")</f>
        <v/>
      </c>
      <c r="FMS57" s="82" t="str">
        <f>IF(ISNUMBER(outYear),FMS37+FMS42+#REF!+#REF!,"")</f>
        <v/>
      </c>
      <c r="FMT57" s="82" t="str">
        <f>IF(ISNUMBER(outYear),FMT37+FMT42+#REF!+#REF!,"")</f>
        <v/>
      </c>
      <c r="FMU57" s="82" t="str">
        <f>IF(ISNUMBER(outYear),FMU37+FMU42+#REF!+#REF!,"")</f>
        <v/>
      </c>
      <c r="FMV57" s="82" t="str">
        <f>IF(ISNUMBER(outYear),FMV37+FMV42+#REF!+#REF!,"")</f>
        <v/>
      </c>
      <c r="FMW57" s="82" t="str">
        <f>IF(ISNUMBER(outYear),FMW37+FMW42+#REF!+#REF!,"")</f>
        <v/>
      </c>
      <c r="FMX57" s="82" t="str">
        <f>IF(ISNUMBER(outYear),FMX37+FMX42+#REF!+#REF!,"")</f>
        <v/>
      </c>
      <c r="FMY57" s="82" t="str">
        <f>IF(ISNUMBER(outYear),FMY37+FMY42+#REF!+#REF!,"")</f>
        <v/>
      </c>
      <c r="FMZ57" s="82" t="str">
        <f>IF(ISNUMBER(outYear),FMZ37+FMZ42+#REF!+#REF!,"")</f>
        <v/>
      </c>
      <c r="FNA57" s="82" t="str">
        <f>IF(ISNUMBER(outYear),FNA37+FNA42+#REF!+#REF!,"")</f>
        <v/>
      </c>
      <c r="FNB57" s="82" t="str">
        <f>IF(ISNUMBER(outYear),FNB37+FNB42+#REF!+#REF!,"")</f>
        <v/>
      </c>
      <c r="FNC57" s="82" t="str">
        <f>IF(ISNUMBER(outYear),FNC37+FNC42+#REF!+#REF!,"")</f>
        <v/>
      </c>
      <c r="FND57" s="82" t="str">
        <f>IF(ISNUMBER(outYear),FND37+FND42+#REF!+#REF!,"")</f>
        <v/>
      </c>
      <c r="FNE57" s="82" t="str">
        <f>IF(ISNUMBER(outYear),FNE37+FNE42+#REF!+#REF!,"")</f>
        <v/>
      </c>
      <c r="FNF57" s="82" t="str">
        <f>IF(ISNUMBER(outYear),FNF37+FNF42+#REF!+#REF!,"")</f>
        <v/>
      </c>
      <c r="FNG57" s="82" t="str">
        <f>IF(ISNUMBER(outYear),FNG37+FNG42+#REF!+#REF!,"")</f>
        <v/>
      </c>
      <c r="FNH57" s="82" t="str">
        <f>IF(ISNUMBER(outYear),FNH37+FNH42+#REF!+#REF!,"")</f>
        <v/>
      </c>
      <c r="FNI57" s="82" t="str">
        <f>IF(ISNUMBER(outYear),FNI37+FNI42+#REF!+#REF!,"")</f>
        <v/>
      </c>
      <c r="FNJ57" s="82" t="str">
        <f>IF(ISNUMBER(outYear),FNJ37+FNJ42+#REF!+#REF!,"")</f>
        <v/>
      </c>
      <c r="FNK57" s="82" t="str">
        <f>IF(ISNUMBER(outYear),FNK37+FNK42+#REF!+#REF!,"")</f>
        <v/>
      </c>
      <c r="FNL57" s="82" t="str">
        <f>IF(ISNUMBER(outYear),FNL37+FNL42+#REF!+#REF!,"")</f>
        <v/>
      </c>
      <c r="FNM57" s="82" t="str">
        <f>IF(ISNUMBER(outYear),FNM37+FNM42+#REF!+#REF!,"")</f>
        <v/>
      </c>
      <c r="FNN57" s="82" t="str">
        <f>IF(ISNUMBER(outYear),FNN37+FNN42+#REF!+#REF!,"")</f>
        <v/>
      </c>
      <c r="FNO57" s="82" t="str">
        <f>IF(ISNUMBER(outYear),FNO37+FNO42+#REF!+#REF!,"")</f>
        <v/>
      </c>
      <c r="FNP57" s="82" t="str">
        <f>IF(ISNUMBER(outYear),FNP37+FNP42+#REF!+#REF!,"")</f>
        <v/>
      </c>
      <c r="FNQ57" s="82" t="str">
        <f>IF(ISNUMBER(outYear),FNQ37+FNQ42+#REF!+#REF!,"")</f>
        <v/>
      </c>
      <c r="FNR57" s="82" t="str">
        <f>IF(ISNUMBER(outYear),FNR37+FNR42+#REF!+#REF!,"")</f>
        <v/>
      </c>
      <c r="FNS57" s="82" t="str">
        <f>IF(ISNUMBER(outYear),FNS37+FNS42+#REF!+#REF!,"")</f>
        <v/>
      </c>
      <c r="FNT57" s="82" t="str">
        <f>IF(ISNUMBER(outYear),FNT37+FNT42+#REF!+#REF!,"")</f>
        <v/>
      </c>
      <c r="FNU57" s="82" t="str">
        <f>IF(ISNUMBER(outYear),FNU37+FNU42+#REF!+#REF!,"")</f>
        <v/>
      </c>
      <c r="FNV57" s="82" t="str">
        <f>IF(ISNUMBER(outYear),FNV37+FNV42+#REF!+#REF!,"")</f>
        <v/>
      </c>
      <c r="FNW57" s="82" t="str">
        <f>IF(ISNUMBER(outYear),FNW37+FNW42+#REF!+#REF!,"")</f>
        <v/>
      </c>
      <c r="FNX57" s="82" t="str">
        <f>IF(ISNUMBER(outYear),FNX37+FNX42+#REF!+#REF!,"")</f>
        <v/>
      </c>
      <c r="FNY57" s="82" t="str">
        <f>IF(ISNUMBER(outYear),FNY37+FNY42+#REF!+#REF!,"")</f>
        <v/>
      </c>
      <c r="FNZ57" s="82" t="str">
        <f>IF(ISNUMBER(outYear),FNZ37+FNZ42+#REF!+#REF!,"")</f>
        <v/>
      </c>
      <c r="FOA57" s="82" t="str">
        <f>IF(ISNUMBER(outYear),FOA37+FOA42+#REF!+#REF!,"")</f>
        <v/>
      </c>
      <c r="FOB57" s="82" t="str">
        <f>IF(ISNUMBER(outYear),FOB37+FOB42+#REF!+#REF!,"")</f>
        <v/>
      </c>
      <c r="FOC57" s="82" t="str">
        <f>IF(ISNUMBER(outYear),FOC37+FOC42+#REF!+#REF!,"")</f>
        <v/>
      </c>
      <c r="FOD57" s="82" t="str">
        <f>IF(ISNUMBER(outYear),FOD37+FOD42+#REF!+#REF!,"")</f>
        <v/>
      </c>
      <c r="FOE57" s="82" t="str">
        <f>IF(ISNUMBER(outYear),FOE37+FOE42+#REF!+#REF!,"")</f>
        <v/>
      </c>
      <c r="FOF57" s="82" t="str">
        <f>IF(ISNUMBER(outYear),FOF37+FOF42+#REF!+#REF!,"")</f>
        <v/>
      </c>
      <c r="FOG57" s="82" t="str">
        <f>IF(ISNUMBER(outYear),FOG37+FOG42+#REF!+#REF!,"")</f>
        <v/>
      </c>
      <c r="FOH57" s="82" t="str">
        <f>IF(ISNUMBER(outYear),FOH37+FOH42+#REF!+#REF!,"")</f>
        <v/>
      </c>
      <c r="FOI57" s="82" t="str">
        <f>IF(ISNUMBER(outYear),FOI37+FOI42+#REF!+#REF!,"")</f>
        <v/>
      </c>
      <c r="FOJ57" s="82" t="str">
        <f>IF(ISNUMBER(outYear),FOJ37+FOJ42+#REF!+#REF!,"")</f>
        <v/>
      </c>
      <c r="FOK57" s="82" t="str">
        <f>IF(ISNUMBER(outYear),FOK37+FOK42+#REF!+#REF!,"")</f>
        <v/>
      </c>
      <c r="FOL57" s="82" t="str">
        <f>IF(ISNUMBER(outYear),FOL37+FOL42+#REF!+#REF!,"")</f>
        <v/>
      </c>
      <c r="FOM57" s="82" t="str">
        <f>IF(ISNUMBER(outYear),FOM37+FOM42+#REF!+#REF!,"")</f>
        <v/>
      </c>
      <c r="FON57" s="82" t="str">
        <f>IF(ISNUMBER(outYear),FON37+FON42+#REF!+#REF!,"")</f>
        <v/>
      </c>
      <c r="FOO57" s="82" t="str">
        <f>IF(ISNUMBER(outYear),FOO37+FOO42+#REF!+#REF!,"")</f>
        <v/>
      </c>
      <c r="FOP57" s="82" t="str">
        <f>IF(ISNUMBER(outYear),FOP37+FOP42+#REF!+#REF!,"")</f>
        <v/>
      </c>
      <c r="FOQ57" s="82" t="str">
        <f>IF(ISNUMBER(outYear),FOQ37+FOQ42+#REF!+#REF!,"")</f>
        <v/>
      </c>
      <c r="FOR57" s="82" t="str">
        <f>IF(ISNUMBER(outYear),FOR37+FOR42+#REF!+#REF!,"")</f>
        <v/>
      </c>
      <c r="FOS57" s="82" t="str">
        <f>IF(ISNUMBER(outYear),FOS37+FOS42+#REF!+#REF!,"")</f>
        <v/>
      </c>
      <c r="FOT57" s="82" t="str">
        <f>IF(ISNUMBER(outYear),FOT37+FOT42+#REF!+#REF!,"")</f>
        <v/>
      </c>
      <c r="FOU57" s="82" t="str">
        <f>IF(ISNUMBER(outYear),FOU37+FOU42+#REF!+#REF!,"")</f>
        <v/>
      </c>
      <c r="FOV57" s="82" t="str">
        <f>IF(ISNUMBER(outYear),FOV37+FOV42+#REF!+#REF!,"")</f>
        <v/>
      </c>
      <c r="FOW57" s="82" t="str">
        <f>IF(ISNUMBER(outYear),FOW37+FOW42+#REF!+#REF!,"")</f>
        <v/>
      </c>
      <c r="FOX57" s="82" t="str">
        <f>IF(ISNUMBER(outYear),FOX37+FOX42+#REF!+#REF!,"")</f>
        <v/>
      </c>
      <c r="FOY57" s="82" t="str">
        <f>IF(ISNUMBER(outYear),FOY37+FOY42+#REF!+#REF!,"")</f>
        <v/>
      </c>
      <c r="FOZ57" s="82" t="str">
        <f>IF(ISNUMBER(outYear),FOZ37+FOZ42+#REF!+#REF!,"")</f>
        <v/>
      </c>
      <c r="FPA57" s="82" t="str">
        <f>IF(ISNUMBER(outYear),FPA37+FPA42+#REF!+#REF!,"")</f>
        <v/>
      </c>
      <c r="FPB57" s="82" t="str">
        <f>IF(ISNUMBER(outYear),FPB37+FPB42+#REF!+#REF!,"")</f>
        <v/>
      </c>
      <c r="FPC57" s="82" t="str">
        <f>IF(ISNUMBER(outYear),FPC37+FPC42+#REF!+#REF!,"")</f>
        <v/>
      </c>
      <c r="FPD57" s="82" t="str">
        <f>IF(ISNUMBER(outYear),FPD37+FPD42+#REF!+#REF!,"")</f>
        <v/>
      </c>
      <c r="FPE57" s="82" t="str">
        <f>IF(ISNUMBER(outYear),FPE37+FPE42+#REF!+#REF!,"")</f>
        <v/>
      </c>
      <c r="FPF57" s="82" t="str">
        <f>IF(ISNUMBER(outYear),FPF37+FPF42+#REF!+#REF!,"")</f>
        <v/>
      </c>
      <c r="FPG57" s="82" t="str">
        <f>IF(ISNUMBER(outYear),FPG37+FPG42+#REF!+#REF!,"")</f>
        <v/>
      </c>
      <c r="FPH57" s="82" t="str">
        <f>IF(ISNUMBER(outYear),FPH37+FPH42+#REF!+#REF!,"")</f>
        <v/>
      </c>
      <c r="FPI57" s="82" t="str">
        <f>IF(ISNUMBER(outYear),FPI37+FPI42+#REF!+#REF!,"")</f>
        <v/>
      </c>
      <c r="FPJ57" s="82" t="str">
        <f>IF(ISNUMBER(outYear),FPJ37+FPJ42+#REF!+#REF!,"")</f>
        <v/>
      </c>
      <c r="FPK57" s="82" t="str">
        <f>IF(ISNUMBER(outYear),FPK37+FPK42+#REF!+#REF!,"")</f>
        <v/>
      </c>
      <c r="FPL57" s="82" t="str">
        <f>IF(ISNUMBER(outYear),FPL37+FPL42+#REF!+#REF!,"")</f>
        <v/>
      </c>
      <c r="FPM57" s="82" t="str">
        <f>IF(ISNUMBER(outYear),FPM37+FPM42+#REF!+#REF!,"")</f>
        <v/>
      </c>
      <c r="FPN57" s="82" t="str">
        <f>IF(ISNUMBER(outYear),FPN37+FPN42+#REF!+#REF!,"")</f>
        <v/>
      </c>
      <c r="FPO57" s="82" t="str">
        <f>IF(ISNUMBER(outYear),FPO37+FPO42+#REF!+#REF!,"")</f>
        <v/>
      </c>
      <c r="FPP57" s="82" t="str">
        <f>IF(ISNUMBER(outYear),FPP37+FPP42+#REF!+#REF!,"")</f>
        <v/>
      </c>
      <c r="FPQ57" s="82" t="str">
        <f>IF(ISNUMBER(outYear),FPQ37+FPQ42+#REF!+#REF!,"")</f>
        <v/>
      </c>
      <c r="FPR57" s="82" t="str">
        <f>IF(ISNUMBER(outYear),FPR37+FPR42+#REF!+#REF!,"")</f>
        <v/>
      </c>
      <c r="FPS57" s="82" t="str">
        <f>IF(ISNUMBER(outYear),FPS37+FPS42+#REF!+#REF!,"")</f>
        <v/>
      </c>
      <c r="FPT57" s="82" t="str">
        <f>IF(ISNUMBER(outYear),FPT37+FPT42+#REF!+#REF!,"")</f>
        <v/>
      </c>
      <c r="FPU57" s="82" t="str">
        <f>IF(ISNUMBER(outYear),FPU37+FPU42+#REF!+#REF!,"")</f>
        <v/>
      </c>
      <c r="FPV57" s="82" t="str">
        <f>IF(ISNUMBER(outYear),FPV37+FPV42+#REF!+#REF!,"")</f>
        <v/>
      </c>
      <c r="FPW57" s="82" t="str">
        <f>IF(ISNUMBER(outYear),FPW37+FPW42+#REF!+#REF!,"")</f>
        <v/>
      </c>
      <c r="FPX57" s="82" t="str">
        <f>IF(ISNUMBER(outYear),FPX37+FPX42+#REF!+#REF!,"")</f>
        <v/>
      </c>
      <c r="FPY57" s="82" t="str">
        <f>IF(ISNUMBER(outYear),FPY37+FPY42+#REF!+#REF!,"")</f>
        <v/>
      </c>
      <c r="FPZ57" s="82" t="str">
        <f>IF(ISNUMBER(outYear),FPZ37+FPZ42+#REF!+#REF!,"")</f>
        <v/>
      </c>
      <c r="FQA57" s="82" t="str">
        <f>IF(ISNUMBER(outYear),FQA37+FQA42+#REF!+#REF!,"")</f>
        <v/>
      </c>
      <c r="FQB57" s="82" t="str">
        <f>IF(ISNUMBER(outYear),FQB37+FQB42+#REF!+#REF!,"")</f>
        <v/>
      </c>
      <c r="FQC57" s="82" t="str">
        <f>IF(ISNUMBER(outYear),FQC37+FQC42+#REF!+#REF!,"")</f>
        <v/>
      </c>
      <c r="FQD57" s="82" t="str">
        <f>IF(ISNUMBER(outYear),FQD37+FQD42+#REF!+#REF!,"")</f>
        <v/>
      </c>
      <c r="FQE57" s="82" t="str">
        <f>IF(ISNUMBER(outYear),FQE37+FQE42+#REF!+#REF!,"")</f>
        <v/>
      </c>
      <c r="FQF57" s="82" t="str">
        <f>IF(ISNUMBER(outYear),FQF37+FQF42+#REF!+#REF!,"")</f>
        <v/>
      </c>
      <c r="FQG57" s="82" t="str">
        <f>IF(ISNUMBER(outYear),FQG37+FQG42+#REF!+#REF!,"")</f>
        <v/>
      </c>
      <c r="FQH57" s="82" t="str">
        <f>IF(ISNUMBER(outYear),FQH37+FQH42+#REF!+#REF!,"")</f>
        <v/>
      </c>
      <c r="FQI57" s="82" t="str">
        <f>IF(ISNUMBER(outYear),FQI37+FQI42+#REF!+#REF!,"")</f>
        <v/>
      </c>
      <c r="FQJ57" s="82" t="str">
        <f>IF(ISNUMBER(outYear),FQJ37+FQJ42+#REF!+#REF!,"")</f>
        <v/>
      </c>
      <c r="FQK57" s="82" t="str">
        <f>IF(ISNUMBER(outYear),FQK37+FQK42+#REF!+#REF!,"")</f>
        <v/>
      </c>
      <c r="FQL57" s="82" t="str">
        <f>IF(ISNUMBER(outYear),FQL37+FQL42+#REF!+#REF!,"")</f>
        <v/>
      </c>
      <c r="FQM57" s="82" t="str">
        <f>IF(ISNUMBER(outYear),FQM37+FQM42+#REF!+#REF!,"")</f>
        <v/>
      </c>
      <c r="FQN57" s="82" t="str">
        <f>IF(ISNUMBER(outYear),FQN37+FQN42+#REF!+#REF!,"")</f>
        <v/>
      </c>
      <c r="FQO57" s="82" t="str">
        <f>IF(ISNUMBER(outYear),FQO37+FQO42+#REF!+#REF!,"")</f>
        <v/>
      </c>
      <c r="FQP57" s="82" t="str">
        <f>IF(ISNUMBER(outYear),FQP37+FQP42+#REF!+#REF!,"")</f>
        <v/>
      </c>
      <c r="FQQ57" s="82" t="str">
        <f>IF(ISNUMBER(outYear),FQQ37+FQQ42+#REF!+#REF!,"")</f>
        <v/>
      </c>
      <c r="FQR57" s="82" t="str">
        <f>IF(ISNUMBER(outYear),FQR37+FQR42+#REF!+#REF!,"")</f>
        <v/>
      </c>
      <c r="FQS57" s="82" t="str">
        <f>IF(ISNUMBER(outYear),FQS37+FQS42+#REF!+#REF!,"")</f>
        <v/>
      </c>
      <c r="FQT57" s="82" t="str">
        <f>IF(ISNUMBER(outYear),FQT37+FQT42+#REF!+#REF!,"")</f>
        <v/>
      </c>
      <c r="FQU57" s="82" t="str">
        <f>IF(ISNUMBER(outYear),FQU37+FQU42+#REF!+#REF!,"")</f>
        <v/>
      </c>
      <c r="FQV57" s="82" t="str">
        <f>IF(ISNUMBER(outYear),FQV37+FQV42+#REF!+#REF!,"")</f>
        <v/>
      </c>
      <c r="FQW57" s="82" t="str">
        <f>IF(ISNUMBER(outYear),FQW37+FQW42+#REF!+#REF!,"")</f>
        <v/>
      </c>
      <c r="FQX57" s="82" t="str">
        <f>IF(ISNUMBER(outYear),FQX37+FQX42+#REF!+#REF!,"")</f>
        <v/>
      </c>
      <c r="FQY57" s="82" t="str">
        <f>IF(ISNUMBER(outYear),FQY37+FQY42+#REF!+#REF!,"")</f>
        <v/>
      </c>
      <c r="FQZ57" s="82" t="str">
        <f>IF(ISNUMBER(outYear),FQZ37+FQZ42+#REF!+#REF!,"")</f>
        <v/>
      </c>
      <c r="FRA57" s="82" t="str">
        <f>IF(ISNUMBER(outYear),FRA37+FRA42+#REF!+#REF!,"")</f>
        <v/>
      </c>
      <c r="FRB57" s="82" t="str">
        <f>IF(ISNUMBER(outYear),FRB37+FRB42+#REF!+#REF!,"")</f>
        <v/>
      </c>
      <c r="FRC57" s="82" t="str">
        <f>IF(ISNUMBER(outYear),FRC37+FRC42+#REF!+#REF!,"")</f>
        <v/>
      </c>
      <c r="FRD57" s="82" t="str">
        <f>IF(ISNUMBER(outYear),FRD37+FRD42+#REF!+#REF!,"")</f>
        <v/>
      </c>
      <c r="FRE57" s="82" t="str">
        <f>IF(ISNUMBER(outYear),FRE37+FRE42+#REF!+#REF!,"")</f>
        <v/>
      </c>
      <c r="FRF57" s="82" t="str">
        <f>IF(ISNUMBER(outYear),FRF37+FRF42+#REF!+#REF!,"")</f>
        <v/>
      </c>
      <c r="FRG57" s="82" t="str">
        <f>IF(ISNUMBER(outYear),FRG37+FRG42+#REF!+#REF!,"")</f>
        <v/>
      </c>
      <c r="FRH57" s="82" t="str">
        <f>IF(ISNUMBER(outYear),FRH37+FRH42+#REF!+#REF!,"")</f>
        <v/>
      </c>
      <c r="FRI57" s="82" t="str">
        <f>IF(ISNUMBER(outYear),FRI37+FRI42+#REF!+#REF!,"")</f>
        <v/>
      </c>
      <c r="FRJ57" s="82" t="str">
        <f>IF(ISNUMBER(outYear),FRJ37+FRJ42+#REF!+#REF!,"")</f>
        <v/>
      </c>
      <c r="FRK57" s="82" t="str">
        <f>IF(ISNUMBER(outYear),FRK37+FRK42+#REF!+#REF!,"")</f>
        <v/>
      </c>
      <c r="FRL57" s="82" t="str">
        <f>IF(ISNUMBER(outYear),FRL37+FRL42+#REF!+#REF!,"")</f>
        <v/>
      </c>
      <c r="FRM57" s="82" t="str">
        <f>IF(ISNUMBER(outYear),FRM37+FRM42+#REF!+#REF!,"")</f>
        <v/>
      </c>
      <c r="FRN57" s="82" t="str">
        <f>IF(ISNUMBER(outYear),FRN37+FRN42+#REF!+#REF!,"")</f>
        <v/>
      </c>
      <c r="FRO57" s="82" t="str">
        <f>IF(ISNUMBER(outYear),FRO37+FRO42+#REF!+#REF!,"")</f>
        <v/>
      </c>
      <c r="FRP57" s="82" t="str">
        <f>IF(ISNUMBER(outYear),FRP37+FRP42+#REF!+#REF!,"")</f>
        <v/>
      </c>
      <c r="FRQ57" s="82" t="str">
        <f>IF(ISNUMBER(outYear),FRQ37+FRQ42+#REF!+#REF!,"")</f>
        <v/>
      </c>
      <c r="FRR57" s="82" t="str">
        <f>IF(ISNUMBER(outYear),FRR37+FRR42+#REF!+#REF!,"")</f>
        <v/>
      </c>
      <c r="FRS57" s="82" t="str">
        <f>IF(ISNUMBER(outYear),FRS37+FRS42+#REF!+#REF!,"")</f>
        <v/>
      </c>
      <c r="FRT57" s="82" t="str">
        <f>IF(ISNUMBER(outYear),FRT37+FRT42+#REF!+#REF!,"")</f>
        <v/>
      </c>
      <c r="FRU57" s="82" t="str">
        <f>IF(ISNUMBER(outYear),FRU37+FRU42+#REF!+#REF!,"")</f>
        <v/>
      </c>
      <c r="FRV57" s="82" t="str">
        <f>IF(ISNUMBER(outYear),FRV37+FRV42+#REF!+#REF!,"")</f>
        <v/>
      </c>
      <c r="FRW57" s="82" t="str">
        <f>IF(ISNUMBER(outYear),FRW37+FRW42+#REF!+#REF!,"")</f>
        <v/>
      </c>
      <c r="FRX57" s="82" t="str">
        <f>IF(ISNUMBER(outYear),FRX37+FRX42+#REF!+#REF!,"")</f>
        <v/>
      </c>
      <c r="FRY57" s="82" t="str">
        <f>IF(ISNUMBER(outYear),FRY37+FRY42+#REF!+#REF!,"")</f>
        <v/>
      </c>
      <c r="FRZ57" s="82" t="str">
        <f>IF(ISNUMBER(outYear),FRZ37+FRZ42+#REF!+#REF!,"")</f>
        <v/>
      </c>
      <c r="FSA57" s="82" t="str">
        <f>IF(ISNUMBER(outYear),FSA37+FSA42+#REF!+#REF!,"")</f>
        <v/>
      </c>
      <c r="FSB57" s="82" t="str">
        <f>IF(ISNUMBER(outYear),FSB37+FSB42+#REF!+#REF!,"")</f>
        <v/>
      </c>
      <c r="FSC57" s="82" t="str">
        <f>IF(ISNUMBER(outYear),FSC37+FSC42+#REF!+#REF!,"")</f>
        <v/>
      </c>
      <c r="FSD57" s="82" t="str">
        <f>IF(ISNUMBER(outYear),FSD37+FSD42+#REF!+#REF!,"")</f>
        <v/>
      </c>
      <c r="FSE57" s="82" t="str">
        <f>IF(ISNUMBER(outYear),FSE37+FSE42+#REF!+#REF!,"")</f>
        <v/>
      </c>
      <c r="FSF57" s="82" t="str">
        <f>IF(ISNUMBER(outYear),FSF37+FSF42+#REF!+#REF!,"")</f>
        <v/>
      </c>
      <c r="FSG57" s="82" t="str">
        <f>IF(ISNUMBER(outYear),FSG37+FSG42+#REF!+#REF!,"")</f>
        <v/>
      </c>
      <c r="FSH57" s="82" t="str">
        <f>IF(ISNUMBER(outYear),FSH37+FSH42+#REF!+#REF!,"")</f>
        <v/>
      </c>
      <c r="FSI57" s="82" t="str">
        <f>IF(ISNUMBER(outYear),FSI37+FSI42+#REF!+#REF!,"")</f>
        <v/>
      </c>
      <c r="FSJ57" s="82" t="str">
        <f>IF(ISNUMBER(outYear),FSJ37+FSJ42+#REF!+#REF!,"")</f>
        <v/>
      </c>
      <c r="FSK57" s="82" t="str">
        <f>IF(ISNUMBER(outYear),FSK37+FSK42+#REF!+#REF!,"")</f>
        <v/>
      </c>
      <c r="FSL57" s="82" t="str">
        <f>IF(ISNUMBER(outYear),FSL37+FSL42+#REF!+#REF!,"")</f>
        <v/>
      </c>
      <c r="FSM57" s="82" t="str">
        <f>IF(ISNUMBER(outYear),FSM37+FSM42+#REF!+#REF!,"")</f>
        <v/>
      </c>
      <c r="FSN57" s="82" t="str">
        <f>IF(ISNUMBER(outYear),FSN37+FSN42+#REF!+#REF!,"")</f>
        <v/>
      </c>
      <c r="FSO57" s="82" t="str">
        <f>IF(ISNUMBER(outYear),FSO37+FSO42+#REF!+#REF!,"")</f>
        <v/>
      </c>
      <c r="FSP57" s="82" t="str">
        <f>IF(ISNUMBER(outYear),FSP37+FSP42+#REF!+#REF!,"")</f>
        <v/>
      </c>
      <c r="FSQ57" s="82" t="str">
        <f>IF(ISNUMBER(outYear),FSQ37+FSQ42+#REF!+#REF!,"")</f>
        <v/>
      </c>
      <c r="FSR57" s="82" t="str">
        <f>IF(ISNUMBER(outYear),FSR37+FSR42+#REF!+#REF!,"")</f>
        <v/>
      </c>
      <c r="FSS57" s="82" t="str">
        <f>IF(ISNUMBER(outYear),FSS37+FSS42+#REF!+#REF!,"")</f>
        <v/>
      </c>
      <c r="FST57" s="82" t="str">
        <f>IF(ISNUMBER(outYear),FST37+FST42+#REF!+#REF!,"")</f>
        <v/>
      </c>
      <c r="FSU57" s="82" t="str">
        <f>IF(ISNUMBER(outYear),FSU37+FSU42+#REF!+#REF!,"")</f>
        <v/>
      </c>
      <c r="FSV57" s="82" t="str">
        <f>IF(ISNUMBER(outYear),FSV37+FSV42+#REF!+#REF!,"")</f>
        <v/>
      </c>
      <c r="FSW57" s="82" t="str">
        <f>IF(ISNUMBER(outYear),FSW37+FSW42+#REF!+#REF!,"")</f>
        <v/>
      </c>
      <c r="FSX57" s="82" t="str">
        <f>IF(ISNUMBER(outYear),FSX37+FSX42+#REF!+#REF!,"")</f>
        <v/>
      </c>
      <c r="FSY57" s="82" t="str">
        <f>IF(ISNUMBER(outYear),FSY37+FSY42+#REF!+#REF!,"")</f>
        <v/>
      </c>
      <c r="FSZ57" s="82" t="str">
        <f>IF(ISNUMBER(outYear),FSZ37+FSZ42+#REF!+#REF!,"")</f>
        <v/>
      </c>
      <c r="FTA57" s="82" t="str">
        <f>IF(ISNUMBER(outYear),FTA37+FTA42+#REF!+#REF!,"")</f>
        <v/>
      </c>
      <c r="FTB57" s="82" t="str">
        <f>IF(ISNUMBER(outYear),FTB37+FTB42+#REF!+#REF!,"")</f>
        <v/>
      </c>
      <c r="FTC57" s="82" t="str">
        <f>IF(ISNUMBER(outYear),FTC37+FTC42+#REF!+#REF!,"")</f>
        <v/>
      </c>
      <c r="FTD57" s="82" t="str">
        <f>IF(ISNUMBER(outYear),FTD37+FTD42+#REF!+#REF!,"")</f>
        <v/>
      </c>
      <c r="FTE57" s="82" t="str">
        <f>IF(ISNUMBER(outYear),FTE37+FTE42+#REF!+#REF!,"")</f>
        <v/>
      </c>
      <c r="FTF57" s="82" t="str">
        <f>IF(ISNUMBER(outYear),FTF37+FTF42+#REF!+#REF!,"")</f>
        <v/>
      </c>
      <c r="FTG57" s="82" t="str">
        <f>IF(ISNUMBER(outYear),FTG37+FTG42+#REF!+#REF!,"")</f>
        <v/>
      </c>
      <c r="FTH57" s="82" t="str">
        <f>IF(ISNUMBER(outYear),FTH37+FTH42+#REF!+#REF!,"")</f>
        <v/>
      </c>
      <c r="FTI57" s="82" t="str">
        <f>IF(ISNUMBER(outYear),FTI37+FTI42+#REF!+#REF!,"")</f>
        <v/>
      </c>
      <c r="FTJ57" s="82" t="str">
        <f>IF(ISNUMBER(outYear),FTJ37+FTJ42+#REF!+#REF!,"")</f>
        <v/>
      </c>
      <c r="FTK57" s="82" t="str">
        <f>IF(ISNUMBER(outYear),FTK37+FTK42+#REF!+#REF!,"")</f>
        <v/>
      </c>
      <c r="FTL57" s="82" t="str">
        <f>IF(ISNUMBER(outYear),FTL37+FTL42+#REF!+#REF!,"")</f>
        <v/>
      </c>
      <c r="FTM57" s="82" t="str">
        <f>IF(ISNUMBER(outYear),FTM37+FTM42+#REF!+#REF!,"")</f>
        <v/>
      </c>
      <c r="FTN57" s="82" t="str">
        <f>IF(ISNUMBER(outYear),FTN37+FTN42+#REF!+#REF!,"")</f>
        <v/>
      </c>
      <c r="FTO57" s="82" t="str">
        <f>IF(ISNUMBER(outYear),FTO37+FTO42+#REF!+#REF!,"")</f>
        <v/>
      </c>
      <c r="FTP57" s="82" t="str">
        <f>IF(ISNUMBER(outYear),FTP37+FTP42+#REF!+#REF!,"")</f>
        <v/>
      </c>
      <c r="FTQ57" s="82" t="str">
        <f>IF(ISNUMBER(outYear),FTQ37+FTQ42+#REF!+#REF!,"")</f>
        <v/>
      </c>
      <c r="FTR57" s="82" t="str">
        <f>IF(ISNUMBER(outYear),FTR37+FTR42+#REF!+#REF!,"")</f>
        <v/>
      </c>
      <c r="FTS57" s="82" t="str">
        <f>IF(ISNUMBER(outYear),FTS37+FTS42+#REF!+#REF!,"")</f>
        <v/>
      </c>
      <c r="FTT57" s="82" t="str">
        <f>IF(ISNUMBER(outYear),FTT37+FTT42+#REF!+#REF!,"")</f>
        <v/>
      </c>
      <c r="FTU57" s="82" t="str">
        <f>IF(ISNUMBER(outYear),FTU37+FTU42+#REF!+#REF!,"")</f>
        <v/>
      </c>
      <c r="FTV57" s="82" t="str">
        <f>IF(ISNUMBER(outYear),FTV37+FTV42+#REF!+#REF!,"")</f>
        <v/>
      </c>
      <c r="FTW57" s="82" t="str">
        <f>IF(ISNUMBER(outYear),FTW37+FTW42+#REF!+#REF!,"")</f>
        <v/>
      </c>
      <c r="FTX57" s="82" t="str">
        <f>IF(ISNUMBER(outYear),FTX37+FTX42+#REF!+#REF!,"")</f>
        <v/>
      </c>
      <c r="FTY57" s="82" t="str">
        <f>IF(ISNUMBER(outYear),FTY37+FTY42+#REF!+#REF!,"")</f>
        <v/>
      </c>
      <c r="FTZ57" s="82" t="str">
        <f>IF(ISNUMBER(outYear),FTZ37+FTZ42+#REF!+#REF!,"")</f>
        <v/>
      </c>
      <c r="FUA57" s="82" t="str">
        <f>IF(ISNUMBER(outYear),FUA37+FUA42+#REF!+#REF!,"")</f>
        <v/>
      </c>
      <c r="FUB57" s="82" t="str">
        <f>IF(ISNUMBER(outYear),FUB37+FUB42+#REF!+#REF!,"")</f>
        <v/>
      </c>
      <c r="FUC57" s="82" t="str">
        <f>IF(ISNUMBER(outYear),FUC37+FUC42+#REF!+#REF!,"")</f>
        <v/>
      </c>
      <c r="FUD57" s="82" t="str">
        <f>IF(ISNUMBER(outYear),FUD37+FUD42+#REF!+#REF!,"")</f>
        <v/>
      </c>
      <c r="FUE57" s="82" t="str">
        <f>IF(ISNUMBER(outYear),FUE37+FUE42+#REF!+#REF!,"")</f>
        <v/>
      </c>
      <c r="FUF57" s="82" t="str">
        <f>IF(ISNUMBER(outYear),FUF37+FUF42+#REF!+#REF!,"")</f>
        <v/>
      </c>
      <c r="FUG57" s="82" t="str">
        <f>IF(ISNUMBER(outYear),FUG37+FUG42+#REF!+#REF!,"")</f>
        <v/>
      </c>
      <c r="FUH57" s="82" t="str">
        <f>IF(ISNUMBER(outYear),FUH37+FUH42+#REF!+#REF!,"")</f>
        <v/>
      </c>
      <c r="FUI57" s="82" t="str">
        <f>IF(ISNUMBER(outYear),FUI37+FUI42+#REF!+#REF!,"")</f>
        <v/>
      </c>
      <c r="FUJ57" s="82" t="str">
        <f>IF(ISNUMBER(outYear),FUJ37+FUJ42+#REF!+#REF!,"")</f>
        <v/>
      </c>
      <c r="FUK57" s="82" t="str">
        <f>IF(ISNUMBER(outYear),FUK37+FUK42+#REF!+#REF!,"")</f>
        <v/>
      </c>
      <c r="FUL57" s="82" t="str">
        <f>IF(ISNUMBER(outYear),FUL37+FUL42+#REF!+#REF!,"")</f>
        <v/>
      </c>
      <c r="FUM57" s="82" t="str">
        <f>IF(ISNUMBER(outYear),FUM37+FUM42+#REF!+#REF!,"")</f>
        <v/>
      </c>
      <c r="FUN57" s="82" t="str">
        <f>IF(ISNUMBER(outYear),FUN37+FUN42+#REF!+#REF!,"")</f>
        <v/>
      </c>
      <c r="FUO57" s="82" t="str">
        <f>IF(ISNUMBER(outYear),FUO37+FUO42+#REF!+#REF!,"")</f>
        <v/>
      </c>
      <c r="FUP57" s="82" t="str">
        <f>IF(ISNUMBER(outYear),FUP37+FUP42+#REF!+#REF!,"")</f>
        <v/>
      </c>
      <c r="FUQ57" s="82" t="str">
        <f>IF(ISNUMBER(outYear),FUQ37+FUQ42+#REF!+#REF!,"")</f>
        <v/>
      </c>
      <c r="FUR57" s="82" t="str">
        <f>IF(ISNUMBER(outYear),FUR37+FUR42+#REF!+#REF!,"")</f>
        <v/>
      </c>
      <c r="FUS57" s="82" t="str">
        <f>IF(ISNUMBER(outYear),FUS37+FUS42+#REF!+#REF!,"")</f>
        <v/>
      </c>
      <c r="FUT57" s="82" t="str">
        <f>IF(ISNUMBER(outYear),FUT37+FUT42+#REF!+#REF!,"")</f>
        <v/>
      </c>
      <c r="FUU57" s="82" t="str">
        <f>IF(ISNUMBER(outYear),FUU37+FUU42+#REF!+#REF!,"")</f>
        <v/>
      </c>
      <c r="FUV57" s="82" t="str">
        <f>IF(ISNUMBER(outYear),FUV37+FUV42+#REF!+#REF!,"")</f>
        <v/>
      </c>
      <c r="FUW57" s="82" t="str">
        <f>IF(ISNUMBER(outYear),FUW37+FUW42+#REF!+#REF!,"")</f>
        <v/>
      </c>
      <c r="FUX57" s="82" t="str">
        <f>IF(ISNUMBER(outYear),FUX37+FUX42+#REF!+#REF!,"")</f>
        <v/>
      </c>
      <c r="FUY57" s="82" t="str">
        <f>IF(ISNUMBER(outYear),FUY37+FUY42+#REF!+#REF!,"")</f>
        <v/>
      </c>
      <c r="FUZ57" s="82" t="str">
        <f>IF(ISNUMBER(outYear),FUZ37+FUZ42+#REF!+#REF!,"")</f>
        <v/>
      </c>
      <c r="FVA57" s="82" t="str">
        <f>IF(ISNUMBER(outYear),FVA37+FVA42+#REF!+#REF!,"")</f>
        <v/>
      </c>
      <c r="FVB57" s="82" t="str">
        <f>IF(ISNUMBER(outYear),FVB37+FVB42+#REF!+#REF!,"")</f>
        <v/>
      </c>
      <c r="FVC57" s="82" t="str">
        <f>IF(ISNUMBER(outYear),FVC37+FVC42+#REF!+#REF!,"")</f>
        <v/>
      </c>
      <c r="FVD57" s="82" t="str">
        <f>IF(ISNUMBER(outYear),FVD37+FVD42+#REF!+#REF!,"")</f>
        <v/>
      </c>
      <c r="FVE57" s="82" t="str">
        <f>IF(ISNUMBER(outYear),FVE37+FVE42+#REF!+#REF!,"")</f>
        <v/>
      </c>
      <c r="FVF57" s="82" t="str">
        <f>IF(ISNUMBER(outYear),FVF37+FVF42+#REF!+#REF!,"")</f>
        <v/>
      </c>
      <c r="FVG57" s="82" t="str">
        <f>IF(ISNUMBER(outYear),FVG37+FVG42+#REF!+#REF!,"")</f>
        <v/>
      </c>
      <c r="FVH57" s="82" t="str">
        <f>IF(ISNUMBER(outYear),FVH37+FVH42+#REF!+#REF!,"")</f>
        <v/>
      </c>
      <c r="FVI57" s="82" t="str">
        <f>IF(ISNUMBER(outYear),FVI37+FVI42+#REF!+#REF!,"")</f>
        <v/>
      </c>
      <c r="FVJ57" s="82" t="str">
        <f>IF(ISNUMBER(outYear),FVJ37+FVJ42+#REF!+#REF!,"")</f>
        <v/>
      </c>
      <c r="FVK57" s="82" t="str">
        <f>IF(ISNUMBER(outYear),FVK37+FVK42+#REF!+#REF!,"")</f>
        <v/>
      </c>
      <c r="FVL57" s="82" t="str">
        <f>IF(ISNUMBER(outYear),FVL37+FVL42+#REF!+#REF!,"")</f>
        <v/>
      </c>
      <c r="FVM57" s="82" t="str">
        <f>IF(ISNUMBER(outYear),FVM37+FVM42+#REF!+#REF!,"")</f>
        <v/>
      </c>
      <c r="FVN57" s="82" t="str">
        <f>IF(ISNUMBER(outYear),FVN37+FVN42+#REF!+#REF!,"")</f>
        <v/>
      </c>
      <c r="FVO57" s="82" t="str">
        <f>IF(ISNUMBER(outYear),FVO37+FVO42+#REF!+#REF!,"")</f>
        <v/>
      </c>
      <c r="FVP57" s="82" t="str">
        <f>IF(ISNUMBER(outYear),FVP37+FVP42+#REF!+#REF!,"")</f>
        <v/>
      </c>
      <c r="FVQ57" s="82" t="str">
        <f>IF(ISNUMBER(outYear),FVQ37+FVQ42+#REF!+#REF!,"")</f>
        <v/>
      </c>
      <c r="FVR57" s="82" t="str">
        <f>IF(ISNUMBER(outYear),FVR37+FVR42+#REF!+#REF!,"")</f>
        <v/>
      </c>
      <c r="FVS57" s="82" t="str">
        <f>IF(ISNUMBER(outYear),FVS37+FVS42+#REF!+#REF!,"")</f>
        <v/>
      </c>
      <c r="FVT57" s="82" t="str">
        <f>IF(ISNUMBER(outYear),FVT37+FVT42+#REF!+#REF!,"")</f>
        <v/>
      </c>
      <c r="FVU57" s="82" t="str">
        <f>IF(ISNUMBER(outYear),FVU37+FVU42+#REF!+#REF!,"")</f>
        <v/>
      </c>
      <c r="FVV57" s="82" t="str">
        <f>IF(ISNUMBER(outYear),FVV37+FVV42+#REF!+#REF!,"")</f>
        <v/>
      </c>
      <c r="FVW57" s="82" t="str">
        <f>IF(ISNUMBER(outYear),FVW37+FVW42+#REF!+#REF!,"")</f>
        <v/>
      </c>
      <c r="FVX57" s="82" t="str">
        <f>IF(ISNUMBER(outYear),FVX37+FVX42+#REF!+#REF!,"")</f>
        <v/>
      </c>
      <c r="FVY57" s="82" t="str">
        <f>IF(ISNUMBER(outYear),FVY37+FVY42+#REF!+#REF!,"")</f>
        <v/>
      </c>
      <c r="FVZ57" s="82" t="str">
        <f>IF(ISNUMBER(outYear),FVZ37+FVZ42+#REF!+#REF!,"")</f>
        <v/>
      </c>
      <c r="FWA57" s="82" t="str">
        <f>IF(ISNUMBER(outYear),FWA37+FWA42+#REF!+#REF!,"")</f>
        <v/>
      </c>
      <c r="FWB57" s="82" t="str">
        <f>IF(ISNUMBER(outYear),FWB37+FWB42+#REF!+#REF!,"")</f>
        <v/>
      </c>
      <c r="FWC57" s="82" t="str">
        <f>IF(ISNUMBER(outYear),FWC37+FWC42+#REF!+#REF!,"")</f>
        <v/>
      </c>
      <c r="FWD57" s="82" t="str">
        <f>IF(ISNUMBER(outYear),FWD37+FWD42+#REF!+#REF!,"")</f>
        <v/>
      </c>
      <c r="FWE57" s="82" t="str">
        <f>IF(ISNUMBER(outYear),FWE37+FWE42+#REF!+#REF!,"")</f>
        <v/>
      </c>
      <c r="FWF57" s="82" t="str">
        <f>IF(ISNUMBER(outYear),FWF37+FWF42+#REF!+#REF!,"")</f>
        <v/>
      </c>
      <c r="FWG57" s="82" t="str">
        <f>IF(ISNUMBER(outYear),FWG37+FWG42+#REF!+#REF!,"")</f>
        <v/>
      </c>
      <c r="FWH57" s="82" t="str">
        <f>IF(ISNUMBER(outYear),FWH37+FWH42+#REF!+#REF!,"")</f>
        <v/>
      </c>
      <c r="FWI57" s="82" t="str">
        <f>IF(ISNUMBER(outYear),FWI37+FWI42+#REF!+#REF!,"")</f>
        <v/>
      </c>
      <c r="FWJ57" s="82" t="str">
        <f>IF(ISNUMBER(outYear),FWJ37+FWJ42+#REF!+#REF!,"")</f>
        <v/>
      </c>
      <c r="FWK57" s="82" t="str">
        <f>IF(ISNUMBER(outYear),FWK37+FWK42+#REF!+#REF!,"")</f>
        <v/>
      </c>
      <c r="FWL57" s="82" t="str">
        <f>IF(ISNUMBER(outYear),FWL37+FWL42+#REF!+#REF!,"")</f>
        <v/>
      </c>
      <c r="FWM57" s="82" t="str">
        <f>IF(ISNUMBER(outYear),FWM37+FWM42+#REF!+#REF!,"")</f>
        <v/>
      </c>
      <c r="FWN57" s="82" t="str">
        <f>IF(ISNUMBER(outYear),FWN37+FWN42+#REF!+#REF!,"")</f>
        <v/>
      </c>
      <c r="FWO57" s="82" t="str">
        <f>IF(ISNUMBER(outYear),FWO37+FWO42+#REF!+#REF!,"")</f>
        <v/>
      </c>
      <c r="FWP57" s="82" t="str">
        <f>IF(ISNUMBER(outYear),FWP37+FWP42+#REF!+#REF!,"")</f>
        <v/>
      </c>
      <c r="FWQ57" s="82" t="str">
        <f>IF(ISNUMBER(outYear),FWQ37+FWQ42+#REF!+#REF!,"")</f>
        <v/>
      </c>
      <c r="FWR57" s="82" t="str">
        <f>IF(ISNUMBER(outYear),FWR37+FWR42+#REF!+#REF!,"")</f>
        <v/>
      </c>
      <c r="FWS57" s="82" t="str">
        <f>IF(ISNUMBER(outYear),FWS37+FWS42+#REF!+#REF!,"")</f>
        <v/>
      </c>
      <c r="FWT57" s="82" t="str">
        <f>IF(ISNUMBER(outYear),FWT37+FWT42+#REF!+#REF!,"")</f>
        <v/>
      </c>
      <c r="FWU57" s="82" t="str">
        <f>IF(ISNUMBER(outYear),FWU37+FWU42+#REF!+#REF!,"")</f>
        <v/>
      </c>
      <c r="FWV57" s="82" t="str">
        <f>IF(ISNUMBER(outYear),FWV37+FWV42+#REF!+#REF!,"")</f>
        <v/>
      </c>
      <c r="FWW57" s="82" t="str">
        <f>IF(ISNUMBER(outYear),FWW37+FWW42+#REF!+#REF!,"")</f>
        <v/>
      </c>
      <c r="FWX57" s="82" t="str">
        <f>IF(ISNUMBER(outYear),FWX37+FWX42+#REF!+#REF!,"")</f>
        <v/>
      </c>
      <c r="FWY57" s="82" t="str">
        <f>IF(ISNUMBER(outYear),FWY37+FWY42+#REF!+#REF!,"")</f>
        <v/>
      </c>
      <c r="FWZ57" s="82" t="str">
        <f>IF(ISNUMBER(outYear),FWZ37+FWZ42+#REF!+#REF!,"")</f>
        <v/>
      </c>
      <c r="FXA57" s="82" t="str">
        <f>IF(ISNUMBER(outYear),FXA37+FXA42+#REF!+#REF!,"")</f>
        <v/>
      </c>
      <c r="FXB57" s="82" t="str">
        <f>IF(ISNUMBER(outYear),FXB37+FXB42+#REF!+#REF!,"")</f>
        <v/>
      </c>
      <c r="FXC57" s="82" t="str">
        <f>IF(ISNUMBER(outYear),FXC37+FXC42+#REF!+#REF!,"")</f>
        <v/>
      </c>
      <c r="FXD57" s="82" t="str">
        <f>IF(ISNUMBER(outYear),FXD37+FXD42+#REF!+#REF!,"")</f>
        <v/>
      </c>
      <c r="FXE57" s="82" t="str">
        <f>IF(ISNUMBER(outYear),FXE37+FXE42+#REF!+#REF!,"")</f>
        <v/>
      </c>
      <c r="FXF57" s="82" t="str">
        <f>IF(ISNUMBER(outYear),FXF37+FXF42+#REF!+#REF!,"")</f>
        <v/>
      </c>
      <c r="FXG57" s="82" t="str">
        <f>IF(ISNUMBER(outYear),FXG37+FXG42+#REF!+#REF!,"")</f>
        <v/>
      </c>
      <c r="FXH57" s="82" t="str">
        <f>IF(ISNUMBER(outYear),FXH37+FXH42+#REF!+#REF!,"")</f>
        <v/>
      </c>
      <c r="FXI57" s="82" t="str">
        <f>IF(ISNUMBER(outYear),FXI37+FXI42+#REF!+#REF!,"")</f>
        <v/>
      </c>
      <c r="FXJ57" s="82" t="str">
        <f>IF(ISNUMBER(outYear),FXJ37+FXJ42+#REF!+#REF!,"")</f>
        <v/>
      </c>
      <c r="FXK57" s="82" t="str">
        <f>IF(ISNUMBER(outYear),FXK37+FXK42+#REF!+#REF!,"")</f>
        <v/>
      </c>
      <c r="FXL57" s="82" t="str">
        <f>IF(ISNUMBER(outYear),FXL37+FXL42+#REF!+#REF!,"")</f>
        <v/>
      </c>
      <c r="FXM57" s="82" t="str">
        <f>IF(ISNUMBER(outYear),FXM37+FXM42+#REF!+#REF!,"")</f>
        <v/>
      </c>
      <c r="FXN57" s="82" t="str">
        <f>IF(ISNUMBER(outYear),FXN37+FXN42+#REF!+#REF!,"")</f>
        <v/>
      </c>
      <c r="FXO57" s="82" t="str">
        <f>IF(ISNUMBER(outYear),FXO37+FXO42+#REF!+#REF!,"")</f>
        <v/>
      </c>
      <c r="FXP57" s="82" t="str">
        <f>IF(ISNUMBER(outYear),FXP37+FXP42+#REF!+#REF!,"")</f>
        <v/>
      </c>
      <c r="FXQ57" s="82" t="str">
        <f>IF(ISNUMBER(outYear),FXQ37+FXQ42+#REF!+#REF!,"")</f>
        <v/>
      </c>
      <c r="FXR57" s="82" t="str">
        <f>IF(ISNUMBER(outYear),FXR37+FXR42+#REF!+#REF!,"")</f>
        <v/>
      </c>
      <c r="FXS57" s="82" t="str">
        <f>IF(ISNUMBER(outYear),FXS37+FXS42+#REF!+#REF!,"")</f>
        <v/>
      </c>
      <c r="FXT57" s="82" t="str">
        <f>IF(ISNUMBER(outYear),FXT37+FXT42+#REF!+#REF!,"")</f>
        <v/>
      </c>
      <c r="FXU57" s="82" t="str">
        <f>IF(ISNUMBER(outYear),FXU37+FXU42+#REF!+#REF!,"")</f>
        <v/>
      </c>
      <c r="FXV57" s="82" t="str">
        <f>IF(ISNUMBER(outYear),FXV37+FXV42+#REF!+#REF!,"")</f>
        <v/>
      </c>
      <c r="FXW57" s="82" t="str">
        <f>IF(ISNUMBER(outYear),FXW37+FXW42+#REF!+#REF!,"")</f>
        <v/>
      </c>
      <c r="FXX57" s="82" t="str">
        <f>IF(ISNUMBER(outYear),FXX37+FXX42+#REF!+#REF!,"")</f>
        <v/>
      </c>
      <c r="FXY57" s="82" t="str">
        <f>IF(ISNUMBER(outYear),FXY37+FXY42+#REF!+#REF!,"")</f>
        <v/>
      </c>
      <c r="FXZ57" s="82" t="str">
        <f>IF(ISNUMBER(outYear),FXZ37+FXZ42+#REF!+#REF!,"")</f>
        <v/>
      </c>
      <c r="FYA57" s="82" t="str">
        <f>IF(ISNUMBER(outYear),FYA37+FYA42+#REF!+#REF!,"")</f>
        <v/>
      </c>
      <c r="FYB57" s="82" t="str">
        <f>IF(ISNUMBER(outYear),FYB37+FYB42+#REF!+#REF!,"")</f>
        <v/>
      </c>
      <c r="FYC57" s="82" t="str">
        <f>IF(ISNUMBER(outYear),FYC37+FYC42+#REF!+#REF!,"")</f>
        <v/>
      </c>
      <c r="FYD57" s="82" t="str">
        <f>IF(ISNUMBER(outYear),FYD37+FYD42+#REF!+#REF!,"")</f>
        <v/>
      </c>
      <c r="FYE57" s="82" t="str">
        <f>IF(ISNUMBER(outYear),FYE37+FYE42+#REF!+#REF!,"")</f>
        <v/>
      </c>
      <c r="FYF57" s="82" t="str">
        <f>IF(ISNUMBER(outYear),FYF37+FYF42+#REF!+#REF!,"")</f>
        <v/>
      </c>
      <c r="FYG57" s="82" t="str">
        <f>IF(ISNUMBER(outYear),FYG37+FYG42+#REF!+#REF!,"")</f>
        <v/>
      </c>
      <c r="FYH57" s="82" t="str">
        <f>IF(ISNUMBER(outYear),FYH37+FYH42+#REF!+#REF!,"")</f>
        <v/>
      </c>
      <c r="FYI57" s="82" t="str">
        <f>IF(ISNUMBER(outYear),FYI37+FYI42+#REF!+#REF!,"")</f>
        <v/>
      </c>
      <c r="FYJ57" s="82" t="str">
        <f>IF(ISNUMBER(outYear),FYJ37+FYJ42+#REF!+#REF!,"")</f>
        <v/>
      </c>
      <c r="FYK57" s="82" t="str">
        <f>IF(ISNUMBER(outYear),FYK37+FYK42+#REF!+#REF!,"")</f>
        <v/>
      </c>
      <c r="FYL57" s="82" t="str">
        <f>IF(ISNUMBER(outYear),FYL37+FYL42+#REF!+#REF!,"")</f>
        <v/>
      </c>
      <c r="FYM57" s="82" t="str">
        <f>IF(ISNUMBER(outYear),FYM37+FYM42+#REF!+#REF!,"")</f>
        <v/>
      </c>
      <c r="FYN57" s="82" t="str">
        <f>IF(ISNUMBER(outYear),FYN37+FYN42+#REF!+#REF!,"")</f>
        <v/>
      </c>
      <c r="FYO57" s="82" t="str">
        <f>IF(ISNUMBER(outYear),FYO37+FYO42+#REF!+#REF!,"")</f>
        <v/>
      </c>
      <c r="FYP57" s="82" t="str">
        <f>IF(ISNUMBER(outYear),FYP37+FYP42+#REF!+#REF!,"")</f>
        <v/>
      </c>
      <c r="FYQ57" s="82" t="str">
        <f>IF(ISNUMBER(outYear),FYQ37+FYQ42+#REF!+#REF!,"")</f>
        <v/>
      </c>
      <c r="FYR57" s="82" t="str">
        <f>IF(ISNUMBER(outYear),FYR37+FYR42+#REF!+#REF!,"")</f>
        <v/>
      </c>
      <c r="FYS57" s="82" t="str">
        <f>IF(ISNUMBER(outYear),FYS37+FYS42+#REF!+#REF!,"")</f>
        <v/>
      </c>
      <c r="FYT57" s="82" t="str">
        <f>IF(ISNUMBER(outYear),FYT37+FYT42+#REF!+#REF!,"")</f>
        <v/>
      </c>
      <c r="FYU57" s="82" t="str">
        <f>IF(ISNUMBER(outYear),FYU37+FYU42+#REF!+#REF!,"")</f>
        <v/>
      </c>
      <c r="FYV57" s="82" t="str">
        <f>IF(ISNUMBER(outYear),FYV37+FYV42+#REF!+#REF!,"")</f>
        <v/>
      </c>
      <c r="FYW57" s="82" t="str">
        <f>IF(ISNUMBER(outYear),FYW37+FYW42+#REF!+#REF!,"")</f>
        <v/>
      </c>
      <c r="FYX57" s="82" t="str">
        <f>IF(ISNUMBER(outYear),FYX37+FYX42+#REF!+#REF!,"")</f>
        <v/>
      </c>
      <c r="FYY57" s="82" t="str">
        <f>IF(ISNUMBER(outYear),FYY37+FYY42+#REF!+#REF!,"")</f>
        <v/>
      </c>
      <c r="FYZ57" s="82" t="str">
        <f>IF(ISNUMBER(outYear),FYZ37+FYZ42+#REF!+#REF!,"")</f>
        <v/>
      </c>
      <c r="FZA57" s="82" t="str">
        <f>IF(ISNUMBER(outYear),FZA37+FZA42+#REF!+#REF!,"")</f>
        <v/>
      </c>
      <c r="FZB57" s="82" t="str">
        <f>IF(ISNUMBER(outYear),FZB37+FZB42+#REF!+#REF!,"")</f>
        <v/>
      </c>
      <c r="FZC57" s="82" t="str">
        <f>IF(ISNUMBER(outYear),FZC37+FZC42+#REF!+#REF!,"")</f>
        <v/>
      </c>
      <c r="FZD57" s="82" t="str">
        <f>IF(ISNUMBER(outYear),FZD37+FZD42+#REF!+#REF!,"")</f>
        <v/>
      </c>
      <c r="FZE57" s="82" t="str">
        <f>IF(ISNUMBER(outYear),FZE37+FZE42+#REF!+#REF!,"")</f>
        <v/>
      </c>
      <c r="FZF57" s="82" t="str">
        <f>IF(ISNUMBER(outYear),FZF37+FZF42+#REF!+#REF!,"")</f>
        <v/>
      </c>
      <c r="FZG57" s="82" t="str">
        <f>IF(ISNUMBER(outYear),FZG37+FZG42+#REF!+#REF!,"")</f>
        <v/>
      </c>
      <c r="FZH57" s="82" t="str">
        <f>IF(ISNUMBER(outYear),FZH37+FZH42+#REF!+#REF!,"")</f>
        <v/>
      </c>
      <c r="FZI57" s="82" t="str">
        <f>IF(ISNUMBER(outYear),FZI37+FZI42+#REF!+#REF!,"")</f>
        <v/>
      </c>
      <c r="FZJ57" s="82" t="str">
        <f>IF(ISNUMBER(outYear),FZJ37+FZJ42+#REF!+#REF!,"")</f>
        <v/>
      </c>
      <c r="FZK57" s="82" t="str">
        <f>IF(ISNUMBER(outYear),FZK37+FZK42+#REF!+#REF!,"")</f>
        <v/>
      </c>
      <c r="FZL57" s="82" t="str">
        <f>IF(ISNUMBER(outYear),FZL37+FZL42+#REF!+#REF!,"")</f>
        <v/>
      </c>
      <c r="FZM57" s="82" t="str">
        <f>IF(ISNUMBER(outYear),FZM37+FZM42+#REF!+#REF!,"")</f>
        <v/>
      </c>
      <c r="FZN57" s="82" t="str">
        <f>IF(ISNUMBER(outYear),FZN37+FZN42+#REF!+#REF!,"")</f>
        <v/>
      </c>
      <c r="FZO57" s="82" t="str">
        <f>IF(ISNUMBER(outYear),FZO37+FZO42+#REF!+#REF!,"")</f>
        <v/>
      </c>
      <c r="FZP57" s="82" t="str">
        <f>IF(ISNUMBER(outYear),FZP37+FZP42+#REF!+#REF!,"")</f>
        <v/>
      </c>
      <c r="FZQ57" s="82" t="str">
        <f>IF(ISNUMBER(outYear),FZQ37+FZQ42+#REF!+#REF!,"")</f>
        <v/>
      </c>
      <c r="FZR57" s="82" t="str">
        <f>IF(ISNUMBER(outYear),FZR37+FZR42+#REF!+#REF!,"")</f>
        <v/>
      </c>
      <c r="FZS57" s="82" t="str">
        <f>IF(ISNUMBER(outYear),FZS37+FZS42+#REF!+#REF!,"")</f>
        <v/>
      </c>
      <c r="FZT57" s="82" t="str">
        <f>IF(ISNUMBER(outYear),FZT37+FZT42+#REF!+#REF!,"")</f>
        <v/>
      </c>
      <c r="FZU57" s="82" t="str">
        <f>IF(ISNUMBER(outYear),FZU37+FZU42+#REF!+#REF!,"")</f>
        <v/>
      </c>
      <c r="FZV57" s="82" t="str">
        <f>IF(ISNUMBER(outYear),FZV37+FZV42+#REF!+#REF!,"")</f>
        <v/>
      </c>
      <c r="FZW57" s="82" t="str">
        <f>IF(ISNUMBER(outYear),FZW37+FZW42+#REF!+#REF!,"")</f>
        <v/>
      </c>
      <c r="FZX57" s="82" t="str">
        <f>IF(ISNUMBER(outYear),FZX37+FZX42+#REF!+#REF!,"")</f>
        <v/>
      </c>
      <c r="FZY57" s="82" t="str">
        <f>IF(ISNUMBER(outYear),FZY37+FZY42+#REF!+#REF!,"")</f>
        <v/>
      </c>
      <c r="FZZ57" s="82" t="str">
        <f>IF(ISNUMBER(outYear),FZZ37+FZZ42+#REF!+#REF!,"")</f>
        <v/>
      </c>
      <c r="GAA57" s="82" t="str">
        <f>IF(ISNUMBER(outYear),GAA37+GAA42+#REF!+#REF!,"")</f>
        <v/>
      </c>
      <c r="GAB57" s="82" t="str">
        <f>IF(ISNUMBER(outYear),GAB37+GAB42+#REF!+#REF!,"")</f>
        <v/>
      </c>
      <c r="GAC57" s="82" t="str">
        <f>IF(ISNUMBER(outYear),GAC37+GAC42+#REF!+#REF!,"")</f>
        <v/>
      </c>
      <c r="GAD57" s="82" t="str">
        <f>IF(ISNUMBER(outYear),GAD37+GAD42+#REF!+#REF!,"")</f>
        <v/>
      </c>
      <c r="GAE57" s="82" t="str">
        <f>IF(ISNUMBER(outYear),GAE37+GAE42+#REF!+#REF!,"")</f>
        <v/>
      </c>
      <c r="GAF57" s="82" t="str">
        <f>IF(ISNUMBER(outYear),GAF37+GAF42+#REF!+#REF!,"")</f>
        <v/>
      </c>
      <c r="GAG57" s="82" t="str">
        <f>IF(ISNUMBER(outYear),GAG37+GAG42+#REF!+#REF!,"")</f>
        <v/>
      </c>
      <c r="GAH57" s="82" t="str">
        <f>IF(ISNUMBER(outYear),GAH37+GAH42+#REF!+#REF!,"")</f>
        <v/>
      </c>
      <c r="GAI57" s="82" t="str">
        <f>IF(ISNUMBER(outYear),GAI37+GAI42+#REF!+#REF!,"")</f>
        <v/>
      </c>
      <c r="GAJ57" s="82" t="str">
        <f>IF(ISNUMBER(outYear),GAJ37+GAJ42+#REF!+#REF!,"")</f>
        <v/>
      </c>
      <c r="GAK57" s="82" t="str">
        <f>IF(ISNUMBER(outYear),GAK37+GAK42+#REF!+#REF!,"")</f>
        <v/>
      </c>
      <c r="GAL57" s="82" t="str">
        <f>IF(ISNUMBER(outYear),GAL37+GAL42+#REF!+#REF!,"")</f>
        <v/>
      </c>
      <c r="GAM57" s="82" t="str">
        <f>IF(ISNUMBER(outYear),GAM37+GAM42+#REF!+#REF!,"")</f>
        <v/>
      </c>
      <c r="GAN57" s="82" t="str">
        <f>IF(ISNUMBER(outYear),GAN37+GAN42+#REF!+#REF!,"")</f>
        <v/>
      </c>
      <c r="GAO57" s="82" t="str">
        <f>IF(ISNUMBER(outYear),GAO37+GAO42+#REF!+#REF!,"")</f>
        <v/>
      </c>
      <c r="GAP57" s="82" t="str">
        <f>IF(ISNUMBER(outYear),GAP37+GAP42+#REF!+#REF!,"")</f>
        <v/>
      </c>
      <c r="GAQ57" s="82" t="str">
        <f>IF(ISNUMBER(outYear),GAQ37+GAQ42+#REF!+#REF!,"")</f>
        <v/>
      </c>
      <c r="GAR57" s="82" t="str">
        <f>IF(ISNUMBER(outYear),GAR37+GAR42+#REF!+#REF!,"")</f>
        <v/>
      </c>
      <c r="GAS57" s="82" t="str">
        <f>IF(ISNUMBER(outYear),GAS37+GAS42+#REF!+#REF!,"")</f>
        <v/>
      </c>
      <c r="GAT57" s="82" t="str">
        <f>IF(ISNUMBER(outYear),GAT37+GAT42+#REF!+#REF!,"")</f>
        <v/>
      </c>
      <c r="GAU57" s="82" t="str">
        <f>IF(ISNUMBER(outYear),GAU37+GAU42+#REF!+#REF!,"")</f>
        <v/>
      </c>
      <c r="GAV57" s="82" t="str">
        <f>IF(ISNUMBER(outYear),GAV37+GAV42+#REF!+#REF!,"")</f>
        <v/>
      </c>
      <c r="GAW57" s="82" t="str">
        <f>IF(ISNUMBER(outYear),GAW37+GAW42+#REF!+#REF!,"")</f>
        <v/>
      </c>
      <c r="GAX57" s="82" t="str">
        <f>IF(ISNUMBER(outYear),GAX37+GAX42+#REF!+#REF!,"")</f>
        <v/>
      </c>
      <c r="GAY57" s="82" t="str">
        <f>IF(ISNUMBER(outYear),GAY37+GAY42+#REF!+#REF!,"")</f>
        <v/>
      </c>
      <c r="GAZ57" s="82" t="str">
        <f>IF(ISNUMBER(outYear),GAZ37+GAZ42+#REF!+#REF!,"")</f>
        <v/>
      </c>
      <c r="GBA57" s="82" t="str">
        <f>IF(ISNUMBER(outYear),GBA37+GBA42+#REF!+#REF!,"")</f>
        <v/>
      </c>
      <c r="GBB57" s="82" t="str">
        <f>IF(ISNUMBER(outYear),GBB37+GBB42+#REF!+#REF!,"")</f>
        <v/>
      </c>
      <c r="GBC57" s="82" t="str">
        <f>IF(ISNUMBER(outYear),GBC37+GBC42+#REF!+#REF!,"")</f>
        <v/>
      </c>
      <c r="GBD57" s="82" t="str">
        <f>IF(ISNUMBER(outYear),GBD37+GBD42+#REF!+#REF!,"")</f>
        <v/>
      </c>
      <c r="GBE57" s="82" t="str">
        <f>IF(ISNUMBER(outYear),GBE37+GBE42+#REF!+#REF!,"")</f>
        <v/>
      </c>
      <c r="GBF57" s="82" t="str">
        <f>IF(ISNUMBER(outYear),GBF37+GBF42+#REF!+#REF!,"")</f>
        <v/>
      </c>
      <c r="GBG57" s="82" t="str">
        <f>IF(ISNUMBER(outYear),GBG37+GBG42+#REF!+#REF!,"")</f>
        <v/>
      </c>
      <c r="GBH57" s="82" t="str">
        <f>IF(ISNUMBER(outYear),GBH37+GBH42+#REF!+#REF!,"")</f>
        <v/>
      </c>
      <c r="GBI57" s="82" t="str">
        <f>IF(ISNUMBER(outYear),GBI37+GBI42+#REF!+#REF!,"")</f>
        <v/>
      </c>
      <c r="GBJ57" s="82" t="str">
        <f>IF(ISNUMBER(outYear),GBJ37+GBJ42+#REF!+#REF!,"")</f>
        <v/>
      </c>
      <c r="GBK57" s="82" t="str">
        <f>IF(ISNUMBER(outYear),GBK37+GBK42+#REF!+#REF!,"")</f>
        <v/>
      </c>
      <c r="GBL57" s="82" t="str">
        <f>IF(ISNUMBER(outYear),GBL37+GBL42+#REF!+#REF!,"")</f>
        <v/>
      </c>
      <c r="GBM57" s="82" t="str">
        <f>IF(ISNUMBER(outYear),GBM37+GBM42+#REF!+#REF!,"")</f>
        <v/>
      </c>
      <c r="GBN57" s="82" t="str">
        <f>IF(ISNUMBER(outYear),GBN37+GBN42+#REF!+#REF!,"")</f>
        <v/>
      </c>
      <c r="GBO57" s="82" t="str">
        <f>IF(ISNUMBER(outYear),GBO37+GBO42+#REF!+#REF!,"")</f>
        <v/>
      </c>
      <c r="GBP57" s="82" t="str">
        <f>IF(ISNUMBER(outYear),GBP37+GBP42+#REF!+#REF!,"")</f>
        <v/>
      </c>
      <c r="GBQ57" s="82" t="str">
        <f>IF(ISNUMBER(outYear),GBQ37+GBQ42+#REF!+#REF!,"")</f>
        <v/>
      </c>
      <c r="GBR57" s="82" t="str">
        <f>IF(ISNUMBER(outYear),GBR37+GBR42+#REF!+#REF!,"")</f>
        <v/>
      </c>
      <c r="GBS57" s="82" t="str">
        <f>IF(ISNUMBER(outYear),GBS37+GBS42+#REF!+#REF!,"")</f>
        <v/>
      </c>
      <c r="GBT57" s="82" t="str">
        <f>IF(ISNUMBER(outYear),GBT37+GBT42+#REF!+#REF!,"")</f>
        <v/>
      </c>
      <c r="GBU57" s="82" t="str">
        <f>IF(ISNUMBER(outYear),GBU37+GBU42+#REF!+#REF!,"")</f>
        <v/>
      </c>
      <c r="GBV57" s="82" t="str">
        <f>IF(ISNUMBER(outYear),GBV37+GBV42+#REF!+#REF!,"")</f>
        <v/>
      </c>
      <c r="GBW57" s="82" t="str">
        <f>IF(ISNUMBER(outYear),GBW37+GBW42+#REF!+#REF!,"")</f>
        <v/>
      </c>
      <c r="GBX57" s="82" t="str">
        <f>IF(ISNUMBER(outYear),GBX37+GBX42+#REF!+#REF!,"")</f>
        <v/>
      </c>
      <c r="GBY57" s="82" t="str">
        <f>IF(ISNUMBER(outYear),GBY37+GBY42+#REF!+#REF!,"")</f>
        <v/>
      </c>
      <c r="GBZ57" s="82" t="str">
        <f>IF(ISNUMBER(outYear),GBZ37+GBZ42+#REF!+#REF!,"")</f>
        <v/>
      </c>
      <c r="GCA57" s="82" t="str">
        <f>IF(ISNUMBER(outYear),GCA37+GCA42+#REF!+#REF!,"")</f>
        <v/>
      </c>
      <c r="GCB57" s="82" t="str">
        <f>IF(ISNUMBER(outYear),GCB37+GCB42+#REF!+#REF!,"")</f>
        <v/>
      </c>
      <c r="GCC57" s="82" t="str">
        <f>IF(ISNUMBER(outYear),GCC37+GCC42+#REF!+#REF!,"")</f>
        <v/>
      </c>
      <c r="GCD57" s="82" t="str">
        <f>IF(ISNUMBER(outYear),GCD37+GCD42+#REF!+#REF!,"")</f>
        <v/>
      </c>
      <c r="GCE57" s="82" t="str">
        <f>IF(ISNUMBER(outYear),GCE37+GCE42+#REF!+#REF!,"")</f>
        <v/>
      </c>
      <c r="GCF57" s="82" t="str">
        <f>IF(ISNUMBER(outYear),GCF37+GCF42+#REF!+#REF!,"")</f>
        <v/>
      </c>
      <c r="GCG57" s="82" t="str">
        <f>IF(ISNUMBER(outYear),GCG37+GCG42+#REF!+#REF!,"")</f>
        <v/>
      </c>
      <c r="GCH57" s="82" t="str">
        <f>IF(ISNUMBER(outYear),GCH37+GCH42+#REF!+#REF!,"")</f>
        <v/>
      </c>
      <c r="GCI57" s="82" t="str">
        <f>IF(ISNUMBER(outYear),GCI37+GCI42+#REF!+#REF!,"")</f>
        <v/>
      </c>
      <c r="GCJ57" s="82" t="str">
        <f>IF(ISNUMBER(outYear),GCJ37+GCJ42+#REF!+#REF!,"")</f>
        <v/>
      </c>
      <c r="GCK57" s="82" t="str">
        <f>IF(ISNUMBER(outYear),GCK37+GCK42+#REF!+#REF!,"")</f>
        <v/>
      </c>
      <c r="GCL57" s="82" t="str">
        <f>IF(ISNUMBER(outYear),GCL37+GCL42+#REF!+#REF!,"")</f>
        <v/>
      </c>
      <c r="GCM57" s="82" t="str">
        <f>IF(ISNUMBER(outYear),GCM37+GCM42+#REF!+#REF!,"")</f>
        <v/>
      </c>
      <c r="GCN57" s="82" t="str">
        <f>IF(ISNUMBER(outYear),GCN37+GCN42+#REF!+#REF!,"")</f>
        <v/>
      </c>
      <c r="GCO57" s="82" t="str">
        <f>IF(ISNUMBER(outYear),GCO37+GCO42+#REF!+#REF!,"")</f>
        <v/>
      </c>
      <c r="GCP57" s="82" t="str">
        <f>IF(ISNUMBER(outYear),GCP37+GCP42+#REF!+#REF!,"")</f>
        <v/>
      </c>
      <c r="GCQ57" s="82" t="str">
        <f>IF(ISNUMBER(outYear),GCQ37+GCQ42+#REF!+#REF!,"")</f>
        <v/>
      </c>
      <c r="GCR57" s="82" t="str">
        <f>IF(ISNUMBER(outYear),GCR37+GCR42+#REF!+#REF!,"")</f>
        <v/>
      </c>
      <c r="GCS57" s="82" t="str">
        <f>IF(ISNUMBER(outYear),GCS37+GCS42+#REF!+#REF!,"")</f>
        <v/>
      </c>
      <c r="GCT57" s="82" t="str">
        <f>IF(ISNUMBER(outYear),GCT37+GCT42+#REF!+#REF!,"")</f>
        <v/>
      </c>
      <c r="GCU57" s="82" t="str">
        <f>IF(ISNUMBER(outYear),GCU37+GCU42+#REF!+#REF!,"")</f>
        <v/>
      </c>
      <c r="GCV57" s="82" t="str">
        <f>IF(ISNUMBER(outYear),GCV37+GCV42+#REF!+#REF!,"")</f>
        <v/>
      </c>
      <c r="GCW57" s="82" t="str">
        <f>IF(ISNUMBER(outYear),GCW37+GCW42+#REF!+#REF!,"")</f>
        <v/>
      </c>
      <c r="GCX57" s="82" t="str">
        <f>IF(ISNUMBER(outYear),GCX37+GCX42+#REF!+#REF!,"")</f>
        <v/>
      </c>
      <c r="GCY57" s="82" t="str">
        <f>IF(ISNUMBER(outYear),GCY37+GCY42+#REF!+#REF!,"")</f>
        <v/>
      </c>
      <c r="GCZ57" s="82" t="str">
        <f>IF(ISNUMBER(outYear),GCZ37+GCZ42+#REF!+#REF!,"")</f>
        <v/>
      </c>
      <c r="GDA57" s="82" t="str">
        <f>IF(ISNUMBER(outYear),GDA37+GDA42+#REF!+#REF!,"")</f>
        <v/>
      </c>
      <c r="GDB57" s="82" t="str">
        <f>IF(ISNUMBER(outYear),GDB37+GDB42+#REF!+#REF!,"")</f>
        <v/>
      </c>
      <c r="GDC57" s="82" t="str">
        <f>IF(ISNUMBER(outYear),GDC37+GDC42+#REF!+#REF!,"")</f>
        <v/>
      </c>
      <c r="GDD57" s="82" t="str">
        <f>IF(ISNUMBER(outYear),GDD37+GDD42+#REF!+#REF!,"")</f>
        <v/>
      </c>
      <c r="GDE57" s="82" t="str">
        <f>IF(ISNUMBER(outYear),GDE37+GDE42+#REF!+#REF!,"")</f>
        <v/>
      </c>
      <c r="GDF57" s="82" t="str">
        <f>IF(ISNUMBER(outYear),GDF37+GDF42+#REF!+#REF!,"")</f>
        <v/>
      </c>
      <c r="GDG57" s="82" t="str">
        <f>IF(ISNUMBER(outYear),GDG37+GDG42+#REF!+#REF!,"")</f>
        <v/>
      </c>
      <c r="GDH57" s="82" t="str">
        <f>IF(ISNUMBER(outYear),GDH37+GDH42+#REF!+#REF!,"")</f>
        <v/>
      </c>
      <c r="GDI57" s="82" t="str">
        <f>IF(ISNUMBER(outYear),GDI37+GDI42+#REF!+#REF!,"")</f>
        <v/>
      </c>
      <c r="GDJ57" s="82" t="str">
        <f>IF(ISNUMBER(outYear),GDJ37+GDJ42+#REF!+#REF!,"")</f>
        <v/>
      </c>
      <c r="GDK57" s="82" t="str">
        <f>IF(ISNUMBER(outYear),GDK37+GDK42+#REF!+#REF!,"")</f>
        <v/>
      </c>
      <c r="GDL57" s="82" t="str">
        <f>IF(ISNUMBER(outYear),GDL37+GDL42+#REF!+#REF!,"")</f>
        <v/>
      </c>
      <c r="GDM57" s="82" t="str">
        <f>IF(ISNUMBER(outYear),GDM37+GDM42+#REF!+#REF!,"")</f>
        <v/>
      </c>
      <c r="GDN57" s="82" t="str">
        <f>IF(ISNUMBER(outYear),GDN37+GDN42+#REF!+#REF!,"")</f>
        <v/>
      </c>
      <c r="GDO57" s="82" t="str">
        <f>IF(ISNUMBER(outYear),GDO37+GDO42+#REF!+#REF!,"")</f>
        <v/>
      </c>
      <c r="GDP57" s="82" t="str">
        <f>IF(ISNUMBER(outYear),GDP37+GDP42+#REF!+#REF!,"")</f>
        <v/>
      </c>
      <c r="GDQ57" s="82" t="str">
        <f>IF(ISNUMBER(outYear),GDQ37+GDQ42+#REF!+#REF!,"")</f>
        <v/>
      </c>
      <c r="GDR57" s="82" t="str">
        <f>IF(ISNUMBER(outYear),GDR37+GDR42+#REF!+#REF!,"")</f>
        <v/>
      </c>
      <c r="GDS57" s="82" t="str">
        <f>IF(ISNUMBER(outYear),GDS37+GDS42+#REF!+#REF!,"")</f>
        <v/>
      </c>
      <c r="GDT57" s="82" t="str">
        <f>IF(ISNUMBER(outYear),GDT37+GDT42+#REF!+#REF!,"")</f>
        <v/>
      </c>
      <c r="GDU57" s="82" t="str">
        <f>IF(ISNUMBER(outYear),GDU37+GDU42+#REF!+#REF!,"")</f>
        <v/>
      </c>
      <c r="GDV57" s="82" t="str">
        <f>IF(ISNUMBER(outYear),GDV37+GDV42+#REF!+#REF!,"")</f>
        <v/>
      </c>
      <c r="GDW57" s="82" t="str">
        <f>IF(ISNUMBER(outYear),GDW37+GDW42+#REF!+#REF!,"")</f>
        <v/>
      </c>
      <c r="GDX57" s="82" t="str">
        <f>IF(ISNUMBER(outYear),GDX37+GDX42+#REF!+#REF!,"")</f>
        <v/>
      </c>
      <c r="GDY57" s="82" t="str">
        <f>IF(ISNUMBER(outYear),GDY37+GDY42+#REF!+#REF!,"")</f>
        <v/>
      </c>
      <c r="GDZ57" s="82" t="str">
        <f>IF(ISNUMBER(outYear),GDZ37+GDZ42+#REF!+#REF!,"")</f>
        <v/>
      </c>
      <c r="GEA57" s="82" t="str">
        <f>IF(ISNUMBER(outYear),GEA37+GEA42+#REF!+#REF!,"")</f>
        <v/>
      </c>
      <c r="GEB57" s="82" t="str">
        <f>IF(ISNUMBER(outYear),GEB37+GEB42+#REF!+#REF!,"")</f>
        <v/>
      </c>
      <c r="GEC57" s="82" t="str">
        <f>IF(ISNUMBER(outYear),GEC37+GEC42+#REF!+#REF!,"")</f>
        <v/>
      </c>
      <c r="GED57" s="82" t="str">
        <f>IF(ISNUMBER(outYear),GED37+GED42+#REF!+#REF!,"")</f>
        <v/>
      </c>
      <c r="GEE57" s="82" t="str">
        <f>IF(ISNUMBER(outYear),GEE37+GEE42+#REF!+#REF!,"")</f>
        <v/>
      </c>
      <c r="GEF57" s="82" t="str">
        <f>IF(ISNUMBER(outYear),GEF37+GEF42+#REF!+#REF!,"")</f>
        <v/>
      </c>
      <c r="GEG57" s="82" t="str">
        <f>IF(ISNUMBER(outYear),GEG37+GEG42+#REF!+#REF!,"")</f>
        <v/>
      </c>
      <c r="GEH57" s="82" t="str">
        <f>IF(ISNUMBER(outYear),GEH37+GEH42+#REF!+#REF!,"")</f>
        <v/>
      </c>
      <c r="GEI57" s="82" t="str">
        <f>IF(ISNUMBER(outYear),GEI37+GEI42+#REF!+#REF!,"")</f>
        <v/>
      </c>
      <c r="GEJ57" s="82" t="str">
        <f>IF(ISNUMBER(outYear),GEJ37+GEJ42+#REF!+#REF!,"")</f>
        <v/>
      </c>
      <c r="GEK57" s="82" t="str">
        <f>IF(ISNUMBER(outYear),GEK37+GEK42+#REF!+#REF!,"")</f>
        <v/>
      </c>
      <c r="GEL57" s="82" t="str">
        <f>IF(ISNUMBER(outYear),GEL37+GEL42+#REF!+#REF!,"")</f>
        <v/>
      </c>
      <c r="GEM57" s="82" t="str">
        <f>IF(ISNUMBER(outYear),GEM37+GEM42+#REF!+#REF!,"")</f>
        <v/>
      </c>
      <c r="GEN57" s="82" t="str">
        <f>IF(ISNUMBER(outYear),GEN37+GEN42+#REF!+#REF!,"")</f>
        <v/>
      </c>
      <c r="GEO57" s="82" t="str">
        <f>IF(ISNUMBER(outYear),GEO37+GEO42+#REF!+#REF!,"")</f>
        <v/>
      </c>
      <c r="GEP57" s="82" t="str">
        <f>IF(ISNUMBER(outYear),GEP37+GEP42+#REF!+#REF!,"")</f>
        <v/>
      </c>
      <c r="GEQ57" s="82" t="str">
        <f>IF(ISNUMBER(outYear),GEQ37+GEQ42+#REF!+#REF!,"")</f>
        <v/>
      </c>
      <c r="GER57" s="82" t="str">
        <f>IF(ISNUMBER(outYear),GER37+GER42+#REF!+#REF!,"")</f>
        <v/>
      </c>
      <c r="GES57" s="82" t="str">
        <f>IF(ISNUMBER(outYear),GES37+GES42+#REF!+#REF!,"")</f>
        <v/>
      </c>
      <c r="GET57" s="82" t="str">
        <f>IF(ISNUMBER(outYear),GET37+GET42+#REF!+#REF!,"")</f>
        <v/>
      </c>
      <c r="GEU57" s="82" t="str">
        <f>IF(ISNUMBER(outYear),GEU37+GEU42+#REF!+#REF!,"")</f>
        <v/>
      </c>
      <c r="GEV57" s="82" t="str">
        <f>IF(ISNUMBER(outYear),GEV37+GEV42+#REF!+#REF!,"")</f>
        <v/>
      </c>
      <c r="GEW57" s="82" t="str">
        <f>IF(ISNUMBER(outYear),GEW37+GEW42+#REF!+#REF!,"")</f>
        <v/>
      </c>
      <c r="GEX57" s="82" t="str">
        <f>IF(ISNUMBER(outYear),GEX37+GEX42+#REF!+#REF!,"")</f>
        <v/>
      </c>
      <c r="GEY57" s="82" t="str">
        <f>IF(ISNUMBER(outYear),GEY37+GEY42+#REF!+#REF!,"")</f>
        <v/>
      </c>
      <c r="GEZ57" s="82" t="str">
        <f>IF(ISNUMBER(outYear),GEZ37+GEZ42+#REF!+#REF!,"")</f>
        <v/>
      </c>
      <c r="GFA57" s="82" t="str">
        <f>IF(ISNUMBER(outYear),GFA37+GFA42+#REF!+#REF!,"")</f>
        <v/>
      </c>
      <c r="GFB57" s="82" t="str">
        <f>IF(ISNUMBER(outYear),GFB37+GFB42+#REF!+#REF!,"")</f>
        <v/>
      </c>
      <c r="GFC57" s="82" t="str">
        <f>IF(ISNUMBER(outYear),GFC37+GFC42+#REF!+#REF!,"")</f>
        <v/>
      </c>
      <c r="GFD57" s="82" t="str">
        <f>IF(ISNUMBER(outYear),GFD37+GFD42+#REF!+#REF!,"")</f>
        <v/>
      </c>
      <c r="GFE57" s="82" t="str">
        <f>IF(ISNUMBER(outYear),GFE37+GFE42+#REF!+#REF!,"")</f>
        <v/>
      </c>
      <c r="GFF57" s="82" t="str">
        <f>IF(ISNUMBER(outYear),GFF37+GFF42+#REF!+#REF!,"")</f>
        <v/>
      </c>
      <c r="GFG57" s="82" t="str">
        <f>IF(ISNUMBER(outYear),GFG37+GFG42+#REF!+#REF!,"")</f>
        <v/>
      </c>
      <c r="GFH57" s="82" t="str">
        <f>IF(ISNUMBER(outYear),GFH37+GFH42+#REF!+#REF!,"")</f>
        <v/>
      </c>
      <c r="GFI57" s="82" t="str">
        <f>IF(ISNUMBER(outYear),GFI37+GFI42+#REF!+#REF!,"")</f>
        <v/>
      </c>
      <c r="GFJ57" s="82" t="str">
        <f>IF(ISNUMBER(outYear),GFJ37+GFJ42+#REF!+#REF!,"")</f>
        <v/>
      </c>
      <c r="GFK57" s="82" t="str">
        <f>IF(ISNUMBER(outYear),GFK37+GFK42+#REF!+#REF!,"")</f>
        <v/>
      </c>
      <c r="GFL57" s="82" t="str">
        <f>IF(ISNUMBER(outYear),GFL37+GFL42+#REF!+#REF!,"")</f>
        <v/>
      </c>
      <c r="GFM57" s="82" t="str">
        <f>IF(ISNUMBER(outYear),GFM37+GFM42+#REF!+#REF!,"")</f>
        <v/>
      </c>
      <c r="GFN57" s="82" t="str">
        <f>IF(ISNUMBER(outYear),GFN37+GFN42+#REF!+#REF!,"")</f>
        <v/>
      </c>
      <c r="GFO57" s="82" t="str">
        <f>IF(ISNUMBER(outYear),GFO37+GFO42+#REF!+#REF!,"")</f>
        <v/>
      </c>
      <c r="GFP57" s="82" t="str">
        <f>IF(ISNUMBER(outYear),GFP37+GFP42+#REF!+#REF!,"")</f>
        <v/>
      </c>
      <c r="GFQ57" s="82" t="str">
        <f>IF(ISNUMBER(outYear),GFQ37+GFQ42+#REF!+#REF!,"")</f>
        <v/>
      </c>
      <c r="GFR57" s="82" t="str">
        <f>IF(ISNUMBER(outYear),GFR37+GFR42+#REF!+#REF!,"")</f>
        <v/>
      </c>
      <c r="GFS57" s="82" t="str">
        <f>IF(ISNUMBER(outYear),GFS37+GFS42+#REF!+#REF!,"")</f>
        <v/>
      </c>
      <c r="GFT57" s="82" t="str">
        <f>IF(ISNUMBER(outYear),GFT37+GFT42+#REF!+#REF!,"")</f>
        <v/>
      </c>
      <c r="GFU57" s="82" t="str">
        <f>IF(ISNUMBER(outYear),GFU37+GFU42+#REF!+#REF!,"")</f>
        <v/>
      </c>
      <c r="GFV57" s="82" t="str">
        <f>IF(ISNUMBER(outYear),GFV37+GFV42+#REF!+#REF!,"")</f>
        <v/>
      </c>
      <c r="GFW57" s="82" t="str">
        <f>IF(ISNUMBER(outYear),GFW37+GFW42+#REF!+#REF!,"")</f>
        <v/>
      </c>
      <c r="GFX57" s="82" t="str">
        <f>IF(ISNUMBER(outYear),GFX37+GFX42+#REF!+#REF!,"")</f>
        <v/>
      </c>
      <c r="GFY57" s="82" t="str">
        <f>IF(ISNUMBER(outYear),GFY37+GFY42+#REF!+#REF!,"")</f>
        <v/>
      </c>
      <c r="GFZ57" s="82" t="str">
        <f>IF(ISNUMBER(outYear),GFZ37+GFZ42+#REF!+#REF!,"")</f>
        <v/>
      </c>
      <c r="GGA57" s="82" t="str">
        <f>IF(ISNUMBER(outYear),GGA37+GGA42+#REF!+#REF!,"")</f>
        <v/>
      </c>
      <c r="GGB57" s="82" t="str">
        <f>IF(ISNUMBER(outYear),GGB37+GGB42+#REF!+#REF!,"")</f>
        <v/>
      </c>
      <c r="GGC57" s="82" t="str">
        <f>IF(ISNUMBER(outYear),GGC37+GGC42+#REF!+#REF!,"")</f>
        <v/>
      </c>
      <c r="GGD57" s="82" t="str">
        <f>IF(ISNUMBER(outYear),GGD37+GGD42+#REF!+#REF!,"")</f>
        <v/>
      </c>
      <c r="GGE57" s="82" t="str">
        <f>IF(ISNUMBER(outYear),GGE37+GGE42+#REF!+#REF!,"")</f>
        <v/>
      </c>
      <c r="GGF57" s="82" t="str">
        <f>IF(ISNUMBER(outYear),GGF37+GGF42+#REF!+#REF!,"")</f>
        <v/>
      </c>
      <c r="GGG57" s="82" t="str">
        <f>IF(ISNUMBER(outYear),GGG37+GGG42+#REF!+#REF!,"")</f>
        <v/>
      </c>
      <c r="GGH57" s="82" t="str">
        <f>IF(ISNUMBER(outYear),GGH37+GGH42+#REF!+#REF!,"")</f>
        <v/>
      </c>
      <c r="GGI57" s="82" t="str">
        <f>IF(ISNUMBER(outYear),GGI37+GGI42+#REF!+#REF!,"")</f>
        <v/>
      </c>
      <c r="GGJ57" s="82" t="str">
        <f>IF(ISNUMBER(outYear),GGJ37+GGJ42+#REF!+#REF!,"")</f>
        <v/>
      </c>
      <c r="GGK57" s="82" t="str">
        <f>IF(ISNUMBER(outYear),GGK37+GGK42+#REF!+#REF!,"")</f>
        <v/>
      </c>
      <c r="GGL57" s="82" t="str">
        <f>IF(ISNUMBER(outYear),GGL37+GGL42+#REF!+#REF!,"")</f>
        <v/>
      </c>
      <c r="GGM57" s="82" t="str">
        <f>IF(ISNUMBER(outYear),GGM37+GGM42+#REF!+#REF!,"")</f>
        <v/>
      </c>
      <c r="GGN57" s="82" t="str">
        <f>IF(ISNUMBER(outYear),GGN37+GGN42+#REF!+#REF!,"")</f>
        <v/>
      </c>
      <c r="GGO57" s="82" t="str">
        <f>IF(ISNUMBER(outYear),GGO37+GGO42+#REF!+#REF!,"")</f>
        <v/>
      </c>
      <c r="GGP57" s="82" t="str">
        <f>IF(ISNUMBER(outYear),GGP37+GGP42+#REF!+#REF!,"")</f>
        <v/>
      </c>
      <c r="GGQ57" s="82" t="str">
        <f>IF(ISNUMBER(outYear),GGQ37+GGQ42+#REF!+#REF!,"")</f>
        <v/>
      </c>
      <c r="GGR57" s="82" t="str">
        <f>IF(ISNUMBER(outYear),GGR37+GGR42+#REF!+#REF!,"")</f>
        <v/>
      </c>
      <c r="GGS57" s="82" t="str">
        <f>IF(ISNUMBER(outYear),GGS37+GGS42+#REF!+#REF!,"")</f>
        <v/>
      </c>
      <c r="GGT57" s="82" t="str">
        <f>IF(ISNUMBER(outYear),GGT37+GGT42+#REF!+#REF!,"")</f>
        <v/>
      </c>
      <c r="GGU57" s="82" t="str">
        <f>IF(ISNUMBER(outYear),GGU37+GGU42+#REF!+#REF!,"")</f>
        <v/>
      </c>
      <c r="GGV57" s="82" t="str">
        <f>IF(ISNUMBER(outYear),GGV37+GGV42+#REF!+#REF!,"")</f>
        <v/>
      </c>
      <c r="GGW57" s="82" t="str">
        <f>IF(ISNUMBER(outYear),GGW37+GGW42+#REF!+#REF!,"")</f>
        <v/>
      </c>
      <c r="GGX57" s="82" t="str">
        <f>IF(ISNUMBER(outYear),GGX37+GGX42+#REF!+#REF!,"")</f>
        <v/>
      </c>
      <c r="GGY57" s="82" t="str">
        <f>IF(ISNUMBER(outYear),GGY37+GGY42+#REF!+#REF!,"")</f>
        <v/>
      </c>
      <c r="GGZ57" s="82" t="str">
        <f>IF(ISNUMBER(outYear),GGZ37+GGZ42+#REF!+#REF!,"")</f>
        <v/>
      </c>
      <c r="GHA57" s="82" t="str">
        <f>IF(ISNUMBER(outYear),GHA37+GHA42+#REF!+#REF!,"")</f>
        <v/>
      </c>
      <c r="GHB57" s="82" t="str">
        <f>IF(ISNUMBER(outYear),GHB37+GHB42+#REF!+#REF!,"")</f>
        <v/>
      </c>
      <c r="GHC57" s="82" t="str">
        <f>IF(ISNUMBER(outYear),GHC37+GHC42+#REF!+#REF!,"")</f>
        <v/>
      </c>
      <c r="GHD57" s="82" t="str">
        <f>IF(ISNUMBER(outYear),GHD37+GHD42+#REF!+#REF!,"")</f>
        <v/>
      </c>
      <c r="GHE57" s="82" t="str">
        <f>IF(ISNUMBER(outYear),GHE37+GHE42+#REF!+#REF!,"")</f>
        <v/>
      </c>
      <c r="GHF57" s="82" t="str">
        <f>IF(ISNUMBER(outYear),GHF37+GHF42+#REF!+#REF!,"")</f>
        <v/>
      </c>
      <c r="GHG57" s="82" t="str">
        <f>IF(ISNUMBER(outYear),GHG37+GHG42+#REF!+#REF!,"")</f>
        <v/>
      </c>
      <c r="GHH57" s="82" t="str">
        <f>IF(ISNUMBER(outYear),GHH37+GHH42+#REF!+#REF!,"")</f>
        <v/>
      </c>
      <c r="GHI57" s="82" t="str">
        <f>IF(ISNUMBER(outYear),GHI37+GHI42+#REF!+#REF!,"")</f>
        <v/>
      </c>
      <c r="GHJ57" s="82" t="str">
        <f>IF(ISNUMBER(outYear),GHJ37+GHJ42+#REF!+#REF!,"")</f>
        <v/>
      </c>
      <c r="GHK57" s="82" t="str">
        <f>IF(ISNUMBER(outYear),GHK37+GHK42+#REF!+#REF!,"")</f>
        <v/>
      </c>
      <c r="GHL57" s="82" t="str">
        <f>IF(ISNUMBER(outYear),GHL37+GHL42+#REF!+#REF!,"")</f>
        <v/>
      </c>
      <c r="GHM57" s="82" t="str">
        <f>IF(ISNUMBER(outYear),GHM37+GHM42+#REF!+#REF!,"")</f>
        <v/>
      </c>
      <c r="GHN57" s="82" t="str">
        <f>IF(ISNUMBER(outYear),GHN37+GHN42+#REF!+#REF!,"")</f>
        <v/>
      </c>
      <c r="GHO57" s="82" t="str">
        <f>IF(ISNUMBER(outYear),GHO37+GHO42+#REF!+#REF!,"")</f>
        <v/>
      </c>
      <c r="GHP57" s="82" t="str">
        <f>IF(ISNUMBER(outYear),GHP37+GHP42+#REF!+#REF!,"")</f>
        <v/>
      </c>
      <c r="GHQ57" s="82" t="str">
        <f>IF(ISNUMBER(outYear),GHQ37+GHQ42+#REF!+#REF!,"")</f>
        <v/>
      </c>
      <c r="GHR57" s="82" t="str">
        <f>IF(ISNUMBER(outYear),GHR37+GHR42+#REF!+#REF!,"")</f>
        <v/>
      </c>
      <c r="GHS57" s="82" t="str">
        <f>IF(ISNUMBER(outYear),GHS37+GHS42+#REF!+#REF!,"")</f>
        <v/>
      </c>
      <c r="GHT57" s="82" t="str">
        <f>IF(ISNUMBER(outYear),GHT37+GHT42+#REF!+#REF!,"")</f>
        <v/>
      </c>
      <c r="GHU57" s="82" t="str">
        <f>IF(ISNUMBER(outYear),GHU37+GHU42+#REF!+#REF!,"")</f>
        <v/>
      </c>
      <c r="GHV57" s="82" t="str">
        <f>IF(ISNUMBER(outYear),GHV37+GHV42+#REF!+#REF!,"")</f>
        <v/>
      </c>
      <c r="GHW57" s="82" t="str">
        <f>IF(ISNUMBER(outYear),GHW37+GHW42+#REF!+#REF!,"")</f>
        <v/>
      </c>
      <c r="GHX57" s="82" t="str">
        <f>IF(ISNUMBER(outYear),GHX37+GHX42+#REF!+#REF!,"")</f>
        <v/>
      </c>
      <c r="GHY57" s="82" t="str">
        <f>IF(ISNUMBER(outYear),GHY37+GHY42+#REF!+#REF!,"")</f>
        <v/>
      </c>
      <c r="GHZ57" s="82" t="str">
        <f>IF(ISNUMBER(outYear),GHZ37+GHZ42+#REF!+#REF!,"")</f>
        <v/>
      </c>
      <c r="GIA57" s="82" t="str">
        <f>IF(ISNUMBER(outYear),GIA37+GIA42+#REF!+#REF!,"")</f>
        <v/>
      </c>
      <c r="GIB57" s="82" t="str">
        <f>IF(ISNUMBER(outYear),GIB37+GIB42+#REF!+#REF!,"")</f>
        <v/>
      </c>
      <c r="GIC57" s="82" t="str">
        <f>IF(ISNUMBER(outYear),GIC37+GIC42+#REF!+#REF!,"")</f>
        <v/>
      </c>
      <c r="GID57" s="82" t="str">
        <f>IF(ISNUMBER(outYear),GID37+GID42+#REF!+#REF!,"")</f>
        <v/>
      </c>
      <c r="GIE57" s="82" t="str">
        <f>IF(ISNUMBER(outYear),GIE37+GIE42+#REF!+#REF!,"")</f>
        <v/>
      </c>
      <c r="GIF57" s="82" t="str">
        <f>IF(ISNUMBER(outYear),GIF37+GIF42+#REF!+#REF!,"")</f>
        <v/>
      </c>
      <c r="GIG57" s="82" t="str">
        <f>IF(ISNUMBER(outYear),GIG37+GIG42+#REF!+#REF!,"")</f>
        <v/>
      </c>
      <c r="GIH57" s="82" t="str">
        <f>IF(ISNUMBER(outYear),GIH37+GIH42+#REF!+#REF!,"")</f>
        <v/>
      </c>
      <c r="GII57" s="82" t="str">
        <f>IF(ISNUMBER(outYear),GII37+GII42+#REF!+#REF!,"")</f>
        <v/>
      </c>
      <c r="GIJ57" s="82" t="str">
        <f>IF(ISNUMBER(outYear),GIJ37+GIJ42+#REF!+#REF!,"")</f>
        <v/>
      </c>
      <c r="GIK57" s="82" t="str">
        <f>IF(ISNUMBER(outYear),GIK37+GIK42+#REF!+#REF!,"")</f>
        <v/>
      </c>
      <c r="GIL57" s="82" t="str">
        <f>IF(ISNUMBER(outYear),GIL37+GIL42+#REF!+#REF!,"")</f>
        <v/>
      </c>
      <c r="GIM57" s="82" t="str">
        <f>IF(ISNUMBER(outYear),GIM37+GIM42+#REF!+#REF!,"")</f>
        <v/>
      </c>
      <c r="GIN57" s="82" t="str">
        <f>IF(ISNUMBER(outYear),GIN37+GIN42+#REF!+#REF!,"")</f>
        <v/>
      </c>
      <c r="GIO57" s="82" t="str">
        <f>IF(ISNUMBER(outYear),GIO37+GIO42+#REF!+#REF!,"")</f>
        <v/>
      </c>
      <c r="GIP57" s="82" t="str">
        <f>IF(ISNUMBER(outYear),GIP37+GIP42+#REF!+#REF!,"")</f>
        <v/>
      </c>
      <c r="GIQ57" s="82" t="str">
        <f>IF(ISNUMBER(outYear),GIQ37+GIQ42+#REF!+#REF!,"")</f>
        <v/>
      </c>
      <c r="GIR57" s="82" t="str">
        <f>IF(ISNUMBER(outYear),GIR37+GIR42+#REF!+#REF!,"")</f>
        <v/>
      </c>
      <c r="GIS57" s="82" t="str">
        <f>IF(ISNUMBER(outYear),GIS37+GIS42+#REF!+#REF!,"")</f>
        <v/>
      </c>
      <c r="GIT57" s="82" t="str">
        <f>IF(ISNUMBER(outYear),GIT37+GIT42+#REF!+#REF!,"")</f>
        <v/>
      </c>
      <c r="GIU57" s="82" t="str">
        <f>IF(ISNUMBER(outYear),GIU37+GIU42+#REF!+#REF!,"")</f>
        <v/>
      </c>
      <c r="GIV57" s="82" t="str">
        <f>IF(ISNUMBER(outYear),GIV37+GIV42+#REF!+#REF!,"")</f>
        <v/>
      </c>
      <c r="GIW57" s="82" t="str">
        <f>IF(ISNUMBER(outYear),GIW37+GIW42+#REF!+#REF!,"")</f>
        <v/>
      </c>
      <c r="GIX57" s="82" t="str">
        <f>IF(ISNUMBER(outYear),GIX37+GIX42+#REF!+#REF!,"")</f>
        <v/>
      </c>
      <c r="GIY57" s="82" t="str">
        <f>IF(ISNUMBER(outYear),GIY37+GIY42+#REF!+#REF!,"")</f>
        <v/>
      </c>
      <c r="GIZ57" s="82" t="str">
        <f>IF(ISNUMBER(outYear),GIZ37+GIZ42+#REF!+#REF!,"")</f>
        <v/>
      </c>
      <c r="GJA57" s="82" t="str">
        <f>IF(ISNUMBER(outYear),GJA37+GJA42+#REF!+#REF!,"")</f>
        <v/>
      </c>
      <c r="GJB57" s="82" t="str">
        <f>IF(ISNUMBER(outYear),GJB37+GJB42+#REF!+#REF!,"")</f>
        <v/>
      </c>
      <c r="GJC57" s="82" t="str">
        <f>IF(ISNUMBER(outYear),GJC37+GJC42+#REF!+#REF!,"")</f>
        <v/>
      </c>
      <c r="GJD57" s="82" t="str">
        <f>IF(ISNUMBER(outYear),GJD37+GJD42+#REF!+#REF!,"")</f>
        <v/>
      </c>
      <c r="GJE57" s="82" t="str">
        <f>IF(ISNUMBER(outYear),GJE37+GJE42+#REF!+#REF!,"")</f>
        <v/>
      </c>
      <c r="GJF57" s="82" t="str">
        <f>IF(ISNUMBER(outYear),GJF37+GJF42+#REF!+#REF!,"")</f>
        <v/>
      </c>
      <c r="GJG57" s="82" t="str">
        <f>IF(ISNUMBER(outYear),GJG37+GJG42+#REF!+#REF!,"")</f>
        <v/>
      </c>
      <c r="GJH57" s="82" t="str">
        <f>IF(ISNUMBER(outYear),GJH37+GJH42+#REF!+#REF!,"")</f>
        <v/>
      </c>
      <c r="GJI57" s="82" t="str">
        <f>IF(ISNUMBER(outYear),GJI37+GJI42+#REF!+#REF!,"")</f>
        <v/>
      </c>
      <c r="GJJ57" s="82" t="str">
        <f>IF(ISNUMBER(outYear),GJJ37+GJJ42+#REF!+#REF!,"")</f>
        <v/>
      </c>
      <c r="GJK57" s="82" t="str">
        <f>IF(ISNUMBER(outYear),GJK37+GJK42+#REF!+#REF!,"")</f>
        <v/>
      </c>
      <c r="GJL57" s="82" t="str">
        <f>IF(ISNUMBER(outYear),GJL37+GJL42+#REF!+#REF!,"")</f>
        <v/>
      </c>
      <c r="GJM57" s="82" t="str">
        <f>IF(ISNUMBER(outYear),GJM37+GJM42+#REF!+#REF!,"")</f>
        <v/>
      </c>
      <c r="GJN57" s="82" t="str">
        <f>IF(ISNUMBER(outYear),GJN37+GJN42+#REF!+#REF!,"")</f>
        <v/>
      </c>
      <c r="GJO57" s="82" t="str">
        <f>IF(ISNUMBER(outYear),GJO37+GJO42+#REF!+#REF!,"")</f>
        <v/>
      </c>
      <c r="GJP57" s="82" t="str">
        <f>IF(ISNUMBER(outYear),GJP37+GJP42+#REF!+#REF!,"")</f>
        <v/>
      </c>
      <c r="GJQ57" s="82" t="str">
        <f>IF(ISNUMBER(outYear),GJQ37+GJQ42+#REF!+#REF!,"")</f>
        <v/>
      </c>
      <c r="GJR57" s="82" t="str">
        <f>IF(ISNUMBER(outYear),GJR37+GJR42+#REF!+#REF!,"")</f>
        <v/>
      </c>
      <c r="GJS57" s="82" t="str">
        <f>IF(ISNUMBER(outYear),GJS37+GJS42+#REF!+#REF!,"")</f>
        <v/>
      </c>
      <c r="GJT57" s="82" t="str">
        <f>IF(ISNUMBER(outYear),GJT37+GJT42+#REF!+#REF!,"")</f>
        <v/>
      </c>
      <c r="GJU57" s="82" t="str">
        <f>IF(ISNUMBER(outYear),GJU37+GJU42+#REF!+#REF!,"")</f>
        <v/>
      </c>
      <c r="GJV57" s="82" t="str">
        <f>IF(ISNUMBER(outYear),GJV37+GJV42+#REF!+#REF!,"")</f>
        <v/>
      </c>
      <c r="GJW57" s="82" t="str">
        <f>IF(ISNUMBER(outYear),GJW37+GJW42+#REF!+#REF!,"")</f>
        <v/>
      </c>
      <c r="GJX57" s="82" t="str">
        <f>IF(ISNUMBER(outYear),GJX37+GJX42+#REF!+#REF!,"")</f>
        <v/>
      </c>
      <c r="GJY57" s="82" t="str">
        <f>IF(ISNUMBER(outYear),GJY37+GJY42+#REF!+#REF!,"")</f>
        <v/>
      </c>
      <c r="GJZ57" s="82" t="str">
        <f>IF(ISNUMBER(outYear),GJZ37+GJZ42+#REF!+#REF!,"")</f>
        <v/>
      </c>
      <c r="GKA57" s="82" t="str">
        <f>IF(ISNUMBER(outYear),GKA37+GKA42+#REF!+#REF!,"")</f>
        <v/>
      </c>
      <c r="GKB57" s="82" t="str">
        <f>IF(ISNUMBER(outYear),GKB37+GKB42+#REF!+#REF!,"")</f>
        <v/>
      </c>
      <c r="GKC57" s="82" t="str">
        <f>IF(ISNUMBER(outYear),GKC37+GKC42+#REF!+#REF!,"")</f>
        <v/>
      </c>
      <c r="GKD57" s="82" t="str">
        <f>IF(ISNUMBER(outYear),GKD37+GKD42+#REF!+#REF!,"")</f>
        <v/>
      </c>
      <c r="GKE57" s="82" t="str">
        <f>IF(ISNUMBER(outYear),GKE37+GKE42+#REF!+#REF!,"")</f>
        <v/>
      </c>
      <c r="GKF57" s="82" t="str">
        <f>IF(ISNUMBER(outYear),GKF37+GKF42+#REF!+#REF!,"")</f>
        <v/>
      </c>
      <c r="GKG57" s="82" t="str">
        <f>IF(ISNUMBER(outYear),GKG37+GKG42+#REF!+#REF!,"")</f>
        <v/>
      </c>
      <c r="GKH57" s="82" t="str">
        <f>IF(ISNUMBER(outYear),GKH37+GKH42+#REF!+#REF!,"")</f>
        <v/>
      </c>
      <c r="GKI57" s="82" t="str">
        <f>IF(ISNUMBER(outYear),GKI37+GKI42+#REF!+#REF!,"")</f>
        <v/>
      </c>
      <c r="GKJ57" s="82" t="str">
        <f>IF(ISNUMBER(outYear),GKJ37+GKJ42+#REF!+#REF!,"")</f>
        <v/>
      </c>
      <c r="GKK57" s="82" t="str">
        <f>IF(ISNUMBER(outYear),GKK37+GKK42+#REF!+#REF!,"")</f>
        <v/>
      </c>
      <c r="GKL57" s="82" t="str">
        <f>IF(ISNUMBER(outYear),GKL37+GKL42+#REF!+#REF!,"")</f>
        <v/>
      </c>
      <c r="GKM57" s="82" t="str">
        <f>IF(ISNUMBER(outYear),GKM37+GKM42+#REF!+#REF!,"")</f>
        <v/>
      </c>
      <c r="GKN57" s="82" t="str">
        <f>IF(ISNUMBER(outYear),GKN37+GKN42+#REF!+#REF!,"")</f>
        <v/>
      </c>
      <c r="GKO57" s="82" t="str">
        <f>IF(ISNUMBER(outYear),GKO37+GKO42+#REF!+#REF!,"")</f>
        <v/>
      </c>
      <c r="GKP57" s="82" t="str">
        <f>IF(ISNUMBER(outYear),GKP37+GKP42+#REF!+#REF!,"")</f>
        <v/>
      </c>
      <c r="GKQ57" s="82" t="str">
        <f>IF(ISNUMBER(outYear),GKQ37+GKQ42+#REF!+#REF!,"")</f>
        <v/>
      </c>
      <c r="GKR57" s="82" t="str">
        <f>IF(ISNUMBER(outYear),GKR37+GKR42+#REF!+#REF!,"")</f>
        <v/>
      </c>
      <c r="GKS57" s="82" t="str">
        <f>IF(ISNUMBER(outYear),GKS37+GKS42+#REF!+#REF!,"")</f>
        <v/>
      </c>
      <c r="GKT57" s="82" t="str">
        <f>IF(ISNUMBER(outYear),GKT37+GKT42+#REF!+#REF!,"")</f>
        <v/>
      </c>
      <c r="GKU57" s="82" t="str">
        <f>IF(ISNUMBER(outYear),GKU37+GKU42+#REF!+#REF!,"")</f>
        <v/>
      </c>
      <c r="GKV57" s="82" t="str">
        <f>IF(ISNUMBER(outYear),GKV37+GKV42+#REF!+#REF!,"")</f>
        <v/>
      </c>
      <c r="GKW57" s="82" t="str">
        <f>IF(ISNUMBER(outYear),GKW37+GKW42+#REF!+#REF!,"")</f>
        <v/>
      </c>
      <c r="GKX57" s="82" t="str">
        <f>IF(ISNUMBER(outYear),GKX37+GKX42+#REF!+#REF!,"")</f>
        <v/>
      </c>
      <c r="GKY57" s="82" t="str">
        <f>IF(ISNUMBER(outYear),GKY37+GKY42+#REF!+#REF!,"")</f>
        <v/>
      </c>
      <c r="GKZ57" s="82" t="str">
        <f>IF(ISNUMBER(outYear),GKZ37+GKZ42+#REF!+#REF!,"")</f>
        <v/>
      </c>
      <c r="GLA57" s="82" t="str">
        <f>IF(ISNUMBER(outYear),GLA37+GLA42+#REF!+#REF!,"")</f>
        <v/>
      </c>
      <c r="GLB57" s="82" t="str">
        <f>IF(ISNUMBER(outYear),GLB37+GLB42+#REF!+#REF!,"")</f>
        <v/>
      </c>
      <c r="GLC57" s="82" t="str">
        <f>IF(ISNUMBER(outYear),GLC37+GLC42+#REF!+#REF!,"")</f>
        <v/>
      </c>
      <c r="GLD57" s="82" t="str">
        <f>IF(ISNUMBER(outYear),GLD37+GLD42+#REF!+#REF!,"")</f>
        <v/>
      </c>
      <c r="GLE57" s="82" t="str">
        <f>IF(ISNUMBER(outYear),GLE37+GLE42+#REF!+#REF!,"")</f>
        <v/>
      </c>
      <c r="GLF57" s="82" t="str">
        <f>IF(ISNUMBER(outYear),GLF37+GLF42+#REF!+#REF!,"")</f>
        <v/>
      </c>
      <c r="GLG57" s="82" t="str">
        <f>IF(ISNUMBER(outYear),GLG37+GLG42+#REF!+#REF!,"")</f>
        <v/>
      </c>
      <c r="GLH57" s="82" t="str">
        <f>IF(ISNUMBER(outYear),GLH37+GLH42+#REF!+#REF!,"")</f>
        <v/>
      </c>
      <c r="GLI57" s="82" t="str">
        <f>IF(ISNUMBER(outYear),GLI37+GLI42+#REF!+#REF!,"")</f>
        <v/>
      </c>
      <c r="GLJ57" s="82" t="str">
        <f>IF(ISNUMBER(outYear),GLJ37+GLJ42+#REF!+#REF!,"")</f>
        <v/>
      </c>
      <c r="GLK57" s="82" t="str">
        <f>IF(ISNUMBER(outYear),GLK37+GLK42+#REF!+#REF!,"")</f>
        <v/>
      </c>
      <c r="GLL57" s="82" t="str">
        <f>IF(ISNUMBER(outYear),GLL37+GLL42+#REF!+#REF!,"")</f>
        <v/>
      </c>
      <c r="GLM57" s="82" t="str">
        <f>IF(ISNUMBER(outYear),GLM37+GLM42+#REF!+#REF!,"")</f>
        <v/>
      </c>
      <c r="GLN57" s="82" t="str">
        <f>IF(ISNUMBER(outYear),GLN37+GLN42+#REF!+#REF!,"")</f>
        <v/>
      </c>
      <c r="GLO57" s="82" t="str">
        <f>IF(ISNUMBER(outYear),GLO37+GLO42+#REF!+#REF!,"")</f>
        <v/>
      </c>
      <c r="GLP57" s="82" t="str">
        <f>IF(ISNUMBER(outYear),GLP37+GLP42+#REF!+#REF!,"")</f>
        <v/>
      </c>
      <c r="GLQ57" s="82" t="str">
        <f>IF(ISNUMBER(outYear),GLQ37+GLQ42+#REF!+#REF!,"")</f>
        <v/>
      </c>
      <c r="GLR57" s="82" t="str">
        <f>IF(ISNUMBER(outYear),GLR37+GLR42+#REF!+#REF!,"")</f>
        <v/>
      </c>
      <c r="GLS57" s="82" t="str">
        <f>IF(ISNUMBER(outYear),GLS37+GLS42+#REF!+#REF!,"")</f>
        <v/>
      </c>
      <c r="GLT57" s="82" t="str">
        <f>IF(ISNUMBER(outYear),GLT37+GLT42+#REF!+#REF!,"")</f>
        <v/>
      </c>
      <c r="GLU57" s="82" t="str">
        <f>IF(ISNUMBER(outYear),GLU37+GLU42+#REF!+#REF!,"")</f>
        <v/>
      </c>
      <c r="GLV57" s="82" t="str">
        <f>IF(ISNUMBER(outYear),GLV37+GLV42+#REF!+#REF!,"")</f>
        <v/>
      </c>
      <c r="GLW57" s="82" t="str">
        <f>IF(ISNUMBER(outYear),GLW37+GLW42+#REF!+#REF!,"")</f>
        <v/>
      </c>
      <c r="GLX57" s="82" t="str">
        <f>IF(ISNUMBER(outYear),GLX37+GLX42+#REF!+#REF!,"")</f>
        <v/>
      </c>
      <c r="GLY57" s="82" t="str">
        <f>IF(ISNUMBER(outYear),GLY37+GLY42+#REF!+#REF!,"")</f>
        <v/>
      </c>
      <c r="GLZ57" s="82" t="str">
        <f>IF(ISNUMBER(outYear),GLZ37+GLZ42+#REF!+#REF!,"")</f>
        <v/>
      </c>
      <c r="GMA57" s="82" t="str">
        <f>IF(ISNUMBER(outYear),GMA37+GMA42+#REF!+#REF!,"")</f>
        <v/>
      </c>
      <c r="GMB57" s="82" t="str">
        <f>IF(ISNUMBER(outYear),GMB37+GMB42+#REF!+#REF!,"")</f>
        <v/>
      </c>
      <c r="GMC57" s="82" t="str">
        <f>IF(ISNUMBER(outYear),GMC37+GMC42+#REF!+#REF!,"")</f>
        <v/>
      </c>
      <c r="GMD57" s="82" t="str">
        <f>IF(ISNUMBER(outYear),GMD37+GMD42+#REF!+#REF!,"")</f>
        <v/>
      </c>
      <c r="GME57" s="82" t="str">
        <f>IF(ISNUMBER(outYear),GME37+GME42+#REF!+#REF!,"")</f>
        <v/>
      </c>
      <c r="GMF57" s="82" t="str">
        <f>IF(ISNUMBER(outYear),GMF37+GMF42+#REF!+#REF!,"")</f>
        <v/>
      </c>
      <c r="GMG57" s="82" t="str">
        <f>IF(ISNUMBER(outYear),GMG37+GMG42+#REF!+#REF!,"")</f>
        <v/>
      </c>
      <c r="GMH57" s="82" t="str">
        <f>IF(ISNUMBER(outYear),GMH37+GMH42+#REF!+#REF!,"")</f>
        <v/>
      </c>
      <c r="GMI57" s="82" t="str">
        <f>IF(ISNUMBER(outYear),GMI37+GMI42+#REF!+#REF!,"")</f>
        <v/>
      </c>
      <c r="GMJ57" s="82" t="str">
        <f>IF(ISNUMBER(outYear),GMJ37+GMJ42+#REF!+#REF!,"")</f>
        <v/>
      </c>
      <c r="GMK57" s="82" t="str">
        <f>IF(ISNUMBER(outYear),GMK37+GMK42+#REF!+#REF!,"")</f>
        <v/>
      </c>
      <c r="GML57" s="82" t="str">
        <f>IF(ISNUMBER(outYear),GML37+GML42+#REF!+#REF!,"")</f>
        <v/>
      </c>
      <c r="GMM57" s="82" t="str">
        <f>IF(ISNUMBER(outYear),GMM37+GMM42+#REF!+#REF!,"")</f>
        <v/>
      </c>
      <c r="GMN57" s="82" t="str">
        <f>IF(ISNUMBER(outYear),GMN37+GMN42+#REF!+#REF!,"")</f>
        <v/>
      </c>
      <c r="GMO57" s="82" t="str">
        <f>IF(ISNUMBER(outYear),GMO37+GMO42+#REF!+#REF!,"")</f>
        <v/>
      </c>
      <c r="GMP57" s="82" t="str">
        <f>IF(ISNUMBER(outYear),GMP37+GMP42+#REF!+#REF!,"")</f>
        <v/>
      </c>
      <c r="GMQ57" s="82" t="str">
        <f>IF(ISNUMBER(outYear),GMQ37+GMQ42+#REF!+#REF!,"")</f>
        <v/>
      </c>
      <c r="GMR57" s="82" t="str">
        <f>IF(ISNUMBER(outYear),GMR37+GMR42+#REF!+#REF!,"")</f>
        <v/>
      </c>
      <c r="GMS57" s="82" t="str">
        <f>IF(ISNUMBER(outYear),GMS37+GMS42+#REF!+#REF!,"")</f>
        <v/>
      </c>
      <c r="GMT57" s="82" t="str">
        <f>IF(ISNUMBER(outYear),GMT37+GMT42+#REF!+#REF!,"")</f>
        <v/>
      </c>
      <c r="GMU57" s="82" t="str">
        <f>IF(ISNUMBER(outYear),GMU37+GMU42+#REF!+#REF!,"")</f>
        <v/>
      </c>
      <c r="GMV57" s="82" t="str">
        <f>IF(ISNUMBER(outYear),GMV37+GMV42+#REF!+#REF!,"")</f>
        <v/>
      </c>
      <c r="GMW57" s="82" t="str">
        <f>IF(ISNUMBER(outYear),GMW37+GMW42+#REF!+#REF!,"")</f>
        <v/>
      </c>
      <c r="GMX57" s="82" t="str">
        <f>IF(ISNUMBER(outYear),GMX37+GMX42+#REF!+#REF!,"")</f>
        <v/>
      </c>
      <c r="GMY57" s="82" t="str">
        <f>IF(ISNUMBER(outYear),GMY37+GMY42+#REF!+#REF!,"")</f>
        <v/>
      </c>
      <c r="GMZ57" s="82" t="str">
        <f>IF(ISNUMBER(outYear),GMZ37+GMZ42+#REF!+#REF!,"")</f>
        <v/>
      </c>
      <c r="GNA57" s="82" t="str">
        <f>IF(ISNUMBER(outYear),GNA37+GNA42+#REF!+#REF!,"")</f>
        <v/>
      </c>
      <c r="GNB57" s="82" t="str">
        <f>IF(ISNUMBER(outYear),GNB37+GNB42+#REF!+#REF!,"")</f>
        <v/>
      </c>
      <c r="GNC57" s="82" t="str">
        <f>IF(ISNUMBER(outYear),GNC37+GNC42+#REF!+#REF!,"")</f>
        <v/>
      </c>
      <c r="GND57" s="82" t="str">
        <f>IF(ISNUMBER(outYear),GND37+GND42+#REF!+#REF!,"")</f>
        <v/>
      </c>
      <c r="GNE57" s="82" t="str">
        <f>IF(ISNUMBER(outYear),GNE37+GNE42+#REF!+#REF!,"")</f>
        <v/>
      </c>
      <c r="GNF57" s="82" t="str">
        <f>IF(ISNUMBER(outYear),GNF37+GNF42+#REF!+#REF!,"")</f>
        <v/>
      </c>
      <c r="GNG57" s="82" t="str">
        <f>IF(ISNUMBER(outYear),GNG37+GNG42+#REF!+#REF!,"")</f>
        <v/>
      </c>
      <c r="GNH57" s="82" t="str">
        <f>IF(ISNUMBER(outYear),GNH37+GNH42+#REF!+#REF!,"")</f>
        <v/>
      </c>
      <c r="GNI57" s="82" t="str">
        <f>IF(ISNUMBER(outYear),GNI37+GNI42+#REF!+#REF!,"")</f>
        <v/>
      </c>
      <c r="GNJ57" s="82" t="str">
        <f>IF(ISNUMBER(outYear),GNJ37+GNJ42+#REF!+#REF!,"")</f>
        <v/>
      </c>
      <c r="GNK57" s="82" t="str">
        <f>IF(ISNUMBER(outYear),GNK37+GNK42+#REF!+#REF!,"")</f>
        <v/>
      </c>
      <c r="GNL57" s="82" t="str">
        <f>IF(ISNUMBER(outYear),GNL37+GNL42+#REF!+#REF!,"")</f>
        <v/>
      </c>
      <c r="GNM57" s="82" t="str">
        <f>IF(ISNUMBER(outYear),GNM37+GNM42+#REF!+#REF!,"")</f>
        <v/>
      </c>
      <c r="GNN57" s="82" t="str">
        <f>IF(ISNUMBER(outYear),GNN37+GNN42+#REF!+#REF!,"")</f>
        <v/>
      </c>
      <c r="GNO57" s="82" t="str">
        <f>IF(ISNUMBER(outYear),GNO37+GNO42+#REF!+#REF!,"")</f>
        <v/>
      </c>
      <c r="GNP57" s="82" t="str">
        <f>IF(ISNUMBER(outYear),GNP37+GNP42+#REF!+#REF!,"")</f>
        <v/>
      </c>
      <c r="GNQ57" s="82" t="str">
        <f>IF(ISNUMBER(outYear),GNQ37+GNQ42+#REF!+#REF!,"")</f>
        <v/>
      </c>
      <c r="GNR57" s="82" t="str">
        <f>IF(ISNUMBER(outYear),GNR37+GNR42+#REF!+#REF!,"")</f>
        <v/>
      </c>
      <c r="GNS57" s="82" t="str">
        <f>IF(ISNUMBER(outYear),GNS37+GNS42+#REF!+#REF!,"")</f>
        <v/>
      </c>
      <c r="GNT57" s="82" t="str">
        <f>IF(ISNUMBER(outYear),GNT37+GNT42+#REF!+#REF!,"")</f>
        <v/>
      </c>
      <c r="GNU57" s="82" t="str">
        <f>IF(ISNUMBER(outYear),GNU37+GNU42+#REF!+#REF!,"")</f>
        <v/>
      </c>
      <c r="GNV57" s="82" t="str">
        <f>IF(ISNUMBER(outYear),GNV37+GNV42+#REF!+#REF!,"")</f>
        <v/>
      </c>
      <c r="GNW57" s="82" t="str">
        <f>IF(ISNUMBER(outYear),GNW37+GNW42+#REF!+#REF!,"")</f>
        <v/>
      </c>
      <c r="GNX57" s="82" t="str">
        <f>IF(ISNUMBER(outYear),GNX37+GNX42+#REF!+#REF!,"")</f>
        <v/>
      </c>
      <c r="GNY57" s="82" t="str">
        <f>IF(ISNUMBER(outYear),GNY37+GNY42+#REF!+#REF!,"")</f>
        <v/>
      </c>
      <c r="GNZ57" s="82" t="str">
        <f>IF(ISNUMBER(outYear),GNZ37+GNZ42+#REF!+#REF!,"")</f>
        <v/>
      </c>
      <c r="GOA57" s="82" t="str">
        <f>IF(ISNUMBER(outYear),GOA37+GOA42+#REF!+#REF!,"")</f>
        <v/>
      </c>
      <c r="GOB57" s="82" t="str">
        <f>IF(ISNUMBER(outYear),GOB37+GOB42+#REF!+#REF!,"")</f>
        <v/>
      </c>
      <c r="GOC57" s="82" t="str">
        <f>IF(ISNUMBER(outYear),GOC37+GOC42+#REF!+#REF!,"")</f>
        <v/>
      </c>
      <c r="GOD57" s="82" t="str">
        <f>IF(ISNUMBER(outYear),GOD37+GOD42+#REF!+#REF!,"")</f>
        <v/>
      </c>
      <c r="GOE57" s="82" t="str">
        <f>IF(ISNUMBER(outYear),GOE37+GOE42+#REF!+#REF!,"")</f>
        <v/>
      </c>
      <c r="GOF57" s="82" t="str">
        <f>IF(ISNUMBER(outYear),GOF37+GOF42+#REF!+#REF!,"")</f>
        <v/>
      </c>
      <c r="GOG57" s="82" t="str">
        <f>IF(ISNUMBER(outYear),GOG37+GOG42+#REF!+#REF!,"")</f>
        <v/>
      </c>
      <c r="GOH57" s="82" t="str">
        <f>IF(ISNUMBER(outYear),GOH37+GOH42+#REF!+#REF!,"")</f>
        <v/>
      </c>
      <c r="GOI57" s="82" t="str">
        <f>IF(ISNUMBER(outYear),GOI37+GOI42+#REF!+#REF!,"")</f>
        <v/>
      </c>
      <c r="GOJ57" s="82" t="str">
        <f>IF(ISNUMBER(outYear),GOJ37+GOJ42+#REF!+#REF!,"")</f>
        <v/>
      </c>
      <c r="GOK57" s="82" t="str">
        <f>IF(ISNUMBER(outYear),GOK37+GOK42+#REF!+#REF!,"")</f>
        <v/>
      </c>
      <c r="GOL57" s="82" t="str">
        <f>IF(ISNUMBER(outYear),GOL37+GOL42+#REF!+#REF!,"")</f>
        <v/>
      </c>
      <c r="GOM57" s="82" t="str">
        <f>IF(ISNUMBER(outYear),GOM37+GOM42+#REF!+#REF!,"")</f>
        <v/>
      </c>
      <c r="GON57" s="82" t="str">
        <f>IF(ISNUMBER(outYear),GON37+GON42+#REF!+#REF!,"")</f>
        <v/>
      </c>
      <c r="GOO57" s="82" t="str">
        <f>IF(ISNUMBER(outYear),GOO37+GOO42+#REF!+#REF!,"")</f>
        <v/>
      </c>
      <c r="GOP57" s="82" t="str">
        <f>IF(ISNUMBER(outYear),GOP37+GOP42+#REF!+#REF!,"")</f>
        <v/>
      </c>
      <c r="GOQ57" s="82" t="str">
        <f>IF(ISNUMBER(outYear),GOQ37+GOQ42+#REF!+#REF!,"")</f>
        <v/>
      </c>
      <c r="GOR57" s="82" t="str">
        <f>IF(ISNUMBER(outYear),GOR37+GOR42+#REF!+#REF!,"")</f>
        <v/>
      </c>
      <c r="GOS57" s="82" t="str">
        <f>IF(ISNUMBER(outYear),GOS37+GOS42+#REF!+#REF!,"")</f>
        <v/>
      </c>
      <c r="GOT57" s="82" t="str">
        <f>IF(ISNUMBER(outYear),GOT37+GOT42+#REF!+#REF!,"")</f>
        <v/>
      </c>
      <c r="GOU57" s="82" t="str">
        <f>IF(ISNUMBER(outYear),GOU37+GOU42+#REF!+#REF!,"")</f>
        <v/>
      </c>
      <c r="GOV57" s="82" t="str">
        <f>IF(ISNUMBER(outYear),GOV37+GOV42+#REF!+#REF!,"")</f>
        <v/>
      </c>
      <c r="GOW57" s="82" t="str">
        <f>IF(ISNUMBER(outYear),GOW37+GOW42+#REF!+#REF!,"")</f>
        <v/>
      </c>
      <c r="GOX57" s="82" t="str">
        <f>IF(ISNUMBER(outYear),GOX37+GOX42+#REF!+#REF!,"")</f>
        <v/>
      </c>
      <c r="GOY57" s="82" t="str">
        <f>IF(ISNUMBER(outYear),GOY37+GOY42+#REF!+#REF!,"")</f>
        <v/>
      </c>
      <c r="GOZ57" s="82" t="str">
        <f>IF(ISNUMBER(outYear),GOZ37+GOZ42+#REF!+#REF!,"")</f>
        <v/>
      </c>
      <c r="GPA57" s="82" t="str">
        <f>IF(ISNUMBER(outYear),GPA37+GPA42+#REF!+#REF!,"")</f>
        <v/>
      </c>
      <c r="GPB57" s="82" t="str">
        <f>IF(ISNUMBER(outYear),GPB37+GPB42+#REF!+#REF!,"")</f>
        <v/>
      </c>
      <c r="GPC57" s="82" t="str">
        <f>IF(ISNUMBER(outYear),GPC37+GPC42+#REF!+#REF!,"")</f>
        <v/>
      </c>
      <c r="GPD57" s="82" t="str">
        <f>IF(ISNUMBER(outYear),GPD37+GPD42+#REF!+#REF!,"")</f>
        <v/>
      </c>
      <c r="GPE57" s="82" t="str">
        <f>IF(ISNUMBER(outYear),GPE37+GPE42+#REF!+#REF!,"")</f>
        <v/>
      </c>
      <c r="GPF57" s="82" t="str">
        <f>IF(ISNUMBER(outYear),GPF37+GPF42+#REF!+#REF!,"")</f>
        <v/>
      </c>
      <c r="GPG57" s="82" t="str">
        <f>IF(ISNUMBER(outYear),GPG37+GPG42+#REF!+#REF!,"")</f>
        <v/>
      </c>
      <c r="GPH57" s="82" t="str">
        <f>IF(ISNUMBER(outYear),GPH37+GPH42+#REF!+#REF!,"")</f>
        <v/>
      </c>
      <c r="GPI57" s="82" t="str">
        <f>IF(ISNUMBER(outYear),GPI37+GPI42+#REF!+#REF!,"")</f>
        <v/>
      </c>
      <c r="GPJ57" s="82" t="str">
        <f>IF(ISNUMBER(outYear),GPJ37+GPJ42+#REF!+#REF!,"")</f>
        <v/>
      </c>
      <c r="GPK57" s="82" t="str">
        <f>IF(ISNUMBER(outYear),GPK37+GPK42+#REF!+#REF!,"")</f>
        <v/>
      </c>
      <c r="GPL57" s="82" t="str">
        <f>IF(ISNUMBER(outYear),GPL37+GPL42+#REF!+#REF!,"")</f>
        <v/>
      </c>
      <c r="GPM57" s="82" t="str">
        <f>IF(ISNUMBER(outYear),GPM37+GPM42+#REF!+#REF!,"")</f>
        <v/>
      </c>
      <c r="GPN57" s="82" t="str">
        <f>IF(ISNUMBER(outYear),GPN37+GPN42+#REF!+#REF!,"")</f>
        <v/>
      </c>
      <c r="GPO57" s="82" t="str">
        <f>IF(ISNUMBER(outYear),GPO37+GPO42+#REF!+#REF!,"")</f>
        <v/>
      </c>
      <c r="GPP57" s="82" t="str">
        <f>IF(ISNUMBER(outYear),GPP37+GPP42+#REF!+#REF!,"")</f>
        <v/>
      </c>
      <c r="GPQ57" s="82" t="str">
        <f>IF(ISNUMBER(outYear),GPQ37+GPQ42+#REF!+#REF!,"")</f>
        <v/>
      </c>
      <c r="GPR57" s="82" t="str">
        <f>IF(ISNUMBER(outYear),GPR37+GPR42+#REF!+#REF!,"")</f>
        <v/>
      </c>
      <c r="GPS57" s="82" t="str">
        <f>IF(ISNUMBER(outYear),GPS37+GPS42+#REF!+#REF!,"")</f>
        <v/>
      </c>
      <c r="GPT57" s="82" t="str">
        <f>IF(ISNUMBER(outYear),GPT37+GPT42+#REF!+#REF!,"")</f>
        <v/>
      </c>
      <c r="GPU57" s="82" t="str">
        <f>IF(ISNUMBER(outYear),GPU37+GPU42+#REF!+#REF!,"")</f>
        <v/>
      </c>
      <c r="GPV57" s="82" t="str">
        <f>IF(ISNUMBER(outYear),GPV37+GPV42+#REF!+#REF!,"")</f>
        <v/>
      </c>
      <c r="GPW57" s="82" t="str">
        <f>IF(ISNUMBER(outYear),GPW37+GPW42+#REF!+#REF!,"")</f>
        <v/>
      </c>
      <c r="GPX57" s="82" t="str">
        <f>IF(ISNUMBER(outYear),GPX37+GPX42+#REF!+#REF!,"")</f>
        <v/>
      </c>
      <c r="GPY57" s="82" t="str">
        <f>IF(ISNUMBER(outYear),GPY37+GPY42+#REF!+#REF!,"")</f>
        <v/>
      </c>
      <c r="GPZ57" s="82" t="str">
        <f>IF(ISNUMBER(outYear),GPZ37+GPZ42+#REF!+#REF!,"")</f>
        <v/>
      </c>
      <c r="GQA57" s="82" t="str">
        <f>IF(ISNUMBER(outYear),GQA37+GQA42+#REF!+#REF!,"")</f>
        <v/>
      </c>
      <c r="GQB57" s="82" t="str">
        <f>IF(ISNUMBER(outYear),GQB37+GQB42+#REF!+#REF!,"")</f>
        <v/>
      </c>
      <c r="GQC57" s="82" t="str">
        <f>IF(ISNUMBER(outYear),GQC37+GQC42+#REF!+#REF!,"")</f>
        <v/>
      </c>
      <c r="GQD57" s="82" t="str">
        <f>IF(ISNUMBER(outYear),GQD37+GQD42+#REF!+#REF!,"")</f>
        <v/>
      </c>
      <c r="GQE57" s="82" t="str">
        <f>IF(ISNUMBER(outYear),GQE37+GQE42+#REF!+#REF!,"")</f>
        <v/>
      </c>
      <c r="GQF57" s="82" t="str">
        <f>IF(ISNUMBER(outYear),GQF37+GQF42+#REF!+#REF!,"")</f>
        <v/>
      </c>
      <c r="GQG57" s="82" t="str">
        <f>IF(ISNUMBER(outYear),GQG37+GQG42+#REF!+#REF!,"")</f>
        <v/>
      </c>
      <c r="GQH57" s="82" t="str">
        <f>IF(ISNUMBER(outYear),GQH37+GQH42+#REF!+#REF!,"")</f>
        <v/>
      </c>
      <c r="GQI57" s="82" t="str">
        <f>IF(ISNUMBER(outYear),GQI37+GQI42+#REF!+#REF!,"")</f>
        <v/>
      </c>
      <c r="GQJ57" s="82" t="str">
        <f>IF(ISNUMBER(outYear),GQJ37+GQJ42+#REF!+#REF!,"")</f>
        <v/>
      </c>
      <c r="GQK57" s="82" t="str">
        <f>IF(ISNUMBER(outYear),GQK37+GQK42+#REF!+#REF!,"")</f>
        <v/>
      </c>
      <c r="GQL57" s="82" t="str">
        <f>IF(ISNUMBER(outYear),GQL37+GQL42+#REF!+#REF!,"")</f>
        <v/>
      </c>
      <c r="GQM57" s="82" t="str">
        <f>IF(ISNUMBER(outYear),GQM37+GQM42+#REF!+#REF!,"")</f>
        <v/>
      </c>
      <c r="GQN57" s="82" t="str">
        <f>IF(ISNUMBER(outYear),GQN37+GQN42+#REF!+#REF!,"")</f>
        <v/>
      </c>
      <c r="GQO57" s="82" t="str">
        <f>IF(ISNUMBER(outYear),GQO37+GQO42+#REF!+#REF!,"")</f>
        <v/>
      </c>
      <c r="GQP57" s="82" t="str">
        <f>IF(ISNUMBER(outYear),GQP37+GQP42+#REF!+#REF!,"")</f>
        <v/>
      </c>
      <c r="GQQ57" s="82" t="str">
        <f>IF(ISNUMBER(outYear),GQQ37+GQQ42+#REF!+#REF!,"")</f>
        <v/>
      </c>
      <c r="GQR57" s="82" t="str">
        <f>IF(ISNUMBER(outYear),GQR37+GQR42+#REF!+#REF!,"")</f>
        <v/>
      </c>
      <c r="GQS57" s="82" t="str">
        <f>IF(ISNUMBER(outYear),GQS37+GQS42+#REF!+#REF!,"")</f>
        <v/>
      </c>
      <c r="GQT57" s="82" t="str">
        <f>IF(ISNUMBER(outYear),GQT37+GQT42+#REF!+#REF!,"")</f>
        <v/>
      </c>
      <c r="GQU57" s="82" t="str">
        <f>IF(ISNUMBER(outYear),GQU37+GQU42+#REF!+#REF!,"")</f>
        <v/>
      </c>
      <c r="GQV57" s="82" t="str">
        <f>IF(ISNUMBER(outYear),GQV37+GQV42+#REF!+#REF!,"")</f>
        <v/>
      </c>
      <c r="GQW57" s="82" t="str">
        <f>IF(ISNUMBER(outYear),GQW37+GQW42+#REF!+#REF!,"")</f>
        <v/>
      </c>
      <c r="GQX57" s="82" t="str">
        <f>IF(ISNUMBER(outYear),GQX37+GQX42+#REF!+#REF!,"")</f>
        <v/>
      </c>
      <c r="GQY57" s="82" t="str">
        <f>IF(ISNUMBER(outYear),GQY37+GQY42+#REF!+#REF!,"")</f>
        <v/>
      </c>
      <c r="GQZ57" s="82" t="str">
        <f>IF(ISNUMBER(outYear),GQZ37+GQZ42+#REF!+#REF!,"")</f>
        <v/>
      </c>
      <c r="GRA57" s="82" t="str">
        <f>IF(ISNUMBER(outYear),GRA37+GRA42+#REF!+#REF!,"")</f>
        <v/>
      </c>
      <c r="GRB57" s="82" t="str">
        <f>IF(ISNUMBER(outYear),GRB37+GRB42+#REF!+#REF!,"")</f>
        <v/>
      </c>
      <c r="GRC57" s="82" t="str">
        <f>IF(ISNUMBER(outYear),GRC37+GRC42+#REF!+#REF!,"")</f>
        <v/>
      </c>
      <c r="GRD57" s="82" t="str">
        <f>IF(ISNUMBER(outYear),GRD37+GRD42+#REF!+#REF!,"")</f>
        <v/>
      </c>
      <c r="GRE57" s="82" t="str">
        <f>IF(ISNUMBER(outYear),GRE37+GRE42+#REF!+#REF!,"")</f>
        <v/>
      </c>
      <c r="GRF57" s="82" t="str">
        <f>IF(ISNUMBER(outYear),GRF37+GRF42+#REF!+#REF!,"")</f>
        <v/>
      </c>
      <c r="GRG57" s="82" t="str">
        <f>IF(ISNUMBER(outYear),GRG37+GRG42+#REF!+#REF!,"")</f>
        <v/>
      </c>
      <c r="GRH57" s="82" t="str">
        <f>IF(ISNUMBER(outYear),GRH37+GRH42+#REF!+#REF!,"")</f>
        <v/>
      </c>
      <c r="GRI57" s="82" t="str">
        <f>IF(ISNUMBER(outYear),GRI37+GRI42+#REF!+#REF!,"")</f>
        <v/>
      </c>
      <c r="GRJ57" s="82" t="str">
        <f>IF(ISNUMBER(outYear),GRJ37+GRJ42+#REF!+#REF!,"")</f>
        <v/>
      </c>
      <c r="GRK57" s="82" t="str">
        <f>IF(ISNUMBER(outYear),GRK37+GRK42+#REF!+#REF!,"")</f>
        <v/>
      </c>
      <c r="GRL57" s="82" t="str">
        <f>IF(ISNUMBER(outYear),GRL37+GRL42+#REF!+#REF!,"")</f>
        <v/>
      </c>
      <c r="GRM57" s="82" t="str">
        <f>IF(ISNUMBER(outYear),GRM37+GRM42+#REF!+#REF!,"")</f>
        <v/>
      </c>
      <c r="GRN57" s="82" t="str">
        <f>IF(ISNUMBER(outYear),GRN37+GRN42+#REF!+#REF!,"")</f>
        <v/>
      </c>
      <c r="GRO57" s="82" t="str">
        <f>IF(ISNUMBER(outYear),GRO37+GRO42+#REF!+#REF!,"")</f>
        <v/>
      </c>
      <c r="GRP57" s="82" t="str">
        <f>IF(ISNUMBER(outYear),GRP37+GRP42+#REF!+#REF!,"")</f>
        <v/>
      </c>
      <c r="GRQ57" s="82" t="str">
        <f>IF(ISNUMBER(outYear),GRQ37+GRQ42+#REF!+#REF!,"")</f>
        <v/>
      </c>
      <c r="GRR57" s="82" t="str">
        <f>IF(ISNUMBER(outYear),GRR37+GRR42+#REF!+#REF!,"")</f>
        <v/>
      </c>
      <c r="GRS57" s="82" t="str">
        <f>IF(ISNUMBER(outYear),GRS37+GRS42+#REF!+#REF!,"")</f>
        <v/>
      </c>
      <c r="GRT57" s="82" t="str">
        <f>IF(ISNUMBER(outYear),GRT37+GRT42+#REF!+#REF!,"")</f>
        <v/>
      </c>
      <c r="GRU57" s="82" t="str">
        <f>IF(ISNUMBER(outYear),GRU37+GRU42+#REF!+#REF!,"")</f>
        <v/>
      </c>
      <c r="GRV57" s="82" t="str">
        <f>IF(ISNUMBER(outYear),GRV37+GRV42+#REF!+#REF!,"")</f>
        <v/>
      </c>
      <c r="GRW57" s="82" t="str">
        <f>IF(ISNUMBER(outYear),GRW37+GRW42+#REF!+#REF!,"")</f>
        <v/>
      </c>
      <c r="GRX57" s="82" t="str">
        <f>IF(ISNUMBER(outYear),GRX37+GRX42+#REF!+#REF!,"")</f>
        <v/>
      </c>
      <c r="GRY57" s="82" t="str">
        <f>IF(ISNUMBER(outYear),GRY37+GRY42+#REF!+#REF!,"")</f>
        <v/>
      </c>
      <c r="GRZ57" s="82" t="str">
        <f>IF(ISNUMBER(outYear),GRZ37+GRZ42+#REF!+#REF!,"")</f>
        <v/>
      </c>
      <c r="GSA57" s="82" t="str">
        <f>IF(ISNUMBER(outYear),GSA37+GSA42+#REF!+#REF!,"")</f>
        <v/>
      </c>
      <c r="GSB57" s="82" t="str">
        <f>IF(ISNUMBER(outYear),GSB37+GSB42+#REF!+#REF!,"")</f>
        <v/>
      </c>
      <c r="GSC57" s="82" t="str">
        <f>IF(ISNUMBER(outYear),GSC37+GSC42+#REF!+#REF!,"")</f>
        <v/>
      </c>
      <c r="GSD57" s="82" t="str">
        <f>IF(ISNUMBER(outYear),GSD37+GSD42+#REF!+#REF!,"")</f>
        <v/>
      </c>
      <c r="GSE57" s="82" t="str">
        <f>IF(ISNUMBER(outYear),GSE37+GSE42+#REF!+#REF!,"")</f>
        <v/>
      </c>
      <c r="GSF57" s="82" t="str">
        <f>IF(ISNUMBER(outYear),GSF37+GSF42+#REF!+#REF!,"")</f>
        <v/>
      </c>
      <c r="GSG57" s="82" t="str">
        <f>IF(ISNUMBER(outYear),GSG37+GSG42+#REF!+#REF!,"")</f>
        <v/>
      </c>
      <c r="GSH57" s="82" t="str">
        <f>IF(ISNUMBER(outYear),GSH37+GSH42+#REF!+#REF!,"")</f>
        <v/>
      </c>
      <c r="GSI57" s="82" t="str">
        <f>IF(ISNUMBER(outYear),GSI37+GSI42+#REF!+#REF!,"")</f>
        <v/>
      </c>
      <c r="GSJ57" s="82" t="str">
        <f>IF(ISNUMBER(outYear),GSJ37+GSJ42+#REF!+#REF!,"")</f>
        <v/>
      </c>
      <c r="GSK57" s="82" t="str">
        <f>IF(ISNUMBER(outYear),GSK37+GSK42+#REF!+#REF!,"")</f>
        <v/>
      </c>
      <c r="GSL57" s="82" t="str">
        <f>IF(ISNUMBER(outYear),GSL37+GSL42+#REF!+#REF!,"")</f>
        <v/>
      </c>
      <c r="GSM57" s="82" t="str">
        <f>IF(ISNUMBER(outYear),GSM37+GSM42+#REF!+#REF!,"")</f>
        <v/>
      </c>
      <c r="GSN57" s="82" t="str">
        <f>IF(ISNUMBER(outYear),GSN37+GSN42+#REF!+#REF!,"")</f>
        <v/>
      </c>
      <c r="GSO57" s="82" t="str">
        <f>IF(ISNUMBER(outYear),GSO37+GSO42+#REF!+#REF!,"")</f>
        <v/>
      </c>
      <c r="GSP57" s="82" t="str">
        <f>IF(ISNUMBER(outYear),GSP37+GSP42+#REF!+#REF!,"")</f>
        <v/>
      </c>
      <c r="GSQ57" s="82" t="str">
        <f>IF(ISNUMBER(outYear),GSQ37+GSQ42+#REF!+#REF!,"")</f>
        <v/>
      </c>
      <c r="GSR57" s="82" t="str">
        <f>IF(ISNUMBER(outYear),GSR37+GSR42+#REF!+#REF!,"")</f>
        <v/>
      </c>
      <c r="GSS57" s="82" t="str">
        <f>IF(ISNUMBER(outYear),GSS37+GSS42+#REF!+#REF!,"")</f>
        <v/>
      </c>
      <c r="GST57" s="82" t="str">
        <f>IF(ISNUMBER(outYear),GST37+GST42+#REF!+#REF!,"")</f>
        <v/>
      </c>
      <c r="GSU57" s="82" t="str">
        <f>IF(ISNUMBER(outYear),GSU37+GSU42+#REF!+#REF!,"")</f>
        <v/>
      </c>
      <c r="GSV57" s="82" t="str">
        <f>IF(ISNUMBER(outYear),GSV37+GSV42+#REF!+#REF!,"")</f>
        <v/>
      </c>
      <c r="GSW57" s="82" t="str">
        <f>IF(ISNUMBER(outYear),GSW37+GSW42+#REF!+#REF!,"")</f>
        <v/>
      </c>
      <c r="GSX57" s="82" t="str">
        <f>IF(ISNUMBER(outYear),GSX37+GSX42+#REF!+#REF!,"")</f>
        <v/>
      </c>
      <c r="GSY57" s="82" t="str">
        <f>IF(ISNUMBER(outYear),GSY37+GSY42+#REF!+#REF!,"")</f>
        <v/>
      </c>
      <c r="GSZ57" s="82" t="str">
        <f>IF(ISNUMBER(outYear),GSZ37+GSZ42+#REF!+#REF!,"")</f>
        <v/>
      </c>
      <c r="GTA57" s="82" t="str">
        <f>IF(ISNUMBER(outYear),GTA37+GTA42+#REF!+#REF!,"")</f>
        <v/>
      </c>
      <c r="GTB57" s="82" t="str">
        <f>IF(ISNUMBER(outYear),GTB37+GTB42+#REF!+#REF!,"")</f>
        <v/>
      </c>
      <c r="GTC57" s="82" t="str">
        <f>IF(ISNUMBER(outYear),GTC37+GTC42+#REF!+#REF!,"")</f>
        <v/>
      </c>
      <c r="GTD57" s="82" t="str">
        <f>IF(ISNUMBER(outYear),GTD37+GTD42+#REF!+#REF!,"")</f>
        <v/>
      </c>
      <c r="GTE57" s="82" t="str">
        <f>IF(ISNUMBER(outYear),GTE37+GTE42+#REF!+#REF!,"")</f>
        <v/>
      </c>
      <c r="GTF57" s="82" t="str">
        <f>IF(ISNUMBER(outYear),GTF37+GTF42+#REF!+#REF!,"")</f>
        <v/>
      </c>
      <c r="GTG57" s="82" t="str">
        <f>IF(ISNUMBER(outYear),GTG37+GTG42+#REF!+#REF!,"")</f>
        <v/>
      </c>
      <c r="GTH57" s="82" t="str">
        <f>IF(ISNUMBER(outYear),GTH37+GTH42+#REF!+#REF!,"")</f>
        <v/>
      </c>
      <c r="GTI57" s="82" t="str">
        <f>IF(ISNUMBER(outYear),GTI37+GTI42+#REF!+#REF!,"")</f>
        <v/>
      </c>
      <c r="GTJ57" s="82" t="str">
        <f>IF(ISNUMBER(outYear),GTJ37+GTJ42+#REF!+#REF!,"")</f>
        <v/>
      </c>
      <c r="GTK57" s="82" t="str">
        <f>IF(ISNUMBER(outYear),GTK37+GTK42+#REF!+#REF!,"")</f>
        <v/>
      </c>
      <c r="GTL57" s="82" t="str">
        <f>IF(ISNUMBER(outYear),GTL37+GTL42+#REF!+#REF!,"")</f>
        <v/>
      </c>
      <c r="GTM57" s="82" t="str">
        <f>IF(ISNUMBER(outYear),GTM37+GTM42+#REF!+#REF!,"")</f>
        <v/>
      </c>
      <c r="GTN57" s="82" t="str">
        <f>IF(ISNUMBER(outYear),GTN37+GTN42+#REF!+#REF!,"")</f>
        <v/>
      </c>
      <c r="GTO57" s="82" t="str">
        <f>IF(ISNUMBER(outYear),GTO37+GTO42+#REF!+#REF!,"")</f>
        <v/>
      </c>
      <c r="GTP57" s="82" t="str">
        <f>IF(ISNUMBER(outYear),GTP37+GTP42+#REF!+#REF!,"")</f>
        <v/>
      </c>
      <c r="GTQ57" s="82" t="str">
        <f>IF(ISNUMBER(outYear),GTQ37+GTQ42+#REF!+#REF!,"")</f>
        <v/>
      </c>
      <c r="GTR57" s="82" t="str">
        <f>IF(ISNUMBER(outYear),GTR37+GTR42+#REF!+#REF!,"")</f>
        <v/>
      </c>
      <c r="GTS57" s="82" t="str">
        <f>IF(ISNUMBER(outYear),GTS37+GTS42+#REF!+#REF!,"")</f>
        <v/>
      </c>
      <c r="GTT57" s="82" t="str">
        <f>IF(ISNUMBER(outYear),GTT37+GTT42+#REF!+#REF!,"")</f>
        <v/>
      </c>
      <c r="GTU57" s="82" t="str">
        <f>IF(ISNUMBER(outYear),GTU37+GTU42+#REF!+#REF!,"")</f>
        <v/>
      </c>
      <c r="GTV57" s="82" t="str">
        <f>IF(ISNUMBER(outYear),GTV37+GTV42+#REF!+#REF!,"")</f>
        <v/>
      </c>
      <c r="GTW57" s="82" t="str">
        <f>IF(ISNUMBER(outYear),GTW37+GTW42+#REF!+#REF!,"")</f>
        <v/>
      </c>
      <c r="GTX57" s="82" t="str">
        <f>IF(ISNUMBER(outYear),GTX37+GTX42+#REF!+#REF!,"")</f>
        <v/>
      </c>
      <c r="GTY57" s="82" t="str">
        <f>IF(ISNUMBER(outYear),GTY37+GTY42+#REF!+#REF!,"")</f>
        <v/>
      </c>
      <c r="GTZ57" s="82" t="str">
        <f>IF(ISNUMBER(outYear),GTZ37+GTZ42+#REF!+#REF!,"")</f>
        <v/>
      </c>
      <c r="GUA57" s="82" t="str">
        <f>IF(ISNUMBER(outYear),GUA37+GUA42+#REF!+#REF!,"")</f>
        <v/>
      </c>
      <c r="GUB57" s="82" t="str">
        <f>IF(ISNUMBER(outYear),GUB37+GUB42+#REF!+#REF!,"")</f>
        <v/>
      </c>
      <c r="GUC57" s="82" t="str">
        <f>IF(ISNUMBER(outYear),GUC37+GUC42+#REF!+#REF!,"")</f>
        <v/>
      </c>
      <c r="GUD57" s="82" t="str">
        <f>IF(ISNUMBER(outYear),GUD37+GUD42+#REF!+#REF!,"")</f>
        <v/>
      </c>
      <c r="GUE57" s="82" t="str">
        <f>IF(ISNUMBER(outYear),GUE37+GUE42+#REF!+#REF!,"")</f>
        <v/>
      </c>
      <c r="GUF57" s="82" t="str">
        <f>IF(ISNUMBER(outYear),GUF37+GUF42+#REF!+#REF!,"")</f>
        <v/>
      </c>
      <c r="GUG57" s="82" t="str">
        <f>IF(ISNUMBER(outYear),GUG37+GUG42+#REF!+#REF!,"")</f>
        <v/>
      </c>
      <c r="GUH57" s="82" t="str">
        <f>IF(ISNUMBER(outYear),GUH37+GUH42+#REF!+#REF!,"")</f>
        <v/>
      </c>
      <c r="GUI57" s="82" t="str">
        <f>IF(ISNUMBER(outYear),GUI37+GUI42+#REF!+#REF!,"")</f>
        <v/>
      </c>
      <c r="GUJ57" s="82" t="str">
        <f>IF(ISNUMBER(outYear),GUJ37+GUJ42+#REF!+#REF!,"")</f>
        <v/>
      </c>
      <c r="GUK57" s="82" t="str">
        <f>IF(ISNUMBER(outYear),GUK37+GUK42+#REF!+#REF!,"")</f>
        <v/>
      </c>
      <c r="GUL57" s="82" t="str">
        <f>IF(ISNUMBER(outYear),GUL37+GUL42+#REF!+#REF!,"")</f>
        <v/>
      </c>
      <c r="GUM57" s="82" t="str">
        <f>IF(ISNUMBER(outYear),GUM37+GUM42+#REF!+#REF!,"")</f>
        <v/>
      </c>
      <c r="GUN57" s="82" t="str">
        <f>IF(ISNUMBER(outYear),GUN37+GUN42+#REF!+#REF!,"")</f>
        <v/>
      </c>
      <c r="GUO57" s="82" t="str">
        <f>IF(ISNUMBER(outYear),GUO37+GUO42+#REF!+#REF!,"")</f>
        <v/>
      </c>
      <c r="GUP57" s="82" t="str">
        <f>IF(ISNUMBER(outYear),GUP37+GUP42+#REF!+#REF!,"")</f>
        <v/>
      </c>
      <c r="GUQ57" s="82" t="str">
        <f>IF(ISNUMBER(outYear),GUQ37+GUQ42+#REF!+#REF!,"")</f>
        <v/>
      </c>
      <c r="GUR57" s="82" t="str">
        <f>IF(ISNUMBER(outYear),GUR37+GUR42+#REF!+#REF!,"")</f>
        <v/>
      </c>
      <c r="GUS57" s="82" t="str">
        <f>IF(ISNUMBER(outYear),GUS37+GUS42+#REF!+#REF!,"")</f>
        <v/>
      </c>
      <c r="GUT57" s="82" t="str">
        <f>IF(ISNUMBER(outYear),GUT37+GUT42+#REF!+#REF!,"")</f>
        <v/>
      </c>
      <c r="GUU57" s="82" t="str">
        <f>IF(ISNUMBER(outYear),GUU37+GUU42+#REF!+#REF!,"")</f>
        <v/>
      </c>
      <c r="GUV57" s="82" t="str">
        <f>IF(ISNUMBER(outYear),GUV37+GUV42+#REF!+#REF!,"")</f>
        <v/>
      </c>
      <c r="GUW57" s="82" t="str">
        <f>IF(ISNUMBER(outYear),GUW37+GUW42+#REF!+#REF!,"")</f>
        <v/>
      </c>
      <c r="GUX57" s="82" t="str">
        <f>IF(ISNUMBER(outYear),GUX37+GUX42+#REF!+#REF!,"")</f>
        <v/>
      </c>
      <c r="GUY57" s="82" t="str">
        <f>IF(ISNUMBER(outYear),GUY37+GUY42+#REF!+#REF!,"")</f>
        <v/>
      </c>
      <c r="GUZ57" s="82" t="str">
        <f>IF(ISNUMBER(outYear),GUZ37+GUZ42+#REF!+#REF!,"")</f>
        <v/>
      </c>
      <c r="GVA57" s="82" t="str">
        <f>IF(ISNUMBER(outYear),GVA37+GVA42+#REF!+#REF!,"")</f>
        <v/>
      </c>
      <c r="GVB57" s="82" t="str">
        <f>IF(ISNUMBER(outYear),GVB37+GVB42+#REF!+#REF!,"")</f>
        <v/>
      </c>
      <c r="GVC57" s="82" t="str">
        <f>IF(ISNUMBER(outYear),GVC37+GVC42+#REF!+#REF!,"")</f>
        <v/>
      </c>
      <c r="GVD57" s="82" t="str">
        <f>IF(ISNUMBER(outYear),GVD37+GVD42+#REF!+#REF!,"")</f>
        <v/>
      </c>
      <c r="GVE57" s="82" t="str">
        <f>IF(ISNUMBER(outYear),GVE37+GVE42+#REF!+#REF!,"")</f>
        <v/>
      </c>
      <c r="GVF57" s="82" t="str">
        <f>IF(ISNUMBER(outYear),GVF37+GVF42+#REF!+#REF!,"")</f>
        <v/>
      </c>
      <c r="GVG57" s="82" t="str">
        <f>IF(ISNUMBER(outYear),GVG37+GVG42+#REF!+#REF!,"")</f>
        <v/>
      </c>
      <c r="GVH57" s="82" t="str">
        <f>IF(ISNUMBER(outYear),GVH37+GVH42+#REF!+#REF!,"")</f>
        <v/>
      </c>
      <c r="GVI57" s="82" t="str">
        <f>IF(ISNUMBER(outYear),GVI37+GVI42+#REF!+#REF!,"")</f>
        <v/>
      </c>
      <c r="GVJ57" s="82" t="str">
        <f>IF(ISNUMBER(outYear),GVJ37+GVJ42+#REF!+#REF!,"")</f>
        <v/>
      </c>
      <c r="GVK57" s="82" t="str">
        <f>IF(ISNUMBER(outYear),GVK37+GVK42+#REF!+#REF!,"")</f>
        <v/>
      </c>
      <c r="GVL57" s="82" t="str">
        <f>IF(ISNUMBER(outYear),GVL37+GVL42+#REF!+#REF!,"")</f>
        <v/>
      </c>
      <c r="GVM57" s="82" t="str">
        <f>IF(ISNUMBER(outYear),GVM37+GVM42+#REF!+#REF!,"")</f>
        <v/>
      </c>
      <c r="GVN57" s="82" t="str">
        <f>IF(ISNUMBER(outYear),GVN37+GVN42+#REF!+#REF!,"")</f>
        <v/>
      </c>
      <c r="GVO57" s="82" t="str">
        <f>IF(ISNUMBER(outYear),GVO37+GVO42+#REF!+#REF!,"")</f>
        <v/>
      </c>
      <c r="GVP57" s="82" t="str">
        <f>IF(ISNUMBER(outYear),GVP37+GVP42+#REF!+#REF!,"")</f>
        <v/>
      </c>
      <c r="GVQ57" s="82" t="str">
        <f>IF(ISNUMBER(outYear),GVQ37+GVQ42+#REF!+#REF!,"")</f>
        <v/>
      </c>
      <c r="GVR57" s="82" t="str">
        <f>IF(ISNUMBER(outYear),GVR37+GVR42+#REF!+#REF!,"")</f>
        <v/>
      </c>
      <c r="GVS57" s="82" t="str">
        <f>IF(ISNUMBER(outYear),GVS37+GVS42+#REF!+#REF!,"")</f>
        <v/>
      </c>
      <c r="GVT57" s="82" t="str">
        <f>IF(ISNUMBER(outYear),GVT37+GVT42+#REF!+#REF!,"")</f>
        <v/>
      </c>
      <c r="GVU57" s="82" t="str">
        <f>IF(ISNUMBER(outYear),GVU37+GVU42+#REF!+#REF!,"")</f>
        <v/>
      </c>
      <c r="GVV57" s="82" t="str">
        <f>IF(ISNUMBER(outYear),GVV37+GVV42+#REF!+#REF!,"")</f>
        <v/>
      </c>
      <c r="GVW57" s="82" t="str">
        <f>IF(ISNUMBER(outYear),GVW37+GVW42+#REF!+#REF!,"")</f>
        <v/>
      </c>
      <c r="GVX57" s="82" t="str">
        <f>IF(ISNUMBER(outYear),GVX37+GVX42+#REF!+#REF!,"")</f>
        <v/>
      </c>
      <c r="GVY57" s="82" t="str">
        <f>IF(ISNUMBER(outYear),GVY37+GVY42+#REF!+#REF!,"")</f>
        <v/>
      </c>
      <c r="GVZ57" s="82" t="str">
        <f>IF(ISNUMBER(outYear),GVZ37+GVZ42+#REF!+#REF!,"")</f>
        <v/>
      </c>
      <c r="GWA57" s="82" t="str">
        <f>IF(ISNUMBER(outYear),GWA37+GWA42+#REF!+#REF!,"")</f>
        <v/>
      </c>
      <c r="GWB57" s="82" t="str">
        <f>IF(ISNUMBER(outYear),GWB37+GWB42+#REF!+#REF!,"")</f>
        <v/>
      </c>
      <c r="GWC57" s="82" t="str">
        <f>IF(ISNUMBER(outYear),GWC37+GWC42+#REF!+#REF!,"")</f>
        <v/>
      </c>
      <c r="GWD57" s="82" t="str">
        <f>IF(ISNUMBER(outYear),GWD37+GWD42+#REF!+#REF!,"")</f>
        <v/>
      </c>
      <c r="GWE57" s="82" t="str">
        <f>IF(ISNUMBER(outYear),GWE37+GWE42+#REF!+#REF!,"")</f>
        <v/>
      </c>
      <c r="GWF57" s="82" t="str">
        <f>IF(ISNUMBER(outYear),GWF37+GWF42+#REF!+#REF!,"")</f>
        <v/>
      </c>
      <c r="GWG57" s="82" t="str">
        <f>IF(ISNUMBER(outYear),GWG37+GWG42+#REF!+#REF!,"")</f>
        <v/>
      </c>
      <c r="GWH57" s="82" t="str">
        <f>IF(ISNUMBER(outYear),GWH37+GWH42+#REF!+#REF!,"")</f>
        <v/>
      </c>
      <c r="GWI57" s="82" t="str">
        <f>IF(ISNUMBER(outYear),GWI37+GWI42+#REF!+#REF!,"")</f>
        <v/>
      </c>
      <c r="GWJ57" s="82" t="str">
        <f>IF(ISNUMBER(outYear),GWJ37+GWJ42+#REF!+#REF!,"")</f>
        <v/>
      </c>
      <c r="GWK57" s="82" t="str">
        <f>IF(ISNUMBER(outYear),GWK37+GWK42+#REF!+#REF!,"")</f>
        <v/>
      </c>
      <c r="GWL57" s="82" t="str">
        <f>IF(ISNUMBER(outYear),GWL37+GWL42+#REF!+#REF!,"")</f>
        <v/>
      </c>
      <c r="GWM57" s="82" t="str">
        <f>IF(ISNUMBER(outYear),GWM37+GWM42+#REF!+#REF!,"")</f>
        <v/>
      </c>
      <c r="GWN57" s="82" t="str">
        <f>IF(ISNUMBER(outYear),GWN37+GWN42+#REF!+#REF!,"")</f>
        <v/>
      </c>
      <c r="GWO57" s="82" t="str">
        <f>IF(ISNUMBER(outYear),GWO37+GWO42+#REF!+#REF!,"")</f>
        <v/>
      </c>
      <c r="GWP57" s="82" t="str">
        <f>IF(ISNUMBER(outYear),GWP37+GWP42+#REF!+#REF!,"")</f>
        <v/>
      </c>
      <c r="GWQ57" s="82" t="str">
        <f>IF(ISNUMBER(outYear),GWQ37+GWQ42+#REF!+#REF!,"")</f>
        <v/>
      </c>
      <c r="GWR57" s="82" t="str">
        <f>IF(ISNUMBER(outYear),GWR37+GWR42+#REF!+#REF!,"")</f>
        <v/>
      </c>
      <c r="GWS57" s="82" t="str">
        <f>IF(ISNUMBER(outYear),GWS37+GWS42+#REF!+#REF!,"")</f>
        <v/>
      </c>
      <c r="GWT57" s="82" t="str">
        <f>IF(ISNUMBER(outYear),GWT37+GWT42+#REF!+#REF!,"")</f>
        <v/>
      </c>
      <c r="GWU57" s="82" t="str">
        <f>IF(ISNUMBER(outYear),GWU37+GWU42+#REF!+#REF!,"")</f>
        <v/>
      </c>
      <c r="GWV57" s="82" t="str">
        <f>IF(ISNUMBER(outYear),GWV37+GWV42+#REF!+#REF!,"")</f>
        <v/>
      </c>
      <c r="GWW57" s="82" t="str">
        <f>IF(ISNUMBER(outYear),GWW37+GWW42+#REF!+#REF!,"")</f>
        <v/>
      </c>
      <c r="GWX57" s="82" t="str">
        <f>IF(ISNUMBER(outYear),GWX37+GWX42+#REF!+#REF!,"")</f>
        <v/>
      </c>
      <c r="GWY57" s="82" t="str">
        <f>IF(ISNUMBER(outYear),GWY37+GWY42+#REF!+#REF!,"")</f>
        <v/>
      </c>
      <c r="GWZ57" s="82" t="str">
        <f>IF(ISNUMBER(outYear),GWZ37+GWZ42+#REF!+#REF!,"")</f>
        <v/>
      </c>
      <c r="GXA57" s="82" t="str">
        <f>IF(ISNUMBER(outYear),GXA37+GXA42+#REF!+#REF!,"")</f>
        <v/>
      </c>
      <c r="GXB57" s="82" t="str">
        <f>IF(ISNUMBER(outYear),GXB37+GXB42+#REF!+#REF!,"")</f>
        <v/>
      </c>
      <c r="GXC57" s="82" t="str">
        <f>IF(ISNUMBER(outYear),GXC37+GXC42+#REF!+#REF!,"")</f>
        <v/>
      </c>
      <c r="GXD57" s="82" t="str">
        <f>IF(ISNUMBER(outYear),GXD37+GXD42+#REF!+#REF!,"")</f>
        <v/>
      </c>
      <c r="GXE57" s="82" t="str">
        <f>IF(ISNUMBER(outYear),GXE37+GXE42+#REF!+#REF!,"")</f>
        <v/>
      </c>
      <c r="GXF57" s="82" t="str">
        <f>IF(ISNUMBER(outYear),GXF37+GXF42+#REF!+#REF!,"")</f>
        <v/>
      </c>
      <c r="GXG57" s="82" t="str">
        <f>IF(ISNUMBER(outYear),GXG37+GXG42+#REF!+#REF!,"")</f>
        <v/>
      </c>
      <c r="GXH57" s="82" t="str">
        <f>IF(ISNUMBER(outYear),GXH37+GXH42+#REF!+#REF!,"")</f>
        <v/>
      </c>
      <c r="GXI57" s="82" t="str">
        <f>IF(ISNUMBER(outYear),GXI37+GXI42+#REF!+#REF!,"")</f>
        <v/>
      </c>
      <c r="GXJ57" s="82" t="str">
        <f>IF(ISNUMBER(outYear),GXJ37+GXJ42+#REF!+#REF!,"")</f>
        <v/>
      </c>
      <c r="GXK57" s="82" t="str">
        <f>IF(ISNUMBER(outYear),GXK37+GXK42+#REF!+#REF!,"")</f>
        <v/>
      </c>
      <c r="GXL57" s="82" t="str">
        <f>IF(ISNUMBER(outYear),GXL37+GXL42+#REF!+#REF!,"")</f>
        <v/>
      </c>
      <c r="GXM57" s="82" t="str">
        <f>IF(ISNUMBER(outYear),GXM37+GXM42+#REF!+#REF!,"")</f>
        <v/>
      </c>
      <c r="GXN57" s="82" t="str">
        <f>IF(ISNUMBER(outYear),GXN37+GXN42+#REF!+#REF!,"")</f>
        <v/>
      </c>
      <c r="GXO57" s="82" t="str">
        <f>IF(ISNUMBER(outYear),GXO37+GXO42+#REF!+#REF!,"")</f>
        <v/>
      </c>
      <c r="GXP57" s="82" t="str">
        <f>IF(ISNUMBER(outYear),GXP37+GXP42+#REF!+#REF!,"")</f>
        <v/>
      </c>
      <c r="GXQ57" s="82" t="str">
        <f>IF(ISNUMBER(outYear),GXQ37+GXQ42+#REF!+#REF!,"")</f>
        <v/>
      </c>
      <c r="GXR57" s="82" t="str">
        <f>IF(ISNUMBER(outYear),GXR37+GXR42+#REF!+#REF!,"")</f>
        <v/>
      </c>
      <c r="GXS57" s="82" t="str">
        <f>IF(ISNUMBER(outYear),GXS37+GXS42+#REF!+#REF!,"")</f>
        <v/>
      </c>
      <c r="GXT57" s="82" t="str">
        <f>IF(ISNUMBER(outYear),GXT37+GXT42+#REF!+#REF!,"")</f>
        <v/>
      </c>
      <c r="GXU57" s="82" t="str">
        <f>IF(ISNUMBER(outYear),GXU37+GXU42+#REF!+#REF!,"")</f>
        <v/>
      </c>
      <c r="GXV57" s="82" t="str">
        <f>IF(ISNUMBER(outYear),GXV37+GXV42+#REF!+#REF!,"")</f>
        <v/>
      </c>
      <c r="GXW57" s="82" t="str">
        <f>IF(ISNUMBER(outYear),GXW37+GXW42+#REF!+#REF!,"")</f>
        <v/>
      </c>
      <c r="GXX57" s="82" t="str">
        <f>IF(ISNUMBER(outYear),GXX37+GXX42+#REF!+#REF!,"")</f>
        <v/>
      </c>
      <c r="GXY57" s="82" t="str">
        <f>IF(ISNUMBER(outYear),GXY37+GXY42+#REF!+#REF!,"")</f>
        <v/>
      </c>
      <c r="GXZ57" s="82" t="str">
        <f>IF(ISNUMBER(outYear),GXZ37+GXZ42+#REF!+#REF!,"")</f>
        <v/>
      </c>
      <c r="GYA57" s="82" t="str">
        <f>IF(ISNUMBER(outYear),GYA37+GYA42+#REF!+#REF!,"")</f>
        <v/>
      </c>
      <c r="GYB57" s="82" t="str">
        <f>IF(ISNUMBER(outYear),GYB37+GYB42+#REF!+#REF!,"")</f>
        <v/>
      </c>
      <c r="GYC57" s="82" t="str">
        <f>IF(ISNUMBER(outYear),GYC37+GYC42+#REF!+#REF!,"")</f>
        <v/>
      </c>
      <c r="GYD57" s="82" t="str">
        <f>IF(ISNUMBER(outYear),GYD37+GYD42+#REF!+#REF!,"")</f>
        <v/>
      </c>
      <c r="GYE57" s="82" t="str">
        <f>IF(ISNUMBER(outYear),GYE37+GYE42+#REF!+#REF!,"")</f>
        <v/>
      </c>
      <c r="GYF57" s="82" t="str">
        <f>IF(ISNUMBER(outYear),GYF37+GYF42+#REF!+#REF!,"")</f>
        <v/>
      </c>
      <c r="GYG57" s="82" t="str">
        <f>IF(ISNUMBER(outYear),GYG37+GYG42+#REF!+#REF!,"")</f>
        <v/>
      </c>
      <c r="GYH57" s="82" t="str">
        <f>IF(ISNUMBER(outYear),GYH37+GYH42+#REF!+#REF!,"")</f>
        <v/>
      </c>
      <c r="GYI57" s="82" t="str">
        <f>IF(ISNUMBER(outYear),GYI37+GYI42+#REF!+#REF!,"")</f>
        <v/>
      </c>
      <c r="GYJ57" s="82" t="str">
        <f>IF(ISNUMBER(outYear),GYJ37+GYJ42+#REF!+#REF!,"")</f>
        <v/>
      </c>
      <c r="GYK57" s="82" t="str">
        <f>IF(ISNUMBER(outYear),GYK37+GYK42+#REF!+#REF!,"")</f>
        <v/>
      </c>
      <c r="GYL57" s="82" t="str">
        <f>IF(ISNUMBER(outYear),GYL37+GYL42+#REF!+#REF!,"")</f>
        <v/>
      </c>
      <c r="GYM57" s="82" t="str">
        <f>IF(ISNUMBER(outYear),GYM37+GYM42+#REF!+#REF!,"")</f>
        <v/>
      </c>
      <c r="GYN57" s="82" t="str">
        <f>IF(ISNUMBER(outYear),GYN37+GYN42+#REF!+#REF!,"")</f>
        <v/>
      </c>
      <c r="GYO57" s="82" t="str">
        <f>IF(ISNUMBER(outYear),GYO37+GYO42+#REF!+#REF!,"")</f>
        <v/>
      </c>
      <c r="GYP57" s="82" t="str">
        <f>IF(ISNUMBER(outYear),GYP37+GYP42+#REF!+#REF!,"")</f>
        <v/>
      </c>
      <c r="GYQ57" s="82" t="str">
        <f>IF(ISNUMBER(outYear),GYQ37+GYQ42+#REF!+#REF!,"")</f>
        <v/>
      </c>
      <c r="GYR57" s="82" t="str">
        <f>IF(ISNUMBER(outYear),GYR37+GYR42+#REF!+#REF!,"")</f>
        <v/>
      </c>
      <c r="GYS57" s="82" t="str">
        <f>IF(ISNUMBER(outYear),GYS37+GYS42+#REF!+#REF!,"")</f>
        <v/>
      </c>
      <c r="GYT57" s="82" t="str">
        <f>IF(ISNUMBER(outYear),GYT37+GYT42+#REF!+#REF!,"")</f>
        <v/>
      </c>
      <c r="GYU57" s="82" t="str">
        <f>IF(ISNUMBER(outYear),GYU37+GYU42+#REF!+#REF!,"")</f>
        <v/>
      </c>
      <c r="GYV57" s="82" t="str">
        <f>IF(ISNUMBER(outYear),GYV37+GYV42+#REF!+#REF!,"")</f>
        <v/>
      </c>
      <c r="GYW57" s="82" t="str">
        <f>IF(ISNUMBER(outYear),GYW37+GYW42+#REF!+#REF!,"")</f>
        <v/>
      </c>
      <c r="GYX57" s="82" t="str">
        <f>IF(ISNUMBER(outYear),GYX37+GYX42+#REF!+#REF!,"")</f>
        <v/>
      </c>
      <c r="GYY57" s="82" t="str">
        <f>IF(ISNUMBER(outYear),GYY37+GYY42+#REF!+#REF!,"")</f>
        <v/>
      </c>
      <c r="GYZ57" s="82" t="str">
        <f>IF(ISNUMBER(outYear),GYZ37+GYZ42+#REF!+#REF!,"")</f>
        <v/>
      </c>
      <c r="GZA57" s="82" t="str">
        <f>IF(ISNUMBER(outYear),GZA37+GZA42+#REF!+#REF!,"")</f>
        <v/>
      </c>
      <c r="GZB57" s="82" t="str">
        <f>IF(ISNUMBER(outYear),GZB37+GZB42+#REF!+#REF!,"")</f>
        <v/>
      </c>
      <c r="GZC57" s="82" t="str">
        <f>IF(ISNUMBER(outYear),GZC37+GZC42+#REF!+#REF!,"")</f>
        <v/>
      </c>
      <c r="GZD57" s="82" t="str">
        <f>IF(ISNUMBER(outYear),GZD37+GZD42+#REF!+#REF!,"")</f>
        <v/>
      </c>
      <c r="GZE57" s="82" t="str">
        <f>IF(ISNUMBER(outYear),GZE37+GZE42+#REF!+#REF!,"")</f>
        <v/>
      </c>
      <c r="GZF57" s="82" t="str">
        <f>IF(ISNUMBER(outYear),GZF37+GZF42+#REF!+#REF!,"")</f>
        <v/>
      </c>
      <c r="GZG57" s="82" t="str">
        <f>IF(ISNUMBER(outYear),GZG37+GZG42+#REF!+#REF!,"")</f>
        <v/>
      </c>
      <c r="GZH57" s="82" t="str">
        <f>IF(ISNUMBER(outYear),GZH37+GZH42+#REF!+#REF!,"")</f>
        <v/>
      </c>
      <c r="GZI57" s="82" t="str">
        <f>IF(ISNUMBER(outYear),GZI37+GZI42+#REF!+#REF!,"")</f>
        <v/>
      </c>
      <c r="GZJ57" s="82" t="str">
        <f>IF(ISNUMBER(outYear),GZJ37+GZJ42+#REF!+#REF!,"")</f>
        <v/>
      </c>
      <c r="GZK57" s="82" t="str">
        <f>IF(ISNUMBER(outYear),GZK37+GZK42+#REF!+#REF!,"")</f>
        <v/>
      </c>
      <c r="GZL57" s="82" t="str">
        <f>IF(ISNUMBER(outYear),GZL37+GZL42+#REF!+#REF!,"")</f>
        <v/>
      </c>
      <c r="GZM57" s="82" t="str">
        <f>IF(ISNUMBER(outYear),GZM37+GZM42+#REF!+#REF!,"")</f>
        <v/>
      </c>
      <c r="GZN57" s="82" t="str">
        <f>IF(ISNUMBER(outYear),GZN37+GZN42+#REF!+#REF!,"")</f>
        <v/>
      </c>
      <c r="GZO57" s="82" t="str">
        <f>IF(ISNUMBER(outYear),GZO37+GZO42+#REF!+#REF!,"")</f>
        <v/>
      </c>
      <c r="GZP57" s="82" t="str">
        <f>IF(ISNUMBER(outYear),GZP37+GZP42+#REF!+#REF!,"")</f>
        <v/>
      </c>
      <c r="GZQ57" s="82" t="str">
        <f>IF(ISNUMBER(outYear),GZQ37+GZQ42+#REF!+#REF!,"")</f>
        <v/>
      </c>
      <c r="GZR57" s="82" t="str">
        <f>IF(ISNUMBER(outYear),GZR37+GZR42+#REF!+#REF!,"")</f>
        <v/>
      </c>
      <c r="GZS57" s="82" t="str">
        <f>IF(ISNUMBER(outYear),GZS37+GZS42+#REF!+#REF!,"")</f>
        <v/>
      </c>
      <c r="GZT57" s="82" t="str">
        <f>IF(ISNUMBER(outYear),GZT37+GZT42+#REF!+#REF!,"")</f>
        <v/>
      </c>
      <c r="GZU57" s="82" t="str">
        <f>IF(ISNUMBER(outYear),GZU37+GZU42+#REF!+#REF!,"")</f>
        <v/>
      </c>
      <c r="GZV57" s="82" t="str">
        <f>IF(ISNUMBER(outYear),GZV37+GZV42+#REF!+#REF!,"")</f>
        <v/>
      </c>
      <c r="GZW57" s="82" t="str">
        <f>IF(ISNUMBER(outYear),GZW37+GZW42+#REF!+#REF!,"")</f>
        <v/>
      </c>
      <c r="GZX57" s="82" t="str">
        <f>IF(ISNUMBER(outYear),GZX37+GZX42+#REF!+#REF!,"")</f>
        <v/>
      </c>
      <c r="GZY57" s="82" t="str">
        <f>IF(ISNUMBER(outYear),GZY37+GZY42+#REF!+#REF!,"")</f>
        <v/>
      </c>
      <c r="GZZ57" s="82" t="str">
        <f>IF(ISNUMBER(outYear),GZZ37+GZZ42+#REF!+#REF!,"")</f>
        <v/>
      </c>
      <c r="HAA57" s="82" t="str">
        <f>IF(ISNUMBER(outYear),HAA37+HAA42+#REF!+#REF!,"")</f>
        <v/>
      </c>
      <c r="HAB57" s="82" t="str">
        <f>IF(ISNUMBER(outYear),HAB37+HAB42+#REF!+#REF!,"")</f>
        <v/>
      </c>
      <c r="HAC57" s="82" t="str">
        <f>IF(ISNUMBER(outYear),HAC37+HAC42+#REF!+#REF!,"")</f>
        <v/>
      </c>
      <c r="HAD57" s="82" t="str">
        <f>IF(ISNUMBER(outYear),HAD37+HAD42+#REF!+#REF!,"")</f>
        <v/>
      </c>
      <c r="HAE57" s="82" t="str">
        <f>IF(ISNUMBER(outYear),HAE37+HAE42+#REF!+#REF!,"")</f>
        <v/>
      </c>
      <c r="HAF57" s="82" t="str">
        <f>IF(ISNUMBER(outYear),HAF37+HAF42+#REF!+#REF!,"")</f>
        <v/>
      </c>
      <c r="HAG57" s="82" t="str">
        <f>IF(ISNUMBER(outYear),HAG37+HAG42+#REF!+#REF!,"")</f>
        <v/>
      </c>
      <c r="HAH57" s="82" t="str">
        <f>IF(ISNUMBER(outYear),HAH37+HAH42+#REF!+#REF!,"")</f>
        <v/>
      </c>
      <c r="HAI57" s="82" t="str">
        <f>IF(ISNUMBER(outYear),HAI37+HAI42+#REF!+#REF!,"")</f>
        <v/>
      </c>
      <c r="HAJ57" s="82" t="str">
        <f>IF(ISNUMBER(outYear),HAJ37+HAJ42+#REF!+#REF!,"")</f>
        <v/>
      </c>
      <c r="HAK57" s="82" t="str">
        <f>IF(ISNUMBER(outYear),HAK37+HAK42+#REF!+#REF!,"")</f>
        <v/>
      </c>
      <c r="HAL57" s="82" t="str">
        <f>IF(ISNUMBER(outYear),HAL37+HAL42+#REF!+#REF!,"")</f>
        <v/>
      </c>
      <c r="HAM57" s="82" t="str">
        <f>IF(ISNUMBER(outYear),HAM37+HAM42+#REF!+#REF!,"")</f>
        <v/>
      </c>
      <c r="HAN57" s="82" t="str">
        <f>IF(ISNUMBER(outYear),HAN37+HAN42+#REF!+#REF!,"")</f>
        <v/>
      </c>
      <c r="HAO57" s="82" t="str">
        <f>IF(ISNUMBER(outYear),HAO37+HAO42+#REF!+#REF!,"")</f>
        <v/>
      </c>
      <c r="HAP57" s="82" t="str">
        <f>IF(ISNUMBER(outYear),HAP37+HAP42+#REF!+#REF!,"")</f>
        <v/>
      </c>
      <c r="HAQ57" s="82" t="str">
        <f>IF(ISNUMBER(outYear),HAQ37+HAQ42+#REF!+#REF!,"")</f>
        <v/>
      </c>
      <c r="HAR57" s="82" t="str">
        <f>IF(ISNUMBER(outYear),HAR37+HAR42+#REF!+#REF!,"")</f>
        <v/>
      </c>
      <c r="HAS57" s="82" t="str">
        <f>IF(ISNUMBER(outYear),HAS37+HAS42+#REF!+#REF!,"")</f>
        <v/>
      </c>
      <c r="HAT57" s="82" t="str">
        <f>IF(ISNUMBER(outYear),HAT37+HAT42+#REF!+#REF!,"")</f>
        <v/>
      </c>
      <c r="HAU57" s="82" t="str">
        <f>IF(ISNUMBER(outYear),HAU37+HAU42+#REF!+#REF!,"")</f>
        <v/>
      </c>
      <c r="HAV57" s="82" t="str">
        <f>IF(ISNUMBER(outYear),HAV37+HAV42+#REF!+#REF!,"")</f>
        <v/>
      </c>
      <c r="HAW57" s="82" t="str">
        <f>IF(ISNUMBER(outYear),HAW37+HAW42+#REF!+#REF!,"")</f>
        <v/>
      </c>
      <c r="HAX57" s="82" t="str">
        <f>IF(ISNUMBER(outYear),HAX37+HAX42+#REF!+#REF!,"")</f>
        <v/>
      </c>
      <c r="HAY57" s="82" t="str">
        <f>IF(ISNUMBER(outYear),HAY37+HAY42+#REF!+#REF!,"")</f>
        <v/>
      </c>
      <c r="HAZ57" s="82" t="str">
        <f>IF(ISNUMBER(outYear),HAZ37+HAZ42+#REF!+#REF!,"")</f>
        <v/>
      </c>
      <c r="HBA57" s="82" t="str">
        <f>IF(ISNUMBER(outYear),HBA37+HBA42+#REF!+#REF!,"")</f>
        <v/>
      </c>
      <c r="HBB57" s="82" t="str">
        <f>IF(ISNUMBER(outYear),HBB37+HBB42+#REF!+#REF!,"")</f>
        <v/>
      </c>
      <c r="HBC57" s="82" t="str">
        <f>IF(ISNUMBER(outYear),HBC37+HBC42+#REF!+#REF!,"")</f>
        <v/>
      </c>
      <c r="HBD57" s="82" t="str">
        <f>IF(ISNUMBER(outYear),HBD37+HBD42+#REF!+#REF!,"")</f>
        <v/>
      </c>
      <c r="HBE57" s="82" t="str">
        <f>IF(ISNUMBER(outYear),HBE37+HBE42+#REF!+#REF!,"")</f>
        <v/>
      </c>
      <c r="HBF57" s="82" t="str">
        <f>IF(ISNUMBER(outYear),HBF37+HBF42+#REF!+#REF!,"")</f>
        <v/>
      </c>
      <c r="HBG57" s="82" t="str">
        <f>IF(ISNUMBER(outYear),HBG37+HBG42+#REF!+#REF!,"")</f>
        <v/>
      </c>
      <c r="HBH57" s="82" t="str">
        <f>IF(ISNUMBER(outYear),HBH37+HBH42+#REF!+#REF!,"")</f>
        <v/>
      </c>
      <c r="HBI57" s="82" t="str">
        <f>IF(ISNUMBER(outYear),HBI37+HBI42+#REF!+#REF!,"")</f>
        <v/>
      </c>
      <c r="HBJ57" s="82" t="str">
        <f>IF(ISNUMBER(outYear),HBJ37+HBJ42+#REF!+#REF!,"")</f>
        <v/>
      </c>
      <c r="HBK57" s="82" t="str">
        <f>IF(ISNUMBER(outYear),HBK37+HBK42+#REF!+#REF!,"")</f>
        <v/>
      </c>
      <c r="HBL57" s="82" t="str">
        <f>IF(ISNUMBER(outYear),HBL37+HBL42+#REF!+#REF!,"")</f>
        <v/>
      </c>
      <c r="HBM57" s="82" t="str">
        <f>IF(ISNUMBER(outYear),HBM37+HBM42+#REF!+#REF!,"")</f>
        <v/>
      </c>
      <c r="HBN57" s="82" t="str">
        <f>IF(ISNUMBER(outYear),HBN37+HBN42+#REF!+#REF!,"")</f>
        <v/>
      </c>
      <c r="HBO57" s="82" t="str">
        <f>IF(ISNUMBER(outYear),HBO37+HBO42+#REF!+#REF!,"")</f>
        <v/>
      </c>
      <c r="HBP57" s="82" t="str">
        <f>IF(ISNUMBER(outYear),HBP37+HBP42+#REF!+#REF!,"")</f>
        <v/>
      </c>
      <c r="HBQ57" s="82" t="str">
        <f>IF(ISNUMBER(outYear),HBQ37+HBQ42+#REF!+#REF!,"")</f>
        <v/>
      </c>
      <c r="HBR57" s="82" t="str">
        <f>IF(ISNUMBER(outYear),HBR37+HBR42+#REF!+#REF!,"")</f>
        <v/>
      </c>
      <c r="HBS57" s="82" t="str">
        <f>IF(ISNUMBER(outYear),HBS37+HBS42+#REF!+#REF!,"")</f>
        <v/>
      </c>
      <c r="HBT57" s="82" t="str">
        <f>IF(ISNUMBER(outYear),HBT37+HBT42+#REF!+#REF!,"")</f>
        <v/>
      </c>
      <c r="HBU57" s="82" t="str">
        <f>IF(ISNUMBER(outYear),HBU37+HBU42+#REF!+#REF!,"")</f>
        <v/>
      </c>
      <c r="HBV57" s="82" t="str">
        <f>IF(ISNUMBER(outYear),HBV37+HBV42+#REF!+#REF!,"")</f>
        <v/>
      </c>
      <c r="HBW57" s="82" t="str">
        <f>IF(ISNUMBER(outYear),HBW37+HBW42+#REF!+#REF!,"")</f>
        <v/>
      </c>
      <c r="HBX57" s="82" t="str">
        <f>IF(ISNUMBER(outYear),HBX37+HBX42+#REF!+#REF!,"")</f>
        <v/>
      </c>
      <c r="HBY57" s="82" t="str">
        <f>IF(ISNUMBER(outYear),HBY37+HBY42+#REF!+#REF!,"")</f>
        <v/>
      </c>
      <c r="HBZ57" s="82" t="str">
        <f>IF(ISNUMBER(outYear),HBZ37+HBZ42+#REF!+#REF!,"")</f>
        <v/>
      </c>
      <c r="HCA57" s="82" t="str">
        <f>IF(ISNUMBER(outYear),HCA37+HCA42+#REF!+#REF!,"")</f>
        <v/>
      </c>
      <c r="HCB57" s="82" t="str">
        <f>IF(ISNUMBER(outYear),HCB37+HCB42+#REF!+#REF!,"")</f>
        <v/>
      </c>
      <c r="HCC57" s="82" t="str">
        <f>IF(ISNUMBER(outYear),HCC37+HCC42+#REF!+#REF!,"")</f>
        <v/>
      </c>
      <c r="HCD57" s="82" t="str">
        <f>IF(ISNUMBER(outYear),HCD37+HCD42+#REF!+#REF!,"")</f>
        <v/>
      </c>
      <c r="HCE57" s="82" t="str">
        <f>IF(ISNUMBER(outYear),HCE37+HCE42+#REF!+#REF!,"")</f>
        <v/>
      </c>
      <c r="HCF57" s="82" t="str">
        <f>IF(ISNUMBER(outYear),HCF37+HCF42+#REF!+#REF!,"")</f>
        <v/>
      </c>
      <c r="HCG57" s="82" t="str">
        <f>IF(ISNUMBER(outYear),HCG37+HCG42+#REF!+#REF!,"")</f>
        <v/>
      </c>
      <c r="HCH57" s="82" t="str">
        <f>IF(ISNUMBER(outYear),HCH37+HCH42+#REF!+#REF!,"")</f>
        <v/>
      </c>
      <c r="HCI57" s="82" t="str">
        <f>IF(ISNUMBER(outYear),HCI37+HCI42+#REF!+#REF!,"")</f>
        <v/>
      </c>
      <c r="HCJ57" s="82" t="str">
        <f>IF(ISNUMBER(outYear),HCJ37+HCJ42+#REF!+#REF!,"")</f>
        <v/>
      </c>
      <c r="HCK57" s="82" t="str">
        <f>IF(ISNUMBER(outYear),HCK37+HCK42+#REF!+#REF!,"")</f>
        <v/>
      </c>
      <c r="HCL57" s="82" t="str">
        <f>IF(ISNUMBER(outYear),HCL37+HCL42+#REF!+#REF!,"")</f>
        <v/>
      </c>
      <c r="HCM57" s="82" t="str">
        <f>IF(ISNUMBER(outYear),HCM37+HCM42+#REF!+#REF!,"")</f>
        <v/>
      </c>
      <c r="HCN57" s="82" t="str">
        <f>IF(ISNUMBER(outYear),HCN37+HCN42+#REF!+#REF!,"")</f>
        <v/>
      </c>
      <c r="HCO57" s="82" t="str">
        <f>IF(ISNUMBER(outYear),HCO37+HCO42+#REF!+#REF!,"")</f>
        <v/>
      </c>
      <c r="HCP57" s="82" t="str">
        <f>IF(ISNUMBER(outYear),HCP37+HCP42+#REF!+#REF!,"")</f>
        <v/>
      </c>
      <c r="HCQ57" s="82" t="str">
        <f>IF(ISNUMBER(outYear),HCQ37+HCQ42+#REF!+#REF!,"")</f>
        <v/>
      </c>
      <c r="HCR57" s="82" t="str">
        <f>IF(ISNUMBER(outYear),HCR37+HCR42+#REF!+#REF!,"")</f>
        <v/>
      </c>
      <c r="HCS57" s="82" t="str">
        <f>IF(ISNUMBER(outYear),HCS37+HCS42+#REF!+#REF!,"")</f>
        <v/>
      </c>
      <c r="HCT57" s="82" t="str">
        <f>IF(ISNUMBER(outYear),HCT37+HCT42+#REF!+#REF!,"")</f>
        <v/>
      </c>
      <c r="HCU57" s="82" t="str">
        <f>IF(ISNUMBER(outYear),HCU37+HCU42+#REF!+#REF!,"")</f>
        <v/>
      </c>
      <c r="HCV57" s="82" t="str">
        <f>IF(ISNUMBER(outYear),HCV37+HCV42+#REF!+#REF!,"")</f>
        <v/>
      </c>
      <c r="HCW57" s="82" t="str">
        <f>IF(ISNUMBER(outYear),HCW37+HCW42+#REF!+#REF!,"")</f>
        <v/>
      </c>
      <c r="HCX57" s="82" t="str">
        <f>IF(ISNUMBER(outYear),HCX37+HCX42+#REF!+#REF!,"")</f>
        <v/>
      </c>
      <c r="HCY57" s="82" t="str">
        <f>IF(ISNUMBER(outYear),HCY37+HCY42+#REF!+#REF!,"")</f>
        <v/>
      </c>
      <c r="HCZ57" s="82" t="str">
        <f>IF(ISNUMBER(outYear),HCZ37+HCZ42+#REF!+#REF!,"")</f>
        <v/>
      </c>
      <c r="HDA57" s="82" t="str">
        <f>IF(ISNUMBER(outYear),HDA37+HDA42+#REF!+#REF!,"")</f>
        <v/>
      </c>
      <c r="HDB57" s="82" t="str">
        <f>IF(ISNUMBER(outYear),HDB37+HDB42+#REF!+#REF!,"")</f>
        <v/>
      </c>
      <c r="HDC57" s="82" t="str">
        <f>IF(ISNUMBER(outYear),HDC37+HDC42+#REF!+#REF!,"")</f>
        <v/>
      </c>
      <c r="HDD57" s="82" t="str">
        <f>IF(ISNUMBER(outYear),HDD37+HDD42+#REF!+#REF!,"")</f>
        <v/>
      </c>
      <c r="HDE57" s="82" t="str">
        <f>IF(ISNUMBER(outYear),HDE37+HDE42+#REF!+#REF!,"")</f>
        <v/>
      </c>
      <c r="HDF57" s="82" t="str">
        <f>IF(ISNUMBER(outYear),HDF37+HDF42+#REF!+#REF!,"")</f>
        <v/>
      </c>
      <c r="HDG57" s="82" t="str">
        <f>IF(ISNUMBER(outYear),HDG37+HDG42+#REF!+#REF!,"")</f>
        <v/>
      </c>
      <c r="HDH57" s="82" t="str">
        <f>IF(ISNUMBER(outYear),HDH37+HDH42+#REF!+#REF!,"")</f>
        <v/>
      </c>
      <c r="HDI57" s="82" t="str">
        <f>IF(ISNUMBER(outYear),HDI37+HDI42+#REF!+#REF!,"")</f>
        <v/>
      </c>
      <c r="HDJ57" s="82" t="str">
        <f>IF(ISNUMBER(outYear),HDJ37+HDJ42+#REF!+#REF!,"")</f>
        <v/>
      </c>
      <c r="HDK57" s="82" t="str">
        <f>IF(ISNUMBER(outYear),HDK37+HDK42+#REF!+#REF!,"")</f>
        <v/>
      </c>
      <c r="HDL57" s="82" t="str">
        <f>IF(ISNUMBER(outYear),HDL37+HDL42+#REF!+#REF!,"")</f>
        <v/>
      </c>
      <c r="HDM57" s="82" t="str">
        <f>IF(ISNUMBER(outYear),HDM37+HDM42+#REF!+#REF!,"")</f>
        <v/>
      </c>
      <c r="HDN57" s="82" t="str">
        <f>IF(ISNUMBER(outYear),HDN37+HDN42+#REF!+#REF!,"")</f>
        <v/>
      </c>
      <c r="HDO57" s="82" t="str">
        <f>IF(ISNUMBER(outYear),HDO37+HDO42+#REF!+#REF!,"")</f>
        <v/>
      </c>
      <c r="HDP57" s="82" t="str">
        <f>IF(ISNUMBER(outYear),HDP37+HDP42+#REF!+#REF!,"")</f>
        <v/>
      </c>
      <c r="HDQ57" s="82" t="str">
        <f>IF(ISNUMBER(outYear),HDQ37+HDQ42+#REF!+#REF!,"")</f>
        <v/>
      </c>
      <c r="HDR57" s="82" t="str">
        <f>IF(ISNUMBER(outYear),HDR37+HDR42+#REF!+#REF!,"")</f>
        <v/>
      </c>
      <c r="HDS57" s="82" t="str">
        <f>IF(ISNUMBER(outYear),HDS37+HDS42+#REF!+#REF!,"")</f>
        <v/>
      </c>
      <c r="HDT57" s="82" t="str">
        <f>IF(ISNUMBER(outYear),HDT37+HDT42+#REF!+#REF!,"")</f>
        <v/>
      </c>
      <c r="HDU57" s="82" t="str">
        <f>IF(ISNUMBER(outYear),HDU37+HDU42+#REF!+#REF!,"")</f>
        <v/>
      </c>
      <c r="HDV57" s="82" t="str">
        <f>IF(ISNUMBER(outYear),HDV37+HDV42+#REF!+#REF!,"")</f>
        <v/>
      </c>
      <c r="HDW57" s="82" t="str">
        <f>IF(ISNUMBER(outYear),HDW37+HDW42+#REF!+#REF!,"")</f>
        <v/>
      </c>
      <c r="HDX57" s="82" t="str">
        <f>IF(ISNUMBER(outYear),HDX37+HDX42+#REF!+#REF!,"")</f>
        <v/>
      </c>
      <c r="HDY57" s="82" t="str">
        <f>IF(ISNUMBER(outYear),HDY37+HDY42+#REF!+#REF!,"")</f>
        <v/>
      </c>
      <c r="HDZ57" s="82" t="str">
        <f>IF(ISNUMBER(outYear),HDZ37+HDZ42+#REF!+#REF!,"")</f>
        <v/>
      </c>
      <c r="HEA57" s="82" t="str">
        <f>IF(ISNUMBER(outYear),HEA37+HEA42+#REF!+#REF!,"")</f>
        <v/>
      </c>
      <c r="HEB57" s="82" t="str">
        <f>IF(ISNUMBER(outYear),HEB37+HEB42+#REF!+#REF!,"")</f>
        <v/>
      </c>
      <c r="HEC57" s="82" t="str">
        <f>IF(ISNUMBER(outYear),HEC37+HEC42+#REF!+#REF!,"")</f>
        <v/>
      </c>
      <c r="HED57" s="82" t="str">
        <f>IF(ISNUMBER(outYear),HED37+HED42+#REF!+#REF!,"")</f>
        <v/>
      </c>
      <c r="HEE57" s="82" t="str">
        <f>IF(ISNUMBER(outYear),HEE37+HEE42+#REF!+#REF!,"")</f>
        <v/>
      </c>
      <c r="HEF57" s="82" t="str">
        <f>IF(ISNUMBER(outYear),HEF37+HEF42+#REF!+#REF!,"")</f>
        <v/>
      </c>
      <c r="HEG57" s="82" t="str">
        <f>IF(ISNUMBER(outYear),HEG37+HEG42+#REF!+#REF!,"")</f>
        <v/>
      </c>
      <c r="HEH57" s="82" t="str">
        <f>IF(ISNUMBER(outYear),HEH37+HEH42+#REF!+#REF!,"")</f>
        <v/>
      </c>
      <c r="HEI57" s="82" t="str">
        <f>IF(ISNUMBER(outYear),HEI37+HEI42+#REF!+#REF!,"")</f>
        <v/>
      </c>
      <c r="HEJ57" s="82" t="str">
        <f>IF(ISNUMBER(outYear),HEJ37+HEJ42+#REF!+#REF!,"")</f>
        <v/>
      </c>
      <c r="HEK57" s="82" t="str">
        <f>IF(ISNUMBER(outYear),HEK37+HEK42+#REF!+#REF!,"")</f>
        <v/>
      </c>
      <c r="HEL57" s="82" t="str">
        <f>IF(ISNUMBER(outYear),HEL37+HEL42+#REF!+#REF!,"")</f>
        <v/>
      </c>
      <c r="HEM57" s="82" t="str">
        <f>IF(ISNUMBER(outYear),HEM37+HEM42+#REF!+#REF!,"")</f>
        <v/>
      </c>
      <c r="HEN57" s="82" t="str">
        <f>IF(ISNUMBER(outYear),HEN37+HEN42+#REF!+#REF!,"")</f>
        <v/>
      </c>
      <c r="HEO57" s="82" t="str">
        <f>IF(ISNUMBER(outYear),HEO37+HEO42+#REF!+#REF!,"")</f>
        <v/>
      </c>
      <c r="HEP57" s="82" t="str">
        <f>IF(ISNUMBER(outYear),HEP37+HEP42+#REF!+#REF!,"")</f>
        <v/>
      </c>
      <c r="HEQ57" s="82" t="str">
        <f>IF(ISNUMBER(outYear),HEQ37+HEQ42+#REF!+#REF!,"")</f>
        <v/>
      </c>
      <c r="HER57" s="82" t="str">
        <f>IF(ISNUMBER(outYear),HER37+HER42+#REF!+#REF!,"")</f>
        <v/>
      </c>
      <c r="HES57" s="82" t="str">
        <f>IF(ISNUMBER(outYear),HES37+HES42+#REF!+#REF!,"")</f>
        <v/>
      </c>
      <c r="HET57" s="82" t="str">
        <f>IF(ISNUMBER(outYear),HET37+HET42+#REF!+#REF!,"")</f>
        <v/>
      </c>
      <c r="HEU57" s="82" t="str">
        <f>IF(ISNUMBER(outYear),HEU37+HEU42+#REF!+#REF!,"")</f>
        <v/>
      </c>
      <c r="HEV57" s="82" t="str">
        <f>IF(ISNUMBER(outYear),HEV37+HEV42+#REF!+#REF!,"")</f>
        <v/>
      </c>
      <c r="HEW57" s="82" t="str">
        <f>IF(ISNUMBER(outYear),HEW37+HEW42+#REF!+#REF!,"")</f>
        <v/>
      </c>
      <c r="HEX57" s="82" t="str">
        <f>IF(ISNUMBER(outYear),HEX37+HEX42+#REF!+#REF!,"")</f>
        <v/>
      </c>
      <c r="HEY57" s="82" t="str">
        <f>IF(ISNUMBER(outYear),HEY37+HEY42+#REF!+#REF!,"")</f>
        <v/>
      </c>
      <c r="HEZ57" s="82" t="str">
        <f>IF(ISNUMBER(outYear),HEZ37+HEZ42+#REF!+#REF!,"")</f>
        <v/>
      </c>
      <c r="HFA57" s="82" t="str">
        <f>IF(ISNUMBER(outYear),HFA37+HFA42+#REF!+#REF!,"")</f>
        <v/>
      </c>
      <c r="HFB57" s="82" t="str">
        <f>IF(ISNUMBER(outYear),HFB37+HFB42+#REF!+#REF!,"")</f>
        <v/>
      </c>
      <c r="HFC57" s="82" t="str">
        <f>IF(ISNUMBER(outYear),HFC37+HFC42+#REF!+#REF!,"")</f>
        <v/>
      </c>
      <c r="HFD57" s="82" t="str">
        <f>IF(ISNUMBER(outYear),HFD37+HFD42+#REF!+#REF!,"")</f>
        <v/>
      </c>
      <c r="HFE57" s="82" t="str">
        <f>IF(ISNUMBER(outYear),HFE37+HFE42+#REF!+#REF!,"")</f>
        <v/>
      </c>
      <c r="HFF57" s="82" t="str">
        <f>IF(ISNUMBER(outYear),HFF37+HFF42+#REF!+#REF!,"")</f>
        <v/>
      </c>
      <c r="HFG57" s="82" t="str">
        <f>IF(ISNUMBER(outYear),HFG37+HFG42+#REF!+#REF!,"")</f>
        <v/>
      </c>
      <c r="HFH57" s="82" t="str">
        <f>IF(ISNUMBER(outYear),HFH37+HFH42+#REF!+#REF!,"")</f>
        <v/>
      </c>
      <c r="HFI57" s="82" t="str">
        <f>IF(ISNUMBER(outYear),HFI37+HFI42+#REF!+#REF!,"")</f>
        <v/>
      </c>
      <c r="HFJ57" s="82" t="str">
        <f>IF(ISNUMBER(outYear),HFJ37+HFJ42+#REF!+#REF!,"")</f>
        <v/>
      </c>
      <c r="HFK57" s="82" t="str">
        <f>IF(ISNUMBER(outYear),HFK37+HFK42+#REF!+#REF!,"")</f>
        <v/>
      </c>
      <c r="HFL57" s="82" t="str">
        <f>IF(ISNUMBER(outYear),HFL37+HFL42+#REF!+#REF!,"")</f>
        <v/>
      </c>
      <c r="HFM57" s="82" t="str">
        <f>IF(ISNUMBER(outYear),HFM37+HFM42+#REF!+#REF!,"")</f>
        <v/>
      </c>
      <c r="HFN57" s="82" t="str">
        <f>IF(ISNUMBER(outYear),HFN37+HFN42+#REF!+#REF!,"")</f>
        <v/>
      </c>
      <c r="HFO57" s="82" t="str">
        <f>IF(ISNUMBER(outYear),HFO37+HFO42+#REF!+#REF!,"")</f>
        <v/>
      </c>
      <c r="HFP57" s="82" t="str">
        <f>IF(ISNUMBER(outYear),HFP37+HFP42+#REF!+#REF!,"")</f>
        <v/>
      </c>
      <c r="HFQ57" s="82" t="str">
        <f>IF(ISNUMBER(outYear),HFQ37+HFQ42+#REF!+#REF!,"")</f>
        <v/>
      </c>
      <c r="HFR57" s="82" t="str">
        <f>IF(ISNUMBER(outYear),HFR37+HFR42+#REF!+#REF!,"")</f>
        <v/>
      </c>
      <c r="HFS57" s="82" t="str">
        <f>IF(ISNUMBER(outYear),HFS37+HFS42+#REF!+#REF!,"")</f>
        <v/>
      </c>
      <c r="HFT57" s="82" t="str">
        <f>IF(ISNUMBER(outYear),HFT37+HFT42+#REF!+#REF!,"")</f>
        <v/>
      </c>
      <c r="HFU57" s="82" t="str">
        <f>IF(ISNUMBER(outYear),HFU37+HFU42+#REF!+#REF!,"")</f>
        <v/>
      </c>
      <c r="HFV57" s="82" t="str">
        <f>IF(ISNUMBER(outYear),HFV37+HFV42+#REF!+#REF!,"")</f>
        <v/>
      </c>
      <c r="HFW57" s="82" t="str">
        <f>IF(ISNUMBER(outYear),HFW37+HFW42+#REF!+#REF!,"")</f>
        <v/>
      </c>
      <c r="HFX57" s="82" t="str">
        <f>IF(ISNUMBER(outYear),HFX37+HFX42+#REF!+#REF!,"")</f>
        <v/>
      </c>
      <c r="HFY57" s="82" t="str">
        <f>IF(ISNUMBER(outYear),HFY37+HFY42+#REF!+#REF!,"")</f>
        <v/>
      </c>
      <c r="HFZ57" s="82" t="str">
        <f>IF(ISNUMBER(outYear),HFZ37+HFZ42+#REF!+#REF!,"")</f>
        <v/>
      </c>
      <c r="HGA57" s="82" t="str">
        <f>IF(ISNUMBER(outYear),HGA37+HGA42+#REF!+#REF!,"")</f>
        <v/>
      </c>
      <c r="HGB57" s="82" t="str">
        <f>IF(ISNUMBER(outYear),HGB37+HGB42+#REF!+#REF!,"")</f>
        <v/>
      </c>
      <c r="HGC57" s="82" t="str">
        <f>IF(ISNUMBER(outYear),HGC37+HGC42+#REF!+#REF!,"")</f>
        <v/>
      </c>
      <c r="HGD57" s="82" t="str">
        <f>IF(ISNUMBER(outYear),HGD37+HGD42+#REF!+#REF!,"")</f>
        <v/>
      </c>
      <c r="HGE57" s="82" t="str">
        <f>IF(ISNUMBER(outYear),HGE37+HGE42+#REF!+#REF!,"")</f>
        <v/>
      </c>
      <c r="HGF57" s="82" t="str">
        <f>IF(ISNUMBER(outYear),HGF37+HGF42+#REF!+#REF!,"")</f>
        <v/>
      </c>
      <c r="HGG57" s="82" t="str">
        <f>IF(ISNUMBER(outYear),HGG37+HGG42+#REF!+#REF!,"")</f>
        <v/>
      </c>
      <c r="HGH57" s="82" t="str">
        <f>IF(ISNUMBER(outYear),HGH37+HGH42+#REF!+#REF!,"")</f>
        <v/>
      </c>
      <c r="HGI57" s="82" t="str">
        <f>IF(ISNUMBER(outYear),HGI37+HGI42+#REF!+#REF!,"")</f>
        <v/>
      </c>
      <c r="HGJ57" s="82" t="str">
        <f>IF(ISNUMBER(outYear),HGJ37+HGJ42+#REF!+#REF!,"")</f>
        <v/>
      </c>
      <c r="HGK57" s="82" t="str">
        <f>IF(ISNUMBER(outYear),HGK37+HGK42+#REF!+#REF!,"")</f>
        <v/>
      </c>
      <c r="HGL57" s="82" t="str">
        <f>IF(ISNUMBER(outYear),HGL37+HGL42+#REF!+#REF!,"")</f>
        <v/>
      </c>
      <c r="HGM57" s="82" t="str">
        <f>IF(ISNUMBER(outYear),HGM37+HGM42+#REF!+#REF!,"")</f>
        <v/>
      </c>
      <c r="HGN57" s="82" t="str">
        <f>IF(ISNUMBER(outYear),HGN37+HGN42+#REF!+#REF!,"")</f>
        <v/>
      </c>
      <c r="HGO57" s="82" t="str">
        <f>IF(ISNUMBER(outYear),HGO37+HGO42+#REF!+#REF!,"")</f>
        <v/>
      </c>
      <c r="HGP57" s="82" t="str">
        <f>IF(ISNUMBER(outYear),HGP37+HGP42+#REF!+#REF!,"")</f>
        <v/>
      </c>
      <c r="HGQ57" s="82" t="str">
        <f>IF(ISNUMBER(outYear),HGQ37+HGQ42+#REF!+#REF!,"")</f>
        <v/>
      </c>
      <c r="HGR57" s="82" t="str">
        <f>IF(ISNUMBER(outYear),HGR37+HGR42+#REF!+#REF!,"")</f>
        <v/>
      </c>
      <c r="HGS57" s="82" t="str">
        <f>IF(ISNUMBER(outYear),HGS37+HGS42+#REF!+#REF!,"")</f>
        <v/>
      </c>
      <c r="HGT57" s="82" t="str">
        <f>IF(ISNUMBER(outYear),HGT37+HGT42+#REF!+#REF!,"")</f>
        <v/>
      </c>
      <c r="HGU57" s="82" t="str">
        <f>IF(ISNUMBER(outYear),HGU37+HGU42+#REF!+#REF!,"")</f>
        <v/>
      </c>
      <c r="HGV57" s="82" t="str">
        <f>IF(ISNUMBER(outYear),HGV37+HGV42+#REF!+#REF!,"")</f>
        <v/>
      </c>
      <c r="HGW57" s="82" t="str">
        <f>IF(ISNUMBER(outYear),HGW37+HGW42+#REF!+#REF!,"")</f>
        <v/>
      </c>
      <c r="HGX57" s="82" t="str">
        <f>IF(ISNUMBER(outYear),HGX37+HGX42+#REF!+#REF!,"")</f>
        <v/>
      </c>
      <c r="HGY57" s="82" t="str">
        <f>IF(ISNUMBER(outYear),HGY37+HGY42+#REF!+#REF!,"")</f>
        <v/>
      </c>
      <c r="HGZ57" s="82" t="str">
        <f>IF(ISNUMBER(outYear),HGZ37+HGZ42+#REF!+#REF!,"")</f>
        <v/>
      </c>
      <c r="HHA57" s="82" t="str">
        <f>IF(ISNUMBER(outYear),HHA37+HHA42+#REF!+#REF!,"")</f>
        <v/>
      </c>
      <c r="HHB57" s="82" t="str">
        <f>IF(ISNUMBER(outYear),HHB37+HHB42+#REF!+#REF!,"")</f>
        <v/>
      </c>
      <c r="HHC57" s="82" t="str">
        <f>IF(ISNUMBER(outYear),HHC37+HHC42+#REF!+#REF!,"")</f>
        <v/>
      </c>
      <c r="HHD57" s="82" t="str">
        <f>IF(ISNUMBER(outYear),HHD37+HHD42+#REF!+#REF!,"")</f>
        <v/>
      </c>
      <c r="HHE57" s="82" t="str">
        <f>IF(ISNUMBER(outYear),HHE37+HHE42+#REF!+#REF!,"")</f>
        <v/>
      </c>
      <c r="HHF57" s="82" t="str">
        <f>IF(ISNUMBER(outYear),HHF37+HHF42+#REF!+#REF!,"")</f>
        <v/>
      </c>
      <c r="HHG57" s="82" t="str">
        <f>IF(ISNUMBER(outYear),HHG37+HHG42+#REF!+#REF!,"")</f>
        <v/>
      </c>
      <c r="HHH57" s="82" t="str">
        <f>IF(ISNUMBER(outYear),HHH37+HHH42+#REF!+#REF!,"")</f>
        <v/>
      </c>
      <c r="HHI57" s="82" t="str">
        <f>IF(ISNUMBER(outYear),HHI37+HHI42+#REF!+#REF!,"")</f>
        <v/>
      </c>
      <c r="HHJ57" s="82" t="str">
        <f>IF(ISNUMBER(outYear),HHJ37+HHJ42+#REF!+#REF!,"")</f>
        <v/>
      </c>
      <c r="HHK57" s="82" t="str">
        <f>IF(ISNUMBER(outYear),HHK37+HHK42+#REF!+#REF!,"")</f>
        <v/>
      </c>
      <c r="HHL57" s="82" t="str">
        <f>IF(ISNUMBER(outYear),HHL37+HHL42+#REF!+#REF!,"")</f>
        <v/>
      </c>
      <c r="HHM57" s="82" t="str">
        <f>IF(ISNUMBER(outYear),HHM37+HHM42+#REF!+#REF!,"")</f>
        <v/>
      </c>
      <c r="HHN57" s="82" t="str">
        <f>IF(ISNUMBER(outYear),HHN37+HHN42+#REF!+#REF!,"")</f>
        <v/>
      </c>
      <c r="HHO57" s="82" t="str">
        <f>IF(ISNUMBER(outYear),HHO37+HHO42+#REF!+#REF!,"")</f>
        <v/>
      </c>
      <c r="HHP57" s="82" t="str">
        <f>IF(ISNUMBER(outYear),HHP37+HHP42+#REF!+#REF!,"")</f>
        <v/>
      </c>
      <c r="HHQ57" s="82" t="str">
        <f>IF(ISNUMBER(outYear),HHQ37+HHQ42+#REF!+#REF!,"")</f>
        <v/>
      </c>
      <c r="HHR57" s="82" t="str">
        <f>IF(ISNUMBER(outYear),HHR37+HHR42+#REF!+#REF!,"")</f>
        <v/>
      </c>
      <c r="HHS57" s="82" t="str">
        <f>IF(ISNUMBER(outYear),HHS37+HHS42+#REF!+#REF!,"")</f>
        <v/>
      </c>
      <c r="HHT57" s="82" t="str">
        <f>IF(ISNUMBER(outYear),HHT37+HHT42+#REF!+#REF!,"")</f>
        <v/>
      </c>
      <c r="HHU57" s="82" t="str">
        <f>IF(ISNUMBER(outYear),HHU37+HHU42+#REF!+#REF!,"")</f>
        <v/>
      </c>
      <c r="HHV57" s="82" t="str">
        <f>IF(ISNUMBER(outYear),HHV37+HHV42+#REF!+#REF!,"")</f>
        <v/>
      </c>
      <c r="HHW57" s="82" t="str">
        <f>IF(ISNUMBER(outYear),HHW37+HHW42+#REF!+#REF!,"")</f>
        <v/>
      </c>
      <c r="HHX57" s="82" t="str">
        <f>IF(ISNUMBER(outYear),HHX37+HHX42+#REF!+#REF!,"")</f>
        <v/>
      </c>
      <c r="HHY57" s="82" t="str">
        <f>IF(ISNUMBER(outYear),HHY37+HHY42+#REF!+#REF!,"")</f>
        <v/>
      </c>
      <c r="HHZ57" s="82" t="str">
        <f>IF(ISNUMBER(outYear),HHZ37+HHZ42+#REF!+#REF!,"")</f>
        <v/>
      </c>
      <c r="HIA57" s="82" t="str">
        <f>IF(ISNUMBER(outYear),HIA37+HIA42+#REF!+#REF!,"")</f>
        <v/>
      </c>
      <c r="HIB57" s="82" t="str">
        <f>IF(ISNUMBER(outYear),HIB37+HIB42+#REF!+#REF!,"")</f>
        <v/>
      </c>
      <c r="HIC57" s="82" t="str">
        <f>IF(ISNUMBER(outYear),HIC37+HIC42+#REF!+#REF!,"")</f>
        <v/>
      </c>
      <c r="HID57" s="82" t="str">
        <f>IF(ISNUMBER(outYear),HID37+HID42+#REF!+#REF!,"")</f>
        <v/>
      </c>
      <c r="HIE57" s="82" t="str">
        <f>IF(ISNUMBER(outYear),HIE37+HIE42+#REF!+#REF!,"")</f>
        <v/>
      </c>
      <c r="HIF57" s="82" t="str">
        <f>IF(ISNUMBER(outYear),HIF37+HIF42+#REF!+#REF!,"")</f>
        <v/>
      </c>
      <c r="HIG57" s="82" t="str">
        <f>IF(ISNUMBER(outYear),HIG37+HIG42+#REF!+#REF!,"")</f>
        <v/>
      </c>
      <c r="HIH57" s="82" t="str">
        <f>IF(ISNUMBER(outYear),HIH37+HIH42+#REF!+#REF!,"")</f>
        <v/>
      </c>
      <c r="HII57" s="82" t="str">
        <f>IF(ISNUMBER(outYear),HII37+HII42+#REF!+#REF!,"")</f>
        <v/>
      </c>
      <c r="HIJ57" s="82" t="str">
        <f>IF(ISNUMBER(outYear),HIJ37+HIJ42+#REF!+#REF!,"")</f>
        <v/>
      </c>
      <c r="HIK57" s="82" t="str">
        <f>IF(ISNUMBER(outYear),HIK37+HIK42+#REF!+#REF!,"")</f>
        <v/>
      </c>
      <c r="HIL57" s="82" t="str">
        <f>IF(ISNUMBER(outYear),HIL37+HIL42+#REF!+#REF!,"")</f>
        <v/>
      </c>
      <c r="HIM57" s="82" t="str">
        <f>IF(ISNUMBER(outYear),HIM37+HIM42+#REF!+#REF!,"")</f>
        <v/>
      </c>
      <c r="HIN57" s="82" t="str">
        <f>IF(ISNUMBER(outYear),HIN37+HIN42+#REF!+#REF!,"")</f>
        <v/>
      </c>
      <c r="HIO57" s="82" t="str">
        <f>IF(ISNUMBER(outYear),HIO37+HIO42+#REF!+#REF!,"")</f>
        <v/>
      </c>
      <c r="HIP57" s="82" t="str">
        <f>IF(ISNUMBER(outYear),HIP37+HIP42+#REF!+#REF!,"")</f>
        <v/>
      </c>
      <c r="HIQ57" s="82" t="str">
        <f>IF(ISNUMBER(outYear),HIQ37+HIQ42+#REF!+#REF!,"")</f>
        <v/>
      </c>
      <c r="HIR57" s="82" t="str">
        <f>IF(ISNUMBER(outYear),HIR37+HIR42+#REF!+#REF!,"")</f>
        <v/>
      </c>
      <c r="HIS57" s="82" t="str">
        <f>IF(ISNUMBER(outYear),HIS37+HIS42+#REF!+#REF!,"")</f>
        <v/>
      </c>
      <c r="HIT57" s="82" t="str">
        <f>IF(ISNUMBER(outYear),HIT37+HIT42+#REF!+#REF!,"")</f>
        <v/>
      </c>
      <c r="HIU57" s="82" t="str">
        <f>IF(ISNUMBER(outYear),HIU37+HIU42+#REF!+#REF!,"")</f>
        <v/>
      </c>
      <c r="HIV57" s="82" t="str">
        <f>IF(ISNUMBER(outYear),HIV37+HIV42+#REF!+#REF!,"")</f>
        <v/>
      </c>
      <c r="HIW57" s="82" t="str">
        <f>IF(ISNUMBER(outYear),HIW37+HIW42+#REF!+#REF!,"")</f>
        <v/>
      </c>
      <c r="HIX57" s="82" t="str">
        <f>IF(ISNUMBER(outYear),HIX37+HIX42+#REF!+#REF!,"")</f>
        <v/>
      </c>
      <c r="HIY57" s="82" t="str">
        <f>IF(ISNUMBER(outYear),HIY37+HIY42+#REF!+#REF!,"")</f>
        <v/>
      </c>
      <c r="HIZ57" s="82" t="str">
        <f>IF(ISNUMBER(outYear),HIZ37+HIZ42+#REF!+#REF!,"")</f>
        <v/>
      </c>
      <c r="HJA57" s="82" t="str">
        <f>IF(ISNUMBER(outYear),HJA37+HJA42+#REF!+#REF!,"")</f>
        <v/>
      </c>
      <c r="HJB57" s="82" t="str">
        <f>IF(ISNUMBER(outYear),HJB37+HJB42+#REF!+#REF!,"")</f>
        <v/>
      </c>
      <c r="HJC57" s="82" t="str">
        <f>IF(ISNUMBER(outYear),HJC37+HJC42+#REF!+#REF!,"")</f>
        <v/>
      </c>
      <c r="HJD57" s="82" t="str">
        <f>IF(ISNUMBER(outYear),HJD37+HJD42+#REF!+#REF!,"")</f>
        <v/>
      </c>
      <c r="HJE57" s="82" t="str">
        <f>IF(ISNUMBER(outYear),HJE37+HJE42+#REF!+#REF!,"")</f>
        <v/>
      </c>
      <c r="HJF57" s="82" t="str">
        <f>IF(ISNUMBER(outYear),HJF37+HJF42+#REF!+#REF!,"")</f>
        <v/>
      </c>
      <c r="HJG57" s="82" t="str">
        <f>IF(ISNUMBER(outYear),HJG37+HJG42+#REF!+#REF!,"")</f>
        <v/>
      </c>
      <c r="HJH57" s="82" t="str">
        <f>IF(ISNUMBER(outYear),HJH37+HJH42+#REF!+#REF!,"")</f>
        <v/>
      </c>
      <c r="HJI57" s="82" t="str">
        <f>IF(ISNUMBER(outYear),HJI37+HJI42+#REF!+#REF!,"")</f>
        <v/>
      </c>
      <c r="HJJ57" s="82" t="str">
        <f>IF(ISNUMBER(outYear),HJJ37+HJJ42+#REF!+#REF!,"")</f>
        <v/>
      </c>
      <c r="HJK57" s="82" t="str">
        <f>IF(ISNUMBER(outYear),HJK37+HJK42+#REF!+#REF!,"")</f>
        <v/>
      </c>
      <c r="HJL57" s="82" t="str">
        <f>IF(ISNUMBER(outYear),HJL37+HJL42+#REF!+#REF!,"")</f>
        <v/>
      </c>
      <c r="HJM57" s="82" t="str">
        <f>IF(ISNUMBER(outYear),HJM37+HJM42+#REF!+#REF!,"")</f>
        <v/>
      </c>
      <c r="HJN57" s="82" t="str">
        <f>IF(ISNUMBER(outYear),HJN37+HJN42+#REF!+#REF!,"")</f>
        <v/>
      </c>
      <c r="HJO57" s="82" t="str">
        <f>IF(ISNUMBER(outYear),HJO37+HJO42+#REF!+#REF!,"")</f>
        <v/>
      </c>
      <c r="HJP57" s="82" t="str">
        <f>IF(ISNUMBER(outYear),HJP37+HJP42+#REF!+#REF!,"")</f>
        <v/>
      </c>
      <c r="HJQ57" s="82" t="str">
        <f>IF(ISNUMBER(outYear),HJQ37+HJQ42+#REF!+#REF!,"")</f>
        <v/>
      </c>
      <c r="HJR57" s="82" t="str">
        <f>IF(ISNUMBER(outYear),HJR37+HJR42+#REF!+#REF!,"")</f>
        <v/>
      </c>
      <c r="HJS57" s="82" t="str">
        <f>IF(ISNUMBER(outYear),HJS37+HJS42+#REF!+#REF!,"")</f>
        <v/>
      </c>
      <c r="HJT57" s="82" t="str">
        <f>IF(ISNUMBER(outYear),HJT37+HJT42+#REF!+#REF!,"")</f>
        <v/>
      </c>
      <c r="HJU57" s="82" t="str">
        <f>IF(ISNUMBER(outYear),HJU37+HJU42+#REF!+#REF!,"")</f>
        <v/>
      </c>
      <c r="HJV57" s="82" t="str">
        <f>IF(ISNUMBER(outYear),HJV37+HJV42+#REF!+#REF!,"")</f>
        <v/>
      </c>
      <c r="HJW57" s="82" t="str">
        <f>IF(ISNUMBER(outYear),HJW37+HJW42+#REF!+#REF!,"")</f>
        <v/>
      </c>
      <c r="HJX57" s="82" t="str">
        <f>IF(ISNUMBER(outYear),HJX37+HJX42+#REF!+#REF!,"")</f>
        <v/>
      </c>
      <c r="HJY57" s="82" t="str">
        <f>IF(ISNUMBER(outYear),HJY37+HJY42+#REF!+#REF!,"")</f>
        <v/>
      </c>
      <c r="HJZ57" s="82" t="str">
        <f>IF(ISNUMBER(outYear),HJZ37+HJZ42+#REF!+#REF!,"")</f>
        <v/>
      </c>
      <c r="HKA57" s="82" t="str">
        <f>IF(ISNUMBER(outYear),HKA37+HKA42+#REF!+#REF!,"")</f>
        <v/>
      </c>
      <c r="HKB57" s="82" t="str">
        <f>IF(ISNUMBER(outYear),HKB37+HKB42+#REF!+#REF!,"")</f>
        <v/>
      </c>
      <c r="HKC57" s="82" t="str">
        <f>IF(ISNUMBER(outYear),HKC37+HKC42+#REF!+#REF!,"")</f>
        <v/>
      </c>
      <c r="HKD57" s="82" t="str">
        <f>IF(ISNUMBER(outYear),HKD37+HKD42+#REF!+#REF!,"")</f>
        <v/>
      </c>
      <c r="HKE57" s="82" t="str">
        <f>IF(ISNUMBER(outYear),HKE37+HKE42+#REF!+#REF!,"")</f>
        <v/>
      </c>
      <c r="HKF57" s="82" t="str">
        <f>IF(ISNUMBER(outYear),HKF37+HKF42+#REF!+#REF!,"")</f>
        <v/>
      </c>
      <c r="HKG57" s="82" t="str">
        <f>IF(ISNUMBER(outYear),HKG37+HKG42+#REF!+#REF!,"")</f>
        <v/>
      </c>
      <c r="HKH57" s="82" t="str">
        <f>IF(ISNUMBER(outYear),HKH37+HKH42+#REF!+#REF!,"")</f>
        <v/>
      </c>
      <c r="HKI57" s="82" t="str">
        <f>IF(ISNUMBER(outYear),HKI37+HKI42+#REF!+#REF!,"")</f>
        <v/>
      </c>
      <c r="HKJ57" s="82" t="str">
        <f>IF(ISNUMBER(outYear),HKJ37+HKJ42+#REF!+#REF!,"")</f>
        <v/>
      </c>
      <c r="HKK57" s="82" t="str">
        <f>IF(ISNUMBER(outYear),HKK37+HKK42+#REF!+#REF!,"")</f>
        <v/>
      </c>
      <c r="HKL57" s="82" t="str">
        <f>IF(ISNUMBER(outYear),HKL37+HKL42+#REF!+#REF!,"")</f>
        <v/>
      </c>
      <c r="HKM57" s="82" t="str">
        <f>IF(ISNUMBER(outYear),HKM37+HKM42+#REF!+#REF!,"")</f>
        <v/>
      </c>
      <c r="HKN57" s="82" t="str">
        <f>IF(ISNUMBER(outYear),HKN37+HKN42+#REF!+#REF!,"")</f>
        <v/>
      </c>
      <c r="HKO57" s="82" t="str">
        <f>IF(ISNUMBER(outYear),HKO37+HKO42+#REF!+#REF!,"")</f>
        <v/>
      </c>
      <c r="HKP57" s="82" t="str">
        <f>IF(ISNUMBER(outYear),HKP37+HKP42+#REF!+#REF!,"")</f>
        <v/>
      </c>
      <c r="HKQ57" s="82" t="str">
        <f>IF(ISNUMBER(outYear),HKQ37+HKQ42+#REF!+#REF!,"")</f>
        <v/>
      </c>
      <c r="HKR57" s="82" t="str">
        <f>IF(ISNUMBER(outYear),HKR37+HKR42+#REF!+#REF!,"")</f>
        <v/>
      </c>
      <c r="HKS57" s="82" t="str">
        <f>IF(ISNUMBER(outYear),HKS37+HKS42+#REF!+#REF!,"")</f>
        <v/>
      </c>
      <c r="HKT57" s="82" t="str">
        <f>IF(ISNUMBER(outYear),HKT37+HKT42+#REF!+#REF!,"")</f>
        <v/>
      </c>
      <c r="HKU57" s="82" t="str">
        <f>IF(ISNUMBER(outYear),HKU37+HKU42+#REF!+#REF!,"")</f>
        <v/>
      </c>
      <c r="HKV57" s="82" t="str">
        <f>IF(ISNUMBER(outYear),HKV37+HKV42+#REF!+#REF!,"")</f>
        <v/>
      </c>
      <c r="HKW57" s="82" t="str">
        <f>IF(ISNUMBER(outYear),HKW37+HKW42+#REF!+#REF!,"")</f>
        <v/>
      </c>
      <c r="HKX57" s="82" t="str">
        <f>IF(ISNUMBER(outYear),HKX37+HKX42+#REF!+#REF!,"")</f>
        <v/>
      </c>
      <c r="HKY57" s="82" t="str">
        <f>IF(ISNUMBER(outYear),HKY37+HKY42+#REF!+#REF!,"")</f>
        <v/>
      </c>
      <c r="HKZ57" s="82" t="str">
        <f>IF(ISNUMBER(outYear),HKZ37+HKZ42+#REF!+#REF!,"")</f>
        <v/>
      </c>
      <c r="HLA57" s="82" t="str">
        <f>IF(ISNUMBER(outYear),HLA37+HLA42+#REF!+#REF!,"")</f>
        <v/>
      </c>
      <c r="HLB57" s="82" t="str">
        <f>IF(ISNUMBER(outYear),HLB37+HLB42+#REF!+#REF!,"")</f>
        <v/>
      </c>
      <c r="HLC57" s="82" t="str">
        <f>IF(ISNUMBER(outYear),HLC37+HLC42+#REF!+#REF!,"")</f>
        <v/>
      </c>
      <c r="HLD57" s="82" t="str">
        <f>IF(ISNUMBER(outYear),HLD37+HLD42+#REF!+#REF!,"")</f>
        <v/>
      </c>
      <c r="HLE57" s="82" t="str">
        <f>IF(ISNUMBER(outYear),HLE37+HLE42+#REF!+#REF!,"")</f>
        <v/>
      </c>
      <c r="HLF57" s="82" t="str">
        <f>IF(ISNUMBER(outYear),HLF37+HLF42+#REF!+#REF!,"")</f>
        <v/>
      </c>
      <c r="HLG57" s="82" t="str">
        <f>IF(ISNUMBER(outYear),HLG37+HLG42+#REF!+#REF!,"")</f>
        <v/>
      </c>
      <c r="HLH57" s="82" t="str">
        <f>IF(ISNUMBER(outYear),HLH37+HLH42+#REF!+#REF!,"")</f>
        <v/>
      </c>
      <c r="HLI57" s="82" t="str">
        <f>IF(ISNUMBER(outYear),HLI37+HLI42+#REF!+#REF!,"")</f>
        <v/>
      </c>
      <c r="HLJ57" s="82" t="str">
        <f>IF(ISNUMBER(outYear),HLJ37+HLJ42+#REF!+#REF!,"")</f>
        <v/>
      </c>
      <c r="HLK57" s="82" t="str">
        <f>IF(ISNUMBER(outYear),HLK37+HLK42+#REF!+#REF!,"")</f>
        <v/>
      </c>
      <c r="HLL57" s="82" t="str">
        <f>IF(ISNUMBER(outYear),HLL37+HLL42+#REF!+#REF!,"")</f>
        <v/>
      </c>
      <c r="HLM57" s="82" t="str">
        <f>IF(ISNUMBER(outYear),HLM37+HLM42+#REF!+#REF!,"")</f>
        <v/>
      </c>
      <c r="HLN57" s="82" t="str">
        <f>IF(ISNUMBER(outYear),HLN37+HLN42+#REF!+#REF!,"")</f>
        <v/>
      </c>
      <c r="HLO57" s="82" t="str">
        <f>IF(ISNUMBER(outYear),HLO37+HLO42+#REF!+#REF!,"")</f>
        <v/>
      </c>
      <c r="HLP57" s="82" t="str">
        <f>IF(ISNUMBER(outYear),HLP37+HLP42+#REF!+#REF!,"")</f>
        <v/>
      </c>
      <c r="HLQ57" s="82" t="str">
        <f>IF(ISNUMBER(outYear),HLQ37+HLQ42+#REF!+#REF!,"")</f>
        <v/>
      </c>
      <c r="HLR57" s="82" t="str">
        <f>IF(ISNUMBER(outYear),HLR37+HLR42+#REF!+#REF!,"")</f>
        <v/>
      </c>
      <c r="HLS57" s="82" t="str">
        <f>IF(ISNUMBER(outYear),HLS37+HLS42+#REF!+#REF!,"")</f>
        <v/>
      </c>
      <c r="HLT57" s="82" t="str">
        <f>IF(ISNUMBER(outYear),HLT37+HLT42+#REF!+#REF!,"")</f>
        <v/>
      </c>
      <c r="HLU57" s="82" t="str">
        <f>IF(ISNUMBER(outYear),HLU37+HLU42+#REF!+#REF!,"")</f>
        <v/>
      </c>
      <c r="HLV57" s="82" t="str">
        <f>IF(ISNUMBER(outYear),HLV37+HLV42+#REF!+#REF!,"")</f>
        <v/>
      </c>
      <c r="HLW57" s="82" t="str">
        <f>IF(ISNUMBER(outYear),HLW37+HLW42+#REF!+#REF!,"")</f>
        <v/>
      </c>
      <c r="HLX57" s="82" t="str">
        <f>IF(ISNUMBER(outYear),HLX37+HLX42+#REF!+#REF!,"")</f>
        <v/>
      </c>
      <c r="HLY57" s="82" t="str">
        <f>IF(ISNUMBER(outYear),HLY37+HLY42+#REF!+#REF!,"")</f>
        <v/>
      </c>
      <c r="HLZ57" s="82" t="str">
        <f>IF(ISNUMBER(outYear),HLZ37+HLZ42+#REF!+#REF!,"")</f>
        <v/>
      </c>
      <c r="HMA57" s="82" t="str">
        <f>IF(ISNUMBER(outYear),HMA37+HMA42+#REF!+#REF!,"")</f>
        <v/>
      </c>
      <c r="HMB57" s="82" t="str">
        <f>IF(ISNUMBER(outYear),HMB37+HMB42+#REF!+#REF!,"")</f>
        <v/>
      </c>
      <c r="HMC57" s="82" t="str">
        <f>IF(ISNUMBER(outYear),HMC37+HMC42+#REF!+#REF!,"")</f>
        <v/>
      </c>
      <c r="HMD57" s="82" t="str">
        <f>IF(ISNUMBER(outYear),HMD37+HMD42+#REF!+#REF!,"")</f>
        <v/>
      </c>
      <c r="HME57" s="82" t="str">
        <f>IF(ISNUMBER(outYear),HME37+HME42+#REF!+#REF!,"")</f>
        <v/>
      </c>
      <c r="HMF57" s="82" t="str">
        <f>IF(ISNUMBER(outYear),HMF37+HMF42+#REF!+#REF!,"")</f>
        <v/>
      </c>
      <c r="HMG57" s="82" t="str">
        <f>IF(ISNUMBER(outYear),HMG37+HMG42+#REF!+#REF!,"")</f>
        <v/>
      </c>
      <c r="HMH57" s="82" t="str">
        <f>IF(ISNUMBER(outYear),HMH37+HMH42+#REF!+#REF!,"")</f>
        <v/>
      </c>
      <c r="HMI57" s="82" t="str">
        <f>IF(ISNUMBER(outYear),HMI37+HMI42+#REF!+#REF!,"")</f>
        <v/>
      </c>
      <c r="HMJ57" s="82" t="str">
        <f>IF(ISNUMBER(outYear),HMJ37+HMJ42+#REF!+#REF!,"")</f>
        <v/>
      </c>
      <c r="HMK57" s="82" t="str">
        <f>IF(ISNUMBER(outYear),HMK37+HMK42+#REF!+#REF!,"")</f>
        <v/>
      </c>
      <c r="HML57" s="82" t="str">
        <f>IF(ISNUMBER(outYear),HML37+HML42+#REF!+#REF!,"")</f>
        <v/>
      </c>
      <c r="HMM57" s="82" t="str">
        <f>IF(ISNUMBER(outYear),HMM37+HMM42+#REF!+#REF!,"")</f>
        <v/>
      </c>
      <c r="HMN57" s="82" t="str">
        <f>IF(ISNUMBER(outYear),HMN37+HMN42+#REF!+#REF!,"")</f>
        <v/>
      </c>
      <c r="HMO57" s="82" t="str">
        <f>IF(ISNUMBER(outYear),HMO37+HMO42+#REF!+#REF!,"")</f>
        <v/>
      </c>
      <c r="HMP57" s="82" t="str">
        <f>IF(ISNUMBER(outYear),HMP37+HMP42+#REF!+#REF!,"")</f>
        <v/>
      </c>
      <c r="HMQ57" s="82" t="str">
        <f>IF(ISNUMBER(outYear),HMQ37+HMQ42+#REF!+#REF!,"")</f>
        <v/>
      </c>
      <c r="HMR57" s="82" t="str">
        <f>IF(ISNUMBER(outYear),HMR37+HMR42+#REF!+#REF!,"")</f>
        <v/>
      </c>
      <c r="HMS57" s="82" t="str">
        <f>IF(ISNUMBER(outYear),HMS37+HMS42+#REF!+#REF!,"")</f>
        <v/>
      </c>
      <c r="HMT57" s="82" t="str">
        <f>IF(ISNUMBER(outYear),HMT37+HMT42+#REF!+#REF!,"")</f>
        <v/>
      </c>
      <c r="HMU57" s="82" t="str">
        <f>IF(ISNUMBER(outYear),HMU37+HMU42+#REF!+#REF!,"")</f>
        <v/>
      </c>
      <c r="HMV57" s="82" t="str">
        <f>IF(ISNUMBER(outYear),HMV37+HMV42+#REF!+#REF!,"")</f>
        <v/>
      </c>
      <c r="HMW57" s="82" t="str">
        <f>IF(ISNUMBER(outYear),HMW37+HMW42+#REF!+#REF!,"")</f>
        <v/>
      </c>
      <c r="HMX57" s="82" t="str">
        <f>IF(ISNUMBER(outYear),HMX37+HMX42+#REF!+#REF!,"")</f>
        <v/>
      </c>
      <c r="HMY57" s="82" t="str">
        <f>IF(ISNUMBER(outYear),HMY37+HMY42+#REF!+#REF!,"")</f>
        <v/>
      </c>
      <c r="HMZ57" s="82" t="str">
        <f>IF(ISNUMBER(outYear),HMZ37+HMZ42+#REF!+#REF!,"")</f>
        <v/>
      </c>
      <c r="HNA57" s="82" t="str">
        <f>IF(ISNUMBER(outYear),HNA37+HNA42+#REF!+#REF!,"")</f>
        <v/>
      </c>
      <c r="HNB57" s="82" t="str">
        <f>IF(ISNUMBER(outYear),HNB37+HNB42+#REF!+#REF!,"")</f>
        <v/>
      </c>
      <c r="HNC57" s="82" t="str">
        <f>IF(ISNUMBER(outYear),HNC37+HNC42+#REF!+#REF!,"")</f>
        <v/>
      </c>
      <c r="HND57" s="82" t="str">
        <f>IF(ISNUMBER(outYear),HND37+HND42+#REF!+#REF!,"")</f>
        <v/>
      </c>
      <c r="HNE57" s="82" t="str">
        <f>IF(ISNUMBER(outYear),HNE37+HNE42+#REF!+#REF!,"")</f>
        <v/>
      </c>
      <c r="HNF57" s="82" t="str">
        <f>IF(ISNUMBER(outYear),HNF37+HNF42+#REF!+#REF!,"")</f>
        <v/>
      </c>
      <c r="HNG57" s="82" t="str">
        <f>IF(ISNUMBER(outYear),HNG37+HNG42+#REF!+#REF!,"")</f>
        <v/>
      </c>
      <c r="HNH57" s="82" t="str">
        <f>IF(ISNUMBER(outYear),HNH37+HNH42+#REF!+#REF!,"")</f>
        <v/>
      </c>
      <c r="HNI57" s="82" t="str">
        <f>IF(ISNUMBER(outYear),HNI37+HNI42+#REF!+#REF!,"")</f>
        <v/>
      </c>
      <c r="HNJ57" s="82" t="str">
        <f>IF(ISNUMBER(outYear),HNJ37+HNJ42+#REF!+#REF!,"")</f>
        <v/>
      </c>
      <c r="HNK57" s="82" t="str">
        <f>IF(ISNUMBER(outYear),HNK37+HNK42+#REF!+#REF!,"")</f>
        <v/>
      </c>
      <c r="HNL57" s="82" t="str">
        <f>IF(ISNUMBER(outYear),HNL37+HNL42+#REF!+#REF!,"")</f>
        <v/>
      </c>
      <c r="HNM57" s="82" t="str">
        <f>IF(ISNUMBER(outYear),HNM37+HNM42+#REF!+#REF!,"")</f>
        <v/>
      </c>
      <c r="HNN57" s="82" t="str">
        <f>IF(ISNUMBER(outYear),HNN37+HNN42+#REF!+#REF!,"")</f>
        <v/>
      </c>
      <c r="HNO57" s="82" t="str">
        <f>IF(ISNUMBER(outYear),HNO37+HNO42+#REF!+#REF!,"")</f>
        <v/>
      </c>
      <c r="HNP57" s="82" t="str">
        <f>IF(ISNUMBER(outYear),HNP37+HNP42+#REF!+#REF!,"")</f>
        <v/>
      </c>
      <c r="HNQ57" s="82" t="str">
        <f>IF(ISNUMBER(outYear),HNQ37+HNQ42+#REF!+#REF!,"")</f>
        <v/>
      </c>
      <c r="HNR57" s="82" t="str">
        <f>IF(ISNUMBER(outYear),HNR37+HNR42+#REF!+#REF!,"")</f>
        <v/>
      </c>
      <c r="HNS57" s="82" t="str">
        <f>IF(ISNUMBER(outYear),HNS37+HNS42+#REF!+#REF!,"")</f>
        <v/>
      </c>
      <c r="HNT57" s="82" t="str">
        <f>IF(ISNUMBER(outYear),HNT37+HNT42+#REF!+#REF!,"")</f>
        <v/>
      </c>
      <c r="HNU57" s="82" t="str">
        <f>IF(ISNUMBER(outYear),HNU37+HNU42+#REF!+#REF!,"")</f>
        <v/>
      </c>
      <c r="HNV57" s="82" t="str">
        <f>IF(ISNUMBER(outYear),HNV37+HNV42+#REF!+#REF!,"")</f>
        <v/>
      </c>
      <c r="HNW57" s="82" t="str">
        <f>IF(ISNUMBER(outYear),HNW37+HNW42+#REF!+#REF!,"")</f>
        <v/>
      </c>
      <c r="HNX57" s="82" t="str">
        <f>IF(ISNUMBER(outYear),HNX37+HNX42+#REF!+#REF!,"")</f>
        <v/>
      </c>
      <c r="HNY57" s="82" t="str">
        <f>IF(ISNUMBER(outYear),HNY37+HNY42+#REF!+#REF!,"")</f>
        <v/>
      </c>
      <c r="HNZ57" s="82" t="str">
        <f>IF(ISNUMBER(outYear),HNZ37+HNZ42+#REF!+#REF!,"")</f>
        <v/>
      </c>
      <c r="HOA57" s="82" t="str">
        <f>IF(ISNUMBER(outYear),HOA37+HOA42+#REF!+#REF!,"")</f>
        <v/>
      </c>
      <c r="HOB57" s="82" t="str">
        <f>IF(ISNUMBER(outYear),HOB37+HOB42+#REF!+#REF!,"")</f>
        <v/>
      </c>
      <c r="HOC57" s="82" t="str">
        <f>IF(ISNUMBER(outYear),HOC37+HOC42+#REF!+#REF!,"")</f>
        <v/>
      </c>
      <c r="HOD57" s="82" t="str">
        <f>IF(ISNUMBER(outYear),HOD37+HOD42+#REF!+#REF!,"")</f>
        <v/>
      </c>
      <c r="HOE57" s="82" t="str">
        <f>IF(ISNUMBER(outYear),HOE37+HOE42+#REF!+#REF!,"")</f>
        <v/>
      </c>
      <c r="HOF57" s="82" t="str">
        <f>IF(ISNUMBER(outYear),HOF37+HOF42+#REF!+#REF!,"")</f>
        <v/>
      </c>
      <c r="HOG57" s="82" t="str">
        <f>IF(ISNUMBER(outYear),HOG37+HOG42+#REF!+#REF!,"")</f>
        <v/>
      </c>
      <c r="HOH57" s="82" t="str">
        <f>IF(ISNUMBER(outYear),HOH37+HOH42+#REF!+#REF!,"")</f>
        <v/>
      </c>
      <c r="HOI57" s="82" t="str">
        <f>IF(ISNUMBER(outYear),HOI37+HOI42+#REF!+#REF!,"")</f>
        <v/>
      </c>
      <c r="HOJ57" s="82" t="str">
        <f>IF(ISNUMBER(outYear),HOJ37+HOJ42+#REF!+#REF!,"")</f>
        <v/>
      </c>
      <c r="HOK57" s="82" t="str">
        <f>IF(ISNUMBER(outYear),HOK37+HOK42+#REF!+#REF!,"")</f>
        <v/>
      </c>
      <c r="HOL57" s="82" t="str">
        <f>IF(ISNUMBER(outYear),HOL37+HOL42+#REF!+#REF!,"")</f>
        <v/>
      </c>
      <c r="HOM57" s="82" t="str">
        <f>IF(ISNUMBER(outYear),HOM37+HOM42+#REF!+#REF!,"")</f>
        <v/>
      </c>
      <c r="HON57" s="82" t="str">
        <f>IF(ISNUMBER(outYear),HON37+HON42+#REF!+#REF!,"")</f>
        <v/>
      </c>
      <c r="HOO57" s="82" t="str">
        <f>IF(ISNUMBER(outYear),HOO37+HOO42+#REF!+#REF!,"")</f>
        <v/>
      </c>
      <c r="HOP57" s="82" t="str">
        <f>IF(ISNUMBER(outYear),HOP37+HOP42+#REF!+#REF!,"")</f>
        <v/>
      </c>
      <c r="HOQ57" s="82" t="str">
        <f>IF(ISNUMBER(outYear),HOQ37+HOQ42+#REF!+#REF!,"")</f>
        <v/>
      </c>
      <c r="HOR57" s="82" t="str">
        <f>IF(ISNUMBER(outYear),HOR37+HOR42+#REF!+#REF!,"")</f>
        <v/>
      </c>
      <c r="HOS57" s="82" t="str">
        <f>IF(ISNUMBER(outYear),HOS37+HOS42+#REF!+#REF!,"")</f>
        <v/>
      </c>
      <c r="HOT57" s="82" t="str">
        <f>IF(ISNUMBER(outYear),HOT37+HOT42+#REF!+#REF!,"")</f>
        <v/>
      </c>
      <c r="HOU57" s="82" t="str">
        <f>IF(ISNUMBER(outYear),HOU37+HOU42+#REF!+#REF!,"")</f>
        <v/>
      </c>
      <c r="HOV57" s="82" t="str">
        <f>IF(ISNUMBER(outYear),HOV37+HOV42+#REF!+#REF!,"")</f>
        <v/>
      </c>
      <c r="HOW57" s="82" t="str">
        <f>IF(ISNUMBER(outYear),HOW37+HOW42+#REF!+#REF!,"")</f>
        <v/>
      </c>
      <c r="HOX57" s="82" t="str">
        <f>IF(ISNUMBER(outYear),HOX37+HOX42+#REF!+#REF!,"")</f>
        <v/>
      </c>
      <c r="HOY57" s="82" t="str">
        <f>IF(ISNUMBER(outYear),HOY37+HOY42+#REF!+#REF!,"")</f>
        <v/>
      </c>
      <c r="HOZ57" s="82" t="str">
        <f>IF(ISNUMBER(outYear),HOZ37+HOZ42+#REF!+#REF!,"")</f>
        <v/>
      </c>
      <c r="HPA57" s="82" t="str">
        <f>IF(ISNUMBER(outYear),HPA37+HPA42+#REF!+#REF!,"")</f>
        <v/>
      </c>
      <c r="HPB57" s="82" t="str">
        <f>IF(ISNUMBER(outYear),HPB37+HPB42+#REF!+#REF!,"")</f>
        <v/>
      </c>
      <c r="HPC57" s="82" t="str">
        <f>IF(ISNUMBER(outYear),HPC37+HPC42+#REF!+#REF!,"")</f>
        <v/>
      </c>
      <c r="HPD57" s="82" t="str">
        <f>IF(ISNUMBER(outYear),HPD37+HPD42+#REF!+#REF!,"")</f>
        <v/>
      </c>
      <c r="HPE57" s="82" t="str">
        <f>IF(ISNUMBER(outYear),HPE37+HPE42+#REF!+#REF!,"")</f>
        <v/>
      </c>
      <c r="HPF57" s="82" t="str">
        <f>IF(ISNUMBER(outYear),HPF37+HPF42+#REF!+#REF!,"")</f>
        <v/>
      </c>
      <c r="HPG57" s="82" t="str">
        <f>IF(ISNUMBER(outYear),HPG37+HPG42+#REF!+#REF!,"")</f>
        <v/>
      </c>
      <c r="HPH57" s="82" t="str">
        <f>IF(ISNUMBER(outYear),HPH37+HPH42+#REF!+#REF!,"")</f>
        <v/>
      </c>
      <c r="HPI57" s="82" t="str">
        <f>IF(ISNUMBER(outYear),HPI37+HPI42+#REF!+#REF!,"")</f>
        <v/>
      </c>
      <c r="HPJ57" s="82" t="str">
        <f>IF(ISNUMBER(outYear),HPJ37+HPJ42+#REF!+#REF!,"")</f>
        <v/>
      </c>
      <c r="HPK57" s="82" t="str">
        <f>IF(ISNUMBER(outYear),HPK37+HPK42+#REF!+#REF!,"")</f>
        <v/>
      </c>
      <c r="HPL57" s="82" t="str">
        <f>IF(ISNUMBER(outYear),HPL37+HPL42+#REF!+#REF!,"")</f>
        <v/>
      </c>
      <c r="HPM57" s="82" t="str">
        <f>IF(ISNUMBER(outYear),HPM37+HPM42+#REF!+#REF!,"")</f>
        <v/>
      </c>
      <c r="HPN57" s="82" t="str">
        <f>IF(ISNUMBER(outYear),HPN37+HPN42+#REF!+#REF!,"")</f>
        <v/>
      </c>
      <c r="HPO57" s="82" t="str">
        <f>IF(ISNUMBER(outYear),HPO37+HPO42+#REF!+#REF!,"")</f>
        <v/>
      </c>
      <c r="HPP57" s="82" t="str">
        <f>IF(ISNUMBER(outYear),HPP37+HPP42+#REF!+#REF!,"")</f>
        <v/>
      </c>
      <c r="HPQ57" s="82" t="str">
        <f>IF(ISNUMBER(outYear),HPQ37+HPQ42+#REF!+#REF!,"")</f>
        <v/>
      </c>
      <c r="HPR57" s="82" t="str">
        <f>IF(ISNUMBER(outYear),HPR37+HPR42+#REF!+#REF!,"")</f>
        <v/>
      </c>
      <c r="HPS57" s="82" t="str">
        <f>IF(ISNUMBER(outYear),HPS37+HPS42+#REF!+#REF!,"")</f>
        <v/>
      </c>
      <c r="HPT57" s="82" t="str">
        <f>IF(ISNUMBER(outYear),HPT37+HPT42+#REF!+#REF!,"")</f>
        <v/>
      </c>
      <c r="HPU57" s="82" t="str">
        <f>IF(ISNUMBER(outYear),HPU37+HPU42+#REF!+#REF!,"")</f>
        <v/>
      </c>
      <c r="HPV57" s="82" t="str">
        <f>IF(ISNUMBER(outYear),HPV37+HPV42+#REF!+#REF!,"")</f>
        <v/>
      </c>
      <c r="HPW57" s="82" t="str">
        <f>IF(ISNUMBER(outYear),HPW37+HPW42+#REF!+#REF!,"")</f>
        <v/>
      </c>
      <c r="HPX57" s="82" t="str">
        <f>IF(ISNUMBER(outYear),HPX37+HPX42+#REF!+#REF!,"")</f>
        <v/>
      </c>
      <c r="HPY57" s="82" t="str">
        <f>IF(ISNUMBER(outYear),HPY37+HPY42+#REF!+#REF!,"")</f>
        <v/>
      </c>
      <c r="HPZ57" s="82" t="str">
        <f>IF(ISNUMBER(outYear),HPZ37+HPZ42+#REF!+#REF!,"")</f>
        <v/>
      </c>
      <c r="HQA57" s="82" t="str">
        <f>IF(ISNUMBER(outYear),HQA37+HQA42+#REF!+#REF!,"")</f>
        <v/>
      </c>
      <c r="HQB57" s="82" t="str">
        <f>IF(ISNUMBER(outYear),HQB37+HQB42+#REF!+#REF!,"")</f>
        <v/>
      </c>
      <c r="HQC57" s="82" t="str">
        <f>IF(ISNUMBER(outYear),HQC37+HQC42+#REF!+#REF!,"")</f>
        <v/>
      </c>
      <c r="HQD57" s="82" t="str">
        <f>IF(ISNUMBER(outYear),HQD37+HQD42+#REF!+#REF!,"")</f>
        <v/>
      </c>
      <c r="HQE57" s="82" t="str">
        <f>IF(ISNUMBER(outYear),HQE37+HQE42+#REF!+#REF!,"")</f>
        <v/>
      </c>
      <c r="HQF57" s="82" t="str">
        <f>IF(ISNUMBER(outYear),HQF37+HQF42+#REF!+#REF!,"")</f>
        <v/>
      </c>
      <c r="HQG57" s="82" t="str">
        <f>IF(ISNUMBER(outYear),HQG37+HQG42+#REF!+#REF!,"")</f>
        <v/>
      </c>
      <c r="HQH57" s="82" t="str">
        <f>IF(ISNUMBER(outYear),HQH37+HQH42+#REF!+#REF!,"")</f>
        <v/>
      </c>
      <c r="HQI57" s="82" t="str">
        <f>IF(ISNUMBER(outYear),HQI37+HQI42+#REF!+#REF!,"")</f>
        <v/>
      </c>
      <c r="HQJ57" s="82" t="str">
        <f>IF(ISNUMBER(outYear),HQJ37+HQJ42+#REF!+#REF!,"")</f>
        <v/>
      </c>
      <c r="HQK57" s="82" t="str">
        <f>IF(ISNUMBER(outYear),HQK37+HQK42+#REF!+#REF!,"")</f>
        <v/>
      </c>
      <c r="HQL57" s="82" t="str">
        <f>IF(ISNUMBER(outYear),HQL37+HQL42+#REF!+#REF!,"")</f>
        <v/>
      </c>
      <c r="HQM57" s="82" t="str">
        <f>IF(ISNUMBER(outYear),HQM37+HQM42+#REF!+#REF!,"")</f>
        <v/>
      </c>
      <c r="HQN57" s="82" t="str">
        <f>IF(ISNUMBER(outYear),HQN37+HQN42+#REF!+#REF!,"")</f>
        <v/>
      </c>
      <c r="HQO57" s="82" t="str">
        <f>IF(ISNUMBER(outYear),HQO37+HQO42+#REF!+#REF!,"")</f>
        <v/>
      </c>
      <c r="HQP57" s="82" t="str">
        <f>IF(ISNUMBER(outYear),HQP37+HQP42+#REF!+#REF!,"")</f>
        <v/>
      </c>
      <c r="HQQ57" s="82" t="str">
        <f>IF(ISNUMBER(outYear),HQQ37+HQQ42+#REF!+#REF!,"")</f>
        <v/>
      </c>
      <c r="HQR57" s="82" t="str">
        <f>IF(ISNUMBER(outYear),HQR37+HQR42+#REF!+#REF!,"")</f>
        <v/>
      </c>
      <c r="HQS57" s="82" t="str">
        <f>IF(ISNUMBER(outYear),HQS37+HQS42+#REF!+#REF!,"")</f>
        <v/>
      </c>
      <c r="HQT57" s="82" t="str">
        <f>IF(ISNUMBER(outYear),HQT37+HQT42+#REF!+#REF!,"")</f>
        <v/>
      </c>
      <c r="HQU57" s="82" t="str">
        <f>IF(ISNUMBER(outYear),HQU37+HQU42+#REF!+#REF!,"")</f>
        <v/>
      </c>
      <c r="HQV57" s="82" t="str">
        <f>IF(ISNUMBER(outYear),HQV37+HQV42+#REF!+#REF!,"")</f>
        <v/>
      </c>
      <c r="HQW57" s="82" t="str">
        <f>IF(ISNUMBER(outYear),HQW37+HQW42+#REF!+#REF!,"")</f>
        <v/>
      </c>
      <c r="HQX57" s="82" t="str">
        <f>IF(ISNUMBER(outYear),HQX37+HQX42+#REF!+#REF!,"")</f>
        <v/>
      </c>
      <c r="HQY57" s="82" t="str">
        <f>IF(ISNUMBER(outYear),HQY37+HQY42+#REF!+#REF!,"")</f>
        <v/>
      </c>
      <c r="HQZ57" s="82" t="str">
        <f>IF(ISNUMBER(outYear),HQZ37+HQZ42+#REF!+#REF!,"")</f>
        <v/>
      </c>
      <c r="HRA57" s="82" t="str">
        <f>IF(ISNUMBER(outYear),HRA37+HRA42+#REF!+#REF!,"")</f>
        <v/>
      </c>
      <c r="HRB57" s="82" t="str">
        <f>IF(ISNUMBER(outYear),HRB37+HRB42+#REF!+#REF!,"")</f>
        <v/>
      </c>
      <c r="HRC57" s="82" t="str">
        <f>IF(ISNUMBER(outYear),HRC37+HRC42+#REF!+#REF!,"")</f>
        <v/>
      </c>
      <c r="HRD57" s="82" t="str">
        <f>IF(ISNUMBER(outYear),HRD37+HRD42+#REF!+#REF!,"")</f>
        <v/>
      </c>
      <c r="HRE57" s="82" t="str">
        <f>IF(ISNUMBER(outYear),HRE37+HRE42+#REF!+#REF!,"")</f>
        <v/>
      </c>
      <c r="HRF57" s="82" t="str">
        <f>IF(ISNUMBER(outYear),HRF37+HRF42+#REF!+#REF!,"")</f>
        <v/>
      </c>
      <c r="HRG57" s="82" t="str">
        <f>IF(ISNUMBER(outYear),HRG37+HRG42+#REF!+#REF!,"")</f>
        <v/>
      </c>
      <c r="HRH57" s="82" t="str">
        <f>IF(ISNUMBER(outYear),HRH37+HRH42+#REF!+#REF!,"")</f>
        <v/>
      </c>
      <c r="HRI57" s="82" t="str">
        <f>IF(ISNUMBER(outYear),HRI37+HRI42+#REF!+#REF!,"")</f>
        <v/>
      </c>
      <c r="HRJ57" s="82" t="str">
        <f>IF(ISNUMBER(outYear),HRJ37+HRJ42+#REF!+#REF!,"")</f>
        <v/>
      </c>
      <c r="HRK57" s="82" t="str">
        <f>IF(ISNUMBER(outYear),HRK37+HRK42+#REF!+#REF!,"")</f>
        <v/>
      </c>
      <c r="HRL57" s="82" t="str">
        <f>IF(ISNUMBER(outYear),HRL37+HRL42+#REF!+#REF!,"")</f>
        <v/>
      </c>
      <c r="HRM57" s="82" t="str">
        <f>IF(ISNUMBER(outYear),HRM37+HRM42+#REF!+#REF!,"")</f>
        <v/>
      </c>
      <c r="HRN57" s="82" t="str">
        <f>IF(ISNUMBER(outYear),HRN37+HRN42+#REF!+#REF!,"")</f>
        <v/>
      </c>
      <c r="HRO57" s="82" t="str">
        <f>IF(ISNUMBER(outYear),HRO37+HRO42+#REF!+#REF!,"")</f>
        <v/>
      </c>
      <c r="HRP57" s="82" t="str">
        <f>IF(ISNUMBER(outYear),HRP37+HRP42+#REF!+#REF!,"")</f>
        <v/>
      </c>
      <c r="HRQ57" s="82" t="str">
        <f>IF(ISNUMBER(outYear),HRQ37+HRQ42+#REF!+#REF!,"")</f>
        <v/>
      </c>
      <c r="HRR57" s="82" t="str">
        <f>IF(ISNUMBER(outYear),HRR37+HRR42+#REF!+#REF!,"")</f>
        <v/>
      </c>
      <c r="HRS57" s="82" t="str">
        <f>IF(ISNUMBER(outYear),HRS37+HRS42+#REF!+#REF!,"")</f>
        <v/>
      </c>
      <c r="HRT57" s="82" t="str">
        <f>IF(ISNUMBER(outYear),HRT37+HRT42+#REF!+#REF!,"")</f>
        <v/>
      </c>
      <c r="HRU57" s="82" t="str">
        <f>IF(ISNUMBER(outYear),HRU37+HRU42+#REF!+#REF!,"")</f>
        <v/>
      </c>
      <c r="HRV57" s="82" t="str">
        <f>IF(ISNUMBER(outYear),HRV37+HRV42+#REF!+#REF!,"")</f>
        <v/>
      </c>
      <c r="HRW57" s="82" t="str">
        <f>IF(ISNUMBER(outYear),HRW37+HRW42+#REF!+#REF!,"")</f>
        <v/>
      </c>
      <c r="HRX57" s="82" t="str">
        <f>IF(ISNUMBER(outYear),HRX37+HRX42+#REF!+#REF!,"")</f>
        <v/>
      </c>
      <c r="HRY57" s="82" t="str">
        <f>IF(ISNUMBER(outYear),HRY37+HRY42+#REF!+#REF!,"")</f>
        <v/>
      </c>
      <c r="HRZ57" s="82" t="str">
        <f>IF(ISNUMBER(outYear),HRZ37+HRZ42+#REF!+#REF!,"")</f>
        <v/>
      </c>
      <c r="HSA57" s="82" t="str">
        <f>IF(ISNUMBER(outYear),HSA37+HSA42+#REF!+#REF!,"")</f>
        <v/>
      </c>
      <c r="HSB57" s="82" t="str">
        <f>IF(ISNUMBER(outYear),HSB37+HSB42+#REF!+#REF!,"")</f>
        <v/>
      </c>
      <c r="HSC57" s="82" t="str">
        <f>IF(ISNUMBER(outYear),HSC37+HSC42+#REF!+#REF!,"")</f>
        <v/>
      </c>
      <c r="HSD57" s="82" t="str">
        <f>IF(ISNUMBER(outYear),HSD37+HSD42+#REF!+#REF!,"")</f>
        <v/>
      </c>
      <c r="HSE57" s="82" t="str">
        <f>IF(ISNUMBER(outYear),HSE37+HSE42+#REF!+#REF!,"")</f>
        <v/>
      </c>
      <c r="HSF57" s="82" t="str">
        <f>IF(ISNUMBER(outYear),HSF37+HSF42+#REF!+#REF!,"")</f>
        <v/>
      </c>
      <c r="HSG57" s="82" t="str">
        <f>IF(ISNUMBER(outYear),HSG37+HSG42+#REF!+#REF!,"")</f>
        <v/>
      </c>
      <c r="HSH57" s="82" t="str">
        <f>IF(ISNUMBER(outYear),HSH37+HSH42+#REF!+#REF!,"")</f>
        <v/>
      </c>
      <c r="HSI57" s="82" t="str">
        <f>IF(ISNUMBER(outYear),HSI37+HSI42+#REF!+#REF!,"")</f>
        <v/>
      </c>
      <c r="HSJ57" s="82" t="str">
        <f>IF(ISNUMBER(outYear),HSJ37+HSJ42+#REF!+#REF!,"")</f>
        <v/>
      </c>
      <c r="HSK57" s="82" t="str">
        <f>IF(ISNUMBER(outYear),HSK37+HSK42+#REF!+#REF!,"")</f>
        <v/>
      </c>
      <c r="HSL57" s="82" t="str">
        <f>IF(ISNUMBER(outYear),HSL37+HSL42+#REF!+#REF!,"")</f>
        <v/>
      </c>
      <c r="HSM57" s="82" t="str">
        <f>IF(ISNUMBER(outYear),HSM37+HSM42+#REF!+#REF!,"")</f>
        <v/>
      </c>
      <c r="HSN57" s="82" t="str">
        <f>IF(ISNUMBER(outYear),HSN37+HSN42+#REF!+#REF!,"")</f>
        <v/>
      </c>
      <c r="HSO57" s="82" t="str">
        <f>IF(ISNUMBER(outYear),HSO37+HSO42+#REF!+#REF!,"")</f>
        <v/>
      </c>
      <c r="HSP57" s="82" t="str">
        <f>IF(ISNUMBER(outYear),HSP37+HSP42+#REF!+#REF!,"")</f>
        <v/>
      </c>
      <c r="HSQ57" s="82" t="str">
        <f>IF(ISNUMBER(outYear),HSQ37+HSQ42+#REF!+#REF!,"")</f>
        <v/>
      </c>
      <c r="HSR57" s="82" t="str">
        <f>IF(ISNUMBER(outYear),HSR37+HSR42+#REF!+#REF!,"")</f>
        <v/>
      </c>
      <c r="HSS57" s="82" t="str">
        <f>IF(ISNUMBER(outYear),HSS37+HSS42+#REF!+#REF!,"")</f>
        <v/>
      </c>
      <c r="HST57" s="82" t="str">
        <f>IF(ISNUMBER(outYear),HST37+HST42+#REF!+#REF!,"")</f>
        <v/>
      </c>
      <c r="HSU57" s="82" t="str">
        <f>IF(ISNUMBER(outYear),HSU37+HSU42+#REF!+#REF!,"")</f>
        <v/>
      </c>
      <c r="HSV57" s="82" t="str">
        <f>IF(ISNUMBER(outYear),HSV37+HSV42+#REF!+#REF!,"")</f>
        <v/>
      </c>
      <c r="HSW57" s="82" t="str">
        <f>IF(ISNUMBER(outYear),HSW37+HSW42+#REF!+#REF!,"")</f>
        <v/>
      </c>
      <c r="HSX57" s="82" t="str">
        <f>IF(ISNUMBER(outYear),HSX37+HSX42+#REF!+#REF!,"")</f>
        <v/>
      </c>
      <c r="HSY57" s="82" t="str">
        <f>IF(ISNUMBER(outYear),HSY37+HSY42+#REF!+#REF!,"")</f>
        <v/>
      </c>
      <c r="HSZ57" s="82" t="str">
        <f>IF(ISNUMBER(outYear),HSZ37+HSZ42+#REF!+#REF!,"")</f>
        <v/>
      </c>
      <c r="HTA57" s="82" t="str">
        <f>IF(ISNUMBER(outYear),HTA37+HTA42+#REF!+#REF!,"")</f>
        <v/>
      </c>
      <c r="HTB57" s="82" t="str">
        <f>IF(ISNUMBER(outYear),HTB37+HTB42+#REF!+#REF!,"")</f>
        <v/>
      </c>
      <c r="HTC57" s="82" t="str">
        <f>IF(ISNUMBER(outYear),HTC37+HTC42+#REF!+#REF!,"")</f>
        <v/>
      </c>
      <c r="HTD57" s="82" t="str">
        <f>IF(ISNUMBER(outYear),HTD37+HTD42+#REF!+#REF!,"")</f>
        <v/>
      </c>
      <c r="HTE57" s="82" t="str">
        <f>IF(ISNUMBER(outYear),HTE37+HTE42+#REF!+#REF!,"")</f>
        <v/>
      </c>
      <c r="HTF57" s="82" t="str">
        <f>IF(ISNUMBER(outYear),HTF37+HTF42+#REF!+#REF!,"")</f>
        <v/>
      </c>
      <c r="HTG57" s="82" t="str">
        <f>IF(ISNUMBER(outYear),HTG37+HTG42+#REF!+#REF!,"")</f>
        <v/>
      </c>
      <c r="HTH57" s="82" t="str">
        <f>IF(ISNUMBER(outYear),HTH37+HTH42+#REF!+#REF!,"")</f>
        <v/>
      </c>
      <c r="HTI57" s="82" t="str">
        <f>IF(ISNUMBER(outYear),HTI37+HTI42+#REF!+#REF!,"")</f>
        <v/>
      </c>
      <c r="HTJ57" s="82" t="str">
        <f>IF(ISNUMBER(outYear),HTJ37+HTJ42+#REF!+#REF!,"")</f>
        <v/>
      </c>
      <c r="HTK57" s="82" t="str">
        <f>IF(ISNUMBER(outYear),HTK37+HTK42+#REF!+#REF!,"")</f>
        <v/>
      </c>
      <c r="HTL57" s="82" t="str">
        <f>IF(ISNUMBER(outYear),HTL37+HTL42+#REF!+#REF!,"")</f>
        <v/>
      </c>
      <c r="HTM57" s="82" t="str">
        <f>IF(ISNUMBER(outYear),HTM37+HTM42+#REF!+#REF!,"")</f>
        <v/>
      </c>
      <c r="HTN57" s="82" t="str">
        <f>IF(ISNUMBER(outYear),HTN37+HTN42+#REF!+#REF!,"")</f>
        <v/>
      </c>
      <c r="HTO57" s="82" t="str">
        <f>IF(ISNUMBER(outYear),HTO37+HTO42+#REF!+#REF!,"")</f>
        <v/>
      </c>
      <c r="HTP57" s="82" t="str">
        <f>IF(ISNUMBER(outYear),HTP37+HTP42+#REF!+#REF!,"")</f>
        <v/>
      </c>
      <c r="HTQ57" s="82" t="str">
        <f>IF(ISNUMBER(outYear),HTQ37+HTQ42+#REF!+#REF!,"")</f>
        <v/>
      </c>
      <c r="HTR57" s="82" t="str">
        <f>IF(ISNUMBER(outYear),HTR37+HTR42+#REF!+#REF!,"")</f>
        <v/>
      </c>
      <c r="HTS57" s="82" t="str">
        <f>IF(ISNUMBER(outYear),HTS37+HTS42+#REF!+#REF!,"")</f>
        <v/>
      </c>
      <c r="HTT57" s="82" t="str">
        <f>IF(ISNUMBER(outYear),HTT37+HTT42+#REF!+#REF!,"")</f>
        <v/>
      </c>
      <c r="HTU57" s="82" t="str">
        <f>IF(ISNUMBER(outYear),HTU37+HTU42+#REF!+#REF!,"")</f>
        <v/>
      </c>
      <c r="HTV57" s="82" t="str">
        <f>IF(ISNUMBER(outYear),HTV37+HTV42+#REF!+#REF!,"")</f>
        <v/>
      </c>
      <c r="HTW57" s="82" t="str">
        <f>IF(ISNUMBER(outYear),HTW37+HTW42+#REF!+#REF!,"")</f>
        <v/>
      </c>
      <c r="HTX57" s="82" t="str">
        <f>IF(ISNUMBER(outYear),HTX37+HTX42+#REF!+#REF!,"")</f>
        <v/>
      </c>
      <c r="HTY57" s="82" t="str">
        <f>IF(ISNUMBER(outYear),HTY37+HTY42+#REF!+#REF!,"")</f>
        <v/>
      </c>
      <c r="HTZ57" s="82" t="str">
        <f>IF(ISNUMBER(outYear),HTZ37+HTZ42+#REF!+#REF!,"")</f>
        <v/>
      </c>
      <c r="HUA57" s="82" t="str">
        <f>IF(ISNUMBER(outYear),HUA37+HUA42+#REF!+#REF!,"")</f>
        <v/>
      </c>
      <c r="HUB57" s="82" t="str">
        <f>IF(ISNUMBER(outYear),HUB37+HUB42+#REF!+#REF!,"")</f>
        <v/>
      </c>
      <c r="HUC57" s="82" t="str">
        <f>IF(ISNUMBER(outYear),HUC37+HUC42+#REF!+#REF!,"")</f>
        <v/>
      </c>
      <c r="HUD57" s="82" t="str">
        <f>IF(ISNUMBER(outYear),HUD37+HUD42+#REF!+#REF!,"")</f>
        <v/>
      </c>
      <c r="HUE57" s="82" t="str">
        <f>IF(ISNUMBER(outYear),HUE37+HUE42+#REF!+#REF!,"")</f>
        <v/>
      </c>
      <c r="HUF57" s="82" t="str">
        <f>IF(ISNUMBER(outYear),HUF37+HUF42+#REF!+#REF!,"")</f>
        <v/>
      </c>
      <c r="HUG57" s="82" t="str">
        <f>IF(ISNUMBER(outYear),HUG37+HUG42+#REF!+#REF!,"")</f>
        <v/>
      </c>
      <c r="HUH57" s="82" t="str">
        <f>IF(ISNUMBER(outYear),HUH37+HUH42+#REF!+#REF!,"")</f>
        <v/>
      </c>
      <c r="HUI57" s="82" t="str">
        <f>IF(ISNUMBER(outYear),HUI37+HUI42+#REF!+#REF!,"")</f>
        <v/>
      </c>
      <c r="HUJ57" s="82" t="str">
        <f>IF(ISNUMBER(outYear),HUJ37+HUJ42+#REF!+#REF!,"")</f>
        <v/>
      </c>
      <c r="HUK57" s="82" t="str">
        <f>IF(ISNUMBER(outYear),HUK37+HUK42+#REF!+#REF!,"")</f>
        <v/>
      </c>
      <c r="HUL57" s="82" t="str">
        <f>IF(ISNUMBER(outYear),HUL37+HUL42+#REF!+#REF!,"")</f>
        <v/>
      </c>
      <c r="HUM57" s="82" t="str">
        <f>IF(ISNUMBER(outYear),HUM37+HUM42+#REF!+#REF!,"")</f>
        <v/>
      </c>
      <c r="HUN57" s="82" t="str">
        <f>IF(ISNUMBER(outYear),HUN37+HUN42+#REF!+#REF!,"")</f>
        <v/>
      </c>
      <c r="HUO57" s="82" t="str">
        <f>IF(ISNUMBER(outYear),HUO37+HUO42+#REF!+#REF!,"")</f>
        <v/>
      </c>
      <c r="HUP57" s="82" t="str">
        <f>IF(ISNUMBER(outYear),HUP37+HUP42+#REF!+#REF!,"")</f>
        <v/>
      </c>
      <c r="HUQ57" s="82" t="str">
        <f>IF(ISNUMBER(outYear),HUQ37+HUQ42+#REF!+#REF!,"")</f>
        <v/>
      </c>
      <c r="HUR57" s="82" t="str">
        <f>IF(ISNUMBER(outYear),HUR37+HUR42+#REF!+#REF!,"")</f>
        <v/>
      </c>
      <c r="HUS57" s="82" t="str">
        <f>IF(ISNUMBER(outYear),HUS37+HUS42+#REF!+#REF!,"")</f>
        <v/>
      </c>
      <c r="HUT57" s="82" t="str">
        <f>IF(ISNUMBER(outYear),HUT37+HUT42+#REF!+#REF!,"")</f>
        <v/>
      </c>
      <c r="HUU57" s="82" t="str">
        <f>IF(ISNUMBER(outYear),HUU37+HUU42+#REF!+#REF!,"")</f>
        <v/>
      </c>
      <c r="HUV57" s="82" t="str">
        <f>IF(ISNUMBER(outYear),HUV37+HUV42+#REF!+#REF!,"")</f>
        <v/>
      </c>
      <c r="HUW57" s="82" t="str">
        <f>IF(ISNUMBER(outYear),HUW37+HUW42+#REF!+#REF!,"")</f>
        <v/>
      </c>
      <c r="HUX57" s="82" t="str">
        <f>IF(ISNUMBER(outYear),HUX37+HUX42+#REF!+#REF!,"")</f>
        <v/>
      </c>
      <c r="HUY57" s="82" t="str">
        <f>IF(ISNUMBER(outYear),HUY37+HUY42+#REF!+#REF!,"")</f>
        <v/>
      </c>
      <c r="HUZ57" s="82" t="str">
        <f>IF(ISNUMBER(outYear),HUZ37+HUZ42+#REF!+#REF!,"")</f>
        <v/>
      </c>
      <c r="HVA57" s="82" t="str">
        <f>IF(ISNUMBER(outYear),HVA37+HVA42+#REF!+#REF!,"")</f>
        <v/>
      </c>
      <c r="HVB57" s="82" t="str">
        <f>IF(ISNUMBER(outYear),HVB37+HVB42+#REF!+#REF!,"")</f>
        <v/>
      </c>
      <c r="HVC57" s="82" t="str">
        <f>IF(ISNUMBER(outYear),HVC37+HVC42+#REF!+#REF!,"")</f>
        <v/>
      </c>
      <c r="HVD57" s="82" t="str">
        <f>IF(ISNUMBER(outYear),HVD37+HVD42+#REF!+#REF!,"")</f>
        <v/>
      </c>
      <c r="HVE57" s="82" t="str">
        <f>IF(ISNUMBER(outYear),HVE37+HVE42+#REF!+#REF!,"")</f>
        <v/>
      </c>
      <c r="HVF57" s="82" t="str">
        <f>IF(ISNUMBER(outYear),HVF37+HVF42+#REF!+#REF!,"")</f>
        <v/>
      </c>
      <c r="HVG57" s="82" t="str">
        <f>IF(ISNUMBER(outYear),HVG37+HVG42+#REF!+#REF!,"")</f>
        <v/>
      </c>
      <c r="HVH57" s="82" t="str">
        <f>IF(ISNUMBER(outYear),HVH37+HVH42+#REF!+#REF!,"")</f>
        <v/>
      </c>
      <c r="HVI57" s="82" t="str">
        <f>IF(ISNUMBER(outYear),HVI37+HVI42+#REF!+#REF!,"")</f>
        <v/>
      </c>
      <c r="HVJ57" s="82" t="str">
        <f>IF(ISNUMBER(outYear),HVJ37+HVJ42+#REF!+#REF!,"")</f>
        <v/>
      </c>
      <c r="HVK57" s="82" t="str">
        <f>IF(ISNUMBER(outYear),HVK37+HVK42+#REF!+#REF!,"")</f>
        <v/>
      </c>
      <c r="HVL57" s="82" t="str">
        <f>IF(ISNUMBER(outYear),HVL37+HVL42+#REF!+#REF!,"")</f>
        <v/>
      </c>
      <c r="HVM57" s="82" t="str">
        <f>IF(ISNUMBER(outYear),HVM37+HVM42+#REF!+#REF!,"")</f>
        <v/>
      </c>
      <c r="HVN57" s="82" t="str">
        <f>IF(ISNUMBER(outYear),HVN37+HVN42+#REF!+#REF!,"")</f>
        <v/>
      </c>
      <c r="HVO57" s="82" t="str">
        <f>IF(ISNUMBER(outYear),HVO37+HVO42+#REF!+#REF!,"")</f>
        <v/>
      </c>
      <c r="HVP57" s="82" t="str">
        <f>IF(ISNUMBER(outYear),HVP37+HVP42+#REF!+#REF!,"")</f>
        <v/>
      </c>
      <c r="HVQ57" s="82" t="str">
        <f>IF(ISNUMBER(outYear),HVQ37+HVQ42+#REF!+#REF!,"")</f>
        <v/>
      </c>
      <c r="HVR57" s="82" t="str">
        <f>IF(ISNUMBER(outYear),HVR37+HVR42+#REF!+#REF!,"")</f>
        <v/>
      </c>
      <c r="HVS57" s="82" t="str">
        <f>IF(ISNUMBER(outYear),HVS37+HVS42+#REF!+#REF!,"")</f>
        <v/>
      </c>
      <c r="HVT57" s="82" t="str">
        <f>IF(ISNUMBER(outYear),HVT37+HVT42+#REF!+#REF!,"")</f>
        <v/>
      </c>
      <c r="HVU57" s="82" t="str">
        <f>IF(ISNUMBER(outYear),HVU37+HVU42+#REF!+#REF!,"")</f>
        <v/>
      </c>
      <c r="HVV57" s="82" t="str">
        <f>IF(ISNUMBER(outYear),HVV37+HVV42+#REF!+#REF!,"")</f>
        <v/>
      </c>
      <c r="HVW57" s="82" t="str">
        <f>IF(ISNUMBER(outYear),HVW37+HVW42+#REF!+#REF!,"")</f>
        <v/>
      </c>
      <c r="HVX57" s="82" t="str">
        <f>IF(ISNUMBER(outYear),HVX37+HVX42+#REF!+#REF!,"")</f>
        <v/>
      </c>
      <c r="HVY57" s="82" t="str">
        <f>IF(ISNUMBER(outYear),HVY37+HVY42+#REF!+#REF!,"")</f>
        <v/>
      </c>
      <c r="HVZ57" s="82" t="str">
        <f>IF(ISNUMBER(outYear),HVZ37+HVZ42+#REF!+#REF!,"")</f>
        <v/>
      </c>
      <c r="HWA57" s="82" t="str">
        <f>IF(ISNUMBER(outYear),HWA37+HWA42+#REF!+#REF!,"")</f>
        <v/>
      </c>
      <c r="HWB57" s="82" t="str">
        <f>IF(ISNUMBER(outYear),HWB37+HWB42+#REF!+#REF!,"")</f>
        <v/>
      </c>
      <c r="HWC57" s="82" t="str">
        <f>IF(ISNUMBER(outYear),HWC37+HWC42+#REF!+#REF!,"")</f>
        <v/>
      </c>
      <c r="HWD57" s="82" t="str">
        <f>IF(ISNUMBER(outYear),HWD37+HWD42+#REF!+#REF!,"")</f>
        <v/>
      </c>
      <c r="HWE57" s="82" t="str">
        <f>IF(ISNUMBER(outYear),HWE37+HWE42+#REF!+#REF!,"")</f>
        <v/>
      </c>
      <c r="HWF57" s="82" t="str">
        <f>IF(ISNUMBER(outYear),HWF37+HWF42+#REF!+#REF!,"")</f>
        <v/>
      </c>
      <c r="HWG57" s="82" t="str">
        <f>IF(ISNUMBER(outYear),HWG37+HWG42+#REF!+#REF!,"")</f>
        <v/>
      </c>
      <c r="HWH57" s="82" t="str">
        <f>IF(ISNUMBER(outYear),HWH37+HWH42+#REF!+#REF!,"")</f>
        <v/>
      </c>
      <c r="HWI57" s="82" t="str">
        <f>IF(ISNUMBER(outYear),HWI37+HWI42+#REF!+#REF!,"")</f>
        <v/>
      </c>
      <c r="HWJ57" s="82" t="str">
        <f>IF(ISNUMBER(outYear),HWJ37+HWJ42+#REF!+#REF!,"")</f>
        <v/>
      </c>
      <c r="HWK57" s="82" t="str">
        <f>IF(ISNUMBER(outYear),HWK37+HWK42+#REF!+#REF!,"")</f>
        <v/>
      </c>
      <c r="HWL57" s="82" t="str">
        <f>IF(ISNUMBER(outYear),HWL37+HWL42+#REF!+#REF!,"")</f>
        <v/>
      </c>
      <c r="HWM57" s="82" t="str">
        <f>IF(ISNUMBER(outYear),HWM37+HWM42+#REF!+#REF!,"")</f>
        <v/>
      </c>
      <c r="HWN57" s="82" t="str">
        <f>IF(ISNUMBER(outYear),HWN37+HWN42+#REF!+#REF!,"")</f>
        <v/>
      </c>
      <c r="HWO57" s="82" t="str">
        <f>IF(ISNUMBER(outYear),HWO37+HWO42+#REF!+#REF!,"")</f>
        <v/>
      </c>
      <c r="HWP57" s="82" t="str">
        <f>IF(ISNUMBER(outYear),HWP37+HWP42+#REF!+#REF!,"")</f>
        <v/>
      </c>
      <c r="HWQ57" s="82" t="str">
        <f>IF(ISNUMBER(outYear),HWQ37+HWQ42+#REF!+#REF!,"")</f>
        <v/>
      </c>
      <c r="HWR57" s="82" t="str">
        <f>IF(ISNUMBER(outYear),HWR37+HWR42+#REF!+#REF!,"")</f>
        <v/>
      </c>
      <c r="HWS57" s="82" t="str">
        <f>IF(ISNUMBER(outYear),HWS37+HWS42+#REF!+#REF!,"")</f>
        <v/>
      </c>
      <c r="HWT57" s="82" t="str">
        <f>IF(ISNUMBER(outYear),HWT37+HWT42+#REF!+#REF!,"")</f>
        <v/>
      </c>
      <c r="HWU57" s="82" t="str">
        <f>IF(ISNUMBER(outYear),HWU37+HWU42+#REF!+#REF!,"")</f>
        <v/>
      </c>
      <c r="HWV57" s="82" t="str">
        <f>IF(ISNUMBER(outYear),HWV37+HWV42+#REF!+#REF!,"")</f>
        <v/>
      </c>
      <c r="HWW57" s="82" t="str">
        <f>IF(ISNUMBER(outYear),HWW37+HWW42+#REF!+#REF!,"")</f>
        <v/>
      </c>
      <c r="HWX57" s="82" t="str">
        <f>IF(ISNUMBER(outYear),HWX37+HWX42+#REF!+#REF!,"")</f>
        <v/>
      </c>
      <c r="HWY57" s="82" t="str">
        <f>IF(ISNUMBER(outYear),HWY37+HWY42+#REF!+#REF!,"")</f>
        <v/>
      </c>
      <c r="HWZ57" s="82" t="str">
        <f>IF(ISNUMBER(outYear),HWZ37+HWZ42+#REF!+#REF!,"")</f>
        <v/>
      </c>
      <c r="HXA57" s="82" t="str">
        <f>IF(ISNUMBER(outYear),HXA37+HXA42+#REF!+#REF!,"")</f>
        <v/>
      </c>
      <c r="HXB57" s="82" t="str">
        <f>IF(ISNUMBER(outYear),HXB37+HXB42+#REF!+#REF!,"")</f>
        <v/>
      </c>
      <c r="HXC57" s="82" t="str">
        <f>IF(ISNUMBER(outYear),HXC37+HXC42+#REF!+#REF!,"")</f>
        <v/>
      </c>
      <c r="HXD57" s="82" t="str">
        <f>IF(ISNUMBER(outYear),HXD37+HXD42+#REF!+#REF!,"")</f>
        <v/>
      </c>
      <c r="HXE57" s="82" t="str">
        <f>IF(ISNUMBER(outYear),HXE37+HXE42+#REF!+#REF!,"")</f>
        <v/>
      </c>
      <c r="HXF57" s="82" t="str">
        <f>IF(ISNUMBER(outYear),HXF37+HXF42+#REF!+#REF!,"")</f>
        <v/>
      </c>
      <c r="HXG57" s="82" t="str">
        <f>IF(ISNUMBER(outYear),HXG37+HXG42+#REF!+#REF!,"")</f>
        <v/>
      </c>
      <c r="HXH57" s="82" t="str">
        <f>IF(ISNUMBER(outYear),HXH37+HXH42+#REF!+#REF!,"")</f>
        <v/>
      </c>
      <c r="HXI57" s="82" t="str">
        <f>IF(ISNUMBER(outYear),HXI37+HXI42+#REF!+#REF!,"")</f>
        <v/>
      </c>
      <c r="HXJ57" s="82" t="str">
        <f>IF(ISNUMBER(outYear),HXJ37+HXJ42+#REF!+#REF!,"")</f>
        <v/>
      </c>
      <c r="HXK57" s="82" t="str">
        <f>IF(ISNUMBER(outYear),HXK37+HXK42+#REF!+#REF!,"")</f>
        <v/>
      </c>
      <c r="HXL57" s="82" t="str">
        <f>IF(ISNUMBER(outYear),HXL37+HXL42+#REF!+#REF!,"")</f>
        <v/>
      </c>
      <c r="HXM57" s="82" t="str">
        <f>IF(ISNUMBER(outYear),HXM37+HXM42+#REF!+#REF!,"")</f>
        <v/>
      </c>
      <c r="HXN57" s="82" t="str">
        <f>IF(ISNUMBER(outYear),HXN37+HXN42+#REF!+#REF!,"")</f>
        <v/>
      </c>
      <c r="HXO57" s="82" t="str">
        <f>IF(ISNUMBER(outYear),HXO37+HXO42+#REF!+#REF!,"")</f>
        <v/>
      </c>
      <c r="HXP57" s="82" t="str">
        <f>IF(ISNUMBER(outYear),HXP37+HXP42+#REF!+#REF!,"")</f>
        <v/>
      </c>
      <c r="HXQ57" s="82" t="str">
        <f>IF(ISNUMBER(outYear),HXQ37+HXQ42+#REF!+#REF!,"")</f>
        <v/>
      </c>
      <c r="HXR57" s="82" t="str">
        <f>IF(ISNUMBER(outYear),HXR37+HXR42+#REF!+#REF!,"")</f>
        <v/>
      </c>
      <c r="HXS57" s="82" t="str">
        <f>IF(ISNUMBER(outYear),HXS37+HXS42+#REF!+#REF!,"")</f>
        <v/>
      </c>
      <c r="HXT57" s="82" t="str">
        <f>IF(ISNUMBER(outYear),HXT37+HXT42+#REF!+#REF!,"")</f>
        <v/>
      </c>
      <c r="HXU57" s="82" t="str">
        <f>IF(ISNUMBER(outYear),HXU37+HXU42+#REF!+#REF!,"")</f>
        <v/>
      </c>
      <c r="HXV57" s="82" t="str">
        <f>IF(ISNUMBER(outYear),HXV37+HXV42+#REF!+#REF!,"")</f>
        <v/>
      </c>
      <c r="HXW57" s="82" t="str">
        <f>IF(ISNUMBER(outYear),HXW37+HXW42+#REF!+#REF!,"")</f>
        <v/>
      </c>
      <c r="HXX57" s="82" t="str">
        <f>IF(ISNUMBER(outYear),HXX37+HXX42+#REF!+#REF!,"")</f>
        <v/>
      </c>
      <c r="HXY57" s="82" t="str">
        <f>IF(ISNUMBER(outYear),HXY37+HXY42+#REF!+#REF!,"")</f>
        <v/>
      </c>
      <c r="HXZ57" s="82" t="str">
        <f>IF(ISNUMBER(outYear),HXZ37+HXZ42+#REF!+#REF!,"")</f>
        <v/>
      </c>
      <c r="HYA57" s="82" t="str">
        <f>IF(ISNUMBER(outYear),HYA37+HYA42+#REF!+#REF!,"")</f>
        <v/>
      </c>
      <c r="HYB57" s="82" t="str">
        <f>IF(ISNUMBER(outYear),HYB37+HYB42+#REF!+#REF!,"")</f>
        <v/>
      </c>
      <c r="HYC57" s="82" t="str">
        <f>IF(ISNUMBER(outYear),HYC37+HYC42+#REF!+#REF!,"")</f>
        <v/>
      </c>
      <c r="HYD57" s="82" t="str">
        <f>IF(ISNUMBER(outYear),HYD37+HYD42+#REF!+#REF!,"")</f>
        <v/>
      </c>
      <c r="HYE57" s="82" t="str">
        <f>IF(ISNUMBER(outYear),HYE37+HYE42+#REF!+#REF!,"")</f>
        <v/>
      </c>
      <c r="HYF57" s="82" t="str">
        <f>IF(ISNUMBER(outYear),HYF37+HYF42+#REF!+#REF!,"")</f>
        <v/>
      </c>
      <c r="HYG57" s="82" t="str">
        <f>IF(ISNUMBER(outYear),HYG37+HYG42+#REF!+#REF!,"")</f>
        <v/>
      </c>
      <c r="HYH57" s="82" t="str">
        <f>IF(ISNUMBER(outYear),HYH37+HYH42+#REF!+#REF!,"")</f>
        <v/>
      </c>
      <c r="HYI57" s="82" t="str">
        <f>IF(ISNUMBER(outYear),HYI37+HYI42+#REF!+#REF!,"")</f>
        <v/>
      </c>
      <c r="HYJ57" s="82" t="str">
        <f>IF(ISNUMBER(outYear),HYJ37+HYJ42+#REF!+#REF!,"")</f>
        <v/>
      </c>
      <c r="HYK57" s="82" t="str">
        <f>IF(ISNUMBER(outYear),HYK37+HYK42+#REF!+#REF!,"")</f>
        <v/>
      </c>
      <c r="HYL57" s="82" t="str">
        <f>IF(ISNUMBER(outYear),HYL37+HYL42+#REF!+#REF!,"")</f>
        <v/>
      </c>
      <c r="HYM57" s="82" t="str">
        <f>IF(ISNUMBER(outYear),HYM37+HYM42+#REF!+#REF!,"")</f>
        <v/>
      </c>
      <c r="HYN57" s="82" t="str">
        <f>IF(ISNUMBER(outYear),HYN37+HYN42+#REF!+#REF!,"")</f>
        <v/>
      </c>
      <c r="HYO57" s="82" t="str">
        <f>IF(ISNUMBER(outYear),HYO37+HYO42+#REF!+#REF!,"")</f>
        <v/>
      </c>
      <c r="HYP57" s="82" t="str">
        <f>IF(ISNUMBER(outYear),HYP37+HYP42+#REF!+#REF!,"")</f>
        <v/>
      </c>
      <c r="HYQ57" s="82" t="str">
        <f>IF(ISNUMBER(outYear),HYQ37+HYQ42+#REF!+#REF!,"")</f>
        <v/>
      </c>
      <c r="HYR57" s="82" t="str">
        <f>IF(ISNUMBER(outYear),HYR37+HYR42+#REF!+#REF!,"")</f>
        <v/>
      </c>
      <c r="HYS57" s="82" t="str">
        <f>IF(ISNUMBER(outYear),HYS37+HYS42+#REF!+#REF!,"")</f>
        <v/>
      </c>
      <c r="HYT57" s="82" t="str">
        <f>IF(ISNUMBER(outYear),HYT37+HYT42+#REF!+#REF!,"")</f>
        <v/>
      </c>
      <c r="HYU57" s="82" t="str">
        <f>IF(ISNUMBER(outYear),HYU37+HYU42+#REF!+#REF!,"")</f>
        <v/>
      </c>
      <c r="HYV57" s="82" t="str">
        <f>IF(ISNUMBER(outYear),HYV37+HYV42+#REF!+#REF!,"")</f>
        <v/>
      </c>
      <c r="HYW57" s="82" t="str">
        <f>IF(ISNUMBER(outYear),HYW37+HYW42+#REF!+#REF!,"")</f>
        <v/>
      </c>
      <c r="HYX57" s="82" t="str">
        <f>IF(ISNUMBER(outYear),HYX37+HYX42+#REF!+#REF!,"")</f>
        <v/>
      </c>
      <c r="HYY57" s="82" t="str">
        <f>IF(ISNUMBER(outYear),HYY37+HYY42+#REF!+#REF!,"")</f>
        <v/>
      </c>
      <c r="HYZ57" s="82" t="str">
        <f>IF(ISNUMBER(outYear),HYZ37+HYZ42+#REF!+#REF!,"")</f>
        <v/>
      </c>
      <c r="HZA57" s="82" t="str">
        <f>IF(ISNUMBER(outYear),HZA37+HZA42+#REF!+#REF!,"")</f>
        <v/>
      </c>
      <c r="HZB57" s="82" t="str">
        <f>IF(ISNUMBER(outYear),HZB37+HZB42+#REF!+#REF!,"")</f>
        <v/>
      </c>
      <c r="HZC57" s="82" t="str">
        <f>IF(ISNUMBER(outYear),HZC37+HZC42+#REF!+#REF!,"")</f>
        <v/>
      </c>
      <c r="HZD57" s="82" t="str">
        <f>IF(ISNUMBER(outYear),HZD37+HZD42+#REF!+#REF!,"")</f>
        <v/>
      </c>
      <c r="HZE57" s="82" t="str">
        <f>IF(ISNUMBER(outYear),HZE37+HZE42+#REF!+#REF!,"")</f>
        <v/>
      </c>
      <c r="HZF57" s="82" t="str">
        <f>IF(ISNUMBER(outYear),HZF37+HZF42+#REF!+#REF!,"")</f>
        <v/>
      </c>
      <c r="HZG57" s="82" t="str">
        <f>IF(ISNUMBER(outYear),HZG37+HZG42+#REF!+#REF!,"")</f>
        <v/>
      </c>
      <c r="HZH57" s="82" t="str">
        <f>IF(ISNUMBER(outYear),HZH37+HZH42+#REF!+#REF!,"")</f>
        <v/>
      </c>
      <c r="HZI57" s="82" t="str">
        <f>IF(ISNUMBER(outYear),HZI37+HZI42+#REF!+#REF!,"")</f>
        <v/>
      </c>
      <c r="HZJ57" s="82" t="str">
        <f>IF(ISNUMBER(outYear),HZJ37+HZJ42+#REF!+#REF!,"")</f>
        <v/>
      </c>
      <c r="HZK57" s="82" t="str">
        <f>IF(ISNUMBER(outYear),HZK37+HZK42+#REF!+#REF!,"")</f>
        <v/>
      </c>
      <c r="HZL57" s="82" t="str">
        <f>IF(ISNUMBER(outYear),HZL37+HZL42+#REF!+#REF!,"")</f>
        <v/>
      </c>
      <c r="HZM57" s="82" t="str">
        <f>IF(ISNUMBER(outYear),HZM37+HZM42+#REF!+#REF!,"")</f>
        <v/>
      </c>
      <c r="HZN57" s="82" t="str">
        <f>IF(ISNUMBER(outYear),HZN37+HZN42+#REF!+#REF!,"")</f>
        <v/>
      </c>
      <c r="HZO57" s="82" t="str">
        <f>IF(ISNUMBER(outYear),HZO37+HZO42+#REF!+#REF!,"")</f>
        <v/>
      </c>
      <c r="HZP57" s="82" t="str">
        <f>IF(ISNUMBER(outYear),HZP37+HZP42+#REF!+#REF!,"")</f>
        <v/>
      </c>
      <c r="HZQ57" s="82" t="str">
        <f>IF(ISNUMBER(outYear),HZQ37+HZQ42+#REF!+#REF!,"")</f>
        <v/>
      </c>
      <c r="HZR57" s="82" t="str">
        <f>IF(ISNUMBER(outYear),HZR37+HZR42+#REF!+#REF!,"")</f>
        <v/>
      </c>
      <c r="HZS57" s="82" t="str">
        <f>IF(ISNUMBER(outYear),HZS37+HZS42+#REF!+#REF!,"")</f>
        <v/>
      </c>
      <c r="HZT57" s="82" t="str">
        <f>IF(ISNUMBER(outYear),HZT37+HZT42+#REF!+#REF!,"")</f>
        <v/>
      </c>
      <c r="HZU57" s="82" t="str">
        <f>IF(ISNUMBER(outYear),HZU37+HZU42+#REF!+#REF!,"")</f>
        <v/>
      </c>
      <c r="HZV57" s="82" t="str">
        <f>IF(ISNUMBER(outYear),HZV37+HZV42+#REF!+#REF!,"")</f>
        <v/>
      </c>
      <c r="HZW57" s="82" t="str">
        <f>IF(ISNUMBER(outYear),HZW37+HZW42+#REF!+#REF!,"")</f>
        <v/>
      </c>
      <c r="HZX57" s="82" t="str">
        <f>IF(ISNUMBER(outYear),HZX37+HZX42+#REF!+#REF!,"")</f>
        <v/>
      </c>
      <c r="HZY57" s="82" t="str">
        <f>IF(ISNUMBER(outYear),HZY37+HZY42+#REF!+#REF!,"")</f>
        <v/>
      </c>
      <c r="HZZ57" s="82" t="str">
        <f>IF(ISNUMBER(outYear),HZZ37+HZZ42+#REF!+#REF!,"")</f>
        <v/>
      </c>
      <c r="IAA57" s="82" t="str">
        <f>IF(ISNUMBER(outYear),IAA37+IAA42+#REF!+#REF!,"")</f>
        <v/>
      </c>
      <c r="IAB57" s="82" t="str">
        <f>IF(ISNUMBER(outYear),IAB37+IAB42+#REF!+#REF!,"")</f>
        <v/>
      </c>
      <c r="IAC57" s="82" t="str">
        <f>IF(ISNUMBER(outYear),IAC37+IAC42+#REF!+#REF!,"")</f>
        <v/>
      </c>
      <c r="IAD57" s="82" t="str">
        <f>IF(ISNUMBER(outYear),IAD37+IAD42+#REF!+#REF!,"")</f>
        <v/>
      </c>
      <c r="IAE57" s="82" t="str">
        <f>IF(ISNUMBER(outYear),IAE37+IAE42+#REF!+#REF!,"")</f>
        <v/>
      </c>
      <c r="IAF57" s="82" t="str">
        <f>IF(ISNUMBER(outYear),IAF37+IAF42+#REF!+#REF!,"")</f>
        <v/>
      </c>
      <c r="IAG57" s="82" t="str">
        <f>IF(ISNUMBER(outYear),IAG37+IAG42+#REF!+#REF!,"")</f>
        <v/>
      </c>
      <c r="IAH57" s="82" t="str">
        <f>IF(ISNUMBER(outYear),IAH37+IAH42+#REF!+#REF!,"")</f>
        <v/>
      </c>
      <c r="IAI57" s="82" t="str">
        <f>IF(ISNUMBER(outYear),IAI37+IAI42+#REF!+#REF!,"")</f>
        <v/>
      </c>
      <c r="IAJ57" s="82" t="str">
        <f>IF(ISNUMBER(outYear),IAJ37+IAJ42+#REF!+#REF!,"")</f>
        <v/>
      </c>
      <c r="IAK57" s="82" t="str">
        <f>IF(ISNUMBER(outYear),IAK37+IAK42+#REF!+#REF!,"")</f>
        <v/>
      </c>
      <c r="IAL57" s="82" t="str">
        <f>IF(ISNUMBER(outYear),IAL37+IAL42+#REF!+#REF!,"")</f>
        <v/>
      </c>
      <c r="IAM57" s="82" t="str">
        <f>IF(ISNUMBER(outYear),IAM37+IAM42+#REF!+#REF!,"")</f>
        <v/>
      </c>
      <c r="IAN57" s="82" t="str">
        <f>IF(ISNUMBER(outYear),IAN37+IAN42+#REF!+#REF!,"")</f>
        <v/>
      </c>
      <c r="IAO57" s="82" t="str">
        <f>IF(ISNUMBER(outYear),IAO37+IAO42+#REF!+#REF!,"")</f>
        <v/>
      </c>
      <c r="IAP57" s="82" t="str">
        <f>IF(ISNUMBER(outYear),IAP37+IAP42+#REF!+#REF!,"")</f>
        <v/>
      </c>
      <c r="IAQ57" s="82" t="str">
        <f>IF(ISNUMBER(outYear),IAQ37+IAQ42+#REF!+#REF!,"")</f>
        <v/>
      </c>
      <c r="IAR57" s="82" t="str">
        <f>IF(ISNUMBER(outYear),IAR37+IAR42+#REF!+#REF!,"")</f>
        <v/>
      </c>
      <c r="IAS57" s="82" t="str">
        <f>IF(ISNUMBER(outYear),IAS37+IAS42+#REF!+#REF!,"")</f>
        <v/>
      </c>
      <c r="IAT57" s="82" t="str">
        <f>IF(ISNUMBER(outYear),IAT37+IAT42+#REF!+#REF!,"")</f>
        <v/>
      </c>
      <c r="IAU57" s="82" t="str">
        <f>IF(ISNUMBER(outYear),IAU37+IAU42+#REF!+#REF!,"")</f>
        <v/>
      </c>
      <c r="IAV57" s="82" t="str">
        <f>IF(ISNUMBER(outYear),IAV37+IAV42+#REF!+#REF!,"")</f>
        <v/>
      </c>
      <c r="IAW57" s="82" t="str">
        <f>IF(ISNUMBER(outYear),IAW37+IAW42+#REF!+#REF!,"")</f>
        <v/>
      </c>
      <c r="IAX57" s="82" t="str">
        <f>IF(ISNUMBER(outYear),IAX37+IAX42+#REF!+#REF!,"")</f>
        <v/>
      </c>
      <c r="IAY57" s="82" t="str">
        <f>IF(ISNUMBER(outYear),IAY37+IAY42+#REF!+#REF!,"")</f>
        <v/>
      </c>
      <c r="IAZ57" s="82" t="str">
        <f>IF(ISNUMBER(outYear),IAZ37+IAZ42+#REF!+#REF!,"")</f>
        <v/>
      </c>
      <c r="IBA57" s="82" t="str">
        <f>IF(ISNUMBER(outYear),IBA37+IBA42+#REF!+#REF!,"")</f>
        <v/>
      </c>
      <c r="IBB57" s="82" t="str">
        <f>IF(ISNUMBER(outYear),IBB37+IBB42+#REF!+#REF!,"")</f>
        <v/>
      </c>
      <c r="IBC57" s="82" t="str">
        <f>IF(ISNUMBER(outYear),IBC37+IBC42+#REF!+#REF!,"")</f>
        <v/>
      </c>
      <c r="IBD57" s="82" t="str">
        <f>IF(ISNUMBER(outYear),IBD37+IBD42+#REF!+#REF!,"")</f>
        <v/>
      </c>
      <c r="IBE57" s="82" t="str">
        <f>IF(ISNUMBER(outYear),IBE37+IBE42+#REF!+#REF!,"")</f>
        <v/>
      </c>
      <c r="IBF57" s="82" t="str">
        <f>IF(ISNUMBER(outYear),IBF37+IBF42+#REF!+#REF!,"")</f>
        <v/>
      </c>
      <c r="IBG57" s="82" t="str">
        <f>IF(ISNUMBER(outYear),IBG37+IBG42+#REF!+#REF!,"")</f>
        <v/>
      </c>
      <c r="IBH57" s="82" t="str">
        <f>IF(ISNUMBER(outYear),IBH37+IBH42+#REF!+#REF!,"")</f>
        <v/>
      </c>
      <c r="IBI57" s="82" t="str">
        <f>IF(ISNUMBER(outYear),IBI37+IBI42+#REF!+#REF!,"")</f>
        <v/>
      </c>
      <c r="IBJ57" s="82" t="str">
        <f>IF(ISNUMBER(outYear),IBJ37+IBJ42+#REF!+#REF!,"")</f>
        <v/>
      </c>
      <c r="IBK57" s="82" t="str">
        <f>IF(ISNUMBER(outYear),IBK37+IBK42+#REF!+#REF!,"")</f>
        <v/>
      </c>
      <c r="IBL57" s="82" t="str">
        <f>IF(ISNUMBER(outYear),IBL37+IBL42+#REF!+#REF!,"")</f>
        <v/>
      </c>
      <c r="IBM57" s="82" t="str">
        <f>IF(ISNUMBER(outYear),IBM37+IBM42+#REF!+#REF!,"")</f>
        <v/>
      </c>
      <c r="IBN57" s="82" t="str">
        <f>IF(ISNUMBER(outYear),IBN37+IBN42+#REF!+#REF!,"")</f>
        <v/>
      </c>
      <c r="IBO57" s="82" t="str">
        <f>IF(ISNUMBER(outYear),IBO37+IBO42+#REF!+#REF!,"")</f>
        <v/>
      </c>
      <c r="IBP57" s="82" t="str">
        <f>IF(ISNUMBER(outYear),IBP37+IBP42+#REF!+#REF!,"")</f>
        <v/>
      </c>
      <c r="IBQ57" s="82" t="str">
        <f>IF(ISNUMBER(outYear),IBQ37+IBQ42+#REF!+#REF!,"")</f>
        <v/>
      </c>
      <c r="IBR57" s="82" t="str">
        <f>IF(ISNUMBER(outYear),IBR37+IBR42+#REF!+#REF!,"")</f>
        <v/>
      </c>
      <c r="IBS57" s="82" t="str">
        <f>IF(ISNUMBER(outYear),IBS37+IBS42+#REF!+#REF!,"")</f>
        <v/>
      </c>
      <c r="IBT57" s="82" t="str">
        <f>IF(ISNUMBER(outYear),IBT37+IBT42+#REF!+#REF!,"")</f>
        <v/>
      </c>
      <c r="IBU57" s="82" t="str">
        <f>IF(ISNUMBER(outYear),IBU37+IBU42+#REF!+#REF!,"")</f>
        <v/>
      </c>
      <c r="IBV57" s="82" t="str">
        <f>IF(ISNUMBER(outYear),IBV37+IBV42+#REF!+#REF!,"")</f>
        <v/>
      </c>
      <c r="IBW57" s="82" t="str">
        <f>IF(ISNUMBER(outYear),IBW37+IBW42+#REF!+#REF!,"")</f>
        <v/>
      </c>
      <c r="IBX57" s="82" t="str">
        <f>IF(ISNUMBER(outYear),IBX37+IBX42+#REF!+#REF!,"")</f>
        <v/>
      </c>
      <c r="IBY57" s="82" t="str">
        <f>IF(ISNUMBER(outYear),IBY37+IBY42+#REF!+#REF!,"")</f>
        <v/>
      </c>
      <c r="IBZ57" s="82" t="str">
        <f>IF(ISNUMBER(outYear),IBZ37+IBZ42+#REF!+#REF!,"")</f>
        <v/>
      </c>
      <c r="ICA57" s="82" t="str">
        <f>IF(ISNUMBER(outYear),ICA37+ICA42+#REF!+#REF!,"")</f>
        <v/>
      </c>
      <c r="ICB57" s="82" t="str">
        <f>IF(ISNUMBER(outYear),ICB37+ICB42+#REF!+#REF!,"")</f>
        <v/>
      </c>
      <c r="ICC57" s="82" t="str">
        <f>IF(ISNUMBER(outYear),ICC37+ICC42+#REF!+#REF!,"")</f>
        <v/>
      </c>
      <c r="ICD57" s="82" t="str">
        <f>IF(ISNUMBER(outYear),ICD37+ICD42+#REF!+#REF!,"")</f>
        <v/>
      </c>
      <c r="ICE57" s="82" t="str">
        <f>IF(ISNUMBER(outYear),ICE37+ICE42+#REF!+#REF!,"")</f>
        <v/>
      </c>
      <c r="ICF57" s="82" t="str">
        <f>IF(ISNUMBER(outYear),ICF37+ICF42+#REF!+#REF!,"")</f>
        <v/>
      </c>
      <c r="ICG57" s="82" t="str">
        <f>IF(ISNUMBER(outYear),ICG37+ICG42+#REF!+#REF!,"")</f>
        <v/>
      </c>
      <c r="ICH57" s="82" t="str">
        <f>IF(ISNUMBER(outYear),ICH37+ICH42+#REF!+#REF!,"")</f>
        <v/>
      </c>
      <c r="ICI57" s="82" t="str">
        <f>IF(ISNUMBER(outYear),ICI37+ICI42+#REF!+#REF!,"")</f>
        <v/>
      </c>
      <c r="ICJ57" s="82" t="str">
        <f>IF(ISNUMBER(outYear),ICJ37+ICJ42+#REF!+#REF!,"")</f>
        <v/>
      </c>
      <c r="ICK57" s="82" t="str">
        <f>IF(ISNUMBER(outYear),ICK37+ICK42+#REF!+#REF!,"")</f>
        <v/>
      </c>
      <c r="ICL57" s="82" t="str">
        <f>IF(ISNUMBER(outYear),ICL37+ICL42+#REF!+#REF!,"")</f>
        <v/>
      </c>
      <c r="ICM57" s="82" t="str">
        <f>IF(ISNUMBER(outYear),ICM37+ICM42+#REF!+#REF!,"")</f>
        <v/>
      </c>
      <c r="ICN57" s="82" t="str">
        <f>IF(ISNUMBER(outYear),ICN37+ICN42+#REF!+#REF!,"")</f>
        <v/>
      </c>
      <c r="ICO57" s="82" t="str">
        <f>IF(ISNUMBER(outYear),ICO37+ICO42+#REF!+#REF!,"")</f>
        <v/>
      </c>
      <c r="ICP57" s="82" t="str">
        <f>IF(ISNUMBER(outYear),ICP37+ICP42+#REF!+#REF!,"")</f>
        <v/>
      </c>
      <c r="ICQ57" s="82" t="str">
        <f>IF(ISNUMBER(outYear),ICQ37+ICQ42+#REF!+#REF!,"")</f>
        <v/>
      </c>
      <c r="ICR57" s="82" t="str">
        <f>IF(ISNUMBER(outYear),ICR37+ICR42+#REF!+#REF!,"")</f>
        <v/>
      </c>
      <c r="ICS57" s="82" t="str">
        <f>IF(ISNUMBER(outYear),ICS37+ICS42+#REF!+#REF!,"")</f>
        <v/>
      </c>
      <c r="ICT57" s="82" t="str">
        <f>IF(ISNUMBER(outYear),ICT37+ICT42+#REF!+#REF!,"")</f>
        <v/>
      </c>
      <c r="ICU57" s="82" t="str">
        <f>IF(ISNUMBER(outYear),ICU37+ICU42+#REF!+#REF!,"")</f>
        <v/>
      </c>
      <c r="ICV57" s="82" t="str">
        <f>IF(ISNUMBER(outYear),ICV37+ICV42+#REF!+#REF!,"")</f>
        <v/>
      </c>
      <c r="ICW57" s="82" t="str">
        <f>IF(ISNUMBER(outYear),ICW37+ICW42+#REF!+#REF!,"")</f>
        <v/>
      </c>
      <c r="ICX57" s="82" t="str">
        <f>IF(ISNUMBER(outYear),ICX37+ICX42+#REF!+#REF!,"")</f>
        <v/>
      </c>
      <c r="ICY57" s="82" t="str">
        <f>IF(ISNUMBER(outYear),ICY37+ICY42+#REF!+#REF!,"")</f>
        <v/>
      </c>
      <c r="ICZ57" s="82" t="str">
        <f>IF(ISNUMBER(outYear),ICZ37+ICZ42+#REF!+#REF!,"")</f>
        <v/>
      </c>
      <c r="IDA57" s="82" t="str">
        <f>IF(ISNUMBER(outYear),IDA37+IDA42+#REF!+#REF!,"")</f>
        <v/>
      </c>
      <c r="IDB57" s="82" t="str">
        <f>IF(ISNUMBER(outYear),IDB37+IDB42+#REF!+#REF!,"")</f>
        <v/>
      </c>
      <c r="IDC57" s="82" t="str">
        <f>IF(ISNUMBER(outYear),IDC37+IDC42+#REF!+#REF!,"")</f>
        <v/>
      </c>
      <c r="IDD57" s="82" t="str">
        <f>IF(ISNUMBER(outYear),IDD37+IDD42+#REF!+#REF!,"")</f>
        <v/>
      </c>
      <c r="IDE57" s="82" t="str">
        <f>IF(ISNUMBER(outYear),IDE37+IDE42+#REF!+#REF!,"")</f>
        <v/>
      </c>
      <c r="IDF57" s="82" t="str">
        <f>IF(ISNUMBER(outYear),IDF37+IDF42+#REF!+#REF!,"")</f>
        <v/>
      </c>
      <c r="IDG57" s="82" t="str">
        <f>IF(ISNUMBER(outYear),IDG37+IDG42+#REF!+#REF!,"")</f>
        <v/>
      </c>
      <c r="IDH57" s="82" t="str">
        <f>IF(ISNUMBER(outYear),IDH37+IDH42+#REF!+#REF!,"")</f>
        <v/>
      </c>
      <c r="IDI57" s="82" t="str">
        <f>IF(ISNUMBER(outYear),IDI37+IDI42+#REF!+#REF!,"")</f>
        <v/>
      </c>
      <c r="IDJ57" s="82" t="str">
        <f>IF(ISNUMBER(outYear),IDJ37+IDJ42+#REF!+#REF!,"")</f>
        <v/>
      </c>
      <c r="IDK57" s="82" t="str">
        <f>IF(ISNUMBER(outYear),IDK37+IDK42+#REF!+#REF!,"")</f>
        <v/>
      </c>
      <c r="IDL57" s="82" t="str">
        <f>IF(ISNUMBER(outYear),IDL37+IDL42+#REF!+#REF!,"")</f>
        <v/>
      </c>
      <c r="IDM57" s="82" t="str">
        <f>IF(ISNUMBER(outYear),IDM37+IDM42+#REF!+#REF!,"")</f>
        <v/>
      </c>
      <c r="IDN57" s="82" t="str">
        <f>IF(ISNUMBER(outYear),IDN37+IDN42+#REF!+#REF!,"")</f>
        <v/>
      </c>
      <c r="IDO57" s="82" t="str">
        <f>IF(ISNUMBER(outYear),IDO37+IDO42+#REF!+#REF!,"")</f>
        <v/>
      </c>
      <c r="IDP57" s="82" t="str">
        <f>IF(ISNUMBER(outYear),IDP37+IDP42+#REF!+#REF!,"")</f>
        <v/>
      </c>
      <c r="IDQ57" s="82" t="str">
        <f>IF(ISNUMBER(outYear),IDQ37+IDQ42+#REF!+#REF!,"")</f>
        <v/>
      </c>
      <c r="IDR57" s="82" t="str">
        <f>IF(ISNUMBER(outYear),IDR37+IDR42+#REF!+#REF!,"")</f>
        <v/>
      </c>
      <c r="IDS57" s="82" t="str">
        <f>IF(ISNUMBER(outYear),IDS37+IDS42+#REF!+#REF!,"")</f>
        <v/>
      </c>
      <c r="IDT57" s="82" t="str">
        <f>IF(ISNUMBER(outYear),IDT37+IDT42+#REF!+#REF!,"")</f>
        <v/>
      </c>
      <c r="IDU57" s="82" t="str">
        <f>IF(ISNUMBER(outYear),IDU37+IDU42+#REF!+#REF!,"")</f>
        <v/>
      </c>
      <c r="IDV57" s="82" t="str">
        <f>IF(ISNUMBER(outYear),IDV37+IDV42+#REF!+#REF!,"")</f>
        <v/>
      </c>
      <c r="IDW57" s="82" t="str">
        <f>IF(ISNUMBER(outYear),IDW37+IDW42+#REF!+#REF!,"")</f>
        <v/>
      </c>
      <c r="IDX57" s="82" t="str">
        <f>IF(ISNUMBER(outYear),IDX37+IDX42+#REF!+#REF!,"")</f>
        <v/>
      </c>
      <c r="IDY57" s="82" t="str">
        <f>IF(ISNUMBER(outYear),IDY37+IDY42+#REF!+#REF!,"")</f>
        <v/>
      </c>
      <c r="IDZ57" s="82" t="str">
        <f>IF(ISNUMBER(outYear),IDZ37+IDZ42+#REF!+#REF!,"")</f>
        <v/>
      </c>
      <c r="IEA57" s="82" t="str">
        <f>IF(ISNUMBER(outYear),IEA37+IEA42+#REF!+#REF!,"")</f>
        <v/>
      </c>
      <c r="IEB57" s="82" t="str">
        <f>IF(ISNUMBER(outYear),IEB37+IEB42+#REF!+#REF!,"")</f>
        <v/>
      </c>
      <c r="IEC57" s="82" t="str">
        <f>IF(ISNUMBER(outYear),IEC37+IEC42+#REF!+#REF!,"")</f>
        <v/>
      </c>
      <c r="IED57" s="82" t="str">
        <f>IF(ISNUMBER(outYear),IED37+IED42+#REF!+#REF!,"")</f>
        <v/>
      </c>
      <c r="IEE57" s="82" t="str">
        <f>IF(ISNUMBER(outYear),IEE37+IEE42+#REF!+#REF!,"")</f>
        <v/>
      </c>
      <c r="IEF57" s="82" t="str">
        <f>IF(ISNUMBER(outYear),IEF37+IEF42+#REF!+#REF!,"")</f>
        <v/>
      </c>
      <c r="IEG57" s="82" t="str">
        <f>IF(ISNUMBER(outYear),IEG37+IEG42+#REF!+#REF!,"")</f>
        <v/>
      </c>
      <c r="IEH57" s="82" t="str">
        <f>IF(ISNUMBER(outYear),IEH37+IEH42+#REF!+#REF!,"")</f>
        <v/>
      </c>
      <c r="IEI57" s="82" t="str">
        <f>IF(ISNUMBER(outYear),IEI37+IEI42+#REF!+#REF!,"")</f>
        <v/>
      </c>
      <c r="IEJ57" s="82" t="str">
        <f>IF(ISNUMBER(outYear),IEJ37+IEJ42+#REF!+#REF!,"")</f>
        <v/>
      </c>
      <c r="IEK57" s="82" t="str">
        <f>IF(ISNUMBER(outYear),IEK37+IEK42+#REF!+#REF!,"")</f>
        <v/>
      </c>
      <c r="IEL57" s="82" t="str">
        <f>IF(ISNUMBER(outYear),IEL37+IEL42+#REF!+#REF!,"")</f>
        <v/>
      </c>
      <c r="IEM57" s="82" t="str">
        <f>IF(ISNUMBER(outYear),IEM37+IEM42+#REF!+#REF!,"")</f>
        <v/>
      </c>
      <c r="IEN57" s="82" t="str">
        <f>IF(ISNUMBER(outYear),IEN37+IEN42+#REF!+#REF!,"")</f>
        <v/>
      </c>
      <c r="IEO57" s="82" t="str">
        <f>IF(ISNUMBER(outYear),IEO37+IEO42+#REF!+#REF!,"")</f>
        <v/>
      </c>
      <c r="IEP57" s="82" t="str">
        <f>IF(ISNUMBER(outYear),IEP37+IEP42+#REF!+#REF!,"")</f>
        <v/>
      </c>
      <c r="IEQ57" s="82" t="str">
        <f>IF(ISNUMBER(outYear),IEQ37+IEQ42+#REF!+#REF!,"")</f>
        <v/>
      </c>
      <c r="IER57" s="82" t="str">
        <f>IF(ISNUMBER(outYear),IER37+IER42+#REF!+#REF!,"")</f>
        <v/>
      </c>
      <c r="IES57" s="82" t="str">
        <f>IF(ISNUMBER(outYear),IES37+IES42+#REF!+#REF!,"")</f>
        <v/>
      </c>
      <c r="IET57" s="82" t="str">
        <f>IF(ISNUMBER(outYear),IET37+IET42+#REF!+#REF!,"")</f>
        <v/>
      </c>
      <c r="IEU57" s="82" t="str">
        <f>IF(ISNUMBER(outYear),IEU37+IEU42+#REF!+#REF!,"")</f>
        <v/>
      </c>
      <c r="IEV57" s="82" t="str">
        <f>IF(ISNUMBER(outYear),IEV37+IEV42+#REF!+#REF!,"")</f>
        <v/>
      </c>
      <c r="IEW57" s="82" t="str">
        <f>IF(ISNUMBER(outYear),IEW37+IEW42+#REF!+#REF!,"")</f>
        <v/>
      </c>
      <c r="IEX57" s="82" t="str">
        <f>IF(ISNUMBER(outYear),IEX37+IEX42+#REF!+#REF!,"")</f>
        <v/>
      </c>
      <c r="IEY57" s="82" t="str">
        <f>IF(ISNUMBER(outYear),IEY37+IEY42+#REF!+#REF!,"")</f>
        <v/>
      </c>
      <c r="IEZ57" s="82" t="str">
        <f>IF(ISNUMBER(outYear),IEZ37+IEZ42+#REF!+#REF!,"")</f>
        <v/>
      </c>
      <c r="IFA57" s="82" t="str">
        <f>IF(ISNUMBER(outYear),IFA37+IFA42+#REF!+#REF!,"")</f>
        <v/>
      </c>
      <c r="IFB57" s="82" t="str">
        <f>IF(ISNUMBER(outYear),IFB37+IFB42+#REF!+#REF!,"")</f>
        <v/>
      </c>
      <c r="IFC57" s="82" t="str">
        <f>IF(ISNUMBER(outYear),IFC37+IFC42+#REF!+#REF!,"")</f>
        <v/>
      </c>
      <c r="IFD57" s="82" t="str">
        <f>IF(ISNUMBER(outYear),IFD37+IFD42+#REF!+#REF!,"")</f>
        <v/>
      </c>
      <c r="IFE57" s="82" t="str">
        <f>IF(ISNUMBER(outYear),IFE37+IFE42+#REF!+#REF!,"")</f>
        <v/>
      </c>
      <c r="IFF57" s="82" t="str">
        <f>IF(ISNUMBER(outYear),IFF37+IFF42+#REF!+#REF!,"")</f>
        <v/>
      </c>
      <c r="IFG57" s="82" t="str">
        <f>IF(ISNUMBER(outYear),IFG37+IFG42+#REF!+#REF!,"")</f>
        <v/>
      </c>
      <c r="IFH57" s="82" t="str">
        <f>IF(ISNUMBER(outYear),IFH37+IFH42+#REF!+#REF!,"")</f>
        <v/>
      </c>
      <c r="IFI57" s="82" t="str">
        <f>IF(ISNUMBER(outYear),IFI37+IFI42+#REF!+#REF!,"")</f>
        <v/>
      </c>
      <c r="IFJ57" s="82" t="str">
        <f>IF(ISNUMBER(outYear),IFJ37+IFJ42+#REF!+#REF!,"")</f>
        <v/>
      </c>
      <c r="IFK57" s="82" t="str">
        <f>IF(ISNUMBER(outYear),IFK37+IFK42+#REF!+#REF!,"")</f>
        <v/>
      </c>
      <c r="IFL57" s="82" t="str">
        <f>IF(ISNUMBER(outYear),IFL37+IFL42+#REF!+#REF!,"")</f>
        <v/>
      </c>
      <c r="IFM57" s="82" t="str">
        <f>IF(ISNUMBER(outYear),IFM37+IFM42+#REF!+#REF!,"")</f>
        <v/>
      </c>
      <c r="IFN57" s="82" t="str">
        <f>IF(ISNUMBER(outYear),IFN37+IFN42+#REF!+#REF!,"")</f>
        <v/>
      </c>
      <c r="IFO57" s="82" t="str">
        <f>IF(ISNUMBER(outYear),IFO37+IFO42+#REF!+#REF!,"")</f>
        <v/>
      </c>
      <c r="IFP57" s="82" t="str">
        <f>IF(ISNUMBER(outYear),IFP37+IFP42+#REF!+#REF!,"")</f>
        <v/>
      </c>
      <c r="IFQ57" s="82" t="str">
        <f>IF(ISNUMBER(outYear),IFQ37+IFQ42+#REF!+#REF!,"")</f>
        <v/>
      </c>
      <c r="IFR57" s="82" t="str">
        <f>IF(ISNUMBER(outYear),IFR37+IFR42+#REF!+#REF!,"")</f>
        <v/>
      </c>
      <c r="IFS57" s="82" t="str">
        <f>IF(ISNUMBER(outYear),IFS37+IFS42+#REF!+#REF!,"")</f>
        <v/>
      </c>
      <c r="IFT57" s="82" t="str">
        <f>IF(ISNUMBER(outYear),IFT37+IFT42+#REF!+#REF!,"")</f>
        <v/>
      </c>
      <c r="IFU57" s="82" t="str">
        <f>IF(ISNUMBER(outYear),IFU37+IFU42+#REF!+#REF!,"")</f>
        <v/>
      </c>
      <c r="IFV57" s="82" t="str">
        <f>IF(ISNUMBER(outYear),IFV37+IFV42+#REF!+#REF!,"")</f>
        <v/>
      </c>
      <c r="IFW57" s="82" t="str">
        <f>IF(ISNUMBER(outYear),IFW37+IFW42+#REF!+#REF!,"")</f>
        <v/>
      </c>
      <c r="IFX57" s="82" t="str">
        <f>IF(ISNUMBER(outYear),IFX37+IFX42+#REF!+#REF!,"")</f>
        <v/>
      </c>
      <c r="IFY57" s="82" t="str">
        <f>IF(ISNUMBER(outYear),IFY37+IFY42+#REF!+#REF!,"")</f>
        <v/>
      </c>
      <c r="IFZ57" s="82" t="str">
        <f>IF(ISNUMBER(outYear),IFZ37+IFZ42+#REF!+#REF!,"")</f>
        <v/>
      </c>
      <c r="IGA57" s="82" t="str">
        <f>IF(ISNUMBER(outYear),IGA37+IGA42+#REF!+#REF!,"")</f>
        <v/>
      </c>
      <c r="IGB57" s="82" t="str">
        <f>IF(ISNUMBER(outYear),IGB37+IGB42+#REF!+#REF!,"")</f>
        <v/>
      </c>
      <c r="IGC57" s="82" t="str">
        <f>IF(ISNUMBER(outYear),IGC37+IGC42+#REF!+#REF!,"")</f>
        <v/>
      </c>
      <c r="IGD57" s="82" t="str">
        <f>IF(ISNUMBER(outYear),IGD37+IGD42+#REF!+#REF!,"")</f>
        <v/>
      </c>
      <c r="IGE57" s="82" t="str">
        <f>IF(ISNUMBER(outYear),IGE37+IGE42+#REF!+#REF!,"")</f>
        <v/>
      </c>
      <c r="IGF57" s="82" t="str">
        <f>IF(ISNUMBER(outYear),IGF37+IGF42+#REF!+#REF!,"")</f>
        <v/>
      </c>
      <c r="IGG57" s="82" t="str">
        <f>IF(ISNUMBER(outYear),IGG37+IGG42+#REF!+#REF!,"")</f>
        <v/>
      </c>
      <c r="IGH57" s="82" t="str">
        <f>IF(ISNUMBER(outYear),IGH37+IGH42+#REF!+#REF!,"")</f>
        <v/>
      </c>
      <c r="IGI57" s="82" t="str">
        <f>IF(ISNUMBER(outYear),IGI37+IGI42+#REF!+#REF!,"")</f>
        <v/>
      </c>
      <c r="IGJ57" s="82" t="str">
        <f>IF(ISNUMBER(outYear),IGJ37+IGJ42+#REF!+#REF!,"")</f>
        <v/>
      </c>
      <c r="IGK57" s="82" t="str">
        <f>IF(ISNUMBER(outYear),IGK37+IGK42+#REF!+#REF!,"")</f>
        <v/>
      </c>
      <c r="IGL57" s="82" t="str">
        <f>IF(ISNUMBER(outYear),IGL37+IGL42+#REF!+#REF!,"")</f>
        <v/>
      </c>
      <c r="IGM57" s="82" t="str">
        <f>IF(ISNUMBER(outYear),IGM37+IGM42+#REF!+#REF!,"")</f>
        <v/>
      </c>
      <c r="IGN57" s="82" t="str">
        <f>IF(ISNUMBER(outYear),IGN37+IGN42+#REF!+#REF!,"")</f>
        <v/>
      </c>
      <c r="IGO57" s="82" t="str">
        <f>IF(ISNUMBER(outYear),IGO37+IGO42+#REF!+#REF!,"")</f>
        <v/>
      </c>
      <c r="IGP57" s="82" t="str">
        <f>IF(ISNUMBER(outYear),IGP37+IGP42+#REF!+#REF!,"")</f>
        <v/>
      </c>
      <c r="IGQ57" s="82" t="str">
        <f>IF(ISNUMBER(outYear),IGQ37+IGQ42+#REF!+#REF!,"")</f>
        <v/>
      </c>
      <c r="IGR57" s="82" t="str">
        <f>IF(ISNUMBER(outYear),IGR37+IGR42+#REF!+#REF!,"")</f>
        <v/>
      </c>
      <c r="IGS57" s="82" t="str">
        <f>IF(ISNUMBER(outYear),IGS37+IGS42+#REF!+#REF!,"")</f>
        <v/>
      </c>
      <c r="IGT57" s="82" t="str">
        <f>IF(ISNUMBER(outYear),IGT37+IGT42+#REF!+#REF!,"")</f>
        <v/>
      </c>
      <c r="IGU57" s="82" t="str">
        <f>IF(ISNUMBER(outYear),IGU37+IGU42+#REF!+#REF!,"")</f>
        <v/>
      </c>
      <c r="IGV57" s="82" t="str">
        <f>IF(ISNUMBER(outYear),IGV37+IGV42+#REF!+#REF!,"")</f>
        <v/>
      </c>
      <c r="IGW57" s="82" t="str">
        <f>IF(ISNUMBER(outYear),IGW37+IGW42+#REF!+#REF!,"")</f>
        <v/>
      </c>
      <c r="IGX57" s="82" t="str">
        <f>IF(ISNUMBER(outYear),IGX37+IGX42+#REF!+#REF!,"")</f>
        <v/>
      </c>
      <c r="IGY57" s="82" t="str">
        <f>IF(ISNUMBER(outYear),IGY37+IGY42+#REF!+#REF!,"")</f>
        <v/>
      </c>
      <c r="IGZ57" s="82" t="str">
        <f>IF(ISNUMBER(outYear),IGZ37+IGZ42+#REF!+#REF!,"")</f>
        <v/>
      </c>
      <c r="IHA57" s="82" t="str">
        <f>IF(ISNUMBER(outYear),IHA37+IHA42+#REF!+#REF!,"")</f>
        <v/>
      </c>
      <c r="IHB57" s="82" t="str">
        <f>IF(ISNUMBER(outYear),IHB37+IHB42+#REF!+#REF!,"")</f>
        <v/>
      </c>
      <c r="IHC57" s="82" t="str">
        <f>IF(ISNUMBER(outYear),IHC37+IHC42+#REF!+#REF!,"")</f>
        <v/>
      </c>
      <c r="IHD57" s="82" t="str">
        <f>IF(ISNUMBER(outYear),IHD37+IHD42+#REF!+#REF!,"")</f>
        <v/>
      </c>
      <c r="IHE57" s="82" t="str">
        <f>IF(ISNUMBER(outYear),IHE37+IHE42+#REF!+#REF!,"")</f>
        <v/>
      </c>
      <c r="IHF57" s="82" t="str">
        <f>IF(ISNUMBER(outYear),IHF37+IHF42+#REF!+#REF!,"")</f>
        <v/>
      </c>
      <c r="IHG57" s="82" t="str">
        <f>IF(ISNUMBER(outYear),IHG37+IHG42+#REF!+#REF!,"")</f>
        <v/>
      </c>
      <c r="IHH57" s="82" t="str">
        <f>IF(ISNUMBER(outYear),IHH37+IHH42+#REF!+#REF!,"")</f>
        <v/>
      </c>
      <c r="IHI57" s="82" t="str">
        <f>IF(ISNUMBER(outYear),IHI37+IHI42+#REF!+#REF!,"")</f>
        <v/>
      </c>
      <c r="IHJ57" s="82" t="str">
        <f>IF(ISNUMBER(outYear),IHJ37+IHJ42+#REF!+#REF!,"")</f>
        <v/>
      </c>
      <c r="IHK57" s="82" t="str">
        <f>IF(ISNUMBER(outYear),IHK37+IHK42+#REF!+#REF!,"")</f>
        <v/>
      </c>
      <c r="IHL57" s="82" t="str">
        <f>IF(ISNUMBER(outYear),IHL37+IHL42+#REF!+#REF!,"")</f>
        <v/>
      </c>
      <c r="IHM57" s="82" t="str">
        <f>IF(ISNUMBER(outYear),IHM37+IHM42+#REF!+#REF!,"")</f>
        <v/>
      </c>
      <c r="IHN57" s="82" t="str">
        <f>IF(ISNUMBER(outYear),IHN37+IHN42+#REF!+#REF!,"")</f>
        <v/>
      </c>
      <c r="IHO57" s="82" t="str">
        <f>IF(ISNUMBER(outYear),IHO37+IHO42+#REF!+#REF!,"")</f>
        <v/>
      </c>
      <c r="IHP57" s="82" t="str">
        <f>IF(ISNUMBER(outYear),IHP37+IHP42+#REF!+#REF!,"")</f>
        <v/>
      </c>
      <c r="IHQ57" s="82" t="str">
        <f>IF(ISNUMBER(outYear),IHQ37+IHQ42+#REF!+#REF!,"")</f>
        <v/>
      </c>
      <c r="IHR57" s="82" t="str">
        <f>IF(ISNUMBER(outYear),IHR37+IHR42+#REF!+#REF!,"")</f>
        <v/>
      </c>
      <c r="IHS57" s="82" t="str">
        <f>IF(ISNUMBER(outYear),IHS37+IHS42+#REF!+#REF!,"")</f>
        <v/>
      </c>
      <c r="IHT57" s="82" t="str">
        <f>IF(ISNUMBER(outYear),IHT37+IHT42+#REF!+#REF!,"")</f>
        <v/>
      </c>
      <c r="IHU57" s="82" t="str">
        <f>IF(ISNUMBER(outYear),IHU37+IHU42+#REF!+#REF!,"")</f>
        <v/>
      </c>
      <c r="IHV57" s="82" t="str">
        <f>IF(ISNUMBER(outYear),IHV37+IHV42+#REF!+#REF!,"")</f>
        <v/>
      </c>
      <c r="IHW57" s="82" t="str">
        <f>IF(ISNUMBER(outYear),IHW37+IHW42+#REF!+#REF!,"")</f>
        <v/>
      </c>
      <c r="IHX57" s="82" t="str">
        <f>IF(ISNUMBER(outYear),IHX37+IHX42+#REF!+#REF!,"")</f>
        <v/>
      </c>
      <c r="IHY57" s="82" t="str">
        <f>IF(ISNUMBER(outYear),IHY37+IHY42+#REF!+#REF!,"")</f>
        <v/>
      </c>
      <c r="IHZ57" s="82" t="str">
        <f>IF(ISNUMBER(outYear),IHZ37+IHZ42+#REF!+#REF!,"")</f>
        <v/>
      </c>
      <c r="IIA57" s="82" t="str">
        <f>IF(ISNUMBER(outYear),IIA37+IIA42+#REF!+#REF!,"")</f>
        <v/>
      </c>
      <c r="IIB57" s="82" t="str">
        <f>IF(ISNUMBER(outYear),IIB37+IIB42+#REF!+#REF!,"")</f>
        <v/>
      </c>
      <c r="IIC57" s="82" t="str">
        <f>IF(ISNUMBER(outYear),IIC37+IIC42+#REF!+#REF!,"")</f>
        <v/>
      </c>
      <c r="IID57" s="82" t="str">
        <f>IF(ISNUMBER(outYear),IID37+IID42+#REF!+#REF!,"")</f>
        <v/>
      </c>
      <c r="IIE57" s="82" t="str">
        <f>IF(ISNUMBER(outYear),IIE37+IIE42+#REF!+#REF!,"")</f>
        <v/>
      </c>
      <c r="IIF57" s="82" t="str">
        <f>IF(ISNUMBER(outYear),IIF37+IIF42+#REF!+#REF!,"")</f>
        <v/>
      </c>
      <c r="IIG57" s="82" t="str">
        <f>IF(ISNUMBER(outYear),IIG37+IIG42+#REF!+#REF!,"")</f>
        <v/>
      </c>
      <c r="IIH57" s="82" t="str">
        <f>IF(ISNUMBER(outYear),IIH37+IIH42+#REF!+#REF!,"")</f>
        <v/>
      </c>
      <c r="III57" s="82" t="str">
        <f>IF(ISNUMBER(outYear),III37+III42+#REF!+#REF!,"")</f>
        <v/>
      </c>
      <c r="IIJ57" s="82" t="str">
        <f>IF(ISNUMBER(outYear),IIJ37+IIJ42+#REF!+#REF!,"")</f>
        <v/>
      </c>
      <c r="IIK57" s="82" t="str">
        <f>IF(ISNUMBER(outYear),IIK37+IIK42+#REF!+#REF!,"")</f>
        <v/>
      </c>
      <c r="IIL57" s="82" t="str">
        <f>IF(ISNUMBER(outYear),IIL37+IIL42+#REF!+#REF!,"")</f>
        <v/>
      </c>
      <c r="IIM57" s="82" t="str">
        <f>IF(ISNUMBER(outYear),IIM37+IIM42+#REF!+#REF!,"")</f>
        <v/>
      </c>
      <c r="IIN57" s="82" t="str">
        <f>IF(ISNUMBER(outYear),IIN37+IIN42+#REF!+#REF!,"")</f>
        <v/>
      </c>
      <c r="IIO57" s="82" t="str">
        <f>IF(ISNUMBER(outYear),IIO37+IIO42+#REF!+#REF!,"")</f>
        <v/>
      </c>
      <c r="IIP57" s="82" t="str">
        <f>IF(ISNUMBER(outYear),IIP37+IIP42+#REF!+#REF!,"")</f>
        <v/>
      </c>
      <c r="IIQ57" s="82" t="str">
        <f>IF(ISNUMBER(outYear),IIQ37+IIQ42+#REF!+#REF!,"")</f>
        <v/>
      </c>
      <c r="IIR57" s="82" t="str">
        <f>IF(ISNUMBER(outYear),IIR37+IIR42+#REF!+#REF!,"")</f>
        <v/>
      </c>
      <c r="IIS57" s="82" t="str">
        <f>IF(ISNUMBER(outYear),IIS37+IIS42+#REF!+#REF!,"")</f>
        <v/>
      </c>
      <c r="IIT57" s="82" t="str">
        <f>IF(ISNUMBER(outYear),IIT37+IIT42+#REF!+#REF!,"")</f>
        <v/>
      </c>
      <c r="IIU57" s="82" t="str">
        <f>IF(ISNUMBER(outYear),IIU37+IIU42+#REF!+#REF!,"")</f>
        <v/>
      </c>
      <c r="IIV57" s="82" t="str">
        <f>IF(ISNUMBER(outYear),IIV37+IIV42+#REF!+#REF!,"")</f>
        <v/>
      </c>
      <c r="IIW57" s="82" t="str">
        <f>IF(ISNUMBER(outYear),IIW37+IIW42+#REF!+#REF!,"")</f>
        <v/>
      </c>
      <c r="IIX57" s="82" t="str">
        <f>IF(ISNUMBER(outYear),IIX37+IIX42+#REF!+#REF!,"")</f>
        <v/>
      </c>
      <c r="IIY57" s="82" t="str">
        <f>IF(ISNUMBER(outYear),IIY37+IIY42+#REF!+#REF!,"")</f>
        <v/>
      </c>
      <c r="IIZ57" s="82" t="str">
        <f>IF(ISNUMBER(outYear),IIZ37+IIZ42+#REF!+#REF!,"")</f>
        <v/>
      </c>
      <c r="IJA57" s="82" t="str">
        <f>IF(ISNUMBER(outYear),IJA37+IJA42+#REF!+#REF!,"")</f>
        <v/>
      </c>
      <c r="IJB57" s="82" t="str">
        <f>IF(ISNUMBER(outYear),IJB37+IJB42+#REF!+#REF!,"")</f>
        <v/>
      </c>
      <c r="IJC57" s="82" t="str">
        <f>IF(ISNUMBER(outYear),IJC37+IJC42+#REF!+#REF!,"")</f>
        <v/>
      </c>
      <c r="IJD57" s="82" t="str">
        <f>IF(ISNUMBER(outYear),IJD37+IJD42+#REF!+#REF!,"")</f>
        <v/>
      </c>
      <c r="IJE57" s="82" t="str">
        <f>IF(ISNUMBER(outYear),IJE37+IJE42+#REF!+#REF!,"")</f>
        <v/>
      </c>
      <c r="IJF57" s="82" t="str">
        <f>IF(ISNUMBER(outYear),IJF37+IJF42+#REF!+#REF!,"")</f>
        <v/>
      </c>
      <c r="IJG57" s="82" t="str">
        <f>IF(ISNUMBER(outYear),IJG37+IJG42+#REF!+#REF!,"")</f>
        <v/>
      </c>
      <c r="IJH57" s="82" t="str">
        <f>IF(ISNUMBER(outYear),IJH37+IJH42+#REF!+#REF!,"")</f>
        <v/>
      </c>
      <c r="IJI57" s="82" t="str">
        <f>IF(ISNUMBER(outYear),IJI37+IJI42+#REF!+#REF!,"")</f>
        <v/>
      </c>
      <c r="IJJ57" s="82" t="str">
        <f>IF(ISNUMBER(outYear),IJJ37+IJJ42+#REF!+#REF!,"")</f>
        <v/>
      </c>
      <c r="IJK57" s="82" t="str">
        <f>IF(ISNUMBER(outYear),IJK37+IJK42+#REF!+#REF!,"")</f>
        <v/>
      </c>
      <c r="IJL57" s="82" t="str">
        <f>IF(ISNUMBER(outYear),IJL37+IJL42+#REF!+#REF!,"")</f>
        <v/>
      </c>
      <c r="IJM57" s="82" t="str">
        <f>IF(ISNUMBER(outYear),IJM37+IJM42+#REF!+#REF!,"")</f>
        <v/>
      </c>
      <c r="IJN57" s="82" t="str">
        <f>IF(ISNUMBER(outYear),IJN37+IJN42+#REF!+#REF!,"")</f>
        <v/>
      </c>
      <c r="IJO57" s="82" t="str">
        <f>IF(ISNUMBER(outYear),IJO37+IJO42+#REF!+#REF!,"")</f>
        <v/>
      </c>
      <c r="IJP57" s="82" t="str">
        <f>IF(ISNUMBER(outYear),IJP37+IJP42+#REF!+#REF!,"")</f>
        <v/>
      </c>
      <c r="IJQ57" s="82" t="str">
        <f>IF(ISNUMBER(outYear),IJQ37+IJQ42+#REF!+#REF!,"")</f>
        <v/>
      </c>
      <c r="IJR57" s="82" t="str">
        <f>IF(ISNUMBER(outYear),IJR37+IJR42+#REF!+#REF!,"")</f>
        <v/>
      </c>
      <c r="IJS57" s="82" t="str">
        <f>IF(ISNUMBER(outYear),IJS37+IJS42+#REF!+#REF!,"")</f>
        <v/>
      </c>
      <c r="IJT57" s="82" t="str">
        <f>IF(ISNUMBER(outYear),IJT37+IJT42+#REF!+#REF!,"")</f>
        <v/>
      </c>
      <c r="IJU57" s="82" t="str">
        <f>IF(ISNUMBER(outYear),IJU37+IJU42+#REF!+#REF!,"")</f>
        <v/>
      </c>
      <c r="IJV57" s="82" t="str">
        <f>IF(ISNUMBER(outYear),IJV37+IJV42+#REF!+#REF!,"")</f>
        <v/>
      </c>
      <c r="IJW57" s="82" t="str">
        <f>IF(ISNUMBER(outYear),IJW37+IJW42+#REF!+#REF!,"")</f>
        <v/>
      </c>
      <c r="IJX57" s="82" t="str">
        <f>IF(ISNUMBER(outYear),IJX37+IJX42+#REF!+#REF!,"")</f>
        <v/>
      </c>
      <c r="IJY57" s="82" t="str">
        <f>IF(ISNUMBER(outYear),IJY37+IJY42+#REF!+#REF!,"")</f>
        <v/>
      </c>
      <c r="IJZ57" s="82" t="str">
        <f>IF(ISNUMBER(outYear),IJZ37+IJZ42+#REF!+#REF!,"")</f>
        <v/>
      </c>
      <c r="IKA57" s="82" t="str">
        <f>IF(ISNUMBER(outYear),IKA37+IKA42+#REF!+#REF!,"")</f>
        <v/>
      </c>
      <c r="IKB57" s="82" t="str">
        <f>IF(ISNUMBER(outYear),IKB37+IKB42+#REF!+#REF!,"")</f>
        <v/>
      </c>
      <c r="IKC57" s="82" t="str">
        <f>IF(ISNUMBER(outYear),IKC37+IKC42+#REF!+#REF!,"")</f>
        <v/>
      </c>
      <c r="IKD57" s="82" t="str">
        <f>IF(ISNUMBER(outYear),IKD37+IKD42+#REF!+#REF!,"")</f>
        <v/>
      </c>
      <c r="IKE57" s="82" t="str">
        <f>IF(ISNUMBER(outYear),IKE37+IKE42+#REF!+#REF!,"")</f>
        <v/>
      </c>
      <c r="IKF57" s="82" t="str">
        <f>IF(ISNUMBER(outYear),IKF37+IKF42+#REF!+#REF!,"")</f>
        <v/>
      </c>
      <c r="IKG57" s="82" t="str">
        <f>IF(ISNUMBER(outYear),IKG37+IKG42+#REF!+#REF!,"")</f>
        <v/>
      </c>
      <c r="IKH57" s="82" t="str">
        <f>IF(ISNUMBER(outYear),IKH37+IKH42+#REF!+#REF!,"")</f>
        <v/>
      </c>
      <c r="IKI57" s="82" t="str">
        <f>IF(ISNUMBER(outYear),IKI37+IKI42+#REF!+#REF!,"")</f>
        <v/>
      </c>
      <c r="IKJ57" s="82" t="str">
        <f>IF(ISNUMBER(outYear),IKJ37+IKJ42+#REF!+#REF!,"")</f>
        <v/>
      </c>
      <c r="IKK57" s="82" t="str">
        <f>IF(ISNUMBER(outYear),IKK37+IKK42+#REF!+#REF!,"")</f>
        <v/>
      </c>
      <c r="IKL57" s="82" t="str">
        <f>IF(ISNUMBER(outYear),IKL37+IKL42+#REF!+#REF!,"")</f>
        <v/>
      </c>
      <c r="IKM57" s="82" t="str">
        <f>IF(ISNUMBER(outYear),IKM37+IKM42+#REF!+#REF!,"")</f>
        <v/>
      </c>
      <c r="IKN57" s="82" t="str">
        <f>IF(ISNUMBER(outYear),IKN37+IKN42+#REF!+#REF!,"")</f>
        <v/>
      </c>
      <c r="IKO57" s="82" t="str">
        <f>IF(ISNUMBER(outYear),IKO37+IKO42+#REF!+#REF!,"")</f>
        <v/>
      </c>
      <c r="IKP57" s="82" t="str">
        <f>IF(ISNUMBER(outYear),IKP37+IKP42+#REF!+#REF!,"")</f>
        <v/>
      </c>
      <c r="IKQ57" s="82" t="str">
        <f>IF(ISNUMBER(outYear),IKQ37+IKQ42+#REF!+#REF!,"")</f>
        <v/>
      </c>
      <c r="IKR57" s="82" t="str">
        <f>IF(ISNUMBER(outYear),IKR37+IKR42+#REF!+#REF!,"")</f>
        <v/>
      </c>
      <c r="IKS57" s="82" t="str">
        <f>IF(ISNUMBER(outYear),IKS37+IKS42+#REF!+#REF!,"")</f>
        <v/>
      </c>
      <c r="IKT57" s="82" t="str">
        <f>IF(ISNUMBER(outYear),IKT37+IKT42+#REF!+#REF!,"")</f>
        <v/>
      </c>
      <c r="IKU57" s="82" t="str">
        <f>IF(ISNUMBER(outYear),IKU37+IKU42+#REF!+#REF!,"")</f>
        <v/>
      </c>
      <c r="IKV57" s="82" t="str">
        <f>IF(ISNUMBER(outYear),IKV37+IKV42+#REF!+#REF!,"")</f>
        <v/>
      </c>
      <c r="IKW57" s="82" t="str">
        <f>IF(ISNUMBER(outYear),IKW37+IKW42+#REF!+#REF!,"")</f>
        <v/>
      </c>
      <c r="IKX57" s="82" t="str">
        <f>IF(ISNUMBER(outYear),IKX37+IKX42+#REF!+#REF!,"")</f>
        <v/>
      </c>
      <c r="IKY57" s="82" t="str">
        <f>IF(ISNUMBER(outYear),IKY37+IKY42+#REF!+#REF!,"")</f>
        <v/>
      </c>
      <c r="IKZ57" s="82" t="str">
        <f>IF(ISNUMBER(outYear),IKZ37+IKZ42+#REF!+#REF!,"")</f>
        <v/>
      </c>
      <c r="ILA57" s="82" t="str">
        <f>IF(ISNUMBER(outYear),ILA37+ILA42+#REF!+#REF!,"")</f>
        <v/>
      </c>
      <c r="ILB57" s="82" t="str">
        <f>IF(ISNUMBER(outYear),ILB37+ILB42+#REF!+#REF!,"")</f>
        <v/>
      </c>
      <c r="ILC57" s="82" t="str">
        <f>IF(ISNUMBER(outYear),ILC37+ILC42+#REF!+#REF!,"")</f>
        <v/>
      </c>
      <c r="ILD57" s="82" t="str">
        <f>IF(ISNUMBER(outYear),ILD37+ILD42+#REF!+#REF!,"")</f>
        <v/>
      </c>
      <c r="ILE57" s="82" t="str">
        <f>IF(ISNUMBER(outYear),ILE37+ILE42+#REF!+#REF!,"")</f>
        <v/>
      </c>
      <c r="ILF57" s="82" t="str">
        <f>IF(ISNUMBER(outYear),ILF37+ILF42+#REF!+#REF!,"")</f>
        <v/>
      </c>
      <c r="ILG57" s="82" t="str">
        <f>IF(ISNUMBER(outYear),ILG37+ILG42+#REF!+#REF!,"")</f>
        <v/>
      </c>
      <c r="ILH57" s="82" t="str">
        <f>IF(ISNUMBER(outYear),ILH37+ILH42+#REF!+#REF!,"")</f>
        <v/>
      </c>
      <c r="ILI57" s="82" t="str">
        <f>IF(ISNUMBER(outYear),ILI37+ILI42+#REF!+#REF!,"")</f>
        <v/>
      </c>
      <c r="ILJ57" s="82" t="str">
        <f>IF(ISNUMBER(outYear),ILJ37+ILJ42+#REF!+#REF!,"")</f>
        <v/>
      </c>
      <c r="ILK57" s="82" t="str">
        <f>IF(ISNUMBER(outYear),ILK37+ILK42+#REF!+#REF!,"")</f>
        <v/>
      </c>
      <c r="ILL57" s="82" t="str">
        <f>IF(ISNUMBER(outYear),ILL37+ILL42+#REF!+#REF!,"")</f>
        <v/>
      </c>
      <c r="ILM57" s="82" t="str">
        <f>IF(ISNUMBER(outYear),ILM37+ILM42+#REF!+#REF!,"")</f>
        <v/>
      </c>
      <c r="ILN57" s="82" t="str">
        <f>IF(ISNUMBER(outYear),ILN37+ILN42+#REF!+#REF!,"")</f>
        <v/>
      </c>
      <c r="ILO57" s="82" t="str">
        <f>IF(ISNUMBER(outYear),ILO37+ILO42+#REF!+#REF!,"")</f>
        <v/>
      </c>
      <c r="ILP57" s="82" t="str">
        <f>IF(ISNUMBER(outYear),ILP37+ILP42+#REF!+#REF!,"")</f>
        <v/>
      </c>
      <c r="ILQ57" s="82" t="str">
        <f>IF(ISNUMBER(outYear),ILQ37+ILQ42+#REF!+#REF!,"")</f>
        <v/>
      </c>
      <c r="ILR57" s="82" t="str">
        <f>IF(ISNUMBER(outYear),ILR37+ILR42+#REF!+#REF!,"")</f>
        <v/>
      </c>
      <c r="ILS57" s="82" t="str">
        <f>IF(ISNUMBER(outYear),ILS37+ILS42+#REF!+#REF!,"")</f>
        <v/>
      </c>
      <c r="ILT57" s="82" t="str">
        <f>IF(ISNUMBER(outYear),ILT37+ILT42+#REF!+#REF!,"")</f>
        <v/>
      </c>
      <c r="ILU57" s="82" t="str">
        <f>IF(ISNUMBER(outYear),ILU37+ILU42+#REF!+#REF!,"")</f>
        <v/>
      </c>
      <c r="ILV57" s="82" t="str">
        <f>IF(ISNUMBER(outYear),ILV37+ILV42+#REF!+#REF!,"")</f>
        <v/>
      </c>
      <c r="ILW57" s="82" t="str">
        <f>IF(ISNUMBER(outYear),ILW37+ILW42+#REF!+#REF!,"")</f>
        <v/>
      </c>
      <c r="ILX57" s="82" t="str">
        <f>IF(ISNUMBER(outYear),ILX37+ILX42+#REF!+#REF!,"")</f>
        <v/>
      </c>
      <c r="ILY57" s="82" t="str">
        <f>IF(ISNUMBER(outYear),ILY37+ILY42+#REF!+#REF!,"")</f>
        <v/>
      </c>
      <c r="ILZ57" s="82" t="str">
        <f>IF(ISNUMBER(outYear),ILZ37+ILZ42+#REF!+#REF!,"")</f>
        <v/>
      </c>
      <c r="IMA57" s="82" t="str">
        <f>IF(ISNUMBER(outYear),IMA37+IMA42+#REF!+#REF!,"")</f>
        <v/>
      </c>
      <c r="IMB57" s="82" t="str">
        <f>IF(ISNUMBER(outYear),IMB37+IMB42+#REF!+#REF!,"")</f>
        <v/>
      </c>
      <c r="IMC57" s="82" t="str">
        <f>IF(ISNUMBER(outYear),IMC37+IMC42+#REF!+#REF!,"")</f>
        <v/>
      </c>
      <c r="IMD57" s="82" t="str">
        <f>IF(ISNUMBER(outYear),IMD37+IMD42+#REF!+#REF!,"")</f>
        <v/>
      </c>
      <c r="IME57" s="82" t="str">
        <f>IF(ISNUMBER(outYear),IME37+IME42+#REF!+#REF!,"")</f>
        <v/>
      </c>
      <c r="IMF57" s="82" t="str">
        <f>IF(ISNUMBER(outYear),IMF37+IMF42+#REF!+#REF!,"")</f>
        <v/>
      </c>
      <c r="IMG57" s="82" t="str">
        <f>IF(ISNUMBER(outYear),IMG37+IMG42+#REF!+#REF!,"")</f>
        <v/>
      </c>
      <c r="IMH57" s="82" t="str">
        <f>IF(ISNUMBER(outYear),IMH37+IMH42+#REF!+#REF!,"")</f>
        <v/>
      </c>
      <c r="IMI57" s="82" t="str">
        <f>IF(ISNUMBER(outYear),IMI37+IMI42+#REF!+#REF!,"")</f>
        <v/>
      </c>
      <c r="IMJ57" s="82" t="str">
        <f>IF(ISNUMBER(outYear),IMJ37+IMJ42+#REF!+#REF!,"")</f>
        <v/>
      </c>
      <c r="IMK57" s="82" t="str">
        <f>IF(ISNUMBER(outYear),IMK37+IMK42+#REF!+#REF!,"")</f>
        <v/>
      </c>
      <c r="IML57" s="82" t="str">
        <f>IF(ISNUMBER(outYear),IML37+IML42+#REF!+#REF!,"")</f>
        <v/>
      </c>
      <c r="IMM57" s="82" t="str">
        <f>IF(ISNUMBER(outYear),IMM37+IMM42+#REF!+#REF!,"")</f>
        <v/>
      </c>
      <c r="IMN57" s="82" t="str">
        <f>IF(ISNUMBER(outYear),IMN37+IMN42+#REF!+#REF!,"")</f>
        <v/>
      </c>
      <c r="IMO57" s="82" t="str">
        <f>IF(ISNUMBER(outYear),IMO37+IMO42+#REF!+#REF!,"")</f>
        <v/>
      </c>
      <c r="IMP57" s="82" t="str">
        <f>IF(ISNUMBER(outYear),IMP37+IMP42+#REF!+#REF!,"")</f>
        <v/>
      </c>
      <c r="IMQ57" s="82" t="str">
        <f>IF(ISNUMBER(outYear),IMQ37+IMQ42+#REF!+#REF!,"")</f>
        <v/>
      </c>
      <c r="IMR57" s="82" t="str">
        <f>IF(ISNUMBER(outYear),IMR37+IMR42+#REF!+#REF!,"")</f>
        <v/>
      </c>
      <c r="IMS57" s="82" t="str">
        <f>IF(ISNUMBER(outYear),IMS37+IMS42+#REF!+#REF!,"")</f>
        <v/>
      </c>
      <c r="IMT57" s="82" t="str">
        <f>IF(ISNUMBER(outYear),IMT37+IMT42+#REF!+#REF!,"")</f>
        <v/>
      </c>
      <c r="IMU57" s="82" t="str">
        <f>IF(ISNUMBER(outYear),IMU37+IMU42+#REF!+#REF!,"")</f>
        <v/>
      </c>
      <c r="IMV57" s="82" t="str">
        <f>IF(ISNUMBER(outYear),IMV37+IMV42+#REF!+#REF!,"")</f>
        <v/>
      </c>
      <c r="IMW57" s="82" t="str">
        <f>IF(ISNUMBER(outYear),IMW37+IMW42+#REF!+#REF!,"")</f>
        <v/>
      </c>
      <c r="IMX57" s="82" t="str">
        <f>IF(ISNUMBER(outYear),IMX37+IMX42+#REF!+#REF!,"")</f>
        <v/>
      </c>
      <c r="IMY57" s="82" t="str">
        <f>IF(ISNUMBER(outYear),IMY37+IMY42+#REF!+#REF!,"")</f>
        <v/>
      </c>
      <c r="IMZ57" s="82" t="str">
        <f>IF(ISNUMBER(outYear),IMZ37+IMZ42+#REF!+#REF!,"")</f>
        <v/>
      </c>
      <c r="INA57" s="82" t="str">
        <f>IF(ISNUMBER(outYear),INA37+INA42+#REF!+#REF!,"")</f>
        <v/>
      </c>
      <c r="INB57" s="82" t="str">
        <f>IF(ISNUMBER(outYear),INB37+INB42+#REF!+#REF!,"")</f>
        <v/>
      </c>
      <c r="INC57" s="82" t="str">
        <f>IF(ISNUMBER(outYear),INC37+INC42+#REF!+#REF!,"")</f>
        <v/>
      </c>
      <c r="IND57" s="82" t="str">
        <f>IF(ISNUMBER(outYear),IND37+IND42+#REF!+#REF!,"")</f>
        <v/>
      </c>
      <c r="INE57" s="82" t="str">
        <f>IF(ISNUMBER(outYear),INE37+INE42+#REF!+#REF!,"")</f>
        <v/>
      </c>
      <c r="INF57" s="82" t="str">
        <f>IF(ISNUMBER(outYear),INF37+INF42+#REF!+#REF!,"")</f>
        <v/>
      </c>
      <c r="ING57" s="82" t="str">
        <f>IF(ISNUMBER(outYear),ING37+ING42+#REF!+#REF!,"")</f>
        <v/>
      </c>
      <c r="INH57" s="82" t="str">
        <f>IF(ISNUMBER(outYear),INH37+INH42+#REF!+#REF!,"")</f>
        <v/>
      </c>
      <c r="INI57" s="82" t="str">
        <f>IF(ISNUMBER(outYear),INI37+INI42+#REF!+#REF!,"")</f>
        <v/>
      </c>
      <c r="INJ57" s="82" t="str">
        <f>IF(ISNUMBER(outYear),INJ37+INJ42+#REF!+#REF!,"")</f>
        <v/>
      </c>
      <c r="INK57" s="82" t="str">
        <f>IF(ISNUMBER(outYear),INK37+INK42+#REF!+#REF!,"")</f>
        <v/>
      </c>
      <c r="INL57" s="82" t="str">
        <f>IF(ISNUMBER(outYear),INL37+INL42+#REF!+#REF!,"")</f>
        <v/>
      </c>
      <c r="INM57" s="82" t="str">
        <f>IF(ISNUMBER(outYear),INM37+INM42+#REF!+#REF!,"")</f>
        <v/>
      </c>
      <c r="INN57" s="82" t="str">
        <f>IF(ISNUMBER(outYear),INN37+INN42+#REF!+#REF!,"")</f>
        <v/>
      </c>
      <c r="INO57" s="82" t="str">
        <f>IF(ISNUMBER(outYear),INO37+INO42+#REF!+#REF!,"")</f>
        <v/>
      </c>
      <c r="INP57" s="82" t="str">
        <f>IF(ISNUMBER(outYear),INP37+INP42+#REF!+#REF!,"")</f>
        <v/>
      </c>
      <c r="INQ57" s="82" t="str">
        <f>IF(ISNUMBER(outYear),INQ37+INQ42+#REF!+#REF!,"")</f>
        <v/>
      </c>
      <c r="INR57" s="82" t="str">
        <f>IF(ISNUMBER(outYear),INR37+INR42+#REF!+#REF!,"")</f>
        <v/>
      </c>
      <c r="INS57" s="82" t="str">
        <f>IF(ISNUMBER(outYear),INS37+INS42+#REF!+#REF!,"")</f>
        <v/>
      </c>
      <c r="INT57" s="82" t="str">
        <f>IF(ISNUMBER(outYear),INT37+INT42+#REF!+#REF!,"")</f>
        <v/>
      </c>
      <c r="INU57" s="82" t="str">
        <f>IF(ISNUMBER(outYear),INU37+INU42+#REF!+#REF!,"")</f>
        <v/>
      </c>
      <c r="INV57" s="82" t="str">
        <f>IF(ISNUMBER(outYear),INV37+INV42+#REF!+#REF!,"")</f>
        <v/>
      </c>
      <c r="INW57" s="82" t="str">
        <f>IF(ISNUMBER(outYear),INW37+INW42+#REF!+#REF!,"")</f>
        <v/>
      </c>
      <c r="INX57" s="82" t="str">
        <f>IF(ISNUMBER(outYear),INX37+INX42+#REF!+#REF!,"")</f>
        <v/>
      </c>
      <c r="INY57" s="82" t="str">
        <f>IF(ISNUMBER(outYear),INY37+INY42+#REF!+#REF!,"")</f>
        <v/>
      </c>
      <c r="INZ57" s="82" t="str">
        <f>IF(ISNUMBER(outYear),INZ37+INZ42+#REF!+#REF!,"")</f>
        <v/>
      </c>
      <c r="IOA57" s="82" t="str">
        <f>IF(ISNUMBER(outYear),IOA37+IOA42+#REF!+#REF!,"")</f>
        <v/>
      </c>
      <c r="IOB57" s="82" t="str">
        <f>IF(ISNUMBER(outYear),IOB37+IOB42+#REF!+#REF!,"")</f>
        <v/>
      </c>
      <c r="IOC57" s="82" t="str">
        <f>IF(ISNUMBER(outYear),IOC37+IOC42+#REF!+#REF!,"")</f>
        <v/>
      </c>
      <c r="IOD57" s="82" t="str">
        <f>IF(ISNUMBER(outYear),IOD37+IOD42+#REF!+#REF!,"")</f>
        <v/>
      </c>
      <c r="IOE57" s="82" t="str">
        <f>IF(ISNUMBER(outYear),IOE37+IOE42+#REF!+#REF!,"")</f>
        <v/>
      </c>
      <c r="IOF57" s="82" t="str">
        <f>IF(ISNUMBER(outYear),IOF37+IOF42+#REF!+#REF!,"")</f>
        <v/>
      </c>
      <c r="IOG57" s="82" t="str">
        <f>IF(ISNUMBER(outYear),IOG37+IOG42+#REF!+#REF!,"")</f>
        <v/>
      </c>
      <c r="IOH57" s="82" t="str">
        <f>IF(ISNUMBER(outYear),IOH37+IOH42+#REF!+#REF!,"")</f>
        <v/>
      </c>
      <c r="IOI57" s="82" t="str">
        <f>IF(ISNUMBER(outYear),IOI37+IOI42+#REF!+#REF!,"")</f>
        <v/>
      </c>
      <c r="IOJ57" s="82" t="str">
        <f>IF(ISNUMBER(outYear),IOJ37+IOJ42+#REF!+#REF!,"")</f>
        <v/>
      </c>
      <c r="IOK57" s="82" t="str">
        <f>IF(ISNUMBER(outYear),IOK37+IOK42+#REF!+#REF!,"")</f>
        <v/>
      </c>
      <c r="IOL57" s="82" t="str">
        <f>IF(ISNUMBER(outYear),IOL37+IOL42+#REF!+#REF!,"")</f>
        <v/>
      </c>
      <c r="IOM57" s="82" t="str">
        <f>IF(ISNUMBER(outYear),IOM37+IOM42+#REF!+#REF!,"")</f>
        <v/>
      </c>
      <c r="ION57" s="82" t="str">
        <f>IF(ISNUMBER(outYear),ION37+ION42+#REF!+#REF!,"")</f>
        <v/>
      </c>
      <c r="IOO57" s="82" t="str">
        <f>IF(ISNUMBER(outYear),IOO37+IOO42+#REF!+#REF!,"")</f>
        <v/>
      </c>
      <c r="IOP57" s="82" t="str">
        <f>IF(ISNUMBER(outYear),IOP37+IOP42+#REF!+#REF!,"")</f>
        <v/>
      </c>
      <c r="IOQ57" s="82" t="str">
        <f>IF(ISNUMBER(outYear),IOQ37+IOQ42+#REF!+#REF!,"")</f>
        <v/>
      </c>
      <c r="IOR57" s="82" t="str">
        <f>IF(ISNUMBER(outYear),IOR37+IOR42+#REF!+#REF!,"")</f>
        <v/>
      </c>
      <c r="IOS57" s="82" t="str">
        <f>IF(ISNUMBER(outYear),IOS37+IOS42+#REF!+#REF!,"")</f>
        <v/>
      </c>
      <c r="IOT57" s="82" t="str">
        <f>IF(ISNUMBER(outYear),IOT37+IOT42+#REF!+#REF!,"")</f>
        <v/>
      </c>
      <c r="IOU57" s="82" t="str">
        <f>IF(ISNUMBER(outYear),IOU37+IOU42+#REF!+#REF!,"")</f>
        <v/>
      </c>
      <c r="IOV57" s="82" t="str">
        <f>IF(ISNUMBER(outYear),IOV37+IOV42+#REF!+#REF!,"")</f>
        <v/>
      </c>
      <c r="IOW57" s="82" t="str">
        <f>IF(ISNUMBER(outYear),IOW37+IOW42+#REF!+#REF!,"")</f>
        <v/>
      </c>
      <c r="IOX57" s="82" t="str">
        <f>IF(ISNUMBER(outYear),IOX37+IOX42+#REF!+#REF!,"")</f>
        <v/>
      </c>
      <c r="IOY57" s="82" t="str">
        <f>IF(ISNUMBER(outYear),IOY37+IOY42+#REF!+#REF!,"")</f>
        <v/>
      </c>
      <c r="IOZ57" s="82" t="str">
        <f>IF(ISNUMBER(outYear),IOZ37+IOZ42+#REF!+#REF!,"")</f>
        <v/>
      </c>
      <c r="IPA57" s="82" t="str">
        <f>IF(ISNUMBER(outYear),IPA37+IPA42+#REF!+#REF!,"")</f>
        <v/>
      </c>
      <c r="IPB57" s="82" t="str">
        <f>IF(ISNUMBER(outYear),IPB37+IPB42+#REF!+#REF!,"")</f>
        <v/>
      </c>
      <c r="IPC57" s="82" t="str">
        <f>IF(ISNUMBER(outYear),IPC37+IPC42+#REF!+#REF!,"")</f>
        <v/>
      </c>
      <c r="IPD57" s="82" t="str">
        <f>IF(ISNUMBER(outYear),IPD37+IPD42+#REF!+#REF!,"")</f>
        <v/>
      </c>
      <c r="IPE57" s="82" t="str">
        <f>IF(ISNUMBER(outYear),IPE37+IPE42+#REF!+#REF!,"")</f>
        <v/>
      </c>
      <c r="IPF57" s="82" t="str">
        <f>IF(ISNUMBER(outYear),IPF37+IPF42+#REF!+#REF!,"")</f>
        <v/>
      </c>
      <c r="IPG57" s="82" t="str">
        <f>IF(ISNUMBER(outYear),IPG37+IPG42+#REF!+#REF!,"")</f>
        <v/>
      </c>
      <c r="IPH57" s="82" t="str">
        <f>IF(ISNUMBER(outYear),IPH37+IPH42+#REF!+#REF!,"")</f>
        <v/>
      </c>
      <c r="IPI57" s="82" t="str">
        <f>IF(ISNUMBER(outYear),IPI37+IPI42+#REF!+#REF!,"")</f>
        <v/>
      </c>
      <c r="IPJ57" s="82" t="str">
        <f>IF(ISNUMBER(outYear),IPJ37+IPJ42+#REF!+#REF!,"")</f>
        <v/>
      </c>
      <c r="IPK57" s="82" t="str">
        <f>IF(ISNUMBER(outYear),IPK37+IPK42+#REF!+#REF!,"")</f>
        <v/>
      </c>
      <c r="IPL57" s="82" t="str">
        <f>IF(ISNUMBER(outYear),IPL37+IPL42+#REF!+#REF!,"")</f>
        <v/>
      </c>
      <c r="IPM57" s="82" t="str">
        <f>IF(ISNUMBER(outYear),IPM37+IPM42+#REF!+#REF!,"")</f>
        <v/>
      </c>
      <c r="IPN57" s="82" t="str">
        <f>IF(ISNUMBER(outYear),IPN37+IPN42+#REF!+#REF!,"")</f>
        <v/>
      </c>
      <c r="IPO57" s="82" t="str">
        <f>IF(ISNUMBER(outYear),IPO37+IPO42+#REF!+#REF!,"")</f>
        <v/>
      </c>
      <c r="IPP57" s="82" t="str">
        <f>IF(ISNUMBER(outYear),IPP37+IPP42+#REF!+#REF!,"")</f>
        <v/>
      </c>
      <c r="IPQ57" s="82" t="str">
        <f>IF(ISNUMBER(outYear),IPQ37+IPQ42+#REF!+#REF!,"")</f>
        <v/>
      </c>
      <c r="IPR57" s="82" t="str">
        <f>IF(ISNUMBER(outYear),IPR37+IPR42+#REF!+#REF!,"")</f>
        <v/>
      </c>
      <c r="IPS57" s="82" t="str">
        <f>IF(ISNUMBER(outYear),IPS37+IPS42+#REF!+#REF!,"")</f>
        <v/>
      </c>
      <c r="IPT57" s="82" t="str">
        <f>IF(ISNUMBER(outYear),IPT37+IPT42+#REF!+#REF!,"")</f>
        <v/>
      </c>
      <c r="IPU57" s="82" t="str">
        <f>IF(ISNUMBER(outYear),IPU37+IPU42+#REF!+#REF!,"")</f>
        <v/>
      </c>
      <c r="IPV57" s="82" t="str">
        <f>IF(ISNUMBER(outYear),IPV37+IPV42+#REF!+#REF!,"")</f>
        <v/>
      </c>
      <c r="IPW57" s="82" t="str">
        <f>IF(ISNUMBER(outYear),IPW37+IPW42+#REF!+#REF!,"")</f>
        <v/>
      </c>
      <c r="IPX57" s="82" t="str">
        <f>IF(ISNUMBER(outYear),IPX37+IPX42+#REF!+#REF!,"")</f>
        <v/>
      </c>
      <c r="IPY57" s="82" t="str">
        <f>IF(ISNUMBER(outYear),IPY37+IPY42+#REF!+#REF!,"")</f>
        <v/>
      </c>
      <c r="IPZ57" s="82" t="str">
        <f>IF(ISNUMBER(outYear),IPZ37+IPZ42+#REF!+#REF!,"")</f>
        <v/>
      </c>
      <c r="IQA57" s="82" t="str">
        <f>IF(ISNUMBER(outYear),IQA37+IQA42+#REF!+#REF!,"")</f>
        <v/>
      </c>
      <c r="IQB57" s="82" t="str">
        <f>IF(ISNUMBER(outYear),IQB37+IQB42+#REF!+#REF!,"")</f>
        <v/>
      </c>
      <c r="IQC57" s="82" t="str">
        <f>IF(ISNUMBER(outYear),IQC37+IQC42+#REF!+#REF!,"")</f>
        <v/>
      </c>
      <c r="IQD57" s="82" t="str">
        <f>IF(ISNUMBER(outYear),IQD37+IQD42+#REF!+#REF!,"")</f>
        <v/>
      </c>
      <c r="IQE57" s="82" t="str">
        <f>IF(ISNUMBER(outYear),IQE37+IQE42+#REF!+#REF!,"")</f>
        <v/>
      </c>
      <c r="IQF57" s="82" t="str">
        <f>IF(ISNUMBER(outYear),IQF37+IQF42+#REF!+#REF!,"")</f>
        <v/>
      </c>
      <c r="IQG57" s="82" t="str">
        <f>IF(ISNUMBER(outYear),IQG37+IQG42+#REF!+#REF!,"")</f>
        <v/>
      </c>
      <c r="IQH57" s="82" t="str">
        <f>IF(ISNUMBER(outYear),IQH37+IQH42+#REF!+#REF!,"")</f>
        <v/>
      </c>
      <c r="IQI57" s="82" t="str">
        <f>IF(ISNUMBER(outYear),IQI37+IQI42+#REF!+#REF!,"")</f>
        <v/>
      </c>
      <c r="IQJ57" s="82" t="str">
        <f>IF(ISNUMBER(outYear),IQJ37+IQJ42+#REF!+#REF!,"")</f>
        <v/>
      </c>
      <c r="IQK57" s="82" t="str">
        <f>IF(ISNUMBER(outYear),IQK37+IQK42+#REF!+#REF!,"")</f>
        <v/>
      </c>
      <c r="IQL57" s="82" t="str">
        <f>IF(ISNUMBER(outYear),IQL37+IQL42+#REF!+#REF!,"")</f>
        <v/>
      </c>
      <c r="IQM57" s="82" t="str">
        <f>IF(ISNUMBER(outYear),IQM37+IQM42+#REF!+#REF!,"")</f>
        <v/>
      </c>
      <c r="IQN57" s="82" t="str">
        <f>IF(ISNUMBER(outYear),IQN37+IQN42+#REF!+#REF!,"")</f>
        <v/>
      </c>
      <c r="IQO57" s="82" t="str">
        <f>IF(ISNUMBER(outYear),IQO37+IQO42+#REF!+#REF!,"")</f>
        <v/>
      </c>
      <c r="IQP57" s="82" t="str">
        <f>IF(ISNUMBER(outYear),IQP37+IQP42+#REF!+#REF!,"")</f>
        <v/>
      </c>
      <c r="IQQ57" s="82" t="str">
        <f>IF(ISNUMBER(outYear),IQQ37+IQQ42+#REF!+#REF!,"")</f>
        <v/>
      </c>
      <c r="IQR57" s="82" t="str">
        <f>IF(ISNUMBER(outYear),IQR37+IQR42+#REF!+#REF!,"")</f>
        <v/>
      </c>
      <c r="IQS57" s="82" t="str">
        <f>IF(ISNUMBER(outYear),IQS37+IQS42+#REF!+#REF!,"")</f>
        <v/>
      </c>
      <c r="IQT57" s="82" t="str">
        <f>IF(ISNUMBER(outYear),IQT37+IQT42+#REF!+#REF!,"")</f>
        <v/>
      </c>
      <c r="IQU57" s="82" t="str">
        <f>IF(ISNUMBER(outYear),IQU37+IQU42+#REF!+#REF!,"")</f>
        <v/>
      </c>
      <c r="IQV57" s="82" t="str">
        <f>IF(ISNUMBER(outYear),IQV37+IQV42+#REF!+#REF!,"")</f>
        <v/>
      </c>
      <c r="IQW57" s="82" t="str">
        <f>IF(ISNUMBER(outYear),IQW37+IQW42+#REF!+#REF!,"")</f>
        <v/>
      </c>
      <c r="IQX57" s="82" t="str">
        <f>IF(ISNUMBER(outYear),IQX37+IQX42+#REF!+#REF!,"")</f>
        <v/>
      </c>
      <c r="IQY57" s="82" t="str">
        <f>IF(ISNUMBER(outYear),IQY37+IQY42+#REF!+#REF!,"")</f>
        <v/>
      </c>
      <c r="IQZ57" s="82" t="str">
        <f>IF(ISNUMBER(outYear),IQZ37+IQZ42+#REF!+#REF!,"")</f>
        <v/>
      </c>
      <c r="IRA57" s="82" t="str">
        <f>IF(ISNUMBER(outYear),IRA37+IRA42+#REF!+#REF!,"")</f>
        <v/>
      </c>
      <c r="IRB57" s="82" t="str">
        <f>IF(ISNUMBER(outYear),IRB37+IRB42+#REF!+#REF!,"")</f>
        <v/>
      </c>
      <c r="IRC57" s="82" t="str">
        <f>IF(ISNUMBER(outYear),IRC37+IRC42+#REF!+#REF!,"")</f>
        <v/>
      </c>
      <c r="IRD57" s="82" t="str">
        <f>IF(ISNUMBER(outYear),IRD37+IRD42+#REF!+#REF!,"")</f>
        <v/>
      </c>
      <c r="IRE57" s="82" t="str">
        <f>IF(ISNUMBER(outYear),IRE37+IRE42+#REF!+#REF!,"")</f>
        <v/>
      </c>
      <c r="IRF57" s="82" t="str">
        <f>IF(ISNUMBER(outYear),IRF37+IRF42+#REF!+#REF!,"")</f>
        <v/>
      </c>
      <c r="IRG57" s="82" t="str">
        <f>IF(ISNUMBER(outYear),IRG37+IRG42+#REF!+#REF!,"")</f>
        <v/>
      </c>
      <c r="IRH57" s="82" t="str">
        <f>IF(ISNUMBER(outYear),IRH37+IRH42+#REF!+#REF!,"")</f>
        <v/>
      </c>
      <c r="IRI57" s="82" t="str">
        <f>IF(ISNUMBER(outYear),IRI37+IRI42+#REF!+#REF!,"")</f>
        <v/>
      </c>
      <c r="IRJ57" s="82" t="str">
        <f>IF(ISNUMBER(outYear),IRJ37+IRJ42+#REF!+#REF!,"")</f>
        <v/>
      </c>
      <c r="IRK57" s="82" t="str">
        <f>IF(ISNUMBER(outYear),IRK37+IRK42+#REF!+#REF!,"")</f>
        <v/>
      </c>
      <c r="IRL57" s="82" t="str">
        <f>IF(ISNUMBER(outYear),IRL37+IRL42+#REF!+#REF!,"")</f>
        <v/>
      </c>
      <c r="IRM57" s="82" t="str">
        <f>IF(ISNUMBER(outYear),IRM37+IRM42+#REF!+#REF!,"")</f>
        <v/>
      </c>
      <c r="IRN57" s="82" t="str">
        <f>IF(ISNUMBER(outYear),IRN37+IRN42+#REF!+#REF!,"")</f>
        <v/>
      </c>
      <c r="IRO57" s="82" t="str">
        <f>IF(ISNUMBER(outYear),IRO37+IRO42+#REF!+#REF!,"")</f>
        <v/>
      </c>
      <c r="IRP57" s="82" t="str">
        <f>IF(ISNUMBER(outYear),IRP37+IRP42+#REF!+#REF!,"")</f>
        <v/>
      </c>
      <c r="IRQ57" s="82" t="str">
        <f>IF(ISNUMBER(outYear),IRQ37+IRQ42+#REF!+#REF!,"")</f>
        <v/>
      </c>
      <c r="IRR57" s="82" t="str">
        <f>IF(ISNUMBER(outYear),IRR37+IRR42+#REF!+#REF!,"")</f>
        <v/>
      </c>
      <c r="IRS57" s="82" t="str">
        <f>IF(ISNUMBER(outYear),IRS37+IRS42+#REF!+#REF!,"")</f>
        <v/>
      </c>
      <c r="IRT57" s="82" t="str">
        <f>IF(ISNUMBER(outYear),IRT37+IRT42+#REF!+#REF!,"")</f>
        <v/>
      </c>
      <c r="IRU57" s="82" t="str">
        <f>IF(ISNUMBER(outYear),IRU37+IRU42+#REF!+#REF!,"")</f>
        <v/>
      </c>
      <c r="IRV57" s="82" t="str">
        <f>IF(ISNUMBER(outYear),IRV37+IRV42+#REF!+#REF!,"")</f>
        <v/>
      </c>
      <c r="IRW57" s="82" t="str">
        <f>IF(ISNUMBER(outYear),IRW37+IRW42+#REF!+#REF!,"")</f>
        <v/>
      </c>
      <c r="IRX57" s="82" t="str">
        <f>IF(ISNUMBER(outYear),IRX37+IRX42+#REF!+#REF!,"")</f>
        <v/>
      </c>
      <c r="IRY57" s="82" t="str">
        <f>IF(ISNUMBER(outYear),IRY37+IRY42+#REF!+#REF!,"")</f>
        <v/>
      </c>
      <c r="IRZ57" s="82" t="str">
        <f>IF(ISNUMBER(outYear),IRZ37+IRZ42+#REF!+#REF!,"")</f>
        <v/>
      </c>
      <c r="ISA57" s="82" t="str">
        <f>IF(ISNUMBER(outYear),ISA37+ISA42+#REF!+#REF!,"")</f>
        <v/>
      </c>
      <c r="ISB57" s="82" t="str">
        <f>IF(ISNUMBER(outYear),ISB37+ISB42+#REF!+#REF!,"")</f>
        <v/>
      </c>
      <c r="ISC57" s="82" t="str">
        <f>IF(ISNUMBER(outYear),ISC37+ISC42+#REF!+#REF!,"")</f>
        <v/>
      </c>
      <c r="ISD57" s="82" t="str">
        <f>IF(ISNUMBER(outYear),ISD37+ISD42+#REF!+#REF!,"")</f>
        <v/>
      </c>
      <c r="ISE57" s="82" t="str">
        <f>IF(ISNUMBER(outYear),ISE37+ISE42+#REF!+#REF!,"")</f>
        <v/>
      </c>
      <c r="ISF57" s="82" t="str">
        <f>IF(ISNUMBER(outYear),ISF37+ISF42+#REF!+#REF!,"")</f>
        <v/>
      </c>
      <c r="ISG57" s="82" t="str">
        <f>IF(ISNUMBER(outYear),ISG37+ISG42+#REF!+#REF!,"")</f>
        <v/>
      </c>
      <c r="ISH57" s="82" t="str">
        <f>IF(ISNUMBER(outYear),ISH37+ISH42+#REF!+#REF!,"")</f>
        <v/>
      </c>
      <c r="ISI57" s="82" t="str">
        <f>IF(ISNUMBER(outYear),ISI37+ISI42+#REF!+#REF!,"")</f>
        <v/>
      </c>
      <c r="ISJ57" s="82" t="str">
        <f>IF(ISNUMBER(outYear),ISJ37+ISJ42+#REF!+#REF!,"")</f>
        <v/>
      </c>
      <c r="ISK57" s="82" t="str">
        <f>IF(ISNUMBER(outYear),ISK37+ISK42+#REF!+#REF!,"")</f>
        <v/>
      </c>
      <c r="ISL57" s="82" t="str">
        <f>IF(ISNUMBER(outYear),ISL37+ISL42+#REF!+#REF!,"")</f>
        <v/>
      </c>
      <c r="ISM57" s="82" t="str">
        <f>IF(ISNUMBER(outYear),ISM37+ISM42+#REF!+#REF!,"")</f>
        <v/>
      </c>
      <c r="ISN57" s="82" t="str">
        <f>IF(ISNUMBER(outYear),ISN37+ISN42+#REF!+#REF!,"")</f>
        <v/>
      </c>
      <c r="ISO57" s="82" t="str">
        <f>IF(ISNUMBER(outYear),ISO37+ISO42+#REF!+#REF!,"")</f>
        <v/>
      </c>
      <c r="ISP57" s="82" t="str">
        <f>IF(ISNUMBER(outYear),ISP37+ISP42+#REF!+#REF!,"")</f>
        <v/>
      </c>
      <c r="ISQ57" s="82" t="str">
        <f>IF(ISNUMBER(outYear),ISQ37+ISQ42+#REF!+#REF!,"")</f>
        <v/>
      </c>
      <c r="ISR57" s="82" t="str">
        <f>IF(ISNUMBER(outYear),ISR37+ISR42+#REF!+#REF!,"")</f>
        <v/>
      </c>
      <c r="ISS57" s="82" t="str">
        <f>IF(ISNUMBER(outYear),ISS37+ISS42+#REF!+#REF!,"")</f>
        <v/>
      </c>
      <c r="IST57" s="82" t="str">
        <f>IF(ISNUMBER(outYear),IST37+IST42+#REF!+#REF!,"")</f>
        <v/>
      </c>
      <c r="ISU57" s="82" t="str">
        <f>IF(ISNUMBER(outYear),ISU37+ISU42+#REF!+#REF!,"")</f>
        <v/>
      </c>
      <c r="ISV57" s="82" t="str">
        <f>IF(ISNUMBER(outYear),ISV37+ISV42+#REF!+#REF!,"")</f>
        <v/>
      </c>
      <c r="ISW57" s="82" t="str">
        <f>IF(ISNUMBER(outYear),ISW37+ISW42+#REF!+#REF!,"")</f>
        <v/>
      </c>
      <c r="ISX57" s="82" t="str">
        <f>IF(ISNUMBER(outYear),ISX37+ISX42+#REF!+#REF!,"")</f>
        <v/>
      </c>
      <c r="ISY57" s="82" t="str">
        <f>IF(ISNUMBER(outYear),ISY37+ISY42+#REF!+#REF!,"")</f>
        <v/>
      </c>
      <c r="ISZ57" s="82" t="str">
        <f>IF(ISNUMBER(outYear),ISZ37+ISZ42+#REF!+#REF!,"")</f>
        <v/>
      </c>
      <c r="ITA57" s="82" t="str">
        <f>IF(ISNUMBER(outYear),ITA37+ITA42+#REF!+#REF!,"")</f>
        <v/>
      </c>
      <c r="ITB57" s="82" t="str">
        <f>IF(ISNUMBER(outYear),ITB37+ITB42+#REF!+#REF!,"")</f>
        <v/>
      </c>
      <c r="ITC57" s="82" t="str">
        <f>IF(ISNUMBER(outYear),ITC37+ITC42+#REF!+#REF!,"")</f>
        <v/>
      </c>
      <c r="ITD57" s="82" t="str">
        <f>IF(ISNUMBER(outYear),ITD37+ITD42+#REF!+#REF!,"")</f>
        <v/>
      </c>
      <c r="ITE57" s="82" t="str">
        <f>IF(ISNUMBER(outYear),ITE37+ITE42+#REF!+#REF!,"")</f>
        <v/>
      </c>
      <c r="ITF57" s="82" t="str">
        <f>IF(ISNUMBER(outYear),ITF37+ITF42+#REF!+#REF!,"")</f>
        <v/>
      </c>
      <c r="ITG57" s="82" t="str">
        <f>IF(ISNUMBER(outYear),ITG37+ITG42+#REF!+#REF!,"")</f>
        <v/>
      </c>
      <c r="ITH57" s="82" t="str">
        <f>IF(ISNUMBER(outYear),ITH37+ITH42+#REF!+#REF!,"")</f>
        <v/>
      </c>
      <c r="ITI57" s="82" t="str">
        <f>IF(ISNUMBER(outYear),ITI37+ITI42+#REF!+#REF!,"")</f>
        <v/>
      </c>
      <c r="ITJ57" s="82" t="str">
        <f>IF(ISNUMBER(outYear),ITJ37+ITJ42+#REF!+#REF!,"")</f>
        <v/>
      </c>
      <c r="ITK57" s="82" t="str">
        <f>IF(ISNUMBER(outYear),ITK37+ITK42+#REF!+#REF!,"")</f>
        <v/>
      </c>
      <c r="ITL57" s="82" t="str">
        <f>IF(ISNUMBER(outYear),ITL37+ITL42+#REF!+#REF!,"")</f>
        <v/>
      </c>
      <c r="ITM57" s="82" t="str">
        <f>IF(ISNUMBER(outYear),ITM37+ITM42+#REF!+#REF!,"")</f>
        <v/>
      </c>
      <c r="ITN57" s="82" t="str">
        <f>IF(ISNUMBER(outYear),ITN37+ITN42+#REF!+#REF!,"")</f>
        <v/>
      </c>
      <c r="ITO57" s="82" t="str">
        <f>IF(ISNUMBER(outYear),ITO37+ITO42+#REF!+#REF!,"")</f>
        <v/>
      </c>
      <c r="ITP57" s="82" t="str">
        <f>IF(ISNUMBER(outYear),ITP37+ITP42+#REF!+#REF!,"")</f>
        <v/>
      </c>
      <c r="ITQ57" s="82" t="str">
        <f>IF(ISNUMBER(outYear),ITQ37+ITQ42+#REF!+#REF!,"")</f>
        <v/>
      </c>
      <c r="ITR57" s="82" t="str">
        <f>IF(ISNUMBER(outYear),ITR37+ITR42+#REF!+#REF!,"")</f>
        <v/>
      </c>
      <c r="ITS57" s="82" t="str">
        <f>IF(ISNUMBER(outYear),ITS37+ITS42+#REF!+#REF!,"")</f>
        <v/>
      </c>
      <c r="ITT57" s="82" t="str">
        <f>IF(ISNUMBER(outYear),ITT37+ITT42+#REF!+#REF!,"")</f>
        <v/>
      </c>
      <c r="ITU57" s="82" t="str">
        <f>IF(ISNUMBER(outYear),ITU37+ITU42+#REF!+#REF!,"")</f>
        <v/>
      </c>
      <c r="ITV57" s="82" t="str">
        <f>IF(ISNUMBER(outYear),ITV37+ITV42+#REF!+#REF!,"")</f>
        <v/>
      </c>
      <c r="ITW57" s="82" t="str">
        <f>IF(ISNUMBER(outYear),ITW37+ITW42+#REF!+#REF!,"")</f>
        <v/>
      </c>
      <c r="ITX57" s="82" t="str">
        <f>IF(ISNUMBER(outYear),ITX37+ITX42+#REF!+#REF!,"")</f>
        <v/>
      </c>
      <c r="ITY57" s="82" t="str">
        <f>IF(ISNUMBER(outYear),ITY37+ITY42+#REF!+#REF!,"")</f>
        <v/>
      </c>
      <c r="ITZ57" s="82" t="str">
        <f>IF(ISNUMBER(outYear),ITZ37+ITZ42+#REF!+#REF!,"")</f>
        <v/>
      </c>
      <c r="IUA57" s="82" t="str">
        <f>IF(ISNUMBER(outYear),IUA37+IUA42+#REF!+#REF!,"")</f>
        <v/>
      </c>
      <c r="IUB57" s="82" t="str">
        <f>IF(ISNUMBER(outYear),IUB37+IUB42+#REF!+#REF!,"")</f>
        <v/>
      </c>
      <c r="IUC57" s="82" t="str">
        <f>IF(ISNUMBER(outYear),IUC37+IUC42+#REF!+#REF!,"")</f>
        <v/>
      </c>
      <c r="IUD57" s="82" t="str">
        <f>IF(ISNUMBER(outYear),IUD37+IUD42+#REF!+#REF!,"")</f>
        <v/>
      </c>
      <c r="IUE57" s="82" t="str">
        <f>IF(ISNUMBER(outYear),IUE37+IUE42+#REF!+#REF!,"")</f>
        <v/>
      </c>
      <c r="IUF57" s="82" t="str">
        <f>IF(ISNUMBER(outYear),IUF37+IUF42+#REF!+#REF!,"")</f>
        <v/>
      </c>
      <c r="IUG57" s="82" t="str">
        <f>IF(ISNUMBER(outYear),IUG37+IUG42+#REF!+#REF!,"")</f>
        <v/>
      </c>
      <c r="IUH57" s="82" t="str">
        <f>IF(ISNUMBER(outYear),IUH37+IUH42+#REF!+#REF!,"")</f>
        <v/>
      </c>
      <c r="IUI57" s="82" t="str">
        <f>IF(ISNUMBER(outYear),IUI37+IUI42+#REF!+#REF!,"")</f>
        <v/>
      </c>
      <c r="IUJ57" s="82" t="str">
        <f>IF(ISNUMBER(outYear),IUJ37+IUJ42+#REF!+#REF!,"")</f>
        <v/>
      </c>
      <c r="IUK57" s="82" t="str">
        <f>IF(ISNUMBER(outYear),IUK37+IUK42+#REF!+#REF!,"")</f>
        <v/>
      </c>
      <c r="IUL57" s="82" t="str">
        <f>IF(ISNUMBER(outYear),IUL37+IUL42+#REF!+#REF!,"")</f>
        <v/>
      </c>
      <c r="IUM57" s="82" t="str">
        <f>IF(ISNUMBER(outYear),IUM37+IUM42+#REF!+#REF!,"")</f>
        <v/>
      </c>
      <c r="IUN57" s="82" t="str">
        <f>IF(ISNUMBER(outYear),IUN37+IUN42+#REF!+#REF!,"")</f>
        <v/>
      </c>
      <c r="IUO57" s="82" t="str">
        <f>IF(ISNUMBER(outYear),IUO37+IUO42+#REF!+#REF!,"")</f>
        <v/>
      </c>
      <c r="IUP57" s="82" t="str">
        <f>IF(ISNUMBER(outYear),IUP37+IUP42+#REF!+#REF!,"")</f>
        <v/>
      </c>
      <c r="IUQ57" s="82" t="str">
        <f>IF(ISNUMBER(outYear),IUQ37+IUQ42+#REF!+#REF!,"")</f>
        <v/>
      </c>
      <c r="IUR57" s="82" t="str">
        <f>IF(ISNUMBER(outYear),IUR37+IUR42+#REF!+#REF!,"")</f>
        <v/>
      </c>
      <c r="IUS57" s="82" t="str">
        <f>IF(ISNUMBER(outYear),IUS37+IUS42+#REF!+#REF!,"")</f>
        <v/>
      </c>
      <c r="IUT57" s="82" t="str">
        <f>IF(ISNUMBER(outYear),IUT37+IUT42+#REF!+#REF!,"")</f>
        <v/>
      </c>
      <c r="IUU57" s="82" t="str">
        <f>IF(ISNUMBER(outYear),IUU37+IUU42+#REF!+#REF!,"")</f>
        <v/>
      </c>
      <c r="IUV57" s="82" t="str">
        <f>IF(ISNUMBER(outYear),IUV37+IUV42+#REF!+#REF!,"")</f>
        <v/>
      </c>
      <c r="IUW57" s="82" t="str">
        <f>IF(ISNUMBER(outYear),IUW37+IUW42+#REF!+#REF!,"")</f>
        <v/>
      </c>
      <c r="IUX57" s="82" t="str">
        <f>IF(ISNUMBER(outYear),IUX37+IUX42+#REF!+#REF!,"")</f>
        <v/>
      </c>
      <c r="IUY57" s="82" t="str">
        <f>IF(ISNUMBER(outYear),IUY37+IUY42+#REF!+#REF!,"")</f>
        <v/>
      </c>
      <c r="IUZ57" s="82" t="str">
        <f>IF(ISNUMBER(outYear),IUZ37+IUZ42+#REF!+#REF!,"")</f>
        <v/>
      </c>
      <c r="IVA57" s="82" t="str">
        <f>IF(ISNUMBER(outYear),IVA37+IVA42+#REF!+#REF!,"")</f>
        <v/>
      </c>
      <c r="IVB57" s="82" t="str">
        <f>IF(ISNUMBER(outYear),IVB37+IVB42+#REF!+#REF!,"")</f>
        <v/>
      </c>
      <c r="IVC57" s="82" t="str">
        <f>IF(ISNUMBER(outYear),IVC37+IVC42+#REF!+#REF!,"")</f>
        <v/>
      </c>
      <c r="IVD57" s="82" t="str">
        <f>IF(ISNUMBER(outYear),IVD37+IVD42+#REF!+#REF!,"")</f>
        <v/>
      </c>
      <c r="IVE57" s="82" t="str">
        <f>IF(ISNUMBER(outYear),IVE37+IVE42+#REF!+#REF!,"")</f>
        <v/>
      </c>
      <c r="IVF57" s="82" t="str">
        <f>IF(ISNUMBER(outYear),IVF37+IVF42+#REF!+#REF!,"")</f>
        <v/>
      </c>
      <c r="IVG57" s="82" t="str">
        <f>IF(ISNUMBER(outYear),IVG37+IVG42+#REF!+#REF!,"")</f>
        <v/>
      </c>
      <c r="IVH57" s="82" t="str">
        <f>IF(ISNUMBER(outYear),IVH37+IVH42+#REF!+#REF!,"")</f>
        <v/>
      </c>
      <c r="IVI57" s="82" t="str">
        <f>IF(ISNUMBER(outYear),IVI37+IVI42+#REF!+#REF!,"")</f>
        <v/>
      </c>
      <c r="IVJ57" s="82" t="str">
        <f>IF(ISNUMBER(outYear),IVJ37+IVJ42+#REF!+#REF!,"")</f>
        <v/>
      </c>
      <c r="IVK57" s="82" t="str">
        <f>IF(ISNUMBER(outYear),IVK37+IVK42+#REF!+#REF!,"")</f>
        <v/>
      </c>
      <c r="IVL57" s="82" t="str">
        <f>IF(ISNUMBER(outYear),IVL37+IVL42+#REF!+#REF!,"")</f>
        <v/>
      </c>
      <c r="IVM57" s="82" t="str">
        <f>IF(ISNUMBER(outYear),IVM37+IVM42+#REF!+#REF!,"")</f>
        <v/>
      </c>
      <c r="IVN57" s="82" t="str">
        <f>IF(ISNUMBER(outYear),IVN37+IVN42+#REF!+#REF!,"")</f>
        <v/>
      </c>
      <c r="IVO57" s="82" t="str">
        <f>IF(ISNUMBER(outYear),IVO37+IVO42+#REF!+#REF!,"")</f>
        <v/>
      </c>
      <c r="IVP57" s="82" t="str">
        <f>IF(ISNUMBER(outYear),IVP37+IVP42+#REF!+#REF!,"")</f>
        <v/>
      </c>
      <c r="IVQ57" s="82" t="str">
        <f>IF(ISNUMBER(outYear),IVQ37+IVQ42+#REF!+#REF!,"")</f>
        <v/>
      </c>
      <c r="IVR57" s="82" t="str">
        <f>IF(ISNUMBER(outYear),IVR37+IVR42+#REF!+#REF!,"")</f>
        <v/>
      </c>
      <c r="IVS57" s="82" t="str">
        <f>IF(ISNUMBER(outYear),IVS37+IVS42+#REF!+#REF!,"")</f>
        <v/>
      </c>
      <c r="IVT57" s="82" t="str">
        <f>IF(ISNUMBER(outYear),IVT37+IVT42+#REF!+#REF!,"")</f>
        <v/>
      </c>
      <c r="IVU57" s="82" t="str">
        <f>IF(ISNUMBER(outYear),IVU37+IVU42+#REF!+#REF!,"")</f>
        <v/>
      </c>
      <c r="IVV57" s="82" t="str">
        <f>IF(ISNUMBER(outYear),IVV37+IVV42+#REF!+#REF!,"")</f>
        <v/>
      </c>
      <c r="IVW57" s="82" t="str">
        <f>IF(ISNUMBER(outYear),IVW37+IVW42+#REF!+#REF!,"")</f>
        <v/>
      </c>
      <c r="IVX57" s="82" t="str">
        <f>IF(ISNUMBER(outYear),IVX37+IVX42+#REF!+#REF!,"")</f>
        <v/>
      </c>
      <c r="IVY57" s="82" t="str">
        <f>IF(ISNUMBER(outYear),IVY37+IVY42+#REF!+#REF!,"")</f>
        <v/>
      </c>
      <c r="IVZ57" s="82" t="str">
        <f>IF(ISNUMBER(outYear),IVZ37+IVZ42+#REF!+#REF!,"")</f>
        <v/>
      </c>
      <c r="IWA57" s="82" t="str">
        <f>IF(ISNUMBER(outYear),IWA37+IWA42+#REF!+#REF!,"")</f>
        <v/>
      </c>
      <c r="IWB57" s="82" t="str">
        <f>IF(ISNUMBER(outYear),IWB37+IWB42+#REF!+#REF!,"")</f>
        <v/>
      </c>
      <c r="IWC57" s="82" t="str">
        <f>IF(ISNUMBER(outYear),IWC37+IWC42+#REF!+#REF!,"")</f>
        <v/>
      </c>
      <c r="IWD57" s="82" t="str">
        <f>IF(ISNUMBER(outYear),IWD37+IWD42+#REF!+#REF!,"")</f>
        <v/>
      </c>
      <c r="IWE57" s="82" t="str">
        <f>IF(ISNUMBER(outYear),IWE37+IWE42+#REF!+#REF!,"")</f>
        <v/>
      </c>
      <c r="IWF57" s="82" t="str">
        <f>IF(ISNUMBER(outYear),IWF37+IWF42+#REF!+#REF!,"")</f>
        <v/>
      </c>
      <c r="IWG57" s="82" t="str">
        <f>IF(ISNUMBER(outYear),IWG37+IWG42+#REF!+#REF!,"")</f>
        <v/>
      </c>
      <c r="IWH57" s="82" t="str">
        <f>IF(ISNUMBER(outYear),IWH37+IWH42+#REF!+#REF!,"")</f>
        <v/>
      </c>
      <c r="IWI57" s="82" t="str">
        <f>IF(ISNUMBER(outYear),IWI37+IWI42+#REF!+#REF!,"")</f>
        <v/>
      </c>
      <c r="IWJ57" s="82" t="str">
        <f>IF(ISNUMBER(outYear),IWJ37+IWJ42+#REF!+#REF!,"")</f>
        <v/>
      </c>
      <c r="IWK57" s="82" t="str">
        <f>IF(ISNUMBER(outYear),IWK37+IWK42+#REF!+#REF!,"")</f>
        <v/>
      </c>
      <c r="IWL57" s="82" t="str">
        <f>IF(ISNUMBER(outYear),IWL37+IWL42+#REF!+#REF!,"")</f>
        <v/>
      </c>
      <c r="IWM57" s="82" t="str">
        <f>IF(ISNUMBER(outYear),IWM37+IWM42+#REF!+#REF!,"")</f>
        <v/>
      </c>
      <c r="IWN57" s="82" t="str">
        <f>IF(ISNUMBER(outYear),IWN37+IWN42+#REF!+#REF!,"")</f>
        <v/>
      </c>
      <c r="IWO57" s="82" t="str">
        <f>IF(ISNUMBER(outYear),IWO37+IWO42+#REF!+#REF!,"")</f>
        <v/>
      </c>
      <c r="IWP57" s="82" t="str">
        <f>IF(ISNUMBER(outYear),IWP37+IWP42+#REF!+#REF!,"")</f>
        <v/>
      </c>
      <c r="IWQ57" s="82" t="str">
        <f>IF(ISNUMBER(outYear),IWQ37+IWQ42+#REF!+#REF!,"")</f>
        <v/>
      </c>
      <c r="IWR57" s="82" t="str">
        <f>IF(ISNUMBER(outYear),IWR37+IWR42+#REF!+#REF!,"")</f>
        <v/>
      </c>
      <c r="IWS57" s="82" t="str">
        <f>IF(ISNUMBER(outYear),IWS37+IWS42+#REF!+#REF!,"")</f>
        <v/>
      </c>
      <c r="IWT57" s="82" t="str">
        <f>IF(ISNUMBER(outYear),IWT37+IWT42+#REF!+#REF!,"")</f>
        <v/>
      </c>
      <c r="IWU57" s="82" t="str">
        <f>IF(ISNUMBER(outYear),IWU37+IWU42+#REF!+#REF!,"")</f>
        <v/>
      </c>
      <c r="IWV57" s="82" t="str">
        <f>IF(ISNUMBER(outYear),IWV37+IWV42+#REF!+#REF!,"")</f>
        <v/>
      </c>
      <c r="IWW57" s="82" t="str">
        <f>IF(ISNUMBER(outYear),IWW37+IWW42+#REF!+#REF!,"")</f>
        <v/>
      </c>
      <c r="IWX57" s="82" t="str">
        <f>IF(ISNUMBER(outYear),IWX37+IWX42+#REF!+#REF!,"")</f>
        <v/>
      </c>
      <c r="IWY57" s="82" t="str">
        <f>IF(ISNUMBER(outYear),IWY37+IWY42+#REF!+#REF!,"")</f>
        <v/>
      </c>
      <c r="IWZ57" s="82" t="str">
        <f>IF(ISNUMBER(outYear),IWZ37+IWZ42+#REF!+#REF!,"")</f>
        <v/>
      </c>
      <c r="IXA57" s="82" t="str">
        <f>IF(ISNUMBER(outYear),IXA37+IXA42+#REF!+#REF!,"")</f>
        <v/>
      </c>
      <c r="IXB57" s="82" t="str">
        <f>IF(ISNUMBER(outYear),IXB37+IXB42+#REF!+#REF!,"")</f>
        <v/>
      </c>
      <c r="IXC57" s="82" t="str">
        <f>IF(ISNUMBER(outYear),IXC37+IXC42+#REF!+#REF!,"")</f>
        <v/>
      </c>
      <c r="IXD57" s="82" t="str">
        <f>IF(ISNUMBER(outYear),IXD37+IXD42+#REF!+#REF!,"")</f>
        <v/>
      </c>
      <c r="IXE57" s="82" t="str">
        <f>IF(ISNUMBER(outYear),IXE37+IXE42+#REF!+#REF!,"")</f>
        <v/>
      </c>
      <c r="IXF57" s="82" t="str">
        <f>IF(ISNUMBER(outYear),IXF37+IXF42+#REF!+#REF!,"")</f>
        <v/>
      </c>
      <c r="IXG57" s="82" t="str">
        <f>IF(ISNUMBER(outYear),IXG37+IXG42+#REF!+#REF!,"")</f>
        <v/>
      </c>
      <c r="IXH57" s="82" t="str">
        <f>IF(ISNUMBER(outYear),IXH37+IXH42+#REF!+#REF!,"")</f>
        <v/>
      </c>
      <c r="IXI57" s="82" t="str">
        <f>IF(ISNUMBER(outYear),IXI37+IXI42+#REF!+#REF!,"")</f>
        <v/>
      </c>
      <c r="IXJ57" s="82" t="str">
        <f>IF(ISNUMBER(outYear),IXJ37+IXJ42+#REF!+#REF!,"")</f>
        <v/>
      </c>
      <c r="IXK57" s="82" t="str">
        <f>IF(ISNUMBER(outYear),IXK37+IXK42+#REF!+#REF!,"")</f>
        <v/>
      </c>
      <c r="IXL57" s="82" t="str">
        <f>IF(ISNUMBER(outYear),IXL37+IXL42+#REF!+#REF!,"")</f>
        <v/>
      </c>
      <c r="IXM57" s="82" t="str">
        <f>IF(ISNUMBER(outYear),IXM37+IXM42+#REF!+#REF!,"")</f>
        <v/>
      </c>
      <c r="IXN57" s="82" t="str">
        <f>IF(ISNUMBER(outYear),IXN37+IXN42+#REF!+#REF!,"")</f>
        <v/>
      </c>
      <c r="IXO57" s="82" t="str">
        <f>IF(ISNUMBER(outYear),IXO37+IXO42+#REF!+#REF!,"")</f>
        <v/>
      </c>
      <c r="IXP57" s="82" t="str">
        <f>IF(ISNUMBER(outYear),IXP37+IXP42+#REF!+#REF!,"")</f>
        <v/>
      </c>
      <c r="IXQ57" s="82" t="str">
        <f>IF(ISNUMBER(outYear),IXQ37+IXQ42+#REF!+#REF!,"")</f>
        <v/>
      </c>
      <c r="IXR57" s="82" t="str">
        <f>IF(ISNUMBER(outYear),IXR37+IXR42+#REF!+#REF!,"")</f>
        <v/>
      </c>
      <c r="IXS57" s="82" t="str">
        <f>IF(ISNUMBER(outYear),IXS37+IXS42+#REF!+#REF!,"")</f>
        <v/>
      </c>
      <c r="IXT57" s="82" t="str">
        <f>IF(ISNUMBER(outYear),IXT37+IXT42+#REF!+#REF!,"")</f>
        <v/>
      </c>
      <c r="IXU57" s="82" t="str">
        <f>IF(ISNUMBER(outYear),IXU37+IXU42+#REF!+#REF!,"")</f>
        <v/>
      </c>
      <c r="IXV57" s="82" t="str">
        <f>IF(ISNUMBER(outYear),IXV37+IXV42+#REF!+#REF!,"")</f>
        <v/>
      </c>
      <c r="IXW57" s="82" t="str">
        <f>IF(ISNUMBER(outYear),IXW37+IXW42+#REF!+#REF!,"")</f>
        <v/>
      </c>
      <c r="IXX57" s="82" t="str">
        <f>IF(ISNUMBER(outYear),IXX37+IXX42+#REF!+#REF!,"")</f>
        <v/>
      </c>
      <c r="IXY57" s="82" t="str">
        <f>IF(ISNUMBER(outYear),IXY37+IXY42+#REF!+#REF!,"")</f>
        <v/>
      </c>
      <c r="IXZ57" s="82" t="str">
        <f>IF(ISNUMBER(outYear),IXZ37+IXZ42+#REF!+#REF!,"")</f>
        <v/>
      </c>
      <c r="IYA57" s="82" t="str">
        <f>IF(ISNUMBER(outYear),IYA37+IYA42+#REF!+#REF!,"")</f>
        <v/>
      </c>
      <c r="IYB57" s="82" t="str">
        <f>IF(ISNUMBER(outYear),IYB37+IYB42+#REF!+#REF!,"")</f>
        <v/>
      </c>
      <c r="IYC57" s="82" t="str">
        <f>IF(ISNUMBER(outYear),IYC37+IYC42+#REF!+#REF!,"")</f>
        <v/>
      </c>
      <c r="IYD57" s="82" t="str">
        <f>IF(ISNUMBER(outYear),IYD37+IYD42+#REF!+#REF!,"")</f>
        <v/>
      </c>
      <c r="IYE57" s="82" t="str">
        <f>IF(ISNUMBER(outYear),IYE37+IYE42+#REF!+#REF!,"")</f>
        <v/>
      </c>
      <c r="IYF57" s="82" t="str">
        <f>IF(ISNUMBER(outYear),IYF37+IYF42+#REF!+#REF!,"")</f>
        <v/>
      </c>
      <c r="IYG57" s="82" t="str">
        <f>IF(ISNUMBER(outYear),IYG37+IYG42+#REF!+#REF!,"")</f>
        <v/>
      </c>
      <c r="IYH57" s="82" t="str">
        <f>IF(ISNUMBER(outYear),IYH37+IYH42+#REF!+#REF!,"")</f>
        <v/>
      </c>
      <c r="IYI57" s="82" t="str">
        <f>IF(ISNUMBER(outYear),IYI37+IYI42+#REF!+#REF!,"")</f>
        <v/>
      </c>
      <c r="IYJ57" s="82" t="str">
        <f>IF(ISNUMBER(outYear),IYJ37+IYJ42+#REF!+#REF!,"")</f>
        <v/>
      </c>
      <c r="IYK57" s="82" t="str">
        <f>IF(ISNUMBER(outYear),IYK37+IYK42+#REF!+#REF!,"")</f>
        <v/>
      </c>
      <c r="IYL57" s="82" t="str">
        <f>IF(ISNUMBER(outYear),IYL37+IYL42+#REF!+#REF!,"")</f>
        <v/>
      </c>
      <c r="IYM57" s="82" t="str">
        <f>IF(ISNUMBER(outYear),IYM37+IYM42+#REF!+#REF!,"")</f>
        <v/>
      </c>
      <c r="IYN57" s="82" t="str">
        <f>IF(ISNUMBER(outYear),IYN37+IYN42+#REF!+#REF!,"")</f>
        <v/>
      </c>
      <c r="IYO57" s="82" t="str">
        <f>IF(ISNUMBER(outYear),IYO37+IYO42+#REF!+#REF!,"")</f>
        <v/>
      </c>
      <c r="IYP57" s="82" t="str">
        <f>IF(ISNUMBER(outYear),IYP37+IYP42+#REF!+#REF!,"")</f>
        <v/>
      </c>
      <c r="IYQ57" s="82" t="str">
        <f>IF(ISNUMBER(outYear),IYQ37+IYQ42+#REF!+#REF!,"")</f>
        <v/>
      </c>
      <c r="IYR57" s="82" t="str">
        <f>IF(ISNUMBER(outYear),IYR37+IYR42+#REF!+#REF!,"")</f>
        <v/>
      </c>
      <c r="IYS57" s="82" t="str">
        <f>IF(ISNUMBER(outYear),IYS37+IYS42+#REF!+#REF!,"")</f>
        <v/>
      </c>
      <c r="IYT57" s="82" t="str">
        <f>IF(ISNUMBER(outYear),IYT37+IYT42+#REF!+#REF!,"")</f>
        <v/>
      </c>
      <c r="IYU57" s="82" t="str">
        <f>IF(ISNUMBER(outYear),IYU37+IYU42+#REF!+#REF!,"")</f>
        <v/>
      </c>
      <c r="IYV57" s="82" t="str">
        <f>IF(ISNUMBER(outYear),IYV37+IYV42+#REF!+#REF!,"")</f>
        <v/>
      </c>
      <c r="IYW57" s="82" t="str">
        <f>IF(ISNUMBER(outYear),IYW37+IYW42+#REF!+#REF!,"")</f>
        <v/>
      </c>
      <c r="IYX57" s="82" t="str">
        <f>IF(ISNUMBER(outYear),IYX37+IYX42+#REF!+#REF!,"")</f>
        <v/>
      </c>
      <c r="IYY57" s="82" t="str">
        <f>IF(ISNUMBER(outYear),IYY37+IYY42+#REF!+#REF!,"")</f>
        <v/>
      </c>
      <c r="IYZ57" s="82" t="str">
        <f>IF(ISNUMBER(outYear),IYZ37+IYZ42+#REF!+#REF!,"")</f>
        <v/>
      </c>
      <c r="IZA57" s="82" t="str">
        <f>IF(ISNUMBER(outYear),IZA37+IZA42+#REF!+#REF!,"")</f>
        <v/>
      </c>
      <c r="IZB57" s="82" t="str">
        <f>IF(ISNUMBER(outYear),IZB37+IZB42+#REF!+#REF!,"")</f>
        <v/>
      </c>
      <c r="IZC57" s="82" t="str">
        <f>IF(ISNUMBER(outYear),IZC37+IZC42+#REF!+#REF!,"")</f>
        <v/>
      </c>
      <c r="IZD57" s="82" t="str">
        <f>IF(ISNUMBER(outYear),IZD37+IZD42+#REF!+#REF!,"")</f>
        <v/>
      </c>
      <c r="IZE57" s="82" t="str">
        <f>IF(ISNUMBER(outYear),IZE37+IZE42+#REF!+#REF!,"")</f>
        <v/>
      </c>
      <c r="IZF57" s="82" t="str">
        <f>IF(ISNUMBER(outYear),IZF37+IZF42+#REF!+#REF!,"")</f>
        <v/>
      </c>
      <c r="IZG57" s="82" t="str">
        <f>IF(ISNUMBER(outYear),IZG37+IZG42+#REF!+#REF!,"")</f>
        <v/>
      </c>
      <c r="IZH57" s="82" t="str">
        <f>IF(ISNUMBER(outYear),IZH37+IZH42+#REF!+#REF!,"")</f>
        <v/>
      </c>
      <c r="IZI57" s="82" t="str">
        <f>IF(ISNUMBER(outYear),IZI37+IZI42+#REF!+#REF!,"")</f>
        <v/>
      </c>
      <c r="IZJ57" s="82" t="str">
        <f>IF(ISNUMBER(outYear),IZJ37+IZJ42+#REF!+#REF!,"")</f>
        <v/>
      </c>
      <c r="IZK57" s="82" t="str">
        <f>IF(ISNUMBER(outYear),IZK37+IZK42+#REF!+#REF!,"")</f>
        <v/>
      </c>
      <c r="IZL57" s="82" t="str">
        <f>IF(ISNUMBER(outYear),IZL37+IZL42+#REF!+#REF!,"")</f>
        <v/>
      </c>
      <c r="IZM57" s="82" t="str">
        <f>IF(ISNUMBER(outYear),IZM37+IZM42+#REF!+#REF!,"")</f>
        <v/>
      </c>
      <c r="IZN57" s="82" t="str">
        <f>IF(ISNUMBER(outYear),IZN37+IZN42+#REF!+#REF!,"")</f>
        <v/>
      </c>
      <c r="IZO57" s="82" t="str">
        <f>IF(ISNUMBER(outYear),IZO37+IZO42+#REF!+#REF!,"")</f>
        <v/>
      </c>
      <c r="IZP57" s="82" t="str">
        <f>IF(ISNUMBER(outYear),IZP37+IZP42+#REF!+#REF!,"")</f>
        <v/>
      </c>
      <c r="IZQ57" s="82" t="str">
        <f>IF(ISNUMBER(outYear),IZQ37+IZQ42+#REF!+#REF!,"")</f>
        <v/>
      </c>
      <c r="IZR57" s="82" t="str">
        <f>IF(ISNUMBER(outYear),IZR37+IZR42+#REF!+#REF!,"")</f>
        <v/>
      </c>
      <c r="IZS57" s="82" t="str">
        <f>IF(ISNUMBER(outYear),IZS37+IZS42+#REF!+#REF!,"")</f>
        <v/>
      </c>
      <c r="IZT57" s="82" t="str">
        <f>IF(ISNUMBER(outYear),IZT37+IZT42+#REF!+#REF!,"")</f>
        <v/>
      </c>
      <c r="IZU57" s="82" t="str">
        <f>IF(ISNUMBER(outYear),IZU37+IZU42+#REF!+#REF!,"")</f>
        <v/>
      </c>
      <c r="IZV57" s="82" t="str">
        <f>IF(ISNUMBER(outYear),IZV37+IZV42+#REF!+#REF!,"")</f>
        <v/>
      </c>
      <c r="IZW57" s="82" t="str">
        <f>IF(ISNUMBER(outYear),IZW37+IZW42+#REF!+#REF!,"")</f>
        <v/>
      </c>
      <c r="IZX57" s="82" t="str">
        <f>IF(ISNUMBER(outYear),IZX37+IZX42+#REF!+#REF!,"")</f>
        <v/>
      </c>
      <c r="IZY57" s="82" t="str">
        <f>IF(ISNUMBER(outYear),IZY37+IZY42+#REF!+#REF!,"")</f>
        <v/>
      </c>
      <c r="IZZ57" s="82" t="str">
        <f>IF(ISNUMBER(outYear),IZZ37+IZZ42+#REF!+#REF!,"")</f>
        <v/>
      </c>
      <c r="JAA57" s="82" t="str">
        <f>IF(ISNUMBER(outYear),JAA37+JAA42+#REF!+#REF!,"")</f>
        <v/>
      </c>
      <c r="JAB57" s="82" t="str">
        <f>IF(ISNUMBER(outYear),JAB37+JAB42+#REF!+#REF!,"")</f>
        <v/>
      </c>
      <c r="JAC57" s="82" t="str">
        <f>IF(ISNUMBER(outYear),JAC37+JAC42+#REF!+#REF!,"")</f>
        <v/>
      </c>
      <c r="JAD57" s="82" t="str">
        <f>IF(ISNUMBER(outYear),JAD37+JAD42+#REF!+#REF!,"")</f>
        <v/>
      </c>
      <c r="JAE57" s="82" t="str">
        <f>IF(ISNUMBER(outYear),JAE37+JAE42+#REF!+#REF!,"")</f>
        <v/>
      </c>
      <c r="JAF57" s="82" t="str">
        <f>IF(ISNUMBER(outYear),JAF37+JAF42+#REF!+#REF!,"")</f>
        <v/>
      </c>
      <c r="JAG57" s="82" t="str">
        <f>IF(ISNUMBER(outYear),JAG37+JAG42+#REF!+#REF!,"")</f>
        <v/>
      </c>
      <c r="JAH57" s="82" t="str">
        <f>IF(ISNUMBER(outYear),JAH37+JAH42+#REF!+#REF!,"")</f>
        <v/>
      </c>
      <c r="JAI57" s="82" t="str">
        <f>IF(ISNUMBER(outYear),JAI37+JAI42+#REF!+#REF!,"")</f>
        <v/>
      </c>
      <c r="JAJ57" s="82" t="str">
        <f>IF(ISNUMBER(outYear),JAJ37+JAJ42+#REF!+#REF!,"")</f>
        <v/>
      </c>
      <c r="JAK57" s="82" t="str">
        <f>IF(ISNUMBER(outYear),JAK37+JAK42+#REF!+#REF!,"")</f>
        <v/>
      </c>
      <c r="JAL57" s="82" t="str">
        <f>IF(ISNUMBER(outYear),JAL37+JAL42+#REF!+#REF!,"")</f>
        <v/>
      </c>
      <c r="JAM57" s="82" t="str">
        <f>IF(ISNUMBER(outYear),JAM37+JAM42+#REF!+#REF!,"")</f>
        <v/>
      </c>
      <c r="JAN57" s="82" t="str">
        <f>IF(ISNUMBER(outYear),JAN37+JAN42+#REF!+#REF!,"")</f>
        <v/>
      </c>
      <c r="JAO57" s="82" t="str">
        <f>IF(ISNUMBER(outYear),JAO37+JAO42+#REF!+#REF!,"")</f>
        <v/>
      </c>
      <c r="JAP57" s="82" t="str">
        <f>IF(ISNUMBER(outYear),JAP37+JAP42+#REF!+#REF!,"")</f>
        <v/>
      </c>
      <c r="JAQ57" s="82" t="str">
        <f>IF(ISNUMBER(outYear),JAQ37+JAQ42+#REF!+#REF!,"")</f>
        <v/>
      </c>
      <c r="JAR57" s="82" t="str">
        <f>IF(ISNUMBER(outYear),JAR37+JAR42+#REF!+#REF!,"")</f>
        <v/>
      </c>
      <c r="JAS57" s="82" t="str">
        <f>IF(ISNUMBER(outYear),JAS37+JAS42+#REF!+#REF!,"")</f>
        <v/>
      </c>
      <c r="JAT57" s="82" t="str">
        <f>IF(ISNUMBER(outYear),JAT37+JAT42+#REF!+#REF!,"")</f>
        <v/>
      </c>
      <c r="JAU57" s="82" t="str">
        <f>IF(ISNUMBER(outYear),JAU37+JAU42+#REF!+#REF!,"")</f>
        <v/>
      </c>
      <c r="JAV57" s="82" t="str">
        <f>IF(ISNUMBER(outYear),JAV37+JAV42+#REF!+#REF!,"")</f>
        <v/>
      </c>
      <c r="JAW57" s="82" t="str">
        <f>IF(ISNUMBER(outYear),JAW37+JAW42+#REF!+#REF!,"")</f>
        <v/>
      </c>
      <c r="JAX57" s="82" t="str">
        <f>IF(ISNUMBER(outYear),JAX37+JAX42+#REF!+#REF!,"")</f>
        <v/>
      </c>
      <c r="JAY57" s="82" t="str">
        <f>IF(ISNUMBER(outYear),JAY37+JAY42+#REF!+#REF!,"")</f>
        <v/>
      </c>
      <c r="JAZ57" s="82" t="str">
        <f>IF(ISNUMBER(outYear),JAZ37+JAZ42+#REF!+#REF!,"")</f>
        <v/>
      </c>
      <c r="JBA57" s="82" t="str">
        <f>IF(ISNUMBER(outYear),JBA37+JBA42+#REF!+#REF!,"")</f>
        <v/>
      </c>
      <c r="JBB57" s="82" t="str">
        <f>IF(ISNUMBER(outYear),JBB37+JBB42+#REF!+#REF!,"")</f>
        <v/>
      </c>
      <c r="JBC57" s="82" t="str">
        <f>IF(ISNUMBER(outYear),JBC37+JBC42+#REF!+#REF!,"")</f>
        <v/>
      </c>
      <c r="JBD57" s="82" t="str">
        <f>IF(ISNUMBER(outYear),JBD37+JBD42+#REF!+#REF!,"")</f>
        <v/>
      </c>
      <c r="JBE57" s="82" t="str">
        <f>IF(ISNUMBER(outYear),JBE37+JBE42+#REF!+#REF!,"")</f>
        <v/>
      </c>
      <c r="JBF57" s="82" t="str">
        <f>IF(ISNUMBER(outYear),JBF37+JBF42+#REF!+#REF!,"")</f>
        <v/>
      </c>
      <c r="JBG57" s="82" t="str">
        <f>IF(ISNUMBER(outYear),JBG37+JBG42+#REF!+#REF!,"")</f>
        <v/>
      </c>
      <c r="JBH57" s="82" t="str">
        <f>IF(ISNUMBER(outYear),JBH37+JBH42+#REF!+#REF!,"")</f>
        <v/>
      </c>
      <c r="JBI57" s="82" t="str">
        <f>IF(ISNUMBER(outYear),JBI37+JBI42+#REF!+#REF!,"")</f>
        <v/>
      </c>
      <c r="JBJ57" s="82" t="str">
        <f>IF(ISNUMBER(outYear),JBJ37+JBJ42+#REF!+#REF!,"")</f>
        <v/>
      </c>
      <c r="JBK57" s="82" t="str">
        <f>IF(ISNUMBER(outYear),JBK37+JBK42+#REF!+#REF!,"")</f>
        <v/>
      </c>
      <c r="JBL57" s="82" t="str">
        <f>IF(ISNUMBER(outYear),JBL37+JBL42+#REF!+#REF!,"")</f>
        <v/>
      </c>
      <c r="JBM57" s="82" t="str">
        <f>IF(ISNUMBER(outYear),JBM37+JBM42+#REF!+#REF!,"")</f>
        <v/>
      </c>
      <c r="JBN57" s="82" t="str">
        <f>IF(ISNUMBER(outYear),JBN37+JBN42+#REF!+#REF!,"")</f>
        <v/>
      </c>
      <c r="JBO57" s="82" t="str">
        <f>IF(ISNUMBER(outYear),JBO37+JBO42+#REF!+#REF!,"")</f>
        <v/>
      </c>
      <c r="JBP57" s="82" t="str">
        <f>IF(ISNUMBER(outYear),JBP37+JBP42+#REF!+#REF!,"")</f>
        <v/>
      </c>
      <c r="JBQ57" s="82" t="str">
        <f>IF(ISNUMBER(outYear),JBQ37+JBQ42+#REF!+#REF!,"")</f>
        <v/>
      </c>
      <c r="JBR57" s="82" t="str">
        <f>IF(ISNUMBER(outYear),JBR37+JBR42+#REF!+#REF!,"")</f>
        <v/>
      </c>
      <c r="JBS57" s="82" t="str">
        <f>IF(ISNUMBER(outYear),JBS37+JBS42+#REF!+#REF!,"")</f>
        <v/>
      </c>
      <c r="JBT57" s="82" t="str">
        <f>IF(ISNUMBER(outYear),JBT37+JBT42+#REF!+#REF!,"")</f>
        <v/>
      </c>
      <c r="JBU57" s="82" t="str">
        <f>IF(ISNUMBER(outYear),JBU37+JBU42+#REF!+#REF!,"")</f>
        <v/>
      </c>
      <c r="JBV57" s="82" t="str">
        <f>IF(ISNUMBER(outYear),JBV37+JBV42+#REF!+#REF!,"")</f>
        <v/>
      </c>
      <c r="JBW57" s="82" t="str">
        <f>IF(ISNUMBER(outYear),JBW37+JBW42+#REF!+#REF!,"")</f>
        <v/>
      </c>
      <c r="JBX57" s="82" t="str">
        <f>IF(ISNUMBER(outYear),JBX37+JBX42+#REF!+#REF!,"")</f>
        <v/>
      </c>
      <c r="JBY57" s="82" t="str">
        <f>IF(ISNUMBER(outYear),JBY37+JBY42+#REF!+#REF!,"")</f>
        <v/>
      </c>
      <c r="JBZ57" s="82" t="str">
        <f>IF(ISNUMBER(outYear),JBZ37+JBZ42+#REF!+#REF!,"")</f>
        <v/>
      </c>
      <c r="JCA57" s="82" t="str">
        <f>IF(ISNUMBER(outYear),JCA37+JCA42+#REF!+#REF!,"")</f>
        <v/>
      </c>
      <c r="JCB57" s="82" t="str">
        <f>IF(ISNUMBER(outYear),JCB37+JCB42+#REF!+#REF!,"")</f>
        <v/>
      </c>
      <c r="JCC57" s="82" t="str">
        <f>IF(ISNUMBER(outYear),JCC37+JCC42+#REF!+#REF!,"")</f>
        <v/>
      </c>
      <c r="JCD57" s="82" t="str">
        <f>IF(ISNUMBER(outYear),JCD37+JCD42+#REF!+#REF!,"")</f>
        <v/>
      </c>
      <c r="JCE57" s="82" t="str">
        <f>IF(ISNUMBER(outYear),JCE37+JCE42+#REF!+#REF!,"")</f>
        <v/>
      </c>
      <c r="JCF57" s="82" t="str">
        <f>IF(ISNUMBER(outYear),JCF37+JCF42+#REF!+#REF!,"")</f>
        <v/>
      </c>
      <c r="JCG57" s="82" t="str">
        <f>IF(ISNUMBER(outYear),JCG37+JCG42+#REF!+#REF!,"")</f>
        <v/>
      </c>
      <c r="JCH57" s="82" t="str">
        <f>IF(ISNUMBER(outYear),JCH37+JCH42+#REF!+#REF!,"")</f>
        <v/>
      </c>
      <c r="JCI57" s="82" t="str">
        <f>IF(ISNUMBER(outYear),JCI37+JCI42+#REF!+#REF!,"")</f>
        <v/>
      </c>
      <c r="JCJ57" s="82" t="str">
        <f>IF(ISNUMBER(outYear),JCJ37+JCJ42+#REF!+#REF!,"")</f>
        <v/>
      </c>
      <c r="JCK57" s="82" t="str">
        <f>IF(ISNUMBER(outYear),JCK37+JCK42+#REF!+#REF!,"")</f>
        <v/>
      </c>
      <c r="JCL57" s="82" t="str">
        <f>IF(ISNUMBER(outYear),JCL37+JCL42+#REF!+#REF!,"")</f>
        <v/>
      </c>
      <c r="JCM57" s="82" t="str">
        <f>IF(ISNUMBER(outYear),JCM37+JCM42+#REF!+#REF!,"")</f>
        <v/>
      </c>
      <c r="JCN57" s="82" t="str">
        <f>IF(ISNUMBER(outYear),JCN37+JCN42+#REF!+#REF!,"")</f>
        <v/>
      </c>
      <c r="JCO57" s="82" t="str">
        <f>IF(ISNUMBER(outYear),JCO37+JCO42+#REF!+#REF!,"")</f>
        <v/>
      </c>
      <c r="JCP57" s="82" t="str">
        <f>IF(ISNUMBER(outYear),JCP37+JCP42+#REF!+#REF!,"")</f>
        <v/>
      </c>
      <c r="JCQ57" s="82" t="str">
        <f>IF(ISNUMBER(outYear),JCQ37+JCQ42+#REF!+#REF!,"")</f>
        <v/>
      </c>
      <c r="JCR57" s="82" t="str">
        <f>IF(ISNUMBER(outYear),JCR37+JCR42+#REF!+#REF!,"")</f>
        <v/>
      </c>
      <c r="JCS57" s="82" t="str">
        <f>IF(ISNUMBER(outYear),JCS37+JCS42+#REF!+#REF!,"")</f>
        <v/>
      </c>
      <c r="JCT57" s="82" t="str">
        <f>IF(ISNUMBER(outYear),JCT37+JCT42+#REF!+#REF!,"")</f>
        <v/>
      </c>
      <c r="JCU57" s="82" t="str">
        <f>IF(ISNUMBER(outYear),JCU37+JCU42+#REF!+#REF!,"")</f>
        <v/>
      </c>
      <c r="JCV57" s="82" t="str">
        <f>IF(ISNUMBER(outYear),JCV37+JCV42+#REF!+#REF!,"")</f>
        <v/>
      </c>
      <c r="JCW57" s="82" t="str">
        <f>IF(ISNUMBER(outYear),JCW37+JCW42+#REF!+#REF!,"")</f>
        <v/>
      </c>
      <c r="JCX57" s="82" t="str">
        <f>IF(ISNUMBER(outYear),JCX37+JCX42+#REF!+#REF!,"")</f>
        <v/>
      </c>
      <c r="JCY57" s="82" t="str">
        <f>IF(ISNUMBER(outYear),JCY37+JCY42+#REF!+#REF!,"")</f>
        <v/>
      </c>
      <c r="JCZ57" s="82" t="str">
        <f>IF(ISNUMBER(outYear),JCZ37+JCZ42+#REF!+#REF!,"")</f>
        <v/>
      </c>
      <c r="JDA57" s="82" t="str">
        <f>IF(ISNUMBER(outYear),JDA37+JDA42+#REF!+#REF!,"")</f>
        <v/>
      </c>
      <c r="JDB57" s="82" t="str">
        <f>IF(ISNUMBER(outYear),JDB37+JDB42+#REF!+#REF!,"")</f>
        <v/>
      </c>
      <c r="JDC57" s="82" t="str">
        <f>IF(ISNUMBER(outYear),JDC37+JDC42+#REF!+#REF!,"")</f>
        <v/>
      </c>
      <c r="JDD57" s="82" t="str">
        <f>IF(ISNUMBER(outYear),JDD37+JDD42+#REF!+#REF!,"")</f>
        <v/>
      </c>
      <c r="JDE57" s="82" t="str">
        <f>IF(ISNUMBER(outYear),JDE37+JDE42+#REF!+#REF!,"")</f>
        <v/>
      </c>
      <c r="JDF57" s="82" t="str">
        <f>IF(ISNUMBER(outYear),JDF37+JDF42+#REF!+#REF!,"")</f>
        <v/>
      </c>
      <c r="JDG57" s="82" t="str">
        <f>IF(ISNUMBER(outYear),JDG37+JDG42+#REF!+#REF!,"")</f>
        <v/>
      </c>
      <c r="JDH57" s="82" t="str">
        <f>IF(ISNUMBER(outYear),JDH37+JDH42+#REF!+#REF!,"")</f>
        <v/>
      </c>
      <c r="JDI57" s="82" t="str">
        <f>IF(ISNUMBER(outYear),JDI37+JDI42+#REF!+#REF!,"")</f>
        <v/>
      </c>
      <c r="JDJ57" s="82" t="str">
        <f>IF(ISNUMBER(outYear),JDJ37+JDJ42+#REF!+#REF!,"")</f>
        <v/>
      </c>
      <c r="JDK57" s="82" t="str">
        <f>IF(ISNUMBER(outYear),JDK37+JDK42+#REF!+#REF!,"")</f>
        <v/>
      </c>
      <c r="JDL57" s="82" t="str">
        <f>IF(ISNUMBER(outYear),JDL37+JDL42+#REF!+#REF!,"")</f>
        <v/>
      </c>
      <c r="JDM57" s="82" t="str">
        <f>IF(ISNUMBER(outYear),JDM37+JDM42+#REF!+#REF!,"")</f>
        <v/>
      </c>
      <c r="JDN57" s="82" t="str">
        <f>IF(ISNUMBER(outYear),JDN37+JDN42+#REF!+#REF!,"")</f>
        <v/>
      </c>
      <c r="JDO57" s="82" t="str">
        <f>IF(ISNUMBER(outYear),JDO37+JDO42+#REF!+#REF!,"")</f>
        <v/>
      </c>
      <c r="JDP57" s="82" t="str">
        <f>IF(ISNUMBER(outYear),JDP37+JDP42+#REF!+#REF!,"")</f>
        <v/>
      </c>
      <c r="JDQ57" s="82" t="str">
        <f>IF(ISNUMBER(outYear),JDQ37+JDQ42+#REF!+#REF!,"")</f>
        <v/>
      </c>
      <c r="JDR57" s="82" t="str">
        <f>IF(ISNUMBER(outYear),JDR37+JDR42+#REF!+#REF!,"")</f>
        <v/>
      </c>
      <c r="JDS57" s="82" t="str">
        <f>IF(ISNUMBER(outYear),JDS37+JDS42+#REF!+#REF!,"")</f>
        <v/>
      </c>
      <c r="JDT57" s="82" t="str">
        <f>IF(ISNUMBER(outYear),JDT37+JDT42+#REF!+#REF!,"")</f>
        <v/>
      </c>
      <c r="JDU57" s="82" t="str">
        <f>IF(ISNUMBER(outYear),JDU37+JDU42+#REF!+#REF!,"")</f>
        <v/>
      </c>
      <c r="JDV57" s="82" t="str">
        <f>IF(ISNUMBER(outYear),JDV37+JDV42+#REF!+#REF!,"")</f>
        <v/>
      </c>
      <c r="JDW57" s="82" t="str">
        <f>IF(ISNUMBER(outYear),JDW37+JDW42+#REF!+#REF!,"")</f>
        <v/>
      </c>
      <c r="JDX57" s="82" t="str">
        <f>IF(ISNUMBER(outYear),JDX37+JDX42+#REF!+#REF!,"")</f>
        <v/>
      </c>
      <c r="JDY57" s="82" t="str">
        <f>IF(ISNUMBER(outYear),JDY37+JDY42+#REF!+#REF!,"")</f>
        <v/>
      </c>
      <c r="JDZ57" s="82" t="str">
        <f>IF(ISNUMBER(outYear),JDZ37+JDZ42+#REF!+#REF!,"")</f>
        <v/>
      </c>
      <c r="JEA57" s="82" t="str">
        <f>IF(ISNUMBER(outYear),JEA37+JEA42+#REF!+#REF!,"")</f>
        <v/>
      </c>
      <c r="JEB57" s="82" t="str">
        <f>IF(ISNUMBER(outYear),JEB37+JEB42+#REF!+#REF!,"")</f>
        <v/>
      </c>
      <c r="JEC57" s="82" t="str">
        <f>IF(ISNUMBER(outYear),JEC37+JEC42+#REF!+#REF!,"")</f>
        <v/>
      </c>
      <c r="JED57" s="82" t="str">
        <f>IF(ISNUMBER(outYear),JED37+JED42+#REF!+#REF!,"")</f>
        <v/>
      </c>
      <c r="JEE57" s="82" t="str">
        <f>IF(ISNUMBER(outYear),JEE37+JEE42+#REF!+#REF!,"")</f>
        <v/>
      </c>
      <c r="JEF57" s="82" t="str">
        <f>IF(ISNUMBER(outYear),JEF37+JEF42+#REF!+#REF!,"")</f>
        <v/>
      </c>
      <c r="JEG57" s="82" t="str">
        <f>IF(ISNUMBER(outYear),JEG37+JEG42+#REF!+#REF!,"")</f>
        <v/>
      </c>
      <c r="JEH57" s="82" t="str">
        <f>IF(ISNUMBER(outYear),JEH37+JEH42+#REF!+#REF!,"")</f>
        <v/>
      </c>
      <c r="JEI57" s="82" t="str">
        <f>IF(ISNUMBER(outYear),JEI37+JEI42+#REF!+#REF!,"")</f>
        <v/>
      </c>
      <c r="JEJ57" s="82" t="str">
        <f>IF(ISNUMBER(outYear),JEJ37+JEJ42+#REF!+#REF!,"")</f>
        <v/>
      </c>
      <c r="JEK57" s="82" t="str">
        <f>IF(ISNUMBER(outYear),JEK37+JEK42+#REF!+#REF!,"")</f>
        <v/>
      </c>
      <c r="JEL57" s="82" t="str">
        <f>IF(ISNUMBER(outYear),JEL37+JEL42+#REF!+#REF!,"")</f>
        <v/>
      </c>
      <c r="JEM57" s="82" t="str">
        <f>IF(ISNUMBER(outYear),JEM37+JEM42+#REF!+#REF!,"")</f>
        <v/>
      </c>
      <c r="JEN57" s="82" t="str">
        <f>IF(ISNUMBER(outYear),JEN37+JEN42+#REF!+#REF!,"")</f>
        <v/>
      </c>
      <c r="JEO57" s="82" t="str">
        <f>IF(ISNUMBER(outYear),JEO37+JEO42+#REF!+#REF!,"")</f>
        <v/>
      </c>
      <c r="JEP57" s="82" t="str">
        <f>IF(ISNUMBER(outYear),JEP37+JEP42+#REF!+#REF!,"")</f>
        <v/>
      </c>
      <c r="JEQ57" s="82" t="str">
        <f>IF(ISNUMBER(outYear),JEQ37+JEQ42+#REF!+#REF!,"")</f>
        <v/>
      </c>
      <c r="JER57" s="82" t="str">
        <f>IF(ISNUMBER(outYear),JER37+JER42+#REF!+#REF!,"")</f>
        <v/>
      </c>
      <c r="JES57" s="82" t="str">
        <f>IF(ISNUMBER(outYear),JES37+JES42+#REF!+#REF!,"")</f>
        <v/>
      </c>
      <c r="JET57" s="82" t="str">
        <f>IF(ISNUMBER(outYear),JET37+JET42+#REF!+#REF!,"")</f>
        <v/>
      </c>
      <c r="JEU57" s="82" t="str">
        <f>IF(ISNUMBER(outYear),JEU37+JEU42+#REF!+#REF!,"")</f>
        <v/>
      </c>
      <c r="JEV57" s="82" t="str">
        <f>IF(ISNUMBER(outYear),JEV37+JEV42+#REF!+#REF!,"")</f>
        <v/>
      </c>
      <c r="JEW57" s="82" t="str">
        <f>IF(ISNUMBER(outYear),JEW37+JEW42+#REF!+#REF!,"")</f>
        <v/>
      </c>
      <c r="JEX57" s="82" t="str">
        <f>IF(ISNUMBER(outYear),JEX37+JEX42+#REF!+#REF!,"")</f>
        <v/>
      </c>
      <c r="JEY57" s="82" t="str">
        <f>IF(ISNUMBER(outYear),JEY37+JEY42+#REF!+#REF!,"")</f>
        <v/>
      </c>
      <c r="JEZ57" s="82" t="str">
        <f>IF(ISNUMBER(outYear),JEZ37+JEZ42+#REF!+#REF!,"")</f>
        <v/>
      </c>
      <c r="JFA57" s="82" t="str">
        <f>IF(ISNUMBER(outYear),JFA37+JFA42+#REF!+#REF!,"")</f>
        <v/>
      </c>
      <c r="JFB57" s="82" t="str">
        <f>IF(ISNUMBER(outYear),JFB37+JFB42+#REF!+#REF!,"")</f>
        <v/>
      </c>
      <c r="JFC57" s="82" t="str">
        <f>IF(ISNUMBER(outYear),JFC37+JFC42+#REF!+#REF!,"")</f>
        <v/>
      </c>
      <c r="JFD57" s="82" t="str">
        <f>IF(ISNUMBER(outYear),JFD37+JFD42+#REF!+#REF!,"")</f>
        <v/>
      </c>
      <c r="JFE57" s="82" t="str">
        <f>IF(ISNUMBER(outYear),JFE37+JFE42+#REF!+#REF!,"")</f>
        <v/>
      </c>
      <c r="JFF57" s="82" t="str">
        <f>IF(ISNUMBER(outYear),JFF37+JFF42+#REF!+#REF!,"")</f>
        <v/>
      </c>
      <c r="JFG57" s="82" t="str">
        <f>IF(ISNUMBER(outYear),JFG37+JFG42+#REF!+#REF!,"")</f>
        <v/>
      </c>
      <c r="JFH57" s="82" t="str">
        <f>IF(ISNUMBER(outYear),JFH37+JFH42+#REF!+#REF!,"")</f>
        <v/>
      </c>
      <c r="JFI57" s="82" t="str">
        <f>IF(ISNUMBER(outYear),JFI37+JFI42+#REF!+#REF!,"")</f>
        <v/>
      </c>
      <c r="JFJ57" s="82" t="str">
        <f>IF(ISNUMBER(outYear),JFJ37+JFJ42+#REF!+#REF!,"")</f>
        <v/>
      </c>
      <c r="JFK57" s="82" t="str">
        <f>IF(ISNUMBER(outYear),JFK37+JFK42+#REF!+#REF!,"")</f>
        <v/>
      </c>
      <c r="JFL57" s="82" t="str">
        <f>IF(ISNUMBER(outYear),JFL37+JFL42+#REF!+#REF!,"")</f>
        <v/>
      </c>
      <c r="JFM57" s="82" t="str">
        <f>IF(ISNUMBER(outYear),JFM37+JFM42+#REF!+#REF!,"")</f>
        <v/>
      </c>
      <c r="JFN57" s="82" t="str">
        <f>IF(ISNUMBER(outYear),JFN37+JFN42+#REF!+#REF!,"")</f>
        <v/>
      </c>
      <c r="JFO57" s="82" t="str">
        <f>IF(ISNUMBER(outYear),JFO37+JFO42+#REF!+#REF!,"")</f>
        <v/>
      </c>
      <c r="JFP57" s="82" t="str">
        <f>IF(ISNUMBER(outYear),JFP37+JFP42+#REF!+#REF!,"")</f>
        <v/>
      </c>
      <c r="JFQ57" s="82" t="str">
        <f>IF(ISNUMBER(outYear),JFQ37+JFQ42+#REF!+#REF!,"")</f>
        <v/>
      </c>
      <c r="JFR57" s="82" t="str">
        <f>IF(ISNUMBER(outYear),JFR37+JFR42+#REF!+#REF!,"")</f>
        <v/>
      </c>
      <c r="JFS57" s="82" t="str">
        <f>IF(ISNUMBER(outYear),JFS37+JFS42+#REF!+#REF!,"")</f>
        <v/>
      </c>
      <c r="JFT57" s="82" t="str">
        <f>IF(ISNUMBER(outYear),JFT37+JFT42+#REF!+#REF!,"")</f>
        <v/>
      </c>
      <c r="JFU57" s="82" t="str">
        <f>IF(ISNUMBER(outYear),JFU37+JFU42+#REF!+#REF!,"")</f>
        <v/>
      </c>
      <c r="JFV57" s="82" t="str">
        <f>IF(ISNUMBER(outYear),JFV37+JFV42+#REF!+#REF!,"")</f>
        <v/>
      </c>
      <c r="JFW57" s="82" t="str">
        <f>IF(ISNUMBER(outYear),JFW37+JFW42+#REF!+#REF!,"")</f>
        <v/>
      </c>
      <c r="JFX57" s="82" t="str">
        <f>IF(ISNUMBER(outYear),JFX37+JFX42+#REF!+#REF!,"")</f>
        <v/>
      </c>
      <c r="JFY57" s="82" t="str">
        <f>IF(ISNUMBER(outYear),JFY37+JFY42+#REF!+#REF!,"")</f>
        <v/>
      </c>
      <c r="JFZ57" s="82" t="str">
        <f>IF(ISNUMBER(outYear),JFZ37+JFZ42+#REF!+#REF!,"")</f>
        <v/>
      </c>
      <c r="JGA57" s="82" t="str">
        <f>IF(ISNUMBER(outYear),JGA37+JGA42+#REF!+#REF!,"")</f>
        <v/>
      </c>
      <c r="JGB57" s="82" t="str">
        <f>IF(ISNUMBER(outYear),JGB37+JGB42+#REF!+#REF!,"")</f>
        <v/>
      </c>
      <c r="JGC57" s="82" t="str">
        <f>IF(ISNUMBER(outYear),JGC37+JGC42+#REF!+#REF!,"")</f>
        <v/>
      </c>
      <c r="JGD57" s="82" t="str">
        <f>IF(ISNUMBER(outYear),JGD37+JGD42+#REF!+#REF!,"")</f>
        <v/>
      </c>
      <c r="JGE57" s="82" t="str">
        <f>IF(ISNUMBER(outYear),JGE37+JGE42+#REF!+#REF!,"")</f>
        <v/>
      </c>
      <c r="JGF57" s="82" t="str">
        <f>IF(ISNUMBER(outYear),JGF37+JGF42+#REF!+#REF!,"")</f>
        <v/>
      </c>
      <c r="JGG57" s="82" t="str">
        <f>IF(ISNUMBER(outYear),JGG37+JGG42+#REF!+#REF!,"")</f>
        <v/>
      </c>
      <c r="JGH57" s="82" t="str">
        <f>IF(ISNUMBER(outYear),JGH37+JGH42+#REF!+#REF!,"")</f>
        <v/>
      </c>
      <c r="JGI57" s="82" t="str">
        <f>IF(ISNUMBER(outYear),JGI37+JGI42+#REF!+#REF!,"")</f>
        <v/>
      </c>
      <c r="JGJ57" s="82" t="str">
        <f>IF(ISNUMBER(outYear),JGJ37+JGJ42+#REF!+#REF!,"")</f>
        <v/>
      </c>
      <c r="JGK57" s="82" t="str">
        <f>IF(ISNUMBER(outYear),JGK37+JGK42+#REF!+#REF!,"")</f>
        <v/>
      </c>
      <c r="JGL57" s="82" t="str">
        <f>IF(ISNUMBER(outYear),JGL37+JGL42+#REF!+#REF!,"")</f>
        <v/>
      </c>
      <c r="JGM57" s="82" t="str">
        <f>IF(ISNUMBER(outYear),JGM37+JGM42+#REF!+#REF!,"")</f>
        <v/>
      </c>
      <c r="JGN57" s="82" t="str">
        <f>IF(ISNUMBER(outYear),JGN37+JGN42+#REF!+#REF!,"")</f>
        <v/>
      </c>
      <c r="JGO57" s="82" t="str">
        <f>IF(ISNUMBER(outYear),JGO37+JGO42+#REF!+#REF!,"")</f>
        <v/>
      </c>
      <c r="JGP57" s="82" t="str">
        <f>IF(ISNUMBER(outYear),JGP37+JGP42+#REF!+#REF!,"")</f>
        <v/>
      </c>
      <c r="JGQ57" s="82" t="str">
        <f>IF(ISNUMBER(outYear),JGQ37+JGQ42+#REF!+#REF!,"")</f>
        <v/>
      </c>
      <c r="JGR57" s="82" t="str">
        <f>IF(ISNUMBER(outYear),JGR37+JGR42+#REF!+#REF!,"")</f>
        <v/>
      </c>
      <c r="JGS57" s="82" t="str">
        <f>IF(ISNUMBER(outYear),JGS37+JGS42+#REF!+#REF!,"")</f>
        <v/>
      </c>
      <c r="JGT57" s="82" t="str">
        <f>IF(ISNUMBER(outYear),JGT37+JGT42+#REF!+#REF!,"")</f>
        <v/>
      </c>
      <c r="JGU57" s="82" t="str">
        <f>IF(ISNUMBER(outYear),JGU37+JGU42+#REF!+#REF!,"")</f>
        <v/>
      </c>
      <c r="JGV57" s="82" t="str">
        <f>IF(ISNUMBER(outYear),JGV37+JGV42+#REF!+#REF!,"")</f>
        <v/>
      </c>
      <c r="JGW57" s="82" t="str">
        <f>IF(ISNUMBER(outYear),JGW37+JGW42+#REF!+#REF!,"")</f>
        <v/>
      </c>
      <c r="JGX57" s="82" t="str">
        <f>IF(ISNUMBER(outYear),JGX37+JGX42+#REF!+#REF!,"")</f>
        <v/>
      </c>
      <c r="JGY57" s="82" t="str">
        <f>IF(ISNUMBER(outYear),JGY37+JGY42+#REF!+#REF!,"")</f>
        <v/>
      </c>
      <c r="JGZ57" s="82" t="str">
        <f>IF(ISNUMBER(outYear),JGZ37+JGZ42+#REF!+#REF!,"")</f>
        <v/>
      </c>
      <c r="JHA57" s="82" t="str">
        <f>IF(ISNUMBER(outYear),JHA37+JHA42+#REF!+#REF!,"")</f>
        <v/>
      </c>
      <c r="JHB57" s="82" t="str">
        <f>IF(ISNUMBER(outYear),JHB37+JHB42+#REF!+#REF!,"")</f>
        <v/>
      </c>
      <c r="JHC57" s="82" t="str">
        <f>IF(ISNUMBER(outYear),JHC37+JHC42+#REF!+#REF!,"")</f>
        <v/>
      </c>
      <c r="JHD57" s="82" t="str">
        <f>IF(ISNUMBER(outYear),JHD37+JHD42+#REF!+#REF!,"")</f>
        <v/>
      </c>
      <c r="JHE57" s="82" t="str">
        <f>IF(ISNUMBER(outYear),JHE37+JHE42+#REF!+#REF!,"")</f>
        <v/>
      </c>
      <c r="JHF57" s="82" t="str">
        <f>IF(ISNUMBER(outYear),JHF37+JHF42+#REF!+#REF!,"")</f>
        <v/>
      </c>
      <c r="JHG57" s="82" t="str">
        <f>IF(ISNUMBER(outYear),JHG37+JHG42+#REF!+#REF!,"")</f>
        <v/>
      </c>
      <c r="JHH57" s="82" t="str">
        <f>IF(ISNUMBER(outYear),JHH37+JHH42+#REF!+#REF!,"")</f>
        <v/>
      </c>
      <c r="JHI57" s="82" t="str">
        <f>IF(ISNUMBER(outYear),JHI37+JHI42+#REF!+#REF!,"")</f>
        <v/>
      </c>
      <c r="JHJ57" s="82" t="str">
        <f>IF(ISNUMBER(outYear),JHJ37+JHJ42+#REF!+#REF!,"")</f>
        <v/>
      </c>
      <c r="JHK57" s="82" t="str">
        <f>IF(ISNUMBER(outYear),JHK37+JHK42+#REF!+#REF!,"")</f>
        <v/>
      </c>
      <c r="JHL57" s="82" t="str">
        <f>IF(ISNUMBER(outYear),JHL37+JHL42+#REF!+#REF!,"")</f>
        <v/>
      </c>
      <c r="JHM57" s="82" t="str">
        <f>IF(ISNUMBER(outYear),JHM37+JHM42+#REF!+#REF!,"")</f>
        <v/>
      </c>
      <c r="JHN57" s="82" t="str">
        <f>IF(ISNUMBER(outYear),JHN37+JHN42+#REF!+#REF!,"")</f>
        <v/>
      </c>
      <c r="JHO57" s="82" t="str">
        <f>IF(ISNUMBER(outYear),JHO37+JHO42+#REF!+#REF!,"")</f>
        <v/>
      </c>
      <c r="JHP57" s="82" t="str">
        <f>IF(ISNUMBER(outYear),JHP37+JHP42+#REF!+#REF!,"")</f>
        <v/>
      </c>
      <c r="JHQ57" s="82" t="str">
        <f>IF(ISNUMBER(outYear),JHQ37+JHQ42+#REF!+#REF!,"")</f>
        <v/>
      </c>
      <c r="JHR57" s="82" t="str">
        <f>IF(ISNUMBER(outYear),JHR37+JHR42+#REF!+#REF!,"")</f>
        <v/>
      </c>
      <c r="JHS57" s="82" t="str">
        <f>IF(ISNUMBER(outYear),JHS37+JHS42+#REF!+#REF!,"")</f>
        <v/>
      </c>
      <c r="JHT57" s="82" t="str">
        <f>IF(ISNUMBER(outYear),JHT37+JHT42+#REF!+#REF!,"")</f>
        <v/>
      </c>
      <c r="JHU57" s="82" t="str">
        <f>IF(ISNUMBER(outYear),JHU37+JHU42+#REF!+#REF!,"")</f>
        <v/>
      </c>
      <c r="JHV57" s="82" t="str">
        <f>IF(ISNUMBER(outYear),JHV37+JHV42+#REF!+#REF!,"")</f>
        <v/>
      </c>
      <c r="JHW57" s="82" t="str">
        <f>IF(ISNUMBER(outYear),JHW37+JHW42+#REF!+#REF!,"")</f>
        <v/>
      </c>
      <c r="JHX57" s="82" t="str">
        <f>IF(ISNUMBER(outYear),JHX37+JHX42+#REF!+#REF!,"")</f>
        <v/>
      </c>
      <c r="JHY57" s="82" t="str">
        <f>IF(ISNUMBER(outYear),JHY37+JHY42+#REF!+#REF!,"")</f>
        <v/>
      </c>
      <c r="JHZ57" s="82" t="str">
        <f>IF(ISNUMBER(outYear),JHZ37+JHZ42+#REF!+#REF!,"")</f>
        <v/>
      </c>
      <c r="JIA57" s="82" t="str">
        <f>IF(ISNUMBER(outYear),JIA37+JIA42+#REF!+#REF!,"")</f>
        <v/>
      </c>
      <c r="JIB57" s="82" t="str">
        <f>IF(ISNUMBER(outYear),JIB37+JIB42+#REF!+#REF!,"")</f>
        <v/>
      </c>
      <c r="JIC57" s="82" t="str">
        <f>IF(ISNUMBER(outYear),JIC37+JIC42+#REF!+#REF!,"")</f>
        <v/>
      </c>
      <c r="JID57" s="82" t="str">
        <f>IF(ISNUMBER(outYear),JID37+JID42+#REF!+#REF!,"")</f>
        <v/>
      </c>
      <c r="JIE57" s="82" t="str">
        <f>IF(ISNUMBER(outYear),JIE37+JIE42+#REF!+#REF!,"")</f>
        <v/>
      </c>
      <c r="JIF57" s="82" t="str">
        <f>IF(ISNUMBER(outYear),JIF37+JIF42+#REF!+#REF!,"")</f>
        <v/>
      </c>
      <c r="JIG57" s="82" t="str">
        <f>IF(ISNUMBER(outYear),JIG37+JIG42+#REF!+#REF!,"")</f>
        <v/>
      </c>
      <c r="JIH57" s="82" t="str">
        <f>IF(ISNUMBER(outYear),JIH37+JIH42+#REF!+#REF!,"")</f>
        <v/>
      </c>
      <c r="JII57" s="82" t="str">
        <f>IF(ISNUMBER(outYear),JII37+JII42+#REF!+#REF!,"")</f>
        <v/>
      </c>
      <c r="JIJ57" s="82" t="str">
        <f>IF(ISNUMBER(outYear),JIJ37+JIJ42+#REF!+#REF!,"")</f>
        <v/>
      </c>
      <c r="JIK57" s="82" t="str">
        <f>IF(ISNUMBER(outYear),JIK37+JIK42+#REF!+#REF!,"")</f>
        <v/>
      </c>
      <c r="JIL57" s="82" t="str">
        <f>IF(ISNUMBER(outYear),JIL37+JIL42+#REF!+#REF!,"")</f>
        <v/>
      </c>
      <c r="JIM57" s="82" t="str">
        <f>IF(ISNUMBER(outYear),JIM37+JIM42+#REF!+#REF!,"")</f>
        <v/>
      </c>
      <c r="JIN57" s="82" t="str">
        <f>IF(ISNUMBER(outYear),JIN37+JIN42+#REF!+#REF!,"")</f>
        <v/>
      </c>
      <c r="JIO57" s="82" t="str">
        <f>IF(ISNUMBER(outYear),JIO37+JIO42+#REF!+#REF!,"")</f>
        <v/>
      </c>
      <c r="JIP57" s="82" t="str">
        <f>IF(ISNUMBER(outYear),JIP37+JIP42+#REF!+#REF!,"")</f>
        <v/>
      </c>
      <c r="JIQ57" s="82" t="str">
        <f>IF(ISNUMBER(outYear),JIQ37+JIQ42+#REF!+#REF!,"")</f>
        <v/>
      </c>
      <c r="JIR57" s="82" t="str">
        <f>IF(ISNUMBER(outYear),JIR37+JIR42+#REF!+#REF!,"")</f>
        <v/>
      </c>
      <c r="JIS57" s="82" t="str">
        <f>IF(ISNUMBER(outYear),JIS37+JIS42+#REF!+#REF!,"")</f>
        <v/>
      </c>
      <c r="JIT57" s="82" t="str">
        <f>IF(ISNUMBER(outYear),JIT37+JIT42+#REF!+#REF!,"")</f>
        <v/>
      </c>
      <c r="JIU57" s="82" t="str">
        <f>IF(ISNUMBER(outYear),JIU37+JIU42+#REF!+#REF!,"")</f>
        <v/>
      </c>
      <c r="JIV57" s="82" t="str">
        <f>IF(ISNUMBER(outYear),JIV37+JIV42+#REF!+#REF!,"")</f>
        <v/>
      </c>
      <c r="JIW57" s="82" t="str">
        <f>IF(ISNUMBER(outYear),JIW37+JIW42+#REF!+#REF!,"")</f>
        <v/>
      </c>
      <c r="JIX57" s="82" t="str">
        <f>IF(ISNUMBER(outYear),JIX37+JIX42+#REF!+#REF!,"")</f>
        <v/>
      </c>
      <c r="JIY57" s="82" t="str">
        <f>IF(ISNUMBER(outYear),JIY37+JIY42+#REF!+#REF!,"")</f>
        <v/>
      </c>
      <c r="JIZ57" s="82" t="str">
        <f>IF(ISNUMBER(outYear),JIZ37+JIZ42+#REF!+#REF!,"")</f>
        <v/>
      </c>
      <c r="JJA57" s="82" t="str">
        <f>IF(ISNUMBER(outYear),JJA37+JJA42+#REF!+#REF!,"")</f>
        <v/>
      </c>
      <c r="JJB57" s="82" t="str">
        <f>IF(ISNUMBER(outYear),JJB37+JJB42+#REF!+#REF!,"")</f>
        <v/>
      </c>
      <c r="JJC57" s="82" t="str">
        <f>IF(ISNUMBER(outYear),JJC37+JJC42+#REF!+#REF!,"")</f>
        <v/>
      </c>
      <c r="JJD57" s="82" t="str">
        <f>IF(ISNUMBER(outYear),JJD37+JJD42+#REF!+#REF!,"")</f>
        <v/>
      </c>
      <c r="JJE57" s="82" t="str">
        <f>IF(ISNUMBER(outYear),JJE37+JJE42+#REF!+#REF!,"")</f>
        <v/>
      </c>
      <c r="JJF57" s="82" t="str">
        <f>IF(ISNUMBER(outYear),JJF37+JJF42+#REF!+#REF!,"")</f>
        <v/>
      </c>
      <c r="JJG57" s="82" t="str">
        <f>IF(ISNUMBER(outYear),JJG37+JJG42+#REF!+#REF!,"")</f>
        <v/>
      </c>
      <c r="JJH57" s="82" t="str">
        <f>IF(ISNUMBER(outYear),JJH37+JJH42+#REF!+#REF!,"")</f>
        <v/>
      </c>
      <c r="JJI57" s="82" t="str">
        <f>IF(ISNUMBER(outYear),JJI37+JJI42+#REF!+#REF!,"")</f>
        <v/>
      </c>
      <c r="JJJ57" s="82" t="str">
        <f>IF(ISNUMBER(outYear),JJJ37+JJJ42+#REF!+#REF!,"")</f>
        <v/>
      </c>
      <c r="JJK57" s="82" t="str">
        <f>IF(ISNUMBER(outYear),JJK37+JJK42+#REF!+#REF!,"")</f>
        <v/>
      </c>
      <c r="JJL57" s="82" t="str">
        <f>IF(ISNUMBER(outYear),JJL37+JJL42+#REF!+#REF!,"")</f>
        <v/>
      </c>
      <c r="JJM57" s="82" t="str">
        <f>IF(ISNUMBER(outYear),JJM37+JJM42+#REF!+#REF!,"")</f>
        <v/>
      </c>
      <c r="JJN57" s="82" t="str">
        <f>IF(ISNUMBER(outYear),JJN37+JJN42+#REF!+#REF!,"")</f>
        <v/>
      </c>
      <c r="JJO57" s="82" t="str">
        <f>IF(ISNUMBER(outYear),JJO37+JJO42+#REF!+#REF!,"")</f>
        <v/>
      </c>
      <c r="JJP57" s="82" t="str">
        <f>IF(ISNUMBER(outYear),JJP37+JJP42+#REF!+#REF!,"")</f>
        <v/>
      </c>
      <c r="JJQ57" s="82" t="str">
        <f>IF(ISNUMBER(outYear),JJQ37+JJQ42+#REF!+#REF!,"")</f>
        <v/>
      </c>
      <c r="JJR57" s="82" t="str">
        <f>IF(ISNUMBER(outYear),JJR37+JJR42+#REF!+#REF!,"")</f>
        <v/>
      </c>
      <c r="JJS57" s="82" t="str">
        <f>IF(ISNUMBER(outYear),JJS37+JJS42+#REF!+#REF!,"")</f>
        <v/>
      </c>
      <c r="JJT57" s="82" t="str">
        <f>IF(ISNUMBER(outYear),JJT37+JJT42+#REF!+#REF!,"")</f>
        <v/>
      </c>
      <c r="JJU57" s="82" t="str">
        <f>IF(ISNUMBER(outYear),JJU37+JJU42+#REF!+#REF!,"")</f>
        <v/>
      </c>
      <c r="JJV57" s="82" t="str">
        <f>IF(ISNUMBER(outYear),JJV37+JJV42+#REF!+#REF!,"")</f>
        <v/>
      </c>
      <c r="JJW57" s="82" t="str">
        <f>IF(ISNUMBER(outYear),JJW37+JJW42+#REF!+#REF!,"")</f>
        <v/>
      </c>
      <c r="JJX57" s="82" t="str">
        <f>IF(ISNUMBER(outYear),JJX37+JJX42+#REF!+#REF!,"")</f>
        <v/>
      </c>
      <c r="JJY57" s="82" t="str">
        <f>IF(ISNUMBER(outYear),JJY37+JJY42+#REF!+#REF!,"")</f>
        <v/>
      </c>
      <c r="JJZ57" s="82" t="str">
        <f>IF(ISNUMBER(outYear),JJZ37+JJZ42+#REF!+#REF!,"")</f>
        <v/>
      </c>
      <c r="JKA57" s="82" t="str">
        <f>IF(ISNUMBER(outYear),JKA37+JKA42+#REF!+#REF!,"")</f>
        <v/>
      </c>
      <c r="JKB57" s="82" t="str">
        <f>IF(ISNUMBER(outYear),JKB37+JKB42+#REF!+#REF!,"")</f>
        <v/>
      </c>
      <c r="JKC57" s="82" t="str">
        <f>IF(ISNUMBER(outYear),JKC37+JKC42+#REF!+#REF!,"")</f>
        <v/>
      </c>
      <c r="JKD57" s="82" t="str">
        <f>IF(ISNUMBER(outYear),JKD37+JKD42+#REF!+#REF!,"")</f>
        <v/>
      </c>
      <c r="JKE57" s="82" t="str">
        <f>IF(ISNUMBER(outYear),JKE37+JKE42+#REF!+#REF!,"")</f>
        <v/>
      </c>
      <c r="JKF57" s="82" t="str">
        <f>IF(ISNUMBER(outYear),JKF37+JKF42+#REF!+#REF!,"")</f>
        <v/>
      </c>
      <c r="JKG57" s="82" t="str">
        <f>IF(ISNUMBER(outYear),JKG37+JKG42+#REF!+#REF!,"")</f>
        <v/>
      </c>
      <c r="JKH57" s="82" t="str">
        <f>IF(ISNUMBER(outYear),JKH37+JKH42+#REF!+#REF!,"")</f>
        <v/>
      </c>
      <c r="JKI57" s="82" t="str">
        <f>IF(ISNUMBER(outYear),JKI37+JKI42+#REF!+#REF!,"")</f>
        <v/>
      </c>
      <c r="JKJ57" s="82" t="str">
        <f>IF(ISNUMBER(outYear),JKJ37+JKJ42+#REF!+#REF!,"")</f>
        <v/>
      </c>
      <c r="JKK57" s="82" t="str">
        <f>IF(ISNUMBER(outYear),JKK37+JKK42+#REF!+#REF!,"")</f>
        <v/>
      </c>
      <c r="JKL57" s="82" t="str">
        <f>IF(ISNUMBER(outYear),JKL37+JKL42+#REF!+#REF!,"")</f>
        <v/>
      </c>
      <c r="JKM57" s="82" t="str">
        <f>IF(ISNUMBER(outYear),JKM37+JKM42+#REF!+#REF!,"")</f>
        <v/>
      </c>
      <c r="JKN57" s="82" t="str">
        <f>IF(ISNUMBER(outYear),JKN37+JKN42+#REF!+#REF!,"")</f>
        <v/>
      </c>
      <c r="JKO57" s="82" t="str">
        <f>IF(ISNUMBER(outYear),JKO37+JKO42+#REF!+#REF!,"")</f>
        <v/>
      </c>
      <c r="JKP57" s="82" t="str">
        <f>IF(ISNUMBER(outYear),JKP37+JKP42+#REF!+#REF!,"")</f>
        <v/>
      </c>
      <c r="JKQ57" s="82" t="str">
        <f>IF(ISNUMBER(outYear),JKQ37+JKQ42+#REF!+#REF!,"")</f>
        <v/>
      </c>
      <c r="JKR57" s="82" t="str">
        <f>IF(ISNUMBER(outYear),JKR37+JKR42+#REF!+#REF!,"")</f>
        <v/>
      </c>
      <c r="JKS57" s="82" t="str">
        <f>IF(ISNUMBER(outYear),JKS37+JKS42+#REF!+#REF!,"")</f>
        <v/>
      </c>
      <c r="JKT57" s="82" t="str">
        <f>IF(ISNUMBER(outYear),JKT37+JKT42+#REF!+#REF!,"")</f>
        <v/>
      </c>
      <c r="JKU57" s="82" t="str">
        <f>IF(ISNUMBER(outYear),JKU37+JKU42+#REF!+#REF!,"")</f>
        <v/>
      </c>
      <c r="JKV57" s="82" t="str">
        <f>IF(ISNUMBER(outYear),JKV37+JKV42+#REF!+#REF!,"")</f>
        <v/>
      </c>
      <c r="JKW57" s="82" t="str">
        <f>IF(ISNUMBER(outYear),JKW37+JKW42+#REF!+#REF!,"")</f>
        <v/>
      </c>
      <c r="JKX57" s="82" t="str">
        <f>IF(ISNUMBER(outYear),JKX37+JKX42+#REF!+#REF!,"")</f>
        <v/>
      </c>
      <c r="JKY57" s="82" t="str">
        <f>IF(ISNUMBER(outYear),JKY37+JKY42+#REF!+#REF!,"")</f>
        <v/>
      </c>
      <c r="JKZ57" s="82" t="str">
        <f>IF(ISNUMBER(outYear),JKZ37+JKZ42+#REF!+#REF!,"")</f>
        <v/>
      </c>
      <c r="JLA57" s="82" t="str">
        <f>IF(ISNUMBER(outYear),JLA37+JLA42+#REF!+#REF!,"")</f>
        <v/>
      </c>
      <c r="JLB57" s="82" t="str">
        <f>IF(ISNUMBER(outYear),JLB37+JLB42+#REF!+#REF!,"")</f>
        <v/>
      </c>
      <c r="JLC57" s="82" t="str">
        <f>IF(ISNUMBER(outYear),JLC37+JLC42+#REF!+#REF!,"")</f>
        <v/>
      </c>
      <c r="JLD57" s="82" t="str">
        <f>IF(ISNUMBER(outYear),JLD37+JLD42+#REF!+#REF!,"")</f>
        <v/>
      </c>
      <c r="JLE57" s="82" t="str">
        <f>IF(ISNUMBER(outYear),JLE37+JLE42+#REF!+#REF!,"")</f>
        <v/>
      </c>
      <c r="JLF57" s="82" t="str">
        <f>IF(ISNUMBER(outYear),JLF37+JLF42+#REF!+#REF!,"")</f>
        <v/>
      </c>
      <c r="JLG57" s="82" t="str">
        <f>IF(ISNUMBER(outYear),JLG37+JLG42+#REF!+#REF!,"")</f>
        <v/>
      </c>
      <c r="JLH57" s="82" t="str">
        <f>IF(ISNUMBER(outYear),JLH37+JLH42+#REF!+#REF!,"")</f>
        <v/>
      </c>
      <c r="JLI57" s="82" t="str">
        <f>IF(ISNUMBER(outYear),JLI37+JLI42+#REF!+#REF!,"")</f>
        <v/>
      </c>
      <c r="JLJ57" s="82" t="str">
        <f>IF(ISNUMBER(outYear),JLJ37+JLJ42+#REF!+#REF!,"")</f>
        <v/>
      </c>
      <c r="JLK57" s="82" t="str">
        <f>IF(ISNUMBER(outYear),JLK37+JLK42+#REF!+#REF!,"")</f>
        <v/>
      </c>
      <c r="JLL57" s="82" t="str">
        <f>IF(ISNUMBER(outYear),JLL37+JLL42+#REF!+#REF!,"")</f>
        <v/>
      </c>
      <c r="JLM57" s="82" t="str">
        <f>IF(ISNUMBER(outYear),JLM37+JLM42+#REF!+#REF!,"")</f>
        <v/>
      </c>
      <c r="JLN57" s="82" t="str">
        <f>IF(ISNUMBER(outYear),JLN37+JLN42+#REF!+#REF!,"")</f>
        <v/>
      </c>
      <c r="JLO57" s="82" t="str">
        <f>IF(ISNUMBER(outYear),JLO37+JLO42+#REF!+#REF!,"")</f>
        <v/>
      </c>
      <c r="JLP57" s="82" t="str">
        <f>IF(ISNUMBER(outYear),JLP37+JLP42+#REF!+#REF!,"")</f>
        <v/>
      </c>
      <c r="JLQ57" s="82" t="str">
        <f>IF(ISNUMBER(outYear),JLQ37+JLQ42+#REF!+#REF!,"")</f>
        <v/>
      </c>
      <c r="JLR57" s="82" t="str">
        <f>IF(ISNUMBER(outYear),JLR37+JLR42+#REF!+#REF!,"")</f>
        <v/>
      </c>
      <c r="JLS57" s="82" t="str">
        <f>IF(ISNUMBER(outYear),JLS37+JLS42+#REF!+#REF!,"")</f>
        <v/>
      </c>
      <c r="JLT57" s="82" t="str">
        <f>IF(ISNUMBER(outYear),JLT37+JLT42+#REF!+#REF!,"")</f>
        <v/>
      </c>
      <c r="JLU57" s="82" t="str">
        <f>IF(ISNUMBER(outYear),JLU37+JLU42+#REF!+#REF!,"")</f>
        <v/>
      </c>
      <c r="JLV57" s="82" t="str">
        <f>IF(ISNUMBER(outYear),JLV37+JLV42+#REF!+#REF!,"")</f>
        <v/>
      </c>
      <c r="JLW57" s="82" t="str">
        <f>IF(ISNUMBER(outYear),JLW37+JLW42+#REF!+#REF!,"")</f>
        <v/>
      </c>
      <c r="JLX57" s="82" t="str">
        <f>IF(ISNUMBER(outYear),JLX37+JLX42+#REF!+#REF!,"")</f>
        <v/>
      </c>
      <c r="JLY57" s="82" t="str">
        <f>IF(ISNUMBER(outYear),JLY37+JLY42+#REF!+#REF!,"")</f>
        <v/>
      </c>
      <c r="JLZ57" s="82" t="str">
        <f>IF(ISNUMBER(outYear),JLZ37+JLZ42+#REF!+#REF!,"")</f>
        <v/>
      </c>
      <c r="JMA57" s="82" t="str">
        <f>IF(ISNUMBER(outYear),JMA37+JMA42+#REF!+#REF!,"")</f>
        <v/>
      </c>
      <c r="JMB57" s="82" t="str">
        <f>IF(ISNUMBER(outYear),JMB37+JMB42+#REF!+#REF!,"")</f>
        <v/>
      </c>
      <c r="JMC57" s="82" t="str">
        <f>IF(ISNUMBER(outYear),JMC37+JMC42+#REF!+#REF!,"")</f>
        <v/>
      </c>
      <c r="JMD57" s="82" t="str">
        <f>IF(ISNUMBER(outYear),JMD37+JMD42+#REF!+#REF!,"")</f>
        <v/>
      </c>
      <c r="JME57" s="82" t="str">
        <f>IF(ISNUMBER(outYear),JME37+JME42+#REF!+#REF!,"")</f>
        <v/>
      </c>
      <c r="JMF57" s="82" t="str">
        <f>IF(ISNUMBER(outYear),JMF37+JMF42+#REF!+#REF!,"")</f>
        <v/>
      </c>
      <c r="JMG57" s="82" t="str">
        <f>IF(ISNUMBER(outYear),JMG37+JMG42+#REF!+#REF!,"")</f>
        <v/>
      </c>
      <c r="JMH57" s="82" t="str">
        <f>IF(ISNUMBER(outYear),JMH37+JMH42+#REF!+#REF!,"")</f>
        <v/>
      </c>
      <c r="JMI57" s="82" t="str">
        <f>IF(ISNUMBER(outYear),JMI37+JMI42+#REF!+#REF!,"")</f>
        <v/>
      </c>
      <c r="JMJ57" s="82" t="str">
        <f>IF(ISNUMBER(outYear),JMJ37+JMJ42+#REF!+#REF!,"")</f>
        <v/>
      </c>
      <c r="JMK57" s="82" t="str">
        <f>IF(ISNUMBER(outYear),JMK37+JMK42+#REF!+#REF!,"")</f>
        <v/>
      </c>
      <c r="JML57" s="82" t="str">
        <f>IF(ISNUMBER(outYear),JML37+JML42+#REF!+#REF!,"")</f>
        <v/>
      </c>
      <c r="JMM57" s="82" t="str">
        <f>IF(ISNUMBER(outYear),JMM37+JMM42+#REF!+#REF!,"")</f>
        <v/>
      </c>
      <c r="JMN57" s="82" t="str">
        <f>IF(ISNUMBER(outYear),JMN37+JMN42+#REF!+#REF!,"")</f>
        <v/>
      </c>
      <c r="JMO57" s="82" t="str">
        <f>IF(ISNUMBER(outYear),JMO37+JMO42+#REF!+#REF!,"")</f>
        <v/>
      </c>
      <c r="JMP57" s="82" t="str">
        <f>IF(ISNUMBER(outYear),JMP37+JMP42+#REF!+#REF!,"")</f>
        <v/>
      </c>
      <c r="JMQ57" s="82" t="str">
        <f>IF(ISNUMBER(outYear),JMQ37+JMQ42+#REF!+#REF!,"")</f>
        <v/>
      </c>
      <c r="JMR57" s="82" t="str">
        <f>IF(ISNUMBER(outYear),JMR37+JMR42+#REF!+#REF!,"")</f>
        <v/>
      </c>
      <c r="JMS57" s="82" t="str">
        <f>IF(ISNUMBER(outYear),JMS37+JMS42+#REF!+#REF!,"")</f>
        <v/>
      </c>
      <c r="JMT57" s="82" t="str">
        <f>IF(ISNUMBER(outYear),JMT37+JMT42+#REF!+#REF!,"")</f>
        <v/>
      </c>
      <c r="JMU57" s="82" t="str">
        <f>IF(ISNUMBER(outYear),JMU37+JMU42+#REF!+#REF!,"")</f>
        <v/>
      </c>
      <c r="JMV57" s="82" t="str">
        <f>IF(ISNUMBER(outYear),JMV37+JMV42+#REF!+#REF!,"")</f>
        <v/>
      </c>
      <c r="JMW57" s="82" t="str">
        <f>IF(ISNUMBER(outYear),JMW37+JMW42+#REF!+#REF!,"")</f>
        <v/>
      </c>
      <c r="JMX57" s="82" t="str">
        <f>IF(ISNUMBER(outYear),JMX37+JMX42+#REF!+#REF!,"")</f>
        <v/>
      </c>
      <c r="JMY57" s="82" t="str">
        <f>IF(ISNUMBER(outYear),JMY37+JMY42+#REF!+#REF!,"")</f>
        <v/>
      </c>
      <c r="JMZ57" s="82" t="str">
        <f>IF(ISNUMBER(outYear),JMZ37+JMZ42+#REF!+#REF!,"")</f>
        <v/>
      </c>
      <c r="JNA57" s="82" t="str">
        <f>IF(ISNUMBER(outYear),JNA37+JNA42+#REF!+#REF!,"")</f>
        <v/>
      </c>
      <c r="JNB57" s="82" t="str">
        <f>IF(ISNUMBER(outYear),JNB37+JNB42+#REF!+#REF!,"")</f>
        <v/>
      </c>
      <c r="JNC57" s="82" t="str">
        <f>IF(ISNUMBER(outYear),JNC37+JNC42+#REF!+#REF!,"")</f>
        <v/>
      </c>
      <c r="JND57" s="82" t="str">
        <f>IF(ISNUMBER(outYear),JND37+JND42+#REF!+#REF!,"")</f>
        <v/>
      </c>
      <c r="JNE57" s="82" t="str">
        <f>IF(ISNUMBER(outYear),JNE37+JNE42+#REF!+#REF!,"")</f>
        <v/>
      </c>
      <c r="JNF57" s="82" t="str">
        <f>IF(ISNUMBER(outYear),JNF37+JNF42+#REF!+#REF!,"")</f>
        <v/>
      </c>
      <c r="JNG57" s="82" t="str">
        <f>IF(ISNUMBER(outYear),JNG37+JNG42+#REF!+#REF!,"")</f>
        <v/>
      </c>
      <c r="JNH57" s="82" t="str">
        <f>IF(ISNUMBER(outYear),JNH37+JNH42+#REF!+#REF!,"")</f>
        <v/>
      </c>
      <c r="JNI57" s="82" t="str">
        <f>IF(ISNUMBER(outYear),JNI37+JNI42+#REF!+#REF!,"")</f>
        <v/>
      </c>
      <c r="JNJ57" s="82" t="str">
        <f>IF(ISNUMBER(outYear),JNJ37+JNJ42+#REF!+#REF!,"")</f>
        <v/>
      </c>
      <c r="JNK57" s="82" t="str">
        <f>IF(ISNUMBER(outYear),JNK37+JNK42+#REF!+#REF!,"")</f>
        <v/>
      </c>
      <c r="JNL57" s="82" t="str">
        <f>IF(ISNUMBER(outYear),JNL37+JNL42+#REF!+#REF!,"")</f>
        <v/>
      </c>
      <c r="JNM57" s="82" t="str">
        <f>IF(ISNUMBER(outYear),JNM37+JNM42+#REF!+#REF!,"")</f>
        <v/>
      </c>
      <c r="JNN57" s="82" t="str">
        <f>IF(ISNUMBER(outYear),JNN37+JNN42+#REF!+#REF!,"")</f>
        <v/>
      </c>
      <c r="JNO57" s="82" t="str">
        <f>IF(ISNUMBER(outYear),JNO37+JNO42+#REF!+#REF!,"")</f>
        <v/>
      </c>
      <c r="JNP57" s="82" t="str">
        <f>IF(ISNUMBER(outYear),JNP37+JNP42+#REF!+#REF!,"")</f>
        <v/>
      </c>
      <c r="JNQ57" s="82" t="str">
        <f>IF(ISNUMBER(outYear),JNQ37+JNQ42+#REF!+#REF!,"")</f>
        <v/>
      </c>
      <c r="JNR57" s="82" t="str">
        <f>IF(ISNUMBER(outYear),JNR37+JNR42+#REF!+#REF!,"")</f>
        <v/>
      </c>
      <c r="JNS57" s="82" t="str">
        <f>IF(ISNUMBER(outYear),JNS37+JNS42+#REF!+#REF!,"")</f>
        <v/>
      </c>
      <c r="JNT57" s="82" t="str">
        <f>IF(ISNUMBER(outYear),JNT37+JNT42+#REF!+#REF!,"")</f>
        <v/>
      </c>
      <c r="JNU57" s="82" t="str">
        <f>IF(ISNUMBER(outYear),JNU37+JNU42+#REF!+#REF!,"")</f>
        <v/>
      </c>
      <c r="JNV57" s="82" t="str">
        <f>IF(ISNUMBER(outYear),JNV37+JNV42+#REF!+#REF!,"")</f>
        <v/>
      </c>
      <c r="JNW57" s="82" t="str">
        <f>IF(ISNUMBER(outYear),JNW37+JNW42+#REF!+#REF!,"")</f>
        <v/>
      </c>
      <c r="JNX57" s="82" t="str">
        <f>IF(ISNUMBER(outYear),JNX37+JNX42+#REF!+#REF!,"")</f>
        <v/>
      </c>
      <c r="JNY57" s="82" t="str">
        <f>IF(ISNUMBER(outYear),JNY37+JNY42+#REF!+#REF!,"")</f>
        <v/>
      </c>
      <c r="JNZ57" s="82" t="str">
        <f>IF(ISNUMBER(outYear),JNZ37+JNZ42+#REF!+#REF!,"")</f>
        <v/>
      </c>
      <c r="JOA57" s="82" t="str">
        <f>IF(ISNUMBER(outYear),JOA37+JOA42+#REF!+#REF!,"")</f>
        <v/>
      </c>
      <c r="JOB57" s="82" t="str">
        <f>IF(ISNUMBER(outYear),JOB37+JOB42+#REF!+#REF!,"")</f>
        <v/>
      </c>
      <c r="JOC57" s="82" t="str">
        <f>IF(ISNUMBER(outYear),JOC37+JOC42+#REF!+#REF!,"")</f>
        <v/>
      </c>
      <c r="JOD57" s="82" t="str">
        <f>IF(ISNUMBER(outYear),JOD37+JOD42+#REF!+#REF!,"")</f>
        <v/>
      </c>
      <c r="JOE57" s="82" t="str">
        <f>IF(ISNUMBER(outYear),JOE37+JOE42+#REF!+#REF!,"")</f>
        <v/>
      </c>
      <c r="JOF57" s="82" t="str">
        <f>IF(ISNUMBER(outYear),JOF37+JOF42+#REF!+#REF!,"")</f>
        <v/>
      </c>
      <c r="JOG57" s="82" t="str">
        <f>IF(ISNUMBER(outYear),JOG37+JOG42+#REF!+#REF!,"")</f>
        <v/>
      </c>
      <c r="JOH57" s="82" t="str">
        <f>IF(ISNUMBER(outYear),JOH37+JOH42+#REF!+#REF!,"")</f>
        <v/>
      </c>
      <c r="JOI57" s="82" t="str">
        <f>IF(ISNUMBER(outYear),JOI37+JOI42+#REF!+#REF!,"")</f>
        <v/>
      </c>
      <c r="JOJ57" s="82" t="str">
        <f>IF(ISNUMBER(outYear),JOJ37+JOJ42+#REF!+#REF!,"")</f>
        <v/>
      </c>
      <c r="JOK57" s="82" t="str">
        <f>IF(ISNUMBER(outYear),JOK37+JOK42+#REF!+#REF!,"")</f>
        <v/>
      </c>
      <c r="JOL57" s="82" t="str">
        <f>IF(ISNUMBER(outYear),JOL37+JOL42+#REF!+#REF!,"")</f>
        <v/>
      </c>
      <c r="JOM57" s="82" t="str">
        <f>IF(ISNUMBER(outYear),JOM37+JOM42+#REF!+#REF!,"")</f>
        <v/>
      </c>
      <c r="JON57" s="82" t="str">
        <f>IF(ISNUMBER(outYear),JON37+JON42+#REF!+#REF!,"")</f>
        <v/>
      </c>
      <c r="JOO57" s="82" t="str">
        <f>IF(ISNUMBER(outYear),JOO37+JOO42+#REF!+#REF!,"")</f>
        <v/>
      </c>
      <c r="JOP57" s="82" t="str">
        <f>IF(ISNUMBER(outYear),JOP37+JOP42+#REF!+#REF!,"")</f>
        <v/>
      </c>
      <c r="JOQ57" s="82" t="str">
        <f>IF(ISNUMBER(outYear),JOQ37+JOQ42+#REF!+#REF!,"")</f>
        <v/>
      </c>
      <c r="JOR57" s="82" t="str">
        <f>IF(ISNUMBER(outYear),JOR37+JOR42+#REF!+#REF!,"")</f>
        <v/>
      </c>
      <c r="JOS57" s="82" t="str">
        <f>IF(ISNUMBER(outYear),JOS37+JOS42+#REF!+#REF!,"")</f>
        <v/>
      </c>
      <c r="JOT57" s="82" t="str">
        <f>IF(ISNUMBER(outYear),JOT37+JOT42+#REF!+#REF!,"")</f>
        <v/>
      </c>
      <c r="JOU57" s="82" t="str">
        <f>IF(ISNUMBER(outYear),JOU37+JOU42+#REF!+#REF!,"")</f>
        <v/>
      </c>
      <c r="JOV57" s="82" t="str">
        <f>IF(ISNUMBER(outYear),JOV37+JOV42+#REF!+#REF!,"")</f>
        <v/>
      </c>
      <c r="JOW57" s="82" t="str">
        <f>IF(ISNUMBER(outYear),JOW37+JOW42+#REF!+#REF!,"")</f>
        <v/>
      </c>
      <c r="JOX57" s="82" t="str">
        <f>IF(ISNUMBER(outYear),JOX37+JOX42+#REF!+#REF!,"")</f>
        <v/>
      </c>
      <c r="JOY57" s="82" t="str">
        <f>IF(ISNUMBER(outYear),JOY37+JOY42+#REF!+#REF!,"")</f>
        <v/>
      </c>
      <c r="JOZ57" s="82" t="str">
        <f>IF(ISNUMBER(outYear),JOZ37+JOZ42+#REF!+#REF!,"")</f>
        <v/>
      </c>
      <c r="JPA57" s="82" t="str">
        <f>IF(ISNUMBER(outYear),JPA37+JPA42+#REF!+#REF!,"")</f>
        <v/>
      </c>
      <c r="JPB57" s="82" t="str">
        <f>IF(ISNUMBER(outYear),JPB37+JPB42+#REF!+#REF!,"")</f>
        <v/>
      </c>
      <c r="JPC57" s="82" t="str">
        <f>IF(ISNUMBER(outYear),JPC37+JPC42+#REF!+#REF!,"")</f>
        <v/>
      </c>
      <c r="JPD57" s="82" t="str">
        <f>IF(ISNUMBER(outYear),JPD37+JPD42+#REF!+#REF!,"")</f>
        <v/>
      </c>
      <c r="JPE57" s="82" t="str">
        <f>IF(ISNUMBER(outYear),JPE37+JPE42+#REF!+#REF!,"")</f>
        <v/>
      </c>
      <c r="JPF57" s="82" t="str">
        <f>IF(ISNUMBER(outYear),JPF37+JPF42+#REF!+#REF!,"")</f>
        <v/>
      </c>
      <c r="JPG57" s="82" t="str">
        <f>IF(ISNUMBER(outYear),JPG37+JPG42+#REF!+#REF!,"")</f>
        <v/>
      </c>
      <c r="JPH57" s="82" t="str">
        <f>IF(ISNUMBER(outYear),JPH37+JPH42+#REF!+#REF!,"")</f>
        <v/>
      </c>
      <c r="JPI57" s="82" t="str">
        <f>IF(ISNUMBER(outYear),JPI37+JPI42+#REF!+#REF!,"")</f>
        <v/>
      </c>
      <c r="JPJ57" s="82" t="str">
        <f>IF(ISNUMBER(outYear),JPJ37+JPJ42+#REF!+#REF!,"")</f>
        <v/>
      </c>
      <c r="JPK57" s="82" t="str">
        <f>IF(ISNUMBER(outYear),JPK37+JPK42+#REF!+#REF!,"")</f>
        <v/>
      </c>
      <c r="JPL57" s="82" t="str">
        <f>IF(ISNUMBER(outYear),JPL37+JPL42+#REF!+#REF!,"")</f>
        <v/>
      </c>
      <c r="JPM57" s="82" t="str">
        <f>IF(ISNUMBER(outYear),JPM37+JPM42+#REF!+#REF!,"")</f>
        <v/>
      </c>
      <c r="JPN57" s="82" t="str">
        <f>IF(ISNUMBER(outYear),JPN37+JPN42+#REF!+#REF!,"")</f>
        <v/>
      </c>
      <c r="JPO57" s="82" t="str">
        <f>IF(ISNUMBER(outYear),JPO37+JPO42+#REF!+#REF!,"")</f>
        <v/>
      </c>
      <c r="JPP57" s="82" t="str">
        <f>IF(ISNUMBER(outYear),JPP37+JPP42+#REF!+#REF!,"")</f>
        <v/>
      </c>
      <c r="JPQ57" s="82" t="str">
        <f>IF(ISNUMBER(outYear),JPQ37+JPQ42+#REF!+#REF!,"")</f>
        <v/>
      </c>
      <c r="JPR57" s="82" t="str">
        <f>IF(ISNUMBER(outYear),JPR37+JPR42+#REF!+#REF!,"")</f>
        <v/>
      </c>
      <c r="JPS57" s="82" t="str">
        <f>IF(ISNUMBER(outYear),JPS37+JPS42+#REF!+#REF!,"")</f>
        <v/>
      </c>
      <c r="JPT57" s="82" t="str">
        <f>IF(ISNUMBER(outYear),JPT37+JPT42+#REF!+#REF!,"")</f>
        <v/>
      </c>
      <c r="JPU57" s="82" t="str">
        <f>IF(ISNUMBER(outYear),JPU37+JPU42+#REF!+#REF!,"")</f>
        <v/>
      </c>
      <c r="JPV57" s="82" t="str">
        <f>IF(ISNUMBER(outYear),JPV37+JPV42+#REF!+#REF!,"")</f>
        <v/>
      </c>
      <c r="JPW57" s="82" t="str">
        <f>IF(ISNUMBER(outYear),JPW37+JPW42+#REF!+#REF!,"")</f>
        <v/>
      </c>
      <c r="JPX57" s="82" t="str">
        <f>IF(ISNUMBER(outYear),JPX37+JPX42+#REF!+#REF!,"")</f>
        <v/>
      </c>
      <c r="JPY57" s="82" t="str">
        <f>IF(ISNUMBER(outYear),JPY37+JPY42+#REF!+#REF!,"")</f>
        <v/>
      </c>
      <c r="JPZ57" s="82" t="str">
        <f>IF(ISNUMBER(outYear),JPZ37+JPZ42+#REF!+#REF!,"")</f>
        <v/>
      </c>
      <c r="JQA57" s="82" t="str">
        <f>IF(ISNUMBER(outYear),JQA37+JQA42+#REF!+#REF!,"")</f>
        <v/>
      </c>
      <c r="JQB57" s="82" t="str">
        <f>IF(ISNUMBER(outYear),JQB37+JQB42+#REF!+#REF!,"")</f>
        <v/>
      </c>
      <c r="JQC57" s="82" t="str">
        <f>IF(ISNUMBER(outYear),JQC37+JQC42+#REF!+#REF!,"")</f>
        <v/>
      </c>
      <c r="JQD57" s="82" t="str">
        <f>IF(ISNUMBER(outYear),JQD37+JQD42+#REF!+#REF!,"")</f>
        <v/>
      </c>
      <c r="JQE57" s="82" t="str">
        <f>IF(ISNUMBER(outYear),JQE37+JQE42+#REF!+#REF!,"")</f>
        <v/>
      </c>
      <c r="JQF57" s="82" t="str">
        <f>IF(ISNUMBER(outYear),JQF37+JQF42+#REF!+#REF!,"")</f>
        <v/>
      </c>
      <c r="JQG57" s="82" t="str">
        <f>IF(ISNUMBER(outYear),JQG37+JQG42+#REF!+#REF!,"")</f>
        <v/>
      </c>
      <c r="JQH57" s="82" t="str">
        <f>IF(ISNUMBER(outYear),JQH37+JQH42+#REF!+#REF!,"")</f>
        <v/>
      </c>
      <c r="JQI57" s="82" t="str">
        <f>IF(ISNUMBER(outYear),JQI37+JQI42+#REF!+#REF!,"")</f>
        <v/>
      </c>
      <c r="JQJ57" s="82" t="str">
        <f>IF(ISNUMBER(outYear),JQJ37+JQJ42+#REF!+#REF!,"")</f>
        <v/>
      </c>
      <c r="JQK57" s="82" t="str">
        <f>IF(ISNUMBER(outYear),JQK37+JQK42+#REF!+#REF!,"")</f>
        <v/>
      </c>
      <c r="JQL57" s="82" t="str">
        <f>IF(ISNUMBER(outYear),JQL37+JQL42+#REF!+#REF!,"")</f>
        <v/>
      </c>
      <c r="JQM57" s="82" t="str">
        <f>IF(ISNUMBER(outYear),JQM37+JQM42+#REF!+#REF!,"")</f>
        <v/>
      </c>
      <c r="JQN57" s="82" t="str">
        <f>IF(ISNUMBER(outYear),JQN37+JQN42+#REF!+#REF!,"")</f>
        <v/>
      </c>
      <c r="JQO57" s="82" t="str">
        <f>IF(ISNUMBER(outYear),JQO37+JQO42+#REF!+#REF!,"")</f>
        <v/>
      </c>
      <c r="JQP57" s="82" t="str">
        <f>IF(ISNUMBER(outYear),JQP37+JQP42+#REF!+#REF!,"")</f>
        <v/>
      </c>
      <c r="JQQ57" s="82" t="str">
        <f>IF(ISNUMBER(outYear),JQQ37+JQQ42+#REF!+#REF!,"")</f>
        <v/>
      </c>
      <c r="JQR57" s="82" t="str">
        <f>IF(ISNUMBER(outYear),JQR37+JQR42+#REF!+#REF!,"")</f>
        <v/>
      </c>
      <c r="JQS57" s="82" t="str">
        <f>IF(ISNUMBER(outYear),JQS37+JQS42+#REF!+#REF!,"")</f>
        <v/>
      </c>
      <c r="JQT57" s="82" t="str">
        <f>IF(ISNUMBER(outYear),JQT37+JQT42+#REF!+#REF!,"")</f>
        <v/>
      </c>
      <c r="JQU57" s="82" t="str">
        <f>IF(ISNUMBER(outYear),JQU37+JQU42+#REF!+#REF!,"")</f>
        <v/>
      </c>
      <c r="JQV57" s="82" t="str">
        <f>IF(ISNUMBER(outYear),JQV37+JQV42+#REF!+#REF!,"")</f>
        <v/>
      </c>
      <c r="JQW57" s="82" t="str">
        <f>IF(ISNUMBER(outYear),JQW37+JQW42+#REF!+#REF!,"")</f>
        <v/>
      </c>
      <c r="JQX57" s="82" t="str">
        <f>IF(ISNUMBER(outYear),JQX37+JQX42+#REF!+#REF!,"")</f>
        <v/>
      </c>
      <c r="JQY57" s="82" t="str">
        <f>IF(ISNUMBER(outYear),JQY37+JQY42+#REF!+#REF!,"")</f>
        <v/>
      </c>
      <c r="JQZ57" s="82" t="str">
        <f>IF(ISNUMBER(outYear),JQZ37+JQZ42+#REF!+#REF!,"")</f>
        <v/>
      </c>
      <c r="JRA57" s="82" t="str">
        <f>IF(ISNUMBER(outYear),JRA37+JRA42+#REF!+#REF!,"")</f>
        <v/>
      </c>
      <c r="JRB57" s="82" t="str">
        <f>IF(ISNUMBER(outYear),JRB37+JRB42+#REF!+#REF!,"")</f>
        <v/>
      </c>
      <c r="JRC57" s="82" t="str">
        <f>IF(ISNUMBER(outYear),JRC37+JRC42+#REF!+#REF!,"")</f>
        <v/>
      </c>
      <c r="JRD57" s="82" t="str">
        <f>IF(ISNUMBER(outYear),JRD37+JRD42+#REF!+#REF!,"")</f>
        <v/>
      </c>
      <c r="JRE57" s="82" t="str">
        <f>IF(ISNUMBER(outYear),JRE37+JRE42+#REF!+#REF!,"")</f>
        <v/>
      </c>
      <c r="JRF57" s="82" t="str">
        <f>IF(ISNUMBER(outYear),JRF37+JRF42+#REF!+#REF!,"")</f>
        <v/>
      </c>
      <c r="JRG57" s="82" t="str">
        <f>IF(ISNUMBER(outYear),JRG37+JRG42+#REF!+#REF!,"")</f>
        <v/>
      </c>
      <c r="JRH57" s="82" t="str">
        <f>IF(ISNUMBER(outYear),JRH37+JRH42+#REF!+#REF!,"")</f>
        <v/>
      </c>
      <c r="JRI57" s="82" t="str">
        <f>IF(ISNUMBER(outYear),JRI37+JRI42+#REF!+#REF!,"")</f>
        <v/>
      </c>
      <c r="JRJ57" s="82" t="str">
        <f>IF(ISNUMBER(outYear),JRJ37+JRJ42+#REF!+#REF!,"")</f>
        <v/>
      </c>
      <c r="JRK57" s="82" t="str">
        <f>IF(ISNUMBER(outYear),JRK37+JRK42+#REF!+#REF!,"")</f>
        <v/>
      </c>
      <c r="JRL57" s="82" t="str">
        <f>IF(ISNUMBER(outYear),JRL37+JRL42+#REF!+#REF!,"")</f>
        <v/>
      </c>
      <c r="JRM57" s="82" t="str">
        <f>IF(ISNUMBER(outYear),JRM37+JRM42+#REF!+#REF!,"")</f>
        <v/>
      </c>
      <c r="JRN57" s="82" t="str">
        <f>IF(ISNUMBER(outYear),JRN37+JRN42+#REF!+#REF!,"")</f>
        <v/>
      </c>
      <c r="JRO57" s="82" t="str">
        <f>IF(ISNUMBER(outYear),JRO37+JRO42+#REF!+#REF!,"")</f>
        <v/>
      </c>
      <c r="JRP57" s="82" t="str">
        <f>IF(ISNUMBER(outYear),JRP37+JRP42+#REF!+#REF!,"")</f>
        <v/>
      </c>
      <c r="JRQ57" s="82" t="str">
        <f>IF(ISNUMBER(outYear),JRQ37+JRQ42+#REF!+#REF!,"")</f>
        <v/>
      </c>
      <c r="JRR57" s="82" t="str">
        <f>IF(ISNUMBER(outYear),JRR37+JRR42+#REF!+#REF!,"")</f>
        <v/>
      </c>
      <c r="JRS57" s="82" t="str">
        <f>IF(ISNUMBER(outYear),JRS37+JRS42+#REF!+#REF!,"")</f>
        <v/>
      </c>
      <c r="JRT57" s="82" t="str">
        <f>IF(ISNUMBER(outYear),JRT37+JRT42+#REF!+#REF!,"")</f>
        <v/>
      </c>
      <c r="JRU57" s="82" t="str">
        <f>IF(ISNUMBER(outYear),JRU37+JRU42+#REF!+#REF!,"")</f>
        <v/>
      </c>
      <c r="JRV57" s="82" t="str">
        <f>IF(ISNUMBER(outYear),JRV37+JRV42+#REF!+#REF!,"")</f>
        <v/>
      </c>
      <c r="JRW57" s="82" t="str">
        <f>IF(ISNUMBER(outYear),JRW37+JRW42+#REF!+#REF!,"")</f>
        <v/>
      </c>
      <c r="JRX57" s="82" t="str">
        <f>IF(ISNUMBER(outYear),JRX37+JRX42+#REF!+#REF!,"")</f>
        <v/>
      </c>
      <c r="JRY57" s="82" t="str">
        <f>IF(ISNUMBER(outYear),JRY37+JRY42+#REF!+#REF!,"")</f>
        <v/>
      </c>
      <c r="JRZ57" s="82" t="str">
        <f>IF(ISNUMBER(outYear),JRZ37+JRZ42+#REF!+#REF!,"")</f>
        <v/>
      </c>
      <c r="JSA57" s="82" t="str">
        <f>IF(ISNUMBER(outYear),JSA37+JSA42+#REF!+#REF!,"")</f>
        <v/>
      </c>
      <c r="JSB57" s="82" t="str">
        <f>IF(ISNUMBER(outYear),JSB37+JSB42+#REF!+#REF!,"")</f>
        <v/>
      </c>
      <c r="JSC57" s="82" t="str">
        <f>IF(ISNUMBER(outYear),JSC37+JSC42+#REF!+#REF!,"")</f>
        <v/>
      </c>
      <c r="JSD57" s="82" t="str">
        <f>IF(ISNUMBER(outYear),JSD37+JSD42+#REF!+#REF!,"")</f>
        <v/>
      </c>
      <c r="JSE57" s="82" t="str">
        <f>IF(ISNUMBER(outYear),JSE37+JSE42+#REF!+#REF!,"")</f>
        <v/>
      </c>
      <c r="JSF57" s="82" t="str">
        <f>IF(ISNUMBER(outYear),JSF37+JSF42+#REF!+#REF!,"")</f>
        <v/>
      </c>
      <c r="JSG57" s="82" t="str">
        <f>IF(ISNUMBER(outYear),JSG37+JSG42+#REF!+#REF!,"")</f>
        <v/>
      </c>
      <c r="JSH57" s="82" t="str">
        <f>IF(ISNUMBER(outYear),JSH37+JSH42+#REF!+#REF!,"")</f>
        <v/>
      </c>
      <c r="JSI57" s="82" t="str">
        <f>IF(ISNUMBER(outYear),JSI37+JSI42+#REF!+#REF!,"")</f>
        <v/>
      </c>
      <c r="JSJ57" s="82" t="str">
        <f>IF(ISNUMBER(outYear),JSJ37+JSJ42+#REF!+#REF!,"")</f>
        <v/>
      </c>
      <c r="JSK57" s="82" t="str">
        <f>IF(ISNUMBER(outYear),JSK37+JSK42+#REF!+#REF!,"")</f>
        <v/>
      </c>
      <c r="JSL57" s="82" t="str">
        <f>IF(ISNUMBER(outYear),JSL37+JSL42+#REF!+#REF!,"")</f>
        <v/>
      </c>
      <c r="JSM57" s="82" t="str">
        <f>IF(ISNUMBER(outYear),JSM37+JSM42+#REF!+#REF!,"")</f>
        <v/>
      </c>
      <c r="JSN57" s="82" t="str">
        <f>IF(ISNUMBER(outYear),JSN37+JSN42+#REF!+#REF!,"")</f>
        <v/>
      </c>
      <c r="JSO57" s="82" t="str">
        <f>IF(ISNUMBER(outYear),JSO37+JSO42+#REF!+#REF!,"")</f>
        <v/>
      </c>
      <c r="JSP57" s="82" t="str">
        <f>IF(ISNUMBER(outYear),JSP37+JSP42+#REF!+#REF!,"")</f>
        <v/>
      </c>
      <c r="JSQ57" s="82" t="str">
        <f>IF(ISNUMBER(outYear),JSQ37+JSQ42+#REF!+#REF!,"")</f>
        <v/>
      </c>
      <c r="JSR57" s="82" t="str">
        <f>IF(ISNUMBER(outYear),JSR37+JSR42+#REF!+#REF!,"")</f>
        <v/>
      </c>
      <c r="JSS57" s="82" t="str">
        <f>IF(ISNUMBER(outYear),JSS37+JSS42+#REF!+#REF!,"")</f>
        <v/>
      </c>
      <c r="JST57" s="82" t="str">
        <f>IF(ISNUMBER(outYear),JST37+JST42+#REF!+#REF!,"")</f>
        <v/>
      </c>
      <c r="JSU57" s="82" t="str">
        <f>IF(ISNUMBER(outYear),JSU37+JSU42+#REF!+#REF!,"")</f>
        <v/>
      </c>
      <c r="JSV57" s="82" t="str">
        <f>IF(ISNUMBER(outYear),JSV37+JSV42+#REF!+#REF!,"")</f>
        <v/>
      </c>
      <c r="JSW57" s="82" t="str">
        <f>IF(ISNUMBER(outYear),JSW37+JSW42+#REF!+#REF!,"")</f>
        <v/>
      </c>
      <c r="JSX57" s="82" t="str">
        <f>IF(ISNUMBER(outYear),JSX37+JSX42+#REF!+#REF!,"")</f>
        <v/>
      </c>
      <c r="JSY57" s="82" t="str">
        <f>IF(ISNUMBER(outYear),JSY37+JSY42+#REF!+#REF!,"")</f>
        <v/>
      </c>
      <c r="JSZ57" s="82" t="str">
        <f>IF(ISNUMBER(outYear),JSZ37+JSZ42+#REF!+#REF!,"")</f>
        <v/>
      </c>
      <c r="JTA57" s="82" t="str">
        <f>IF(ISNUMBER(outYear),JTA37+JTA42+#REF!+#REF!,"")</f>
        <v/>
      </c>
      <c r="JTB57" s="82" t="str">
        <f>IF(ISNUMBER(outYear),JTB37+JTB42+#REF!+#REF!,"")</f>
        <v/>
      </c>
      <c r="JTC57" s="82" t="str">
        <f>IF(ISNUMBER(outYear),JTC37+JTC42+#REF!+#REF!,"")</f>
        <v/>
      </c>
      <c r="JTD57" s="82" t="str">
        <f>IF(ISNUMBER(outYear),JTD37+JTD42+#REF!+#REF!,"")</f>
        <v/>
      </c>
      <c r="JTE57" s="82" t="str">
        <f>IF(ISNUMBER(outYear),JTE37+JTE42+#REF!+#REF!,"")</f>
        <v/>
      </c>
      <c r="JTF57" s="82" t="str">
        <f>IF(ISNUMBER(outYear),JTF37+JTF42+#REF!+#REF!,"")</f>
        <v/>
      </c>
      <c r="JTG57" s="82" t="str">
        <f>IF(ISNUMBER(outYear),JTG37+JTG42+#REF!+#REF!,"")</f>
        <v/>
      </c>
      <c r="JTH57" s="82" t="str">
        <f>IF(ISNUMBER(outYear),JTH37+JTH42+#REF!+#REF!,"")</f>
        <v/>
      </c>
      <c r="JTI57" s="82" t="str">
        <f>IF(ISNUMBER(outYear),JTI37+JTI42+#REF!+#REF!,"")</f>
        <v/>
      </c>
      <c r="JTJ57" s="82" t="str">
        <f>IF(ISNUMBER(outYear),JTJ37+JTJ42+#REF!+#REF!,"")</f>
        <v/>
      </c>
      <c r="JTK57" s="82" t="str">
        <f>IF(ISNUMBER(outYear),JTK37+JTK42+#REF!+#REF!,"")</f>
        <v/>
      </c>
      <c r="JTL57" s="82" t="str">
        <f>IF(ISNUMBER(outYear),JTL37+JTL42+#REF!+#REF!,"")</f>
        <v/>
      </c>
      <c r="JTM57" s="82" t="str">
        <f>IF(ISNUMBER(outYear),JTM37+JTM42+#REF!+#REF!,"")</f>
        <v/>
      </c>
      <c r="JTN57" s="82" t="str">
        <f>IF(ISNUMBER(outYear),JTN37+JTN42+#REF!+#REF!,"")</f>
        <v/>
      </c>
      <c r="JTO57" s="82" t="str">
        <f>IF(ISNUMBER(outYear),JTO37+JTO42+#REF!+#REF!,"")</f>
        <v/>
      </c>
      <c r="JTP57" s="82" t="str">
        <f>IF(ISNUMBER(outYear),JTP37+JTP42+#REF!+#REF!,"")</f>
        <v/>
      </c>
      <c r="JTQ57" s="82" t="str">
        <f>IF(ISNUMBER(outYear),JTQ37+JTQ42+#REF!+#REF!,"")</f>
        <v/>
      </c>
      <c r="JTR57" s="82" t="str">
        <f>IF(ISNUMBER(outYear),JTR37+JTR42+#REF!+#REF!,"")</f>
        <v/>
      </c>
      <c r="JTS57" s="82" t="str">
        <f>IF(ISNUMBER(outYear),JTS37+JTS42+#REF!+#REF!,"")</f>
        <v/>
      </c>
      <c r="JTT57" s="82" t="str">
        <f>IF(ISNUMBER(outYear),JTT37+JTT42+#REF!+#REF!,"")</f>
        <v/>
      </c>
      <c r="JTU57" s="82" t="str">
        <f>IF(ISNUMBER(outYear),JTU37+JTU42+#REF!+#REF!,"")</f>
        <v/>
      </c>
      <c r="JTV57" s="82" t="str">
        <f>IF(ISNUMBER(outYear),JTV37+JTV42+#REF!+#REF!,"")</f>
        <v/>
      </c>
      <c r="JTW57" s="82" t="str">
        <f>IF(ISNUMBER(outYear),JTW37+JTW42+#REF!+#REF!,"")</f>
        <v/>
      </c>
      <c r="JTX57" s="82" t="str">
        <f>IF(ISNUMBER(outYear),JTX37+JTX42+#REF!+#REF!,"")</f>
        <v/>
      </c>
      <c r="JTY57" s="82" t="str">
        <f>IF(ISNUMBER(outYear),JTY37+JTY42+#REF!+#REF!,"")</f>
        <v/>
      </c>
      <c r="JTZ57" s="82" t="str">
        <f>IF(ISNUMBER(outYear),JTZ37+JTZ42+#REF!+#REF!,"")</f>
        <v/>
      </c>
      <c r="JUA57" s="82" t="str">
        <f>IF(ISNUMBER(outYear),JUA37+JUA42+#REF!+#REF!,"")</f>
        <v/>
      </c>
      <c r="JUB57" s="82" t="str">
        <f>IF(ISNUMBER(outYear),JUB37+JUB42+#REF!+#REF!,"")</f>
        <v/>
      </c>
      <c r="JUC57" s="82" t="str">
        <f>IF(ISNUMBER(outYear),JUC37+JUC42+#REF!+#REF!,"")</f>
        <v/>
      </c>
      <c r="JUD57" s="82" t="str">
        <f>IF(ISNUMBER(outYear),JUD37+JUD42+#REF!+#REF!,"")</f>
        <v/>
      </c>
      <c r="JUE57" s="82" t="str">
        <f>IF(ISNUMBER(outYear),JUE37+JUE42+#REF!+#REF!,"")</f>
        <v/>
      </c>
      <c r="JUF57" s="82" t="str">
        <f>IF(ISNUMBER(outYear),JUF37+JUF42+#REF!+#REF!,"")</f>
        <v/>
      </c>
      <c r="JUG57" s="82" t="str">
        <f>IF(ISNUMBER(outYear),JUG37+JUG42+#REF!+#REF!,"")</f>
        <v/>
      </c>
      <c r="JUH57" s="82" t="str">
        <f>IF(ISNUMBER(outYear),JUH37+JUH42+#REF!+#REF!,"")</f>
        <v/>
      </c>
      <c r="JUI57" s="82" t="str">
        <f>IF(ISNUMBER(outYear),JUI37+JUI42+#REF!+#REF!,"")</f>
        <v/>
      </c>
      <c r="JUJ57" s="82" t="str">
        <f>IF(ISNUMBER(outYear),JUJ37+JUJ42+#REF!+#REF!,"")</f>
        <v/>
      </c>
      <c r="JUK57" s="82" t="str">
        <f>IF(ISNUMBER(outYear),JUK37+JUK42+#REF!+#REF!,"")</f>
        <v/>
      </c>
      <c r="JUL57" s="82" t="str">
        <f>IF(ISNUMBER(outYear),JUL37+JUL42+#REF!+#REF!,"")</f>
        <v/>
      </c>
      <c r="JUM57" s="82" t="str">
        <f>IF(ISNUMBER(outYear),JUM37+JUM42+#REF!+#REF!,"")</f>
        <v/>
      </c>
      <c r="JUN57" s="82" t="str">
        <f>IF(ISNUMBER(outYear),JUN37+JUN42+#REF!+#REF!,"")</f>
        <v/>
      </c>
      <c r="JUO57" s="82" t="str">
        <f>IF(ISNUMBER(outYear),JUO37+JUO42+#REF!+#REF!,"")</f>
        <v/>
      </c>
      <c r="JUP57" s="82" t="str">
        <f>IF(ISNUMBER(outYear),JUP37+JUP42+#REF!+#REF!,"")</f>
        <v/>
      </c>
      <c r="JUQ57" s="82" t="str">
        <f>IF(ISNUMBER(outYear),JUQ37+JUQ42+#REF!+#REF!,"")</f>
        <v/>
      </c>
      <c r="JUR57" s="82" t="str">
        <f>IF(ISNUMBER(outYear),JUR37+JUR42+#REF!+#REF!,"")</f>
        <v/>
      </c>
      <c r="JUS57" s="82" t="str">
        <f>IF(ISNUMBER(outYear),JUS37+JUS42+#REF!+#REF!,"")</f>
        <v/>
      </c>
      <c r="JUT57" s="82" t="str">
        <f>IF(ISNUMBER(outYear),JUT37+JUT42+#REF!+#REF!,"")</f>
        <v/>
      </c>
      <c r="JUU57" s="82" t="str">
        <f>IF(ISNUMBER(outYear),JUU37+JUU42+#REF!+#REF!,"")</f>
        <v/>
      </c>
      <c r="JUV57" s="82" t="str">
        <f>IF(ISNUMBER(outYear),JUV37+JUV42+#REF!+#REF!,"")</f>
        <v/>
      </c>
      <c r="JUW57" s="82" t="str">
        <f>IF(ISNUMBER(outYear),JUW37+JUW42+#REF!+#REF!,"")</f>
        <v/>
      </c>
      <c r="JUX57" s="82" t="str">
        <f>IF(ISNUMBER(outYear),JUX37+JUX42+#REF!+#REF!,"")</f>
        <v/>
      </c>
      <c r="JUY57" s="82" t="str">
        <f>IF(ISNUMBER(outYear),JUY37+JUY42+#REF!+#REF!,"")</f>
        <v/>
      </c>
      <c r="JUZ57" s="82" t="str">
        <f>IF(ISNUMBER(outYear),JUZ37+JUZ42+#REF!+#REF!,"")</f>
        <v/>
      </c>
      <c r="JVA57" s="82" t="str">
        <f>IF(ISNUMBER(outYear),JVA37+JVA42+#REF!+#REF!,"")</f>
        <v/>
      </c>
      <c r="JVB57" s="82" t="str">
        <f>IF(ISNUMBER(outYear),JVB37+JVB42+#REF!+#REF!,"")</f>
        <v/>
      </c>
      <c r="JVC57" s="82" t="str">
        <f>IF(ISNUMBER(outYear),JVC37+JVC42+#REF!+#REF!,"")</f>
        <v/>
      </c>
      <c r="JVD57" s="82" t="str">
        <f>IF(ISNUMBER(outYear),JVD37+JVD42+#REF!+#REF!,"")</f>
        <v/>
      </c>
      <c r="JVE57" s="82" t="str">
        <f>IF(ISNUMBER(outYear),JVE37+JVE42+#REF!+#REF!,"")</f>
        <v/>
      </c>
      <c r="JVF57" s="82" t="str">
        <f>IF(ISNUMBER(outYear),JVF37+JVF42+#REF!+#REF!,"")</f>
        <v/>
      </c>
      <c r="JVG57" s="82" t="str">
        <f>IF(ISNUMBER(outYear),JVG37+JVG42+#REF!+#REF!,"")</f>
        <v/>
      </c>
      <c r="JVH57" s="82" t="str">
        <f>IF(ISNUMBER(outYear),JVH37+JVH42+#REF!+#REF!,"")</f>
        <v/>
      </c>
      <c r="JVI57" s="82" t="str">
        <f>IF(ISNUMBER(outYear),JVI37+JVI42+#REF!+#REF!,"")</f>
        <v/>
      </c>
      <c r="JVJ57" s="82" t="str">
        <f>IF(ISNUMBER(outYear),JVJ37+JVJ42+#REF!+#REF!,"")</f>
        <v/>
      </c>
      <c r="JVK57" s="82" t="str">
        <f>IF(ISNUMBER(outYear),JVK37+JVK42+#REF!+#REF!,"")</f>
        <v/>
      </c>
      <c r="JVL57" s="82" t="str">
        <f>IF(ISNUMBER(outYear),JVL37+JVL42+#REF!+#REF!,"")</f>
        <v/>
      </c>
      <c r="JVM57" s="82" t="str">
        <f>IF(ISNUMBER(outYear),JVM37+JVM42+#REF!+#REF!,"")</f>
        <v/>
      </c>
      <c r="JVN57" s="82" t="str">
        <f>IF(ISNUMBER(outYear),JVN37+JVN42+#REF!+#REF!,"")</f>
        <v/>
      </c>
      <c r="JVO57" s="82" t="str">
        <f>IF(ISNUMBER(outYear),JVO37+JVO42+#REF!+#REF!,"")</f>
        <v/>
      </c>
      <c r="JVP57" s="82" t="str">
        <f>IF(ISNUMBER(outYear),JVP37+JVP42+#REF!+#REF!,"")</f>
        <v/>
      </c>
      <c r="JVQ57" s="82" t="str">
        <f>IF(ISNUMBER(outYear),JVQ37+JVQ42+#REF!+#REF!,"")</f>
        <v/>
      </c>
      <c r="JVR57" s="82" t="str">
        <f>IF(ISNUMBER(outYear),JVR37+JVR42+#REF!+#REF!,"")</f>
        <v/>
      </c>
      <c r="JVS57" s="82" t="str">
        <f>IF(ISNUMBER(outYear),JVS37+JVS42+#REF!+#REF!,"")</f>
        <v/>
      </c>
      <c r="JVT57" s="82" t="str">
        <f>IF(ISNUMBER(outYear),JVT37+JVT42+#REF!+#REF!,"")</f>
        <v/>
      </c>
      <c r="JVU57" s="82" t="str">
        <f>IF(ISNUMBER(outYear),JVU37+JVU42+#REF!+#REF!,"")</f>
        <v/>
      </c>
      <c r="JVV57" s="82" t="str">
        <f>IF(ISNUMBER(outYear),JVV37+JVV42+#REF!+#REF!,"")</f>
        <v/>
      </c>
      <c r="JVW57" s="82" t="str">
        <f>IF(ISNUMBER(outYear),JVW37+JVW42+#REF!+#REF!,"")</f>
        <v/>
      </c>
      <c r="JVX57" s="82" t="str">
        <f>IF(ISNUMBER(outYear),JVX37+JVX42+#REF!+#REF!,"")</f>
        <v/>
      </c>
      <c r="JVY57" s="82" t="str">
        <f>IF(ISNUMBER(outYear),JVY37+JVY42+#REF!+#REF!,"")</f>
        <v/>
      </c>
      <c r="JVZ57" s="82" t="str">
        <f>IF(ISNUMBER(outYear),JVZ37+JVZ42+#REF!+#REF!,"")</f>
        <v/>
      </c>
      <c r="JWA57" s="82" t="str">
        <f>IF(ISNUMBER(outYear),JWA37+JWA42+#REF!+#REF!,"")</f>
        <v/>
      </c>
      <c r="JWB57" s="82" t="str">
        <f>IF(ISNUMBER(outYear),JWB37+JWB42+#REF!+#REF!,"")</f>
        <v/>
      </c>
      <c r="JWC57" s="82" t="str">
        <f>IF(ISNUMBER(outYear),JWC37+JWC42+#REF!+#REF!,"")</f>
        <v/>
      </c>
      <c r="JWD57" s="82" t="str">
        <f>IF(ISNUMBER(outYear),JWD37+JWD42+#REF!+#REF!,"")</f>
        <v/>
      </c>
      <c r="JWE57" s="82" t="str">
        <f>IF(ISNUMBER(outYear),JWE37+JWE42+#REF!+#REF!,"")</f>
        <v/>
      </c>
      <c r="JWF57" s="82" t="str">
        <f>IF(ISNUMBER(outYear),JWF37+JWF42+#REF!+#REF!,"")</f>
        <v/>
      </c>
      <c r="JWG57" s="82" t="str">
        <f>IF(ISNUMBER(outYear),JWG37+JWG42+#REF!+#REF!,"")</f>
        <v/>
      </c>
      <c r="JWH57" s="82" t="str">
        <f>IF(ISNUMBER(outYear),JWH37+JWH42+#REF!+#REF!,"")</f>
        <v/>
      </c>
      <c r="JWI57" s="82" t="str">
        <f>IF(ISNUMBER(outYear),JWI37+JWI42+#REF!+#REF!,"")</f>
        <v/>
      </c>
      <c r="JWJ57" s="82" t="str">
        <f>IF(ISNUMBER(outYear),JWJ37+JWJ42+#REF!+#REF!,"")</f>
        <v/>
      </c>
      <c r="JWK57" s="82" t="str">
        <f>IF(ISNUMBER(outYear),JWK37+JWK42+#REF!+#REF!,"")</f>
        <v/>
      </c>
      <c r="JWL57" s="82" t="str">
        <f>IF(ISNUMBER(outYear),JWL37+JWL42+#REF!+#REF!,"")</f>
        <v/>
      </c>
      <c r="JWM57" s="82" t="str">
        <f>IF(ISNUMBER(outYear),JWM37+JWM42+#REF!+#REF!,"")</f>
        <v/>
      </c>
      <c r="JWN57" s="82" t="str">
        <f>IF(ISNUMBER(outYear),JWN37+JWN42+#REF!+#REF!,"")</f>
        <v/>
      </c>
      <c r="JWO57" s="82" t="str">
        <f>IF(ISNUMBER(outYear),JWO37+JWO42+#REF!+#REF!,"")</f>
        <v/>
      </c>
      <c r="JWP57" s="82" t="str">
        <f>IF(ISNUMBER(outYear),JWP37+JWP42+#REF!+#REF!,"")</f>
        <v/>
      </c>
      <c r="JWQ57" s="82" t="str">
        <f>IF(ISNUMBER(outYear),JWQ37+JWQ42+#REF!+#REF!,"")</f>
        <v/>
      </c>
      <c r="JWR57" s="82" t="str">
        <f>IF(ISNUMBER(outYear),JWR37+JWR42+#REF!+#REF!,"")</f>
        <v/>
      </c>
      <c r="JWS57" s="82" t="str">
        <f>IF(ISNUMBER(outYear),JWS37+JWS42+#REF!+#REF!,"")</f>
        <v/>
      </c>
      <c r="JWT57" s="82" t="str">
        <f>IF(ISNUMBER(outYear),JWT37+JWT42+#REF!+#REF!,"")</f>
        <v/>
      </c>
      <c r="JWU57" s="82" t="str">
        <f>IF(ISNUMBER(outYear),JWU37+JWU42+#REF!+#REF!,"")</f>
        <v/>
      </c>
      <c r="JWV57" s="82" t="str">
        <f>IF(ISNUMBER(outYear),JWV37+JWV42+#REF!+#REF!,"")</f>
        <v/>
      </c>
      <c r="JWW57" s="82" t="str">
        <f>IF(ISNUMBER(outYear),JWW37+JWW42+#REF!+#REF!,"")</f>
        <v/>
      </c>
      <c r="JWX57" s="82" t="str">
        <f>IF(ISNUMBER(outYear),JWX37+JWX42+#REF!+#REF!,"")</f>
        <v/>
      </c>
      <c r="JWY57" s="82" t="str">
        <f>IF(ISNUMBER(outYear),JWY37+JWY42+#REF!+#REF!,"")</f>
        <v/>
      </c>
      <c r="JWZ57" s="82" t="str">
        <f>IF(ISNUMBER(outYear),JWZ37+JWZ42+#REF!+#REF!,"")</f>
        <v/>
      </c>
      <c r="JXA57" s="82" t="str">
        <f>IF(ISNUMBER(outYear),JXA37+JXA42+#REF!+#REF!,"")</f>
        <v/>
      </c>
      <c r="JXB57" s="82" t="str">
        <f>IF(ISNUMBER(outYear),JXB37+JXB42+#REF!+#REF!,"")</f>
        <v/>
      </c>
      <c r="JXC57" s="82" t="str">
        <f>IF(ISNUMBER(outYear),JXC37+JXC42+#REF!+#REF!,"")</f>
        <v/>
      </c>
      <c r="JXD57" s="82" t="str">
        <f>IF(ISNUMBER(outYear),JXD37+JXD42+#REF!+#REF!,"")</f>
        <v/>
      </c>
      <c r="JXE57" s="82" t="str">
        <f>IF(ISNUMBER(outYear),JXE37+JXE42+#REF!+#REF!,"")</f>
        <v/>
      </c>
      <c r="JXF57" s="82" t="str">
        <f>IF(ISNUMBER(outYear),JXF37+JXF42+#REF!+#REF!,"")</f>
        <v/>
      </c>
      <c r="JXG57" s="82" t="str">
        <f>IF(ISNUMBER(outYear),JXG37+JXG42+#REF!+#REF!,"")</f>
        <v/>
      </c>
      <c r="JXH57" s="82" t="str">
        <f>IF(ISNUMBER(outYear),JXH37+JXH42+#REF!+#REF!,"")</f>
        <v/>
      </c>
      <c r="JXI57" s="82" t="str">
        <f>IF(ISNUMBER(outYear),JXI37+JXI42+#REF!+#REF!,"")</f>
        <v/>
      </c>
      <c r="JXJ57" s="82" t="str">
        <f>IF(ISNUMBER(outYear),JXJ37+JXJ42+#REF!+#REF!,"")</f>
        <v/>
      </c>
      <c r="JXK57" s="82" t="str">
        <f>IF(ISNUMBER(outYear),JXK37+JXK42+#REF!+#REF!,"")</f>
        <v/>
      </c>
      <c r="JXL57" s="82" t="str">
        <f>IF(ISNUMBER(outYear),JXL37+JXL42+#REF!+#REF!,"")</f>
        <v/>
      </c>
      <c r="JXM57" s="82" t="str">
        <f>IF(ISNUMBER(outYear),JXM37+JXM42+#REF!+#REF!,"")</f>
        <v/>
      </c>
      <c r="JXN57" s="82" t="str">
        <f>IF(ISNUMBER(outYear),JXN37+JXN42+#REF!+#REF!,"")</f>
        <v/>
      </c>
      <c r="JXO57" s="82" t="str">
        <f>IF(ISNUMBER(outYear),JXO37+JXO42+#REF!+#REF!,"")</f>
        <v/>
      </c>
      <c r="JXP57" s="82" t="str">
        <f>IF(ISNUMBER(outYear),JXP37+JXP42+#REF!+#REF!,"")</f>
        <v/>
      </c>
      <c r="JXQ57" s="82" t="str">
        <f>IF(ISNUMBER(outYear),JXQ37+JXQ42+#REF!+#REF!,"")</f>
        <v/>
      </c>
      <c r="JXR57" s="82" t="str">
        <f>IF(ISNUMBER(outYear),JXR37+JXR42+#REF!+#REF!,"")</f>
        <v/>
      </c>
      <c r="JXS57" s="82" t="str">
        <f>IF(ISNUMBER(outYear),JXS37+JXS42+#REF!+#REF!,"")</f>
        <v/>
      </c>
      <c r="JXT57" s="82" t="str">
        <f>IF(ISNUMBER(outYear),JXT37+JXT42+#REF!+#REF!,"")</f>
        <v/>
      </c>
      <c r="JXU57" s="82" t="str">
        <f>IF(ISNUMBER(outYear),JXU37+JXU42+#REF!+#REF!,"")</f>
        <v/>
      </c>
      <c r="JXV57" s="82" t="str">
        <f>IF(ISNUMBER(outYear),JXV37+JXV42+#REF!+#REF!,"")</f>
        <v/>
      </c>
      <c r="JXW57" s="82" t="str">
        <f>IF(ISNUMBER(outYear),JXW37+JXW42+#REF!+#REF!,"")</f>
        <v/>
      </c>
      <c r="JXX57" s="82" t="str">
        <f>IF(ISNUMBER(outYear),JXX37+JXX42+#REF!+#REF!,"")</f>
        <v/>
      </c>
      <c r="JXY57" s="82" t="str">
        <f>IF(ISNUMBER(outYear),JXY37+JXY42+#REF!+#REF!,"")</f>
        <v/>
      </c>
      <c r="JXZ57" s="82" t="str">
        <f>IF(ISNUMBER(outYear),JXZ37+JXZ42+#REF!+#REF!,"")</f>
        <v/>
      </c>
      <c r="JYA57" s="82" t="str">
        <f>IF(ISNUMBER(outYear),JYA37+JYA42+#REF!+#REF!,"")</f>
        <v/>
      </c>
      <c r="JYB57" s="82" t="str">
        <f>IF(ISNUMBER(outYear),JYB37+JYB42+#REF!+#REF!,"")</f>
        <v/>
      </c>
      <c r="JYC57" s="82" t="str">
        <f>IF(ISNUMBER(outYear),JYC37+JYC42+#REF!+#REF!,"")</f>
        <v/>
      </c>
      <c r="JYD57" s="82" t="str">
        <f>IF(ISNUMBER(outYear),JYD37+JYD42+#REF!+#REF!,"")</f>
        <v/>
      </c>
      <c r="JYE57" s="82" t="str">
        <f>IF(ISNUMBER(outYear),JYE37+JYE42+#REF!+#REF!,"")</f>
        <v/>
      </c>
      <c r="JYF57" s="82" t="str">
        <f>IF(ISNUMBER(outYear),JYF37+JYF42+#REF!+#REF!,"")</f>
        <v/>
      </c>
      <c r="JYG57" s="82" t="str">
        <f>IF(ISNUMBER(outYear),JYG37+JYG42+#REF!+#REF!,"")</f>
        <v/>
      </c>
      <c r="JYH57" s="82" t="str">
        <f>IF(ISNUMBER(outYear),JYH37+JYH42+#REF!+#REF!,"")</f>
        <v/>
      </c>
      <c r="JYI57" s="82" t="str">
        <f>IF(ISNUMBER(outYear),JYI37+JYI42+#REF!+#REF!,"")</f>
        <v/>
      </c>
      <c r="JYJ57" s="82" t="str">
        <f>IF(ISNUMBER(outYear),JYJ37+JYJ42+#REF!+#REF!,"")</f>
        <v/>
      </c>
      <c r="JYK57" s="82" t="str">
        <f>IF(ISNUMBER(outYear),JYK37+JYK42+#REF!+#REF!,"")</f>
        <v/>
      </c>
      <c r="JYL57" s="82" t="str">
        <f>IF(ISNUMBER(outYear),JYL37+JYL42+#REF!+#REF!,"")</f>
        <v/>
      </c>
      <c r="JYM57" s="82" t="str">
        <f>IF(ISNUMBER(outYear),JYM37+JYM42+#REF!+#REF!,"")</f>
        <v/>
      </c>
      <c r="JYN57" s="82" t="str">
        <f>IF(ISNUMBER(outYear),JYN37+JYN42+#REF!+#REF!,"")</f>
        <v/>
      </c>
      <c r="JYO57" s="82" t="str">
        <f>IF(ISNUMBER(outYear),JYO37+JYO42+#REF!+#REF!,"")</f>
        <v/>
      </c>
      <c r="JYP57" s="82" t="str">
        <f>IF(ISNUMBER(outYear),JYP37+JYP42+#REF!+#REF!,"")</f>
        <v/>
      </c>
      <c r="JYQ57" s="82" t="str">
        <f>IF(ISNUMBER(outYear),JYQ37+JYQ42+#REF!+#REF!,"")</f>
        <v/>
      </c>
      <c r="JYR57" s="82" t="str">
        <f>IF(ISNUMBER(outYear),JYR37+JYR42+#REF!+#REF!,"")</f>
        <v/>
      </c>
      <c r="JYS57" s="82" t="str">
        <f>IF(ISNUMBER(outYear),JYS37+JYS42+#REF!+#REF!,"")</f>
        <v/>
      </c>
      <c r="JYT57" s="82" t="str">
        <f>IF(ISNUMBER(outYear),JYT37+JYT42+#REF!+#REF!,"")</f>
        <v/>
      </c>
      <c r="JYU57" s="82" t="str">
        <f>IF(ISNUMBER(outYear),JYU37+JYU42+#REF!+#REF!,"")</f>
        <v/>
      </c>
      <c r="JYV57" s="82" t="str">
        <f>IF(ISNUMBER(outYear),JYV37+JYV42+#REF!+#REF!,"")</f>
        <v/>
      </c>
      <c r="JYW57" s="82" t="str">
        <f>IF(ISNUMBER(outYear),JYW37+JYW42+#REF!+#REF!,"")</f>
        <v/>
      </c>
      <c r="JYX57" s="82" t="str">
        <f>IF(ISNUMBER(outYear),JYX37+JYX42+#REF!+#REF!,"")</f>
        <v/>
      </c>
      <c r="JYY57" s="82" t="str">
        <f>IF(ISNUMBER(outYear),JYY37+JYY42+#REF!+#REF!,"")</f>
        <v/>
      </c>
      <c r="JYZ57" s="82" t="str">
        <f>IF(ISNUMBER(outYear),JYZ37+JYZ42+#REF!+#REF!,"")</f>
        <v/>
      </c>
      <c r="JZA57" s="82" t="str">
        <f>IF(ISNUMBER(outYear),JZA37+JZA42+#REF!+#REF!,"")</f>
        <v/>
      </c>
      <c r="JZB57" s="82" t="str">
        <f>IF(ISNUMBER(outYear),JZB37+JZB42+#REF!+#REF!,"")</f>
        <v/>
      </c>
      <c r="JZC57" s="82" t="str">
        <f>IF(ISNUMBER(outYear),JZC37+JZC42+#REF!+#REF!,"")</f>
        <v/>
      </c>
      <c r="JZD57" s="82" t="str">
        <f>IF(ISNUMBER(outYear),JZD37+JZD42+#REF!+#REF!,"")</f>
        <v/>
      </c>
      <c r="JZE57" s="82" t="str">
        <f>IF(ISNUMBER(outYear),JZE37+JZE42+#REF!+#REF!,"")</f>
        <v/>
      </c>
      <c r="JZF57" s="82" t="str">
        <f>IF(ISNUMBER(outYear),JZF37+JZF42+#REF!+#REF!,"")</f>
        <v/>
      </c>
      <c r="JZG57" s="82" t="str">
        <f>IF(ISNUMBER(outYear),JZG37+JZG42+#REF!+#REF!,"")</f>
        <v/>
      </c>
      <c r="JZH57" s="82" t="str">
        <f>IF(ISNUMBER(outYear),JZH37+JZH42+#REF!+#REF!,"")</f>
        <v/>
      </c>
      <c r="JZI57" s="82" t="str">
        <f>IF(ISNUMBER(outYear),JZI37+JZI42+#REF!+#REF!,"")</f>
        <v/>
      </c>
      <c r="JZJ57" s="82" t="str">
        <f>IF(ISNUMBER(outYear),JZJ37+JZJ42+#REF!+#REF!,"")</f>
        <v/>
      </c>
      <c r="JZK57" s="82" t="str">
        <f>IF(ISNUMBER(outYear),JZK37+JZK42+#REF!+#REF!,"")</f>
        <v/>
      </c>
      <c r="JZL57" s="82" t="str">
        <f>IF(ISNUMBER(outYear),JZL37+JZL42+#REF!+#REF!,"")</f>
        <v/>
      </c>
      <c r="JZM57" s="82" t="str">
        <f>IF(ISNUMBER(outYear),JZM37+JZM42+#REF!+#REF!,"")</f>
        <v/>
      </c>
      <c r="JZN57" s="82" t="str">
        <f>IF(ISNUMBER(outYear),JZN37+JZN42+#REF!+#REF!,"")</f>
        <v/>
      </c>
      <c r="JZO57" s="82" t="str">
        <f>IF(ISNUMBER(outYear),JZO37+JZO42+#REF!+#REF!,"")</f>
        <v/>
      </c>
      <c r="JZP57" s="82" t="str">
        <f>IF(ISNUMBER(outYear),JZP37+JZP42+#REF!+#REF!,"")</f>
        <v/>
      </c>
      <c r="JZQ57" s="82" t="str">
        <f>IF(ISNUMBER(outYear),JZQ37+JZQ42+#REF!+#REF!,"")</f>
        <v/>
      </c>
      <c r="JZR57" s="82" t="str">
        <f>IF(ISNUMBER(outYear),JZR37+JZR42+#REF!+#REF!,"")</f>
        <v/>
      </c>
      <c r="JZS57" s="82" t="str">
        <f>IF(ISNUMBER(outYear),JZS37+JZS42+#REF!+#REF!,"")</f>
        <v/>
      </c>
      <c r="JZT57" s="82" t="str">
        <f>IF(ISNUMBER(outYear),JZT37+JZT42+#REF!+#REF!,"")</f>
        <v/>
      </c>
      <c r="JZU57" s="82" t="str">
        <f>IF(ISNUMBER(outYear),JZU37+JZU42+#REF!+#REF!,"")</f>
        <v/>
      </c>
      <c r="JZV57" s="82" t="str">
        <f>IF(ISNUMBER(outYear),JZV37+JZV42+#REF!+#REF!,"")</f>
        <v/>
      </c>
      <c r="JZW57" s="82" t="str">
        <f>IF(ISNUMBER(outYear),JZW37+JZW42+#REF!+#REF!,"")</f>
        <v/>
      </c>
      <c r="JZX57" s="82" t="str">
        <f>IF(ISNUMBER(outYear),JZX37+JZX42+#REF!+#REF!,"")</f>
        <v/>
      </c>
      <c r="JZY57" s="82" t="str">
        <f>IF(ISNUMBER(outYear),JZY37+JZY42+#REF!+#REF!,"")</f>
        <v/>
      </c>
      <c r="JZZ57" s="82" t="str">
        <f>IF(ISNUMBER(outYear),JZZ37+JZZ42+#REF!+#REF!,"")</f>
        <v/>
      </c>
      <c r="KAA57" s="82" t="str">
        <f>IF(ISNUMBER(outYear),KAA37+KAA42+#REF!+#REF!,"")</f>
        <v/>
      </c>
      <c r="KAB57" s="82" t="str">
        <f>IF(ISNUMBER(outYear),KAB37+KAB42+#REF!+#REF!,"")</f>
        <v/>
      </c>
      <c r="KAC57" s="82" t="str">
        <f>IF(ISNUMBER(outYear),KAC37+KAC42+#REF!+#REF!,"")</f>
        <v/>
      </c>
      <c r="KAD57" s="82" t="str">
        <f>IF(ISNUMBER(outYear),KAD37+KAD42+#REF!+#REF!,"")</f>
        <v/>
      </c>
      <c r="KAE57" s="82" t="str">
        <f>IF(ISNUMBER(outYear),KAE37+KAE42+#REF!+#REF!,"")</f>
        <v/>
      </c>
      <c r="KAF57" s="82" t="str">
        <f>IF(ISNUMBER(outYear),KAF37+KAF42+#REF!+#REF!,"")</f>
        <v/>
      </c>
      <c r="KAG57" s="82" t="str">
        <f>IF(ISNUMBER(outYear),KAG37+KAG42+#REF!+#REF!,"")</f>
        <v/>
      </c>
      <c r="KAH57" s="82" t="str">
        <f>IF(ISNUMBER(outYear),KAH37+KAH42+#REF!+#REF!,"")</f>
        <v/>
      </c>
      <c r="KAI57" s="82" t="str">
        <f>IF(ISNUMBER(outYear),KAI37+KAI42+#REF!+#REF!,"")</f>
        <v/>
      </c>
      <c r="KAJ57" s="82" t="str">
        <f>IF(ISNUMBER(outYear),KAJ37+KAJ42+#REF!+#REF!,"")</f>
        <v/>
      </c>
      <c r="KAK57" s="82" t="str">
        <f>IF(ISNUMBER(outYear),KAK37+KAK42+#REF!+#REF!,"")</f>
        <v/>
      </c>
      <c r="KAL57" s="82" t="str">
        <f>IF(ISNUMBER(outYear),KAL37+KAL42+#REF!+#REF!,"")</f>
        <v/>
      </c>
      <c r="KAM57" s="82" t="str">
        <f>IF(ISNUMBER(outYear),KAM37+KAM42+#REF!+#REF!,"")</f>
        <v/>
      </c>
      <c r="KAN57" s="82" t="str">
        <f>IF(ISNUMBER(outYear),KAN37+KAN42+#REF!+#REF!,"")</f>
        <v/>
      </c>
      <c r="KAO57" s="82" t="str">
        <f>IF(ISNUMBER(outYear),KAO37+KAO42+#REF!+#REF!,"")</f>
        <v/>
      </c>
      <c r="KAP57" s="82" t="str">
        <f>IF(ISNUMBER(outYear),KAP37+KAP42+#REF!+#REF!,"")</f>
        <v/>
      </c>
      <c r="KAQ57" s="82" t="str">
        <f>IF(ISNUMBER(outYear),KAQ37+KAQ42+#REF!+#REF!,"")</f>
        <v/>
      </c>
      <c r="KAR57" s="82" t="str">
        <f>IF(ISNUMBER(outYear),KAR37+KAR42+#REF!+#REF!,"")</f>
        <v/>
      </c>
      <c r="KAS57" s="82" t="str">
        <f>IF(ISNUMBER(outYear),KAS37+KAS42+#REF!+#REF!,"")</f>
        <v/>
      </c>
      <c r="KAT57" s="82" t="str">
        <f>IF(ISNUMBER(outYear),KAT37+KAT42+#REF!+#REF!,"")</f>
        <v/>
      </c>
      <c r="KAU57" s="82" t="str">
        <f>IF(ISNUMBER(outYear),KAU37+KAU42+#REF!+#REF!,"")</f>
        <v/>
      </c>
      <c r="KAV57" s="82" t="str">
        <f>IF(ISNUMBER(outYear),KAV37+KAV42+#REF!+#REF!,"")</f>
        <v/>
      </c>
      <c r="KAW57" s="82" t="str">
        <f>IF(ISNUMBER(outYear),KAW37+KAW42+#REF!+#REF!,"")</f>
        <v/>
      </c>
      <c r="KAX57" s="82" t="str">
        <f>IF(ISNUMBER(outYear),KAX37+KAX42+#REF!+#REF!,"")</f>
        <v/>
      </c>
      <c r="KAY57" s="82" t="str">
        <f>IF(ISNUMBER(outYear),KAY37+KAY42+#REF!+#REF!,"")</f>
        <v/>
      </c>
      <c r="KAZ57" s="82" t="str">
        <f>IF(ISNUMBER(outYear),KAZ37+KAZ42+#REF!+#REF!,"")</f>
        <v/>
      </c>
      <c r="KBA57" s="82" t="str">
        <f>IF(ISNUMBER(outYear),KBA37+KBA42+#REF!+#REF!,"")</f>
        <v/>
      </c>
      <c r="KBB57" s="82" t="str">
        <f>IF(ISNUMBER(outYear),KBB37+KBB42+#REF!+#REF!,"")</f>
        <v/>
      </c>
      <c r="KBC57" s="82" t="str">
        <f>IF(ISNUMBER(outYear),KBC37+KBC42+#REF!+#REF!,"")</f>
        <v/>
      </c>
      <c r="KBD57" s="82" t="str">
        <f>IF(ISNUMBER(outYear),KBD37+KBD42+#REF!+#REF!,"")</f>
        <v/>
      </c>
      <c r="KBE57" s="82" t="str">
        <f>IF(ISNUMBER(outYear),KBE37+KBE42+#REF!+#REF!,"")</f>
        <v/>
      </c>
      <c r="KBF57" s="82" t="str">
        <f>IF(ISNUMBER(outYear),KBF37+KBF42+#REF!+#REF!,"")</f>
        <v/>
      </c>
      <c r="KBG57" s="82" t="str">
        <f>IF(ISNUMBER(outYear),KBG37+KBG42+#REF!+#REF!,"")</f>
        <v/>
      </c>
      <c r="KBH57" s="82" t="str">
        <f>IF(ISNUMBER(outYear),KBH37+KBH42+#REF!+#REF!,"")</f>
        <v/>
      </c>
      <c r="KBI57" s="82" t="str">
        <f>IF(ISNUMBER(outYear),KBI37+KBI42+#REF!+#REF!,"")</f>
        <v/>
      </c>
      <c r="KBJ57" s="82" t="str">
        <f>IF(ISNUMBER(outYear),KBJ37+KBJ42+#REF!+#REF!,"")</f>
        <v/>
      </c>
      <c r="KBK57" s="82" t="str">
        <f>IF(ISNUMBER(outYear),KBK37+KBK42+#REF!+#REF!,"")</f>
        <v/>
      </c>
      <c r="KBL57" s="82" t="str">
        <f>IF(ISNUMBER(outYear),KBL37+KBL42+#REF!+#REF!,"")</f>
        <v/>
      </c>
      <c r="KBM57" s="82" t="str">
        <f>IF(ISNUMBER(outYear),KBM37+KBM42+#REF!+#REF!,"")</f>
        <v/>
      </c>
      <c r="KBN57" s="82" t="str">
        <f>IF(ISNUMBER(outYear),KBN37+KBN42+#REF!+#REF!,"")</f>
        <v/>
      </c>
      <c r="KBO57" s="82" t="str">
        <f>IF(ISNUMBER(outYear),KBO37+KBO42+#REF!+#REF!,"")</f>
        <v/>
      </c>
      <c r="KBP57" s="82" t="str">
        <f>IF(ISNUMBER(outYear),KBP37+KBP42+#REF!+#REF!,"")</f>
        <v/>
      </c>
      <c r="KBQ57" s="82" t="str">
        <f>IF(ISNUMBER(outYear),KBQ37+KBQ42+#REF!+#REF!,"")</f>
        <v/>
      </c>
      <c r="KBR57" s="82" t="str">
        <f>IF(ISNUMBER(outYear),KBR37+KBR42+#REF!+#REF!,"")</f>
        <v/>
      </c>
      <c r="KBS57" s="82" t="str">
        <f>IF(ISNUMBER(outYear),KBS37+KBS42+#REF!+#REF!,"")</f>
        <v/>
      </c>
      <c r="KBT57" s="82" t="str">
        <f>IF(ISNUMBER(outYear),KBT37+KBT42+#REF!+#REF!,"")</f>
        <v/>
      </c>
      <c r="KBU57" s="82" t="str">
        <f>IF(ISNUMBER(outYear),KBU37+KBU42+#REF!+#REF!,"")</f>
        <v/>
      </c>
      <c r="KBV57" s="82" t="str">
        <f>IF(ISNUMBER(outYear),KBV37+KBV42+#REF!+#REF!,"")</f>
        <v/>
      </c>
      <c r="KBW57" s="82" t="str">
        <f>IF(ISNUMBER(outYear),KBW37+KBW42+#REF!+#REF!,"")</f>
        <v/>
      </c>
      <c r="KBX57" s="82" t="str">
        <f>IF(ISNUMBER(outYear),KBX37+KBX42+#REF!+#REF!,"")</f>
        <v/>
      </c>
      <c r="KBY57" s="82" t="str">
        <f>IF(ISNUMBER(outYear),KBY37+KBY42+#REF!+#REF!,"")</f>
        <v/>
      </c>
      <c r="KBZ57" s="82" t="str">
        <f>IF(ISNUMBER(outYear),KBZ37+KBZ42+#REF!+#REF!,"")</f>
        <v/>
      </c>
      <c r="KCA57" s="82" t="str">
        <f>IF(ISNUMBER(outYear),KCA37+KCA42+#REF!+#REF!,"")</f>
        <v/>
      </c>
      <c r="KCB57" s="82" t="str">
        <f>IF(ISNUMBER(outYear),KCB37+KCB42+#REF!+#REF!,"")</f>
        <v/>
      </c>
      <c r="KCC57" s="82" t="str">
        <f>IF(ISNUMBER(outYear),KCC37+KCC42+#REF!+#REF!,"")</f>
        <v/>
      </c>
      <c r="KCD57" s="82" t="str">
        <f>IF(ISNUMBER(outYear),KCD37+KCD42+#REF!+#REF!,"")</f>
        <v/>
      </c>
      <c r="KCE57" s="82" t="str">
        <f>IF(ISNUMBER(outYear),KCE37+KCE42+#REF!+#REF!,"")</f>
        <v/>
      </c>
      <c r="KCF57" s="82" t="str">
        <f>IF(ISNUMBER(outYear),KCF37+KCF42+#REF!+#REF!,"")</f>
        <v/>
      </c>
      <c r="KCG57" s="82" t="str">
        <f>IF(ISNUMBER(outYear),KCG37+KCG42+#REF!+#REF!,"")</f>
        <v/>
      </c>
      <c r="KCH57" s="82" t="str">
        <f>IF(ISNUMBER(outYear),KCH37+KCH42+#REF!+#REF!,"")</f>
        <v/>
      </c>
      <c r="KCI57" s="82" t="str">
        <f>IF(ISNUMBER(outYear),KCI37+KCI42+#REF!+#REF!,"")</f>
        <v/>
      </c>
      <c r="KCJ57" s="82" t="str">
        <f>IF(ISNUMBER(outYear),KCJ37+KCJ42+#REF!+#REF!,"")</f>
        <v/>
      </c>
      <c r="KCK57" s="82" t="str">
        <f>IF(ISNUMBER(outYear),KCK37+KCK42+#REF!+#REF!,"")</f>
        <v/>
      </c>
      <c r="KCL57" s="82" t="str">
        <f>IF(ISNUMBER(outYear),KCL37+KCL42+#REF!+#REF!,"")</f>
        <v/>
      </c>
      <c r="KCM57" s="82" t="str">
        <f>IF(ISNUMBER(outYear),KCM37+KCM42+#REF!+#REF!,"")</f>
        <v/>
      </c>
      <c r="KCN57" s="82" t="str">
        <f>IF(ISNUMBER(outYear),KCN37+KCN42+#REF!+#REF!,"")</f>
        <v/>
      </c>
      <c r="KCO57" s="82" t="str">
        <f>IF(ISNUMBER(outYear),KCO37+KCO42+#REF!+#REF!,"")</f>
        <v/>
      </c>
      <c r="KCP57" s="82" t="str">
        <f>IF(ISNUMBER(outYear),KCP37+KCP42+#REF!+#REF!,"")</f>
        <v/>
      </c>
      <c r="KCQ57" s="82" t="str">
        <f>IF(ISNUMBER(outYear),KCQ37+KCQ42+#REF!+#REF!,"")</f>
        <v/>
      </c>
      <c r="KCR57" s="82" t="str">
        <f>IF(ISNUMBER(outYear),KCR37+KCR42+#REF!+#REF!,"")</f>
        <v/>
      </c>
      <c r="KCS57" s="82" t="str">
        <f>IF(ISNUMBER(outYear),KCS37+KCS42+#REF!+#REF!,"")</f>
        <v/>
      </c>
      <c r="KCT57" s="82" t="str">
        <f>IF(ISNUMBER(outYear),KCT37+KCT42+#REF!+#REF!,"")</f>
        <v/>
      </c>
      <c r="KCU57" s="82" t="str">
        <f>IF(ISNUMBER(outYear),KCU37+KCU42+#REF!+#REF!,"")</f>
        <v/>
      </c>
      <c r="KCV57" s="82" t="str">
        <f>IF(ISNUMBER(outYear),KCV37+KCV42+#REF!+#REF!,"")</f>
        <v/>
      </c>
      <c r="KCW57" s="82" t="str">
        <f>IF(ISNUMBER(outYear),KCW37+KCW42+#REF!+#REF!,"")</f>
        <v/>
      </c>
      <c r="KCX57" s="82" t="str">
        <f>IF(ISNUMBER(outYear),KCX37+KCX42+#REF!+#REF!,"")</f>
        <v/>
      </c>
      <c r="KCY57" s="82" t="str">
        <f>IF(ISNUMBER(outYear),KCY37+KCY42+#REF!+#REF!,"")</f>
        <v/>
      </c>
      <c r="KCZ57" s="82" t="str">
        <f>IF(ISNUMBER(outYear),KCZ37+KCZ42+#REF!+#REF!,"")</f>
        <v/>
      </c>
      <c r="KDA57" s="82" t="str">
        <f>IF(ISNUMBER(outYear),KDA37+KDA42+#REF!+#REF!,"")</f>
        <v/>
      </c>
      <c r="KDB57" s="82" t="str">
        <f>IF(ISNUMBER(outYear),KDB37+KDB42+#REF!+#REF!,"")</f>
        <v/>
      </c>
      <c r="KDC57" s="82" t="str">
        <f>IF(ISNUMBER(outYear),KDC37+KDC42+#REF!+#REF!,"")</f>
        <v/>
      </c>
      <c r="KDD57" s="82" t="str">
        <f>IF(ISNUMBER(outYear),KDD37+KDD42+#REF!+#REF!,"")</f>
        <v/>
      </c>
      <c r="KDE57" s="82" t="str">
        <f>IF(ISNUMBER(outYear),KDE37+KDE42+#REF!+#REF!,"")</f>
        <v/>
      </c>
      <c r="KDF57" s="82" t="str">
        <f>IF(ISNUMBER(outYear),KDF37+KDF42+#REF!+#REF!,"")</f>
        <v/>
      </c>
      <c r="KDG57" s="82" t="str">
        <f>IF(ISNUMBER(outYear),KDG37+KDG42+#REF!+#REF!,"")</f>
        <v/>
      </c>
      <c r="KDH57" s="82" t="str">
        <f>IF(ISNUMBER(outYear),KDH37+KDH42+#REF!+#REF!,"")</f>
        <v/>
      </c>
      <c r="KDI57" s="82" t="str">
        <f>IF(ISNUMBER(outYear),KDI37+KDI42+#REF!+#REF!,"")</f>
        <v/>
      </c>
      <c r="KDJ57" s="82" t="str">
        <f>IF(ISNUMBER(outYear),KDJ37+KDJ42+#REF!+#REF!,"")</f>
        <v/>
      </c>
      <c r="KDK57" s="82" t="str">
        <f>IF(ISNUMBER(outYear),KDK37+KDK42+#REF!+#REF!,"")</f>
        <v/>
      </c>
      <c r="KDL57" s="82" t="str">
        <f>IF(ISNUMBER(outYear),KDL37+KDL42+#REF!+#REF!,"")</f>
        <v/>
      </c>
      <c r="KDM57" s="82" t="str">
        <f>IF(ISNUMBER(outYear),KDM37+KDM42+#REF!+#REF!,"")</f>
        <v/>
      </c>
      <c r="KDN57" s="82" t="str">
        <f>IF(ISNUMBER(outYear),KDN37+KDN42+#REF!+#REF!,"")</f>
        <v/>
      </c>
      <c r="KDO57" s="82" t="str">
        <f>IF(ISNUMBER(outYear),KDO37+KDO42+#REF!+#REF!,"")</f>
        <v/>
      </c>
      <c r="KDP57" s="82" t="str">
        <f>IF(ISNUMBER(outYear),KDP37+KDP42+#REF!+#REF!,"")</f>
        <v/>
      </c>
      <c r="KDQ57" s="82" t="str">
        <f>IF(ISNUMBER(outYear),KDQ37+KDQ42+#REF!+#REF!,"")</f>
        <v/>
      </c>
      <c r="KDR57" s="82" t="str">
        <f>IF(ISNUMBER(outYear),KDR37+KDR42+#REF!+#REF!,"")</f>
        <v/>
      </c>
      <c r="KDS57" s="82" t="str">
        <f>IF(ISNUMBER(outYear),KDS37+KDS42+#REF!+#REF!,"")</f>
        <v/>
      </c>
      <c r="KDT57" s="82" t="str">
        <f>IF(ISNUMBER(outYear),KDT37+KDT42+#REF!+#REF!,"")</f>
        <v/>
      </c>
      <c r="KDU57" s="82" t="str">
        <f>IF(ISNUMBER(outYear),KDU37+KDU42+#REF!+#REF!,"")</f>
        <v/>
      </c>
      <c r="KDV57" s="82" t="str">
        <f>IF(ISNUMBER(outYear),KDV37+KDV42+#REF!+#REF!,"")</f>
        <v/>
      </c>
      <c r="KDW57" s="82" t="str">
        <f>IF(ISNUMBER(outYear),KDW37+KDW42+#REF!+#REF!,"")</f>
        <v/>
      </c>
      <c r="KDX57" s="82" t="str">
        <f>IF(ISNUMBER(outYear),KDX37+KDX42+#REF!+#REF!,"")</f>
        <v/>
      </c>
      <c r="KDY57" s="82" t="str">
        <f>IF(ISNUMBER(outYear),KDY37+KDY42+#REF!+#REF!,"")</f>
        <v/>
      </c>
      <c r="KDZ57" s="82" t="str">
        <f>IF(ISNUMBER(outYear),KDZ37+KDZ42+#REF!+#REF!,"")</f>
        <v/>
      </c>
      <c r="KEA57" s="82" t="str">
        <f>IF(ISNUMBER(outYear),KEA37+KEA42+#REF!+#REF!,"")</f>
        <v/>
      </c>
      <c r="KEB57" s="82" t="str">
        <f>IF(ISNUMBER(outYear),KEB37+KEB42+#REF!+#REF!,"")</f>
        <v/>
      </c>
      <c r="KEC57" s="82" t="str">
        <f>IF(ISNUMBER(outYear),KEC37+KEC42+#REF!+#REF!,"")</f>
        <v/>
      </c>
      <c r="KED57" s="82" t="str">
        <f>IF(ISNUMBER(outYear),KED37+KED42+#REF!+#REF!,"")</f>
        <v/>
      </c>
      <c r="KEE57" s="82" t="str">
        <f>IF(ISNUMBER(outYear),KEE37+KEE42+#REF!+#REF!,"")</f>
        <v/>
      </c>
      <c r="KEF57" s="82" t="str">
        <f>IF(ISNUMBER(outYear),KEF37+KEF42+#REF!+#REF!,"")</f>
        <v/>
      </c>
      <c r="KEG57" s="82" t="str">
        <f>IF(ISNUMBER(outYear),KEG37+KEG42+#REF!+#REF!,"")</f>
        <v/>
      </c>
      <c r="KEH57" s="82" t="str">
        <f>IF(ISNUMBER(outYear),KEH37+KEH42+#REF!+#REF!,"")</f>
        <v/>
      </c>
      <c r="KEI57" s="82" t="str">
        <f>IF(ISNUMBER(outYear),KEI37+KEI42+#REF!+#REF!,"")</f>
        <v/>
      </c>
      <c r="KEJ57" s="82" t="str">
        <f>IF(ISNUMBER(outYear),KEJ37+KEJ42+#REF!+#REF!,"")</f>
        <v/>
      </c>
      <c r="KEK57" s="82" t="str">
        <f>IF(ISNUMBER(outYear),KEK37+KEK42+#REF!+#REF!,"")</f>
        <v/>
      </c>
      <c r="KEL57" s="82" t="str">
        <f>IF(ISNUMBER(outYear),KEL37+KEL42+#REF!+#REF!,"")</f>
        <v/>
      </c>
      <c r="KEM57" s="82" t="str">
        <f>IF(ISNUMBER(outYear),KEM37+KEM42+#REF!+#REF!,"")</f>
        <v/>
      </c>
      <c r="KEN57" s="82" t="str">
        <f>IF(ISNUMBER(outYear),KEN37+KEN42+#REF!+#REF!,"")</f>
        <v/>
      </c>
      <c r="KEO57" s="82" t="str">
        <f>IF(ISNUMBER(outYear),KEO37+KEO42+#REF!+#REF!,"")</f>
        <v/>
      </c>
      <c r="KEP57" s="82" t="str">
        <f>IF(ISNUMBER(outYear),KEP37+KEP42+#REF!+#REF!,"")</f>
        <v/>
      </c>
      <c r="KEQ57" s="82" t="str">
        <f>IF(ISNUMBER(outYear),KEQ37+KEQ42+#REF!+#REF!,"")</f>
        <v/>
      </c>
      <c r="KER57" s="82" t="str">
        <f>IF(ISNUMBER(outYear),KER37+KER42+#REF!+#REF!,"")</f>
        <v/>
      </c>
      <c r="KES57" s="82" t="str">
        <f>IF(ISNUMBER(outYear),KES37+KES42+#REF!+#REF!,"")</f>
        <v/>
      </c>
      <c r="KET57" s="82" t="str">
        <f>IF(ISNUMBER(outYear),KET37+KET42+#REF!+#REF!,"")</f>
        <v/>
      </c>
      <c r="KEU57" s="82" t="str">
        <f>IF(ISNUMBER(outYear),KEU37+KEU42+#REF!+#REF!,"")</f>
        <v/>
      </c>
      <c r="KEV57" s="82" t="str">
        <f>IF(ISNUMBER(outYear),KEV37+KEV42+#REF!+#REF!,"")</f>
        <v/>
      </c>
      <c r="KEW57" s="82" t="str">
        <f>IF(ISNUMBER(outYear),KEW37+KEW42+#REF!+#REF!,"")</f>
        <v/>
      </c>
      <c r="KEX57" s="82" t="str">
        <f>IF(ISNUMBER(outYear),KEX37+KEX42+#REF!+#REF!,"")</f>
        <v/>
      </c>
      <c r="KEY57" s="82" t="str">
        <f>IF(ISNUMBER(outYear),KEY37+KEY42+#REF!+#REF!,"")</f>
        <v/>
      </c>
      <c r="KEZ57" s="82" t="str">
        <f>IF(ISNUMBER(outYear),KEZ37+KEZ42+#REF!+#REF!,"")</f>
        <v/>
      </c>
      <c r="KFA57" s="82" t="str">
        <f>IF(ISNUMBER(outYear),KFA37+KFA42+#REF!+#REF!,"")</f>
        <v/>
      </c>
      <c r="KFB57" s="82" t="str">
        <f>IF(ISNUMBER(outYear),KFB37+KFB42+#REF!+#REF!,"")</f>
        <v/>
      </c>
      <c r="KFC57" s="82" t="str">
        <f>IF(ISNUMBER(outYear),KFC37+KFC42+#REF!+#REF!,"")</f>
        <v/>
      </c>
      <c r="KFD57" s="82" t="str">
        <f>IF(ISNUMBER(outYear),KFD37+KFD42+#REF!+#REF!,"")</f>
        <v/>
      </c>
      <c r="KFE57" s="82" t="str">
        <f>IF(ISNUMBER(outYear),KFE37+KFE42+#REF!+#REF!,"")</f>
        <v/>
      </c>
      <c r="KFF57" s="82" t="str">
        <f>IF(ISNUMBER(outYear),KFF37+KFF42+#REF!+#REF!,"")</f>
        <v/>
      </c>
      <c r="KFG57" s="82" t="str">
        <f>IF(ISNUMBER(outYear),KFG37+KFG42+#REF!+#REF!,"")</f>
        <v/>
      </c>
      <c r="KFH57" s="82" t="str">
        <f>IF(ISNUMBER(outYear),KFH37+KFH42+#REF!+#REF!,"")</f>
        <v/>
      </c>
      <c r="KFI57" s="82" t="str">
        <f>IF(ISNUMBER(outYear),KFI37+KFI42+#REF!+#REF!,"")</f>
        <v/>
      </c>
      <c r="KFJ57" s="82" t="str">
        <f>IF(ISNUMBER(outYear),KFJ37+KFJ42+#REF!+#REF!,"")</f>
        <v/>
      </c>
      <c r="KFK57" s="82" t="str">
        <f>IF(ISNUMBER(outYear),KFK37+KFK42+#REF!+#REF!,"")</f>
        <v/>
      </c>
      <c r="KFL57" s="82" t="str">
        <f>IF(ISNUMBER(outYear),KFL37+KFL42+#REF!+#REF!,"")</f>
        <v/>
      </c>
      <c r="KFM57" s="82" t="str">
        <f>IF(ISNUMBER(outYear),KFM37+KFM42+#REF!+#REF!,"")</f>
        <v/>
      </c>
      <c r="KFN57" s="82" t="str">
        <f>IF(ISNUMBER(outYear),KFN37+KFN42+#REF!+#REF!,"")</f>
        <v/>
      </c>
      <c r="KFO57" s="82" t="str">
        <f>IF(ISNUMBER(outYear),KFO37+KFO42+#REF!+#REF!,"")</f>
        <v/>
      </c>
      <c r="KFP57" s="82" t="str">
        <f>IF(ISNUMBER(outYear),KFP37+KFP42+#REF!+#REF!,"")</f>
        <v/>
      </c>
      <c r="KFQ57" s="82" t="str">
        <f>IF(ISNUMBER(outYear),KFQ37+KFQ42+#REF!+#REF!,"")</f>
        <v/>
      </c>
      <c r="KFR57" s="82" t="str">
        <f>IF(ISNUMBER(outYear),KFR37+KFR42+#REF!+#REF!,"")</f>
        <v/>
      </c>
      <c r="KFS57" s="82" t="str">
        <f>IF(ISNUMBER(outYear),KFS37+KFS42+#REF!+#REF!,"")</f>
        <v/>
      </c>
      <c r="KFT57" s="82" t="str">
        <f>IF(ISNUMBER(outYear),KFT37+KFT42+#REF!+#REF!,"")</f>
        <v/>
      </c>
      <c r="KFU57" s="82" t="str">
        <f>IF(ISNUMBER(outYear),KFU37+KFU42+#REF!+#REF!,"")</f>
        <v/>
      </c>
      <c r="KFV57" s="82" t="str">
        <f>IF(ISNUMBER(outYear),KFV37+KFV42+#REF!+#REF!,"")</f>
        <v/>
      </c>
      <c r="KFW57" s="82" t="str">
        <f>IF(ISNUMBER(outYear),KFW37+KFW42+#REF!+#REF!,"")</f>
        <v/>
      </c>
      <c r="KFX57" s="82" t="str">
        <f>IF(ISNUMBER(outYear),KFX37+KFX42+#REF!+#REF!,"")</f>
        <v/>
      </c>
      <c r="KFY57" s="82" t="str">
        <f>IF(ISNUMBER(outYear),KFY37+KFY42+#REF!+#REF!,"")</f>
        <v/>
      </c>
      <c r="KFZ57" s="82" t="str">
        <f>IF(ISNUMBER(outYear),KFZ37+KFZ42+#REF!+#REF!,"")</f>
        <v/>
      </c>
      <c r="KGA57" s="82" t="str">
        <f>IF(ISNUMBER(outYear),KGA37+KGA42+#REF!+#REF!,"")</f>
        <v/>
      </c>
      <c r="KGB57" s="82" t="str">
        <f>IF(ISNUMBER(outYear),KGB37+KGB42+#REF!+#REF!,"")</f>
        <v/>
      </c>
      <c r="KGC57" s="82" t="str">
        <f>IF(ISNUMBER(outYear),KGC37+KGC42+#REF!+#REF!,"")</f>
        <v/>
      </c>
      <c r="KGD57" s="82" t="str">
        <f>IF(ISNUMBER(outYear),KGD37+KGD42+#REF!+#REF!,"")</f>
        <v/>
      </c>
      <c r="KGE57" s="82" t="str">
        <f>IF(ISNUMBER(outYear),KGE37+KGE42+#REF!+#REF!,"")</f>
        <v/>
      </c>
      <c r="KGF57" s="82" t="str">
        <f>IF(ISNUMBER(outYear),KGF37+KGF42+#REF!+#REF!,"")</f>
        <v/>
      </c>
      <c r="KGG57" s="82" t="str">
        <f>IF(ISNUMBER(outYear),KGG37+KGG42+#REF!+#REF!,"")</f>
        <v/>
      </c>
      <c r="KGH57" s="82" t="str">
        <f>IF(ISNUMBER(outYear),KGH37+KGH42+#REF!+#REF!,"")</f>
        <v/>
      </c>
      <c r="KGI57" s="82" t="str">
        <f>IF(ISNUMBER(outYear),KGI37+KGI42+#REF!+#REF!,"")</f>
        <v/>
      </c>
      <c r="KGJ57" s="82" t="str">
        <f>IF(ISNUMBER(outYear),KGJ37+KGJ42+#REF!+#REF!,"")</f>
        <v/>
      </c>
      <c r="KGK57" s="82" t="str">
        <f>IF(ISNUMBER(outYear),KGK37+KGK42+#REF!+#REF!,"")</f>
        <v/>
      </c>
      <c r="KGL57" s="82" t="str">
        <f>IF(ISNUMBER(outYear),KGL37+KGL42+#REF!+#REF!,"")</f>
        <v/>
      </c>
      <c r="KGM57" s="82" t="str">
        <f>IF(ISNUMBER(outYear),KGM37+KGM42+#REF!+#REF!,"")</f>
        <v/>
      </c>
      <c r="KGN57" s="82" t="str">
        <f>IF(ISNUMBER(outYear),KGN37+KGN42+#REF!+#REF!,"")</f>
        <v/>
      </c>
      <c r="KGO57" s="82" t="str">
        <f>IF(ISNUMBER(outYear),KGO37+KGO42+#REF!+#REF!,"")</f>
        <v/>
      </c>
      <c r="KGP57" s="82" t="str">
        <f>IF(ISNUMBER(outYear),KGP37+KGP42+#REF!+#REF!,"")</f>
        <v/>
      </c>
      <c r="KGQ57" s="82" t="str">
        <f>IF(ISNUMBER(outYear),KGQ37+KGQ42+#REF!+#REF!,"")</f>
        <v/>
      </c>
      <c r="KGR57" s="82" t="str">
        <f>IF(ISNUMBER(outYear),KGR37+KGR42+#REF!+#REF!,"")</f>
        <v/>
      </c>
      <c r="KGS57" s="82" t="str">
        <f>IF(ISNUMBER(outYear),KGS37+KGS42+#REF!+#REF!,"")</f>
        <v/>
      </c>
      <c r="KGT57" s="82" t="str">
        <f>IF(ISNUMBER(outYear),KGT37+KGT42+#REF!+#REF!,"")</f>
        <v/>
      </c>
      <c r="KGU57" s="82" t="str">
        <f>IF(ISNUMBER(outYear),KGU37+KGU42+#REF!+#REF!,"")</f>
        <v/>
      </c>
      <c r="KGV57" s="82" t="str">
        <f>IF(ISNUMBER(outYear),KGV37+KGV42+#REF!+#REF!,"")</f>
        <v/>
      </c>
      <c r="KGW57" s="82" t="str">
        <f>IF(ISNUMBER(outYear),KGW37+KGW42+#REF!+#REF!,"")</f>
        <v/>
      </c>
      <c r="KGX57" s="82" t="str">
        <f>IF(ISNUMBER(outYear),KGX37+KGX42+#REF!+#REF!,"")</f>
        <v/>
      </c>
      <c r="KGY57" s="82" t="str">
        <f>IF(ISNUMBER(outYear),KGY37+KGY42+#REF!+#REF!,"")</f>
        <v/>
      </c>
      <c r="KGZ57" s="82" t="str">
        <f>IF(ISNUMBER(outYear),KGZ37+KGZ42+#REF!+#REF!,"")</f>
        <v/>
      </c>
      <c r="KHA57" s="82" t="str">
        <f>IF(ISNUMBER(outYear),KHA37+KHA42+#REF!+#REF!,"")</f>
        <v/>
      </c>
      <c r="KHB57" s="82" t="str">
        <f>IF(ISNUMBER(outYear),KHB37+KHB42+#REF!+#REF!,"")</f>
        <v/>
      </c>
      <c r="KHC57" s="82" t="str">
        <f>IF(ISNUMBER(outYear),KHC37+KHC42+#REF!+#REF!,"")</f>
        <v/>
      </c>
      <c r="KHD57" s="82" t="str">
        <f>IF(ISNUMBER(outYear),KHD37+KHD42+#REF!+#REF!,"")</f>
        <v/>
      </c>
      <c r="KHE57" s="82" t="str">
        <f>IF(ISNUMBER(outYear),KHE37+KHE42+#REF!+#REF!,"")</f>
        <v/>
      </c>
      <c r="KHF57" s="82" t="str">
        <f>IF(ISNUMBER(outYear),KHF37+KHF42+#REF!+#REF!,"")</f>
        <v/>
      </c>
      <c r="KHG57" s="82" t="str">
        <f>IF(ISNUMBER(outYear),KHG37+KHG42+#REF!+#REF!,"")</f>
        <v/>
      </c>
      <c r="KHH57" s="82" t="str">
        <f>IF(ISNUMBER(outYear),KHH37+KHH42+#REF!+#REF!,"")</f>
        <v/>
      </c>
      <c r="KHI57" s="82" t="str">
        <f>IF(ISNUMBER(outYear),KHI37+KHI42+#REF!+#REF!,"")</f>
        <v/>
      </c>
      <c r="KHJ57" s="82" t="str">
        <f>IF(ISNUMBER(outYear),KHJ37+KHJ42+#REF!+#REF!,"")</f>
        <v/>
      </c>
      <c r="KHK57" s="82" t="str">
        <f>IF(ISNUMBER(outYear),KHK37+KHK42+#REF!+#REF!,"")</f>
        <v/>
      </c>
      <c r="KHL57" s="82" t="str">
        <f>IF(ISNUMBER(outYear),KHL37+KHL42+#REF!+#REF!,"")</f>
        <v/>
      </c>
      <c r="KHM57" s="82" t="str">
        <f>IF(ISNUMBER(outYear),KHM37+KHM42+#REF!+#REF!,"")</f>
        <v/>
      </c>
      <c r="KHN57" s="82" t="str">
        <f>IF(ISNUMBER(outYear),KHN37+KHN42+#REF!+#REF!,"")</f>
        <v/>
      </c>
      <c r="KHO57" s="82" t="str">
        <f>IF(ISNUMBER(outYear),KHO37+KHO42+#REF!+#REF!,"")</f>
        <v/>
      </c>
      <c r="KHP57" s="82" t="str">
        <f>IF(ISNUMBER(outYear),KHP37+KHP42+#REF!+#REF!,"")</f>
        <v/>
      </c>
      <c r="KHQ57" s="82" t="str">
        <f>IF(ISNUMBER(outYear),KHQ37+KHQ42+#REF!+#REF!,"")</f>
        <v/>
      </c>
      <c r="KHR57" s="82" t="str">
        <f>IF(ISNUMBER(outYear),KHR37+KHR42+#REF!+#REF!,"")</f>
        <v/>
      </c>
      <c r="KHS57" s="82" t="str">
        <f>IF(ISNUMBER(outYear),KHS37+KHS42+#REF!+#REF!,"")</f>
        <v/>
      </c>
      <c r="KHT57" s="82" t="str">
        <f>IF(ISNUMBER(outYear),KHT37+KHT42+#REF!+#REF!,"")</f>
        <v/>
      </c>
      <c r="KHU57" s="82" t="str">
        <f>IF(ISNUMBER(outYear),KHU37+KHU42+#REF!+#REF!,"")</f>
        <v/>
      </c>
      <c r="KHV57" s="82" t="str">
        <f>IF(ISNUMBER(outYear),KHV37+KHV42+#REF!+#REF!,"")</f>
        <v/>
      </c>
      <c r="KHW57" s="82" t="str">
        <f>IF(ISNUMBER(outYear),KHW37+KHW42+#REF!+#REF!,"")</f>
        <v/>
      </c>
      <c r="KHX57" s="82" t="str">
        <f>IF(ISNUMBER(outYear),KHX37+KHX42+#REF!+#REF!,"")</f>
        <v/>
      </c>
      <c r="KHY57" s="82" t="str">
        <f>IF(ISNUMBER(outYear),KHY37+KHY42+#REF!+#REF!,"")</f>
        <v/>
      </c>
      <c r="KHZ57" s="82" t="str">
        <f>IF(ISNUMBER(outYear),KHZ37+KHZ42+#REF!+#REF!,"")</f>
        <v/>
      </c>
      <c r="KIA57" s="82" t="str">
        <f>IF(ISNUMBER(outYear),KIA37+KIA42+#REF!+#REF!,"")</f>
        <v/>
      </c>
      <c r="KIB57" s="82" t="str">
        <f>IF(ISNUMBER(outYear),KIB37+KIB42+#REF!+#REF!,"")</f>
        <v/>
      </c>
      <c r="KIC57" s="82" t="str">
        <f>IF(ISNUMBER(outYear),KIC37+KIC42+#REF!+#REF!,"")</f>
        <v/>
      </c>
      <c r="KID57" s="82" t="str">
        <f>IF(ISNUMBER(outYear),KID37+KID42+#REF!+#REF!,"")</f>
        <v/>
      </c>
      <c r="KIE57" s="82" t="str">
        <f>IF(ISNUMBER(outYear),KIE37+KIE42+#REF!+#REF!,"")</f>
        <v/>
      </c>
      <c r="KIF57" s="82" t="str">
        <f>IF(ISNUMBER(outYear),KIF37+KIF42+#REF!+#REF!,"")</f>
        <v/>
      </c>
      <c r="KIG57" s="82" t="str">
        <f>IF(ISNUMBER(outYear),KIG37+KIG42+#REF!+#REF!,"")</f>
        <v/>
      </c>
      <c r="KIH57" s="82" t="str">
        <f>IF(ISNUMBER(outYear),KIH37+KIH42+#REF!+#REF!,"")</f>
        <v/>
      </c>
      <c r="KII57" s="82" t="str">
        <f>IF(ISNUMBER(outYear),KII37+KII42+#REF!+#REF!,"")</f>
        <v/>
      </c>
      <c r="KIJ57" s="82" t="str">
        <f>IF(ISNUMBER(outYear),KIJ37+KIJ42+#REF!+#REF!,"")</f>
        <v/>
      </c>
      <c r="KIK57" s="82" t="str">
        <f>IF(ISNUMBER(outYear),KIK37+KIK42+#REF!+#REF!,"")</f>
        <v/>
      </c>
      <c r="KIL57" s="82" t="str">
        <f>IF(ISNUMBER(outYear),KIL37+KIL42+#REF!+#REF!,"")</f>
        <v/>
      </c>
      <c r="KIM57" s="82" t="str">
        <f>IF(ISNUMBER(outYear),KIM37+KIM42+#REF!+#REF!,"")</f>
        <v/>
      </c>
      <c r="KIN57" s="82" t="str">
        <f>IF(ISNUMBER(outYear),KIN37+KIN42+#REF!+#REF!,"")</f>
        <v/>
      </c>
      <c r="KIO57" s="82" t="str">
        <f>IF(ISNUMBER(outYear),KIO37+KIO42+#REF!+#REF!,"")</f>
        <v/>
      </c>
      <c r="KIP57" s="82" t="str">
        <f>IF(ISNUMBER(outYear),KIP37+KIP42+#REF!+#REF!,"")</f>
        <v/>
      </c>
      <c r="KIQ57" s="82" t="str">
        <f>IF(ISNUMBER(outYear),KIQ37+KIQ42+#REF!+#REF!,"")</f>
        <v/>
      </c>
      <c r="KIR57" s="82" t="str">
        <f>IF(ISNUMBER(outYear),KIR37+KIR42+#REF!+#REF!,"")</f>
        <v/>
      </c>
      <c r="KIS57" s="82" t="str">
        <f>IF(ISNUMBER(outYear),KIS37+KIS42+#REF!+#REF!,"")</f>
        <v/>
      </c>
      <c r="KIT57" s="82" t="str">
        <f>IF(ISNUMBER(outYear),KIT37+KIT42+#REF!+#REF!,"")</f>
        <v/>
      </c>
      <c r="KIU57" s="82" t="str">
        <f>IF(ISNUMBER(outYear),KIU37+KIU42+#REF!+#REF!,"")</f>
        <v/>
      </c>
      <c r="KIV57" s="82" t="str">
        <f>IF(ISNUMBER(outYear),KIV37+KIV42+#REF!+#REF!,"")</f>
        <v/>
      </c>
      <c r="KIW57" s="82" t="str">
        <f>IF(ISNUMBER(outYear),KIW37+KIW42+#REF!+#REF!,"")</f>
        <v/>
      </c>
      <c r="KIX57" s="82" t="str">
        <f>IF(ISNUMBER(outYear),KIX37+KIX42+#REF!+#REF!,"")</f>
        <v/>
      </c>
      <c r="KIY57" s="82" t="str">
        <f>IF(ISNUMBER(outYear),KIY37+KIY42+#REF!+#REF!,"")</f>
        <v/>
      </c>
      <c r="KIZ57" s="82" t="str">
        <f>IF(ISNUMBER(outYear),KIZ37+KIZ42+#REF!+#REF!,"")</f>
        <v/>
      </c>
      <c r="KJA57" s="82" t="str">
        <f>IF(ISNUMBER(outYear),KJA37+KJA42+#REF!+#REF!,"")</f>
        <v/>
      </c>
      <c r="KJB57" s="82" t="str">
        <f>IF(ISNUMBER(outYear),KJB37+KJB42+#REF!+#REF!,"")</f>
        <v/>
      </c>
      <c r="KJC57" s="82" t="str">
        <f>IF(ISNUMBER(outYear),KJC37+KJC42+#REF!+#REF!,"")</f>
        <v/>
      </c>
      <c r="KJD57" s="82" t="str">
        <f>IF(ISNUMBER(outYear),KJD37+KJD42+#REF!+#REF!,"")</f>
        <v/>
      </c>
      <c r="KJE57" s="82" t="str">
        <f>IF(ISNUMBER(outYear),KJE37+KJE42+#REF!+#REF!,"")</f>
        <v/>
      </c>
      <c r="KJF57" s="82" t="str">
        <f>IF(ISNUMBER(outYear),KJF37+KJF42+#REF!+#REF!,"")</f>
        <v/>
      </c>
      <c r="KJG57" s="82" t="str">
        <f>IF(ISNUMBER(outYear),KJG37+KJG42+#REF!+#REF!,"")</f>
        <v/>
      </c>
      <c r="KJH57" s="82" t="str">
        <f>IF(ISNUMBER(outYear),KJH37+KJH42+#REF!+#REF!,"")</f>
        <v/>
      </c>
      <c r="KJI57" s="82" t="str">
        <f>IF(ISNUMBER(outYear),KJI37+KJI42+#REF!+#REF!,"")</f>
        <v/>
      </c>
      <c r="KJJ57" s="82" t="str">
        <f>IF(ISNUMBER(outYear),KJJ37+KJJ42+#REF!+#REF!,"")</f>
        <v/>
      </c>
      <c r="KJK57" s="82" t="str">
        <f>IF(ISNUMBER(outYear),KJK37+KJK42+#REF!+#REF!,"")</f>
        <v/>
      </c>
      <c r="KJL57" s="82" t="str">
        <f>IF(ISNUMBER(outYear),KJL37+KJL42+#REF!+#REF!,"")</f>
        <v/>
      </c>
      <c r="KJM57" s="82" t="str">
        <f>IF(ISNUMBER(outYear),KJM37+KJM42+#REF!+#REF!,"")</f>
        <v/>
      </c>
      <c r="KJN57" s="82" t="str">
        <f>IF(ISNUMBER(outYear),KJN37+KJN42+#REF!+#REF!,"")</f>
        <v/>
      </c>
      <c r="KJO57" s="82" t="str">
        <f>IF(ISNUMBER(outYear),KJO37+KJO42+#REF!+#REF!,"")</f>
        <v/>
      </c>
      <c r="KJP57" s="82" t="str">
        <f>IF(ISNUMBER(outYear),KJP37+KJP42+#REF!+#REF!,"")</f>
        <v/>
      </c>
      <c r="KJQ57" s="82" t="str">
        <f>IF(ISNUMBER(outYear),KJQ37+KJQ42+#REF!+#REF!,"")</f>
        <v/>
      </c>
      <c r="KJR57" s="82" t="str">
        <f>IF(ISNUMBER(outYear),KJR37+KJR42+#REF!+#REF!,"")</f>
        <v/>
      </c>
      <c r="KJS57" s="82" t="str">
        <f>IF(ISNUMBER(outYear),KJS37+KJS42+#REF!+#REF!,"")</f>
        <v/>
      </c>
      <c r="KJT57" s="82" t="str">
        <f>IF(ISNUMBER(outYear),KJT37+KJT42+#REF!+#REF!,"")</f>
        <v/>
      </c>
      <c r="KJU57" s="82" t="str">
        <f>IF(ISNUMBER(outYear),KJU37+KJU42+#REF!+#REF!,"")</f>
        <v/>
      </c>
      <c r="KJV57" s="82" t="str">
        <f>IF(ISNUMBER(outYear),KJV37+KJV42+#REF!+#REF!,"")</f>
        <v/>
      </c>
      <c r="KJW57" s="82" t="str">
        <f>IF(ISNUMBER(outYear),KJW37+KJW42+#REF!+#REF!,"")</f>
        <v/>
      </c>
      <c r="KJX57" s="82" t="str">
        <f>IF(ISNUMBER(outYear),KJX37+KJX42+#REF!+#REF!,"")</f>
        <v/>
      </c>
      <c r="KJY57" s="82" t="str">
        <f>IF(ISNUMBER(outYear),KJY37+KJY42+#REF!+#REF!,"")</f>
        <v/>
      </c>
      <c r="KJZ57" s="82" t="str">
        <f>IF(ISNUMBER(outYear),KJZ37+KJZ42+#REF!+#REF!,"")</f>
        <v/>
      </c>
      <c r="KKA57" s="82" t="str">
        <f>IF(ISNUMBER(outYear),KKA37+KKA42+#REF!+#REF!,"")</f>
        <v/>
      </c>
      <c r="KKB57" s="82" t="str">
        <f>IF(ISNUMBER(outYear),KKB37+KKB42+#REF!+#REF!,"")</f>
        <v/>
      </c>
      <c r="KKC57" s="82" t="str">
        <f>IF(ISNUMBER(outYear),KKC37+KKC42+#REF!+#REF!,"")</f>
        <v/>
      </c>
      <c r="KKD57" s="82" t="str">
        <f>IF(ISNUMBER(outYear),KKD37+KKD42+#REF!+#REF!,"")</f>
        <v/>
      </c>
      <c r="KKE57" s="82" t="str">
        <f>IF(ISNUMBER(outYear),KKE37+KKE42+#REF!+#REF!,"")</f>
        <v/>
      </c>
      <c r="KKF57" s="82" t="str">
        <f>IF(ISNUMBER(outYear),KKF37+KKF42+#REF!+#REF!,"")</f>
        <v/>
      </c>
      <c r="KKG57" s="82" t="str">
        <f>IF(ISNUMBER(outYear),KKG37+KKG42+#REF!+#REF!,"")</f>
        <v/>
      </c>
      <c r="KKH57" s="82" t="str">
        <f>IF(ISNUMBER(outYear),KKH37+KKH42+#REF!+#REF!,"")</f>
        <v/>
      </c>
      <c r="KKI57" s="82" t="str">
        <f>IF(ISNUMBER(outYear),KKI37+KKI42+#REF!+#REF!,"")</f>
        <v/>
      </c>
      <c r="KKJ57" s="82" t="str">
        <f>IF(ISNUMBER(outYear),KKJ37+KKJ42+#REF!+#REF!,"")</f>
        <v/>
      </c>
      <c r="KKK57" s="82" t="str">
        <f>IF(ISNUMBER(outYear),KKK37+KKK42+#REF!+#REF!,"")</f>
        <v/>
      </c>
      <c r="KKL57" s="82" t="str">
        <f>IF(ISNUMBER(outYear),KKL37+KKL42+#REF!+#REF!,"")</f>
        <v/>
      </c>
      <c r="KKM57" s="82" t="str">
        <f>IF(ISNUMBER(outYear),KKM37+KKM42+#REF!+#REF!,"")</f>
        <v/>
      </c>
      <c r="KKN57" s="82" t="str">
        <f>IF(ISNUMBER(outYear),KKN37+KKN42+#REF!+#REF!,"")</f>
        <v/>
      </c>
      <c r="KKO57" s="82" t="str">
        <f>IF(ISNUMBER(outYear),KKO37+KKO42+#REF!+#REF!,"")</f>
        <v/>
      </c>
      <c r="KKP57" s="82" t="str">
        <f>IF(ISNUMBER(outYear),KKP37+KKP42+#REF!+#REF!,"")</f>
        <v/>
      </c>
      <c r="KKQ57" s="82" t="str">
        <f>IF(ISNUMBER(outYear),KKQ37+KKQ42+#REF!+#REF!,"")</f>
        <v/>
      </c>
      <c r="KKR57" s="82" t="str">
        <f>IF(ISNUMBER(outYear),KKR37+KKR42+#REF!+#REF!,"")</f>
        <v/>
      </c>
      <c r="KKS57" s="82" t="str">
        <f>IF(ISNUMBER(outYear),KKS37+KKS42+#REF!+#REF!,"")</f>
        <v/>
      </c>
      <c r="KKT57" s="82" t="str">
        <f>IF(ISNUMBER(outYear),KKT37+KKT42+#REF!+#REF!,"")</f>
        <v/>
      </c>
      <c r="KKU57" s="82" t="str">
        <f>IF(ISNUMBER(outYear),KKU37+KKU42+#REF!+#REF!,"")</f>
        <v/>
      </c>
      <c r="KKV57" s="82" t="str">
        <f>IF(ISNUMBER(outYear),KKV37+KKV42+#REF!+#REF!,"")</f>
        <v/>
      </c>
      <c r="KKW57" s="82" t="str">
        <f>IF(ISNUMBER(outYear),KKW37+KKW42+#REF!+#REF!,"")</f>
        <v/>
      </c>
      <c r="KKX57" s="82" t="str">
        <f>IF(ISNUMBER(outYear),KKX37+KKX42+#REF!+#REF!,"")</f>
        <v/>
      </c>
      <c r="KKY57" s="82" t="str">
        <f>IF(ISNUMBER(outYear),KKY37+KKY42+#REF!+#REF!,"")</f>
        <v/>
      </c>
      <c r="KKZ57" s="82" t="str">
        <f>IF(ISNUMBER(outYear),KKZ37+KKZ42+#REF!+#REF!,"")</f>
        <v/>
      </c>
      <c r="KLA57" s="82" t="str">
        <f>IF(ISNUMBER(outYear),KLA37+KLA42+#REF!+#REF!,"")</f>
        <v/>
      </c>
      <c r="KLB57" s="82" t="str">
        <f>IF(ISNUMBER(outYear),KLB37+KLB42+#REF!+#REF!,"")</f>
        <v/>
      </c>
      <c r="KLC57" s="82" t="str">
        <f>IF(ISNUMBER(outYear),KLC37+KLC42+#REF!+#REF!,"")</f>
        <v/>
      </c>
      <c r="KLD57" s="82" t="str">
        <f>IF(ISNUMBER(outYear),KLD37+KLD42+#REF!+#REF!,"")</f>
        <v/>
      </c>
      <c r="KLE57" s="82" t="str">
        <f>IF(ISNUMBER(outYear),KLE37+KLE42+#REF!+#REF!,"")</f>
        <v/>
      </c>
      <c r="KLF57" s="82" t="str">
        <f>IF(ISNUMBER(outYear),KLF37+KLF42+#REF!+#REF!,"")</f>
        <v/>
      </c>
      <c r="KLG57" s="82" t="str">
        <f>IF(ISNUMBER(outYear),KLG37+KLG42+#REF!+#REF!,"")</f>
        <v/>
      </c>
      <c r="KLH57" s="82" t="str">
        <f>IF(ISNUMBER(outYear),KLH37+KLH42+#REF!+#REF!,"")</f>
        <v/>
      </c>
      <c r="KLI57" s="82" t="str">
        <f>IF(ISNUMBER(outYear),KLI37+KLI42+#REF!+#REF!,"")</f>
        <v/>
      </c>
      <c r="KLJ57" s="82" t="str">
        <f>IF(ISNUMBER(outYear),KLJ37+KLJ42+#REF!+#REF!,"")</f>
        <v/>
      </c>
      <c r="KLK57" s="82" t="str">
        <f>IF(ISNUMBER(outYear),KLK37+KLK42+#REF!+#REF!,"")</f>
        <v/>
      </c>
      <c r="KLL57" s="82" t="str">
        <f>IF(ISNUMBER(outYear),KLL37+KLL42+#REF!+#REF!,"")</f>
        <v/>
      </c>
      <c r="KLM57" s="82" t="str">
        <f>IF(ISNUMBER(outYear),KLM37+KLM42+#REF!+#REF!,"")</f>
        <v/>
      </c>
      <c r="KLN57" s="82" t="str">
        <f>IF(ISNUMBER(outYear),KLN37+KLN42+#REF!+#REF!,"")</f>
        <v/>
      </c>
      <c r="KLO57" s="82" t="str">
        <f>IF(ISNUMBER(outYear),KLO37+KLO42+#REF!+#REF!,"")</f>
        <v/>
      </c>
      <c r="KLP57" s="82" t="str">
        <f>IF(ISNUMBER(outYear),KLP37+KLP42+#REF!+#REF!,"")</f>
        <v/>
      </c>
      <c r="KLQ57" s="82" t="str">
        <f>IF(ISNUMBER(outYear),KLQ37+KLQ42+#REF!+#REF!,"")</f>
        <v/>
      </c>
      <c r="KLR57" s="82" t="str">
        <f>IF(ISNUMBER(outYear),KLR37+KLR42+#REF!+#REF!,"")</f>
        <v/>
      </c>
      <c r="KLS57" s="82" t="str">
        <f>IF(ISNUMBER(outYear),KLS37+KLS42+#REF!+#REF!,"")</f>
        <v/>
      </c>
      <c r="KLT57" s="82" t="str">
        <f>IF(ISNUMBER(outYear),KLT37+KLT42+#REF!+#REF!,"")</f>
        <v/>
      </c>
      <c r="KLU57" s="82" t="str">
        <f>IF(ISNUMBER(outYear),KLU37+KLU42+#REF!+#REF!,"")</f>
        <v/>
      </c>
      <c r="KLV57" s="82" t="str">
        <f>IF(ISNUMBER(outYear),KLV37+KLV42+#REF!+#REF!,"")</f>
        <v/>
      </c>
      <c r="KLW57" s="82" t="str">
        <f>IF(ISNUMBER(outYear),KLW37+KLW42+#REF!+#REF!,"")</f>
        <v/>
      </c>
      <c r="KLX57" s="82" t="str">
        <f>IF(ISNUMBER(outYear),KLX37+KLX42+#REF!+#REF!,"")</f>
        <v/>
      </c>
      <c r="KLY57" s="82" t="str">
        <f>IF(ISNUMBER(outYear),KLY37+KLY42+#REF!+#REF!,"")</f>
        <v/>
      </c>
      <c r="KLZ57" s="82" t="str">
        <f>IF(ISNUMBER(outYear),KLZ37+KLZ42+#REF!+#REF!,"")</f>
        <v/>
      </c>
      <c r="KMA57" s="82" t="str">
        <f>IF(ISNUMBER(outYear),KMA37+KMA42+#REF!+#REF!,"")</f>
        <v/>
      </c>
      <c r="KMB57" s="82" t="str">
        <f>IF(ISNUMBER(outYear),KMB37+KMB42+#REF!+#REF!,"")</f>
        <v/>
      </c>
      <c r="KMC57" s="82" t="str">
        <f>IF(ISNUMBER(outYear),KMC37+KMC42+#REF!+#REF!,"")</f>
        <v/>
      </c>
      <c r="KMD57" s="82" t="str">
        <f>IF(ISNUMBER(outYear),KMD37+KMD42+#REF!+#REF!,"")</f>
        <v/>
      </c>
      <c r="KME57" s="82" t="str">
        <f>IF(ISNUMBER(outYear),KME37+KME42+#REF!+#REF!,"")</f>
        <v/>
      </c>
      <c r="KMF57" s="82" t="str">
        <f>IF(ISNUMBER(outYear),KMF37+KMF42+#REF!+#REF!,"")</f>
        <v/>
      </c>
      <c r="KMG57" s="82" t="str">
        <f>IF(ISNUMBER(outYear),KMG37+KMG42+#REF!+#REF!,"")</f>
        <v/>
      </c>
      <c r="KMH57" s="82" t="str">
        <f>IF(ISNUMBER(outYear),KMH37+KMH42+#REF!+#REF!,"")</f>
        <v/>
      </c>
      <c r="KMI57" s="82" t="str">
        <f>IF(ISNUMBER(outYear),KMI37+KMI42+#REF!+#REF!,"")</f>
        <v/>
      </c>
      <c r="KMJ57" s="82" t="str">
        <f>IF(ISNUMBER(outYear),KMJ37+KMJ42+#REF!+#REF!,"")</f>
        <v/>
      </c>
      <c r="KMK57" s="82" t="str">
        <f>IF(ISNUMBER(outYear),KMK37+KMK42+#REF!+#REF!,"")</f>
        <v/>
      </c>
      <c r="KML57" s="82" t="str">
        <f>IF(ISNUMBER(outYear),KML37+KML42+#REF!+#REF!,"")</f>
        <v/>
      </c>
      <c r="KMM57" s="82" t="str">
        <f>IF(ISNUMBER(outYear),KMM37+KMM42+#REF!+#REF!,"")</f>
        <v/>
      </c>
      <c r="KMN57" s="82" t="str">
        <f>IF(ISNUMBER(outYear),KMN37+KMN42+#REF!+#REF!,"")</f>
        <v/>
      </c>
      <c r="KMO57" s="82" t="str">
        <f>IF(ISNUMBER(outYear),KMO37+KMO42+#REF!+#REF!,"")</f>
        <v/>
      </c>
      <c r="KMP57" s="82" t="str">
        <f>IF(ISNUMBER(outYear),KMP37+KMP42+#REF!+#REF!,"")</f>
        <v/>
      </c>
      <c r="KMQ57" s="82" t="str">
        <f>IF(ISNUMBER(outYear),KMQ37+KMQ42+#REF!+#REF!,"")</f>
        <v/>
      </c>
      <c r="KMR57" s="82" t="str">
        <f>IF(ISNUMBER(outYear),KMR37+KMR42+#REF!+#REF!,"")</f>
        <v/>
      </c>
      <c r="KMS57" s="82" t="str">
        <f>IF(ISNUMBER(outYear),KMS37+KMS42+#REF!+#REF!,"")</f>
        <v/>
      </c>
      <c r="KMT57" s="82" t="str">
        <f>IF(ISNUMBER(outYear),KMT37+KMT42+#REF!+#REF!,"")</f>
        <v/>
      </c>
      <c r="KMU57" s="82" t="str">
        <f>IF(ISNUMBER(outYear),KMU37+KMU42+#REF!+#REF!,"")</f>
        <v/>
      </c>
      <c r="KMV57" s="82" t="str">
        <f>IF(ISNUMBER(outYear),KMV37+KMV42+#REF!+#REF!,"")</f>
        <v/>
      </c>
      <c r="KMW57" s="82" t="str">
        <f>IF(ISNUMBER(outYear),KMW37+KMW42+#REF!+#REF!,"")</f>
        <v/>
      </c>
      <c r="KMX57" s="82" t="str">
        <f>IF(ISNUMBER(outYear),KMX37+KMX42+#REF!+#REF!,"")</f>
        <v/>
      </c>
      <c r="KMY57" s="82" t="str">
        <f>IF(ISNUMBER(outYear),KMY37+KMY42+#REF!+#REF!,"")</f>
        <v/>
      </c>
      <c r="KMZ57" s="82" t="str">
        <f>IF(ISNUMBER(outYear),KMZ37+KMZ42+#REF!+#REF!,"")</f>
        <v/>
      </c>
      <c r="KNA57" s="82" t="str">
        <f>IF(ISNUMBER(outYear),KNA37+KNA42+#REF!+#REF!,"")</f>
        <v/>
      </c>
      <c r="KNB57" s="82" t="str">
        <f>IF(ISNUMBER(outYear),KNB37+KNB42+#REF!+#REF!,"")</f>
        <v/>
      </c>
      <c r="KNC57" s="82" t="str">
        <f>IF(ISNUMBER(outYear),KNC37+KNC42+#REF!+#REF!,"")</f>
        <v/>
      </c>
      <c r="KND57" s="82" t="str">
        <f>IF(ISNUMBER(outYear),KND37+KND42+#REF!+#REF!,"")</f>
        <v/>
      </c>
      <c r="KNE57" s="82" t="str">
        <f>IF(ISNUMBER(outYear),KNE37+KNE42+#REF!+#REF!,"")</f>
        <v/>
      </c>
      <c r="KNF57" s="82" t="str">
        <f>IF(ISNUMBER(outYear),KNF37+KNF42+#REF!+#REF!,"")</f>
        <v/>
      </c>
      <c r="KNG57" s="82" t="str">
        <f>IF(ISNUMBER(outYear),KNG37+KNG42+#REF!+#REF!,"")</f>
        <v/>
      </c>
      <c r="KNH57" s="82" t="str">
        <f>IF(ISNUMBER(outYear),KNH37+KNH42+#REF!+#REF!,"")</f>
        <v/>
      </c>
      <c r="KNI57" s="82" t="str">
        <f>IF(ISNUMBER(outYear),KNI37+KNI42+#REF!+#REF!,"")</f>
        <v/>
      </c>
      <c r="KNJ57" s="82" t="str">
        <f>IF(ISNUMBER(outYear),KNJ37+KNJ42+#REF!+#REF!,"")</f>
        <v/>
      </c>
      <c r="KNK57" s="82" t="str">
        <f>IF(ISNUMBER(outYear),KNK37+KNK42+#REF!+#REF!,"")</f>
        <v/>
      </c>
      <c r="KNL57" s="82" t="str">
        <f>IF(ISNUMBER(outYear),KNL37+KNL42+#REF!+#REF!,"")</f>
        <v/>
      </c>
      <c r="KNM57" s="82" t="str">
        <f>IF(ISNUMBER(outYear),KNM37+KNM42+#REF!+#REF!,"")</f>
        <v/>
      </c>
      <c r="KNN57" s="82" t="str">
        <f>IF(ISNUMBER(outYear),KNN37+KNN42+#REF!+#REF!,"")</f>
        <v/>
      </c>
      <c r="KNO57" s="82" t="str">
        <f>IF(ISNUMBER(outYear),KNO37+KNO42+#REF!+#REF!,"")</f>
        <v/>
      </c>
      <c r="KNP57" s="82" t="str">
        <f>IF(ISNUMBER(outYear),KNP37+KNP42+#REF!+#REF!,"")</f>
        <v/>
      </c>
      <c r="KNQ57" s="82" t="str">
        <f>IF(ISNUMBER(outYear),KNQ37+KNQ42+#REF!+#REF!,"")</f>
        <v/>
      </c>
      <c r="KNR57" s="82" t="str">
        <f>IF(ISNUMBER(outYear),KNR37+KNR42+#REF!+#REF!,"")</f>
        <v/>
      </c>
      <c r="KNS57" s="82" t="str">
        <f>IF(ISNUMBER(outYear),KNS37+KNS42+#REF!+#REF!,"")</f>
        <v/>
      </c>
      <c r="KNT57" s="82" t="str">
        <f>IF(ISNUMBER(outYear),KNT37+KNT42+#REF!+#REF!,"")</f>
        <v/>
      </c>
      <c r="KNU57" s="82" t="str">
        <f>IF(ISNUMBER(outYear),KNU37+KNU42+#REF!+#REF!,"")</f>
        <v/>
      </c>
      <c r="KNV57" s="82" t="str">
        <f>IF(ISNUMBER(outYear),KNV37+KNV42+#REF!+#REF!,"")</f>
        <v/>
      </c>
      <c r="KNW57" s="82" t="str">
        <f>IF(ISNUMBER(outYear),KNW37+KNW42+#REF!+#REF!,"")</f>
        <v/>
      </c>
      <c r="KNX57" s="82" t="str">
        <f>IF(ISNUMBER(outYear),KNX37+KNX42+#REF!+#REF!,"")</f>
        <v/>
      </c>
      <c r="KNY57" s="82" t="str">
        <f>IF(ISNUMBER(outYear),KNY37+KNY42+#REF!+#REF!,"")</f>
        <v/>
      </c>
      <c r="KNZ57" s="82" t="str">
        <f>IF(ISNUMBER(outYear),KNZ37+KNZ42+#REF!+#REF!,"")</f>
        <v/>
      </c>
      <c r="KOA57" s="82" t="str">
        <f>IF(ISNUMBER(outYear),KOA37+KOA42+#REF!+#REF!,"")</f>
        <v/>
      </c>
      <c r="KOB57" s="82" t="str">
        <f>IF(ISNUMBER(outYear),KOB37+KOB42+#REF!+#REF!,"")</f>
        <v/>
      </c>
      <c r="KOC57" s="82" t="str">
        <f>IF(ISNUMBER(outYear),KOC37+KOC42+#REF!+#REF!,"")</f>
        <v/>
      </c>
      <c r="KOD57" s="82" t="str">
        <f>IF(ISNUMBER(outYear),KOD37+KOD42+#REF!+#REF!,"")</f>
        <v/>
      </c>
      <c r="KOE57" s="82" t="str">
        <f>IF(ISNUMBER(outYear),KOE37+KOE42+#REF!+#REF!,"")</f>
        <v/>
      </c>
      <c r="KOF57" s="82" t="str">
        <f>IF(ISNUMBER(outYear),KOF37+KOF42+#REF!+#REF!,"")</f>
        <v/>
      </c>
      <c r="KOG57" s="82" t="str">
        <f>IF(ISNUMBER(outYear),KOG37+KOG42+#REF!+#REF!,"")</f>
        <v/>
      </c>
      <c r="KOH57" s="82" t="str">
        <f>IF(ISNUMBER(outYear),KOH37+KOH42+#REF!+#REF!,"")</f>
        <v/>
      </c>
      <c r="KOI57" s="82" t="str">
        <f>IF(ISNUMBER(outYear),KOI37+KOI42+#REF!+#REF!,"")</f>
        <v/>
      </c>
      <c r="KOJ57" s="82" t="str">
        <f>IF(ISNUMBER(outYear),KOJ37+KOJ42+#REF!+#REF!,"")</f>
        <v/>
      </c>
      <c r="KOK57" s="82" t="str">
        <f>IF(ISNUMBER(outYear),KOK37+KOK42+#REF!+#REF!,"")</f>
        <v/>
      </c>
      <c r="KOL57" s="82" t="str">
        <f>IF(ISNUMBER(outYear),KOL37+KOL42+#REF!+#REF!,"")</f>
        <v/>
      </c>
      <c r="KOM57" s="82" t="str">
        <f>IF(ISNUMBER(outYear),KOM37+KOM42+#REF!+#REF!,"")</f>
        <v/>
      </c>
      <c r="KON57" s="82" t="str">
        <f>IF(ISNUMBER(outYear),KON37+KON42+#REF!+#REF!,"")</f>
        <v/>
      </c>
      <c r="KOO57" s="82" t="str">
        <f>IF(ISNUMBER(outYear),KOO37+KOO42+#REF!+#REF!,"")</f>
        <v/>
      </c>
      <c r="KOP57" s="82" t="str">
        <f>IF(ISNUMBER(outYear),KOP37+KOP42+#REF!+#REF!,"")</f>
        <v/>
      </c>
      <c r="KOQ57" s="82" t="str">
        <f>IF(ISNUMBER(outYear),KOQ37+KOQ42+#REF!+#REF!,"")</f>
        <v/>
      </c>
      <c r="KOR57" s="82" t="str">
        <f>IF(ISNUMBER(outYear),KOR37+KOR42+#REF!+#REF!,"")</f>
        <v/>
      </c>
      <c r="KOS57" s="82" t="str">
        <f>IF(ISNUMBER(outYear),KOS37+KOS42+#REF!+#REF!,"")</f>
        <v/>
      </c>
      <c r="KOT57" s="82" t="str">
        <f>IF(ISNUMBER(outYear),KOT37+KOT42+#REF!+#REF!,"")</f>
        <v/>
      </c>
      <c r="KOU57" s="82" t="str">
        <f>IF(ISNUMBER(outYear),KOU37+KOU42+#REF!+#REF!,"")</f>
        <v/>
      </c>
      <c r="KOV57" s="82" t="str">
        <f>IF(ISNUMBER(outYear),KOV37+KOV42+#REF!+#REF!,"")</f>
        <v/>
      </c>
      <c r="KOW57" s="82" t="str">
        <f>IF(ISNUMBER(outYear),KOW37+KOW42+#REF!+#REF!,"")</f>
        <v/>
      </c>
      <c r="KOX57" s="82" t="str">
        <f>IF(ISNUMBER(outYear),KOX37+KOX42+#REF!+#REF!,"")</f>
        <v/>
      </c>
      <c r="KOY57" s="82" t="str">
        <f>IF(ISNUMBER(outYear),KOY37+KOY42+#REF!+#REF!,"")</f>
        <v/>
      </c>
      <c r="KOZ57" s="82" t="str">
        <f>IF(ISNUMBER(outYear),KOZ37+KOZ42+#REF!+#REF!,"")</f>
        <v/>
      </c>
      <c r="KPA57" s="82" t="str">
        <f>IF(ISNUMBER(outYear),KPA37+KPA42+#REF!+#REF!,"")</f>
        <v/>
      </c>
      <c r="KPB57" s="82" t="str">
        <f>IF(ISNUMBER(outYear),KPB37+KPB42+#REF!+#REF!,"")</f>
        <v/>
      </c>
      <c r="KPC57" s="82" t="str">
        <f>IF(ISNUMBER(outYear),KPC37+KPC42+#REF!+#REF!,"")</f>
        <v/>
      </c>
      <c r="KPD57" s="82" t="str">
        <f>IF(ISNUMBER(outYear),KPD37+KPD42+#REF!+#REF!,"")</f>
        <v/>
      </c>
      <c r="KPE57" s="82" t="str">
        <f>IF(ISNUMBER(outYear),KPE37+KPE42+#REF!+#REF!,"")</f>
        <v/>
      </c>
      <c r="KPF57" s="82" t="str">
        <f>IF(ISNUMBER(outYear),KPF37+KPF42+#REF!+#REF!,"")</f>
        <v/>
      </c>
      <c r="KPG57" s="82" t="str">
        <f>IF(ISNUMBER(outYear),KPG37+KPG42+#REF!+#REF!,"")</f>
        <v/>
      </c>
      <c r="KPH57" s="82" t="str">
        <f>IF(ISNUMBER(outYear),KPH37+KPH42+#REF!+#REF!,"")</f>
        <v/>
      </c>
      <c r="KPI57" s="82" t="str">
        <f>IF(ISNUMBER(outYear),KPI37+KPI42+#REF!+#REF!,"")</f>
        <v/>
      </c>
      <c r="KPJ57" s="82" t="str">
        <f>IF(ISNUMBER(outYear),KPJ37+KPJ42+#REF!+#REF!,"")</f>
        <v/>
      </c>
      <c r="KPK57" s="82" t="str">
        <f>IF(ISNUMBER(outYear),KPK37+KPK42+#REF!+#REF!,"")</f>
        <v/>
      </c>
      <c r="KPL57" s="82" t="str">
        <f>IF(ISNUMBER(outYear),KPL37+KPL42+#REF!+#REF!,"")</f>
        <v/>
      </c>
      <c r="KPM57" s="82" t="str">
        <f>IF(ISNUMBER(outYear),KPM37+KPM42+#REF!+#REF!,"")</f>
        <v/>
      </c>
      <c r="KPN57" s="82" t="str">
        <f>IF(ISNUMBER(outYear),KPN37+KPN42+#REF!+#REF!,"")</f>
        <v/>
      </c>
      <c r="KPO57" s="82" t="str">
        <f>IF(ISNUMBER(outYear),KPO37+KPO42+#REF!+#REF!,"")</f>
        <v/>
      </c>
      <c r="KPP57" s="82" t="str">
        <f>IF(ISNUMBER(outYear),KPP37+KPP42+#REF!+#REF!,"")</f>
        <v/>
      </c>
      <c r="KPQ57" s="82" t="str">
        <f>IF(ISNUMBER(outYear),KPQ37+KPQ42+#REF!+#REF!,"")</f>
        <v/>
      </c>
      <c r="KPR57" s="82" t="str">
        <f>IF(ISNUMBER(outYear),KPR37+KPR42+#REF!+#REF!,"")</f>
        <v/>
      </c>
      <c r="KPS57" s="82" t="str">
        <f>IF(ISNUMBER(outYear),KPS37+KPS42+#REF!+#REF!,"")</f>
        <v/>
      </c>
      <c r="KPT57" s="82" t="str">
        <f>IF(ISNUMBER(outYear),KPT37+KPT42+#REF!+#REF!,"")</f>
        <v/>
      </c>
      <c r="KPU57" s="82" t="str">
        <f>IF(ISNUMBER(outYear),KPU37+KPU42+#REF!+#REF!,"")</f>
        <v/>
      </c>
      <c r="KPV57" s="82" t="str">
        <f>IF(ISNUMBER(outYear),KPV37+KPV42+#REF!+#REF!,"")</f>
        <v/>
      </c>
      <c r="KPW57" s="82" t="str">
        <f>IF(ISNUMBER(outYear),KPW37+KPW42+#REF!+#REF!,"")</f>
        <v/>
      </c>
      <c r="KPX57" s="82" t="str">
        <f>IF(ISNUMBER(outYear),KPX37+KPX42+#REF!+#REF!,"")</f>
        <v/>
      </c>
      <c r="KPY57" s="82" t="str">
        <f>IF(ISNUMBER(outYear),KPY37+KPY42+#REF!+#REF!,"")</f>
        <v/>
      </c>
      <c r="KPZ57" s="82" t="str">
        <f>IF(ISNUMBER(outYear),KPZ37+KPZ42+#REF!+#REF!,"")</f>
        <v/>
      </c>
      <c r="KQA57" s="82" t="str">
        <f>IF(ISNUMBER(outYear),KQA37+KQA42+#REF!+#REF!,"")</f>
        <v/>
      </c>
      <c r="KQB57" s="82" t="str">
        <f>IF(ISNUMBER(outYear),KQB37+KQB42+#REF!+#REF!,"")</f>
        <v/>
      </c>
      <c r="KQC57" s="82" t="str">
        <f>IF(ISNUMBER(outYear),KQC37+KQC42+#REF!+#REF!,"")</f>
        <v/>
      </c>
      <c r="KQD57" s="82" t="str">
        <f>IF(ISNUMBER(outYear),KQD37+KQD42+#REF!+#REF!,"")</f>
        <v/>
      </c>
      <c r="KQE57" s="82" t="str">
        <f>IF(ISNUMBER(outYear),KQE37+KQE42+#REF!+#REF!,"")</f>
        <v/>
      </c>
      <c r="KQF57" s="82" t="str">
        <f>IF(ISNUMBER(outYear),KQF37+KQF42+#REF!+#REF!,"")</f>
        <v/>
      </c>
      <c r="KQG57" s="82" t="str">
        <f>IF(ISNUMBER(outYear),KQG37+KQG42+#REF!+#REF!,"")</f>
        <v/>
      </c>
      <c r="KQH57" s="82" t="str">
        <f>IF(ISNUMBER(outYear),KQH37+KQH42+#REF!+#REF!,"")</f>
        <v/>
      </c>
      <c r="KQI57" s="82" t="str">
        <f>IF(ISNUMBER(outYear),KQI37+KQI42+#REF!+#REF!,"")</f>
        <v/>
      </c>
      <c r="KQJ57" s="82" t="str">
        <f>IF(ISNUMBER(outYear),KQJ37+KQJ42+#REF!+#REF!,"")</f>
        <v/>
      </c>
      <c r="KQK57" s="82" t="str">
        <f>IF(ISNUMBER(outYear),KQK37+KQK42+#REF!+#REF!,"")</f>
        <v/>
      </c>
      <c r="KQL57" s="82" t="str">
        <f>IF(ISNUMBER(outYear),KQL37+KQL42+#REF!+#REF!,"")</f>
        <v/>
      </c>
      <c r="KQM57" s="82" t="str">
        <f>IF(ISNUMBER(outYear),KQM37+KQM42+#REF!+#REF!,"")</f>
        <v/>
      </c>
      <c r="KQN57" s="82" t="str">
        <f>IF(ISNUMBER(outYear),KQN37+KQN42+#REF!+#REF!,"")</f>
        <v/>
      </c>
      <c r="KQO57" s="82" t="str">
        <f>IF(ISNUMBER(outYear),KQO37+KQO42+#REF!+#REF!,"")</f>
        <v/>
      </c>
      <c r="KQP57" s="82" t="str">
        <f>IF(ISNUMBER(outYear),KQP37+KQP42+#REF!+#REF!,"")</f>
        <v/>
      </c>
      <c r="KQQ57" s="82" t="str">
        <f>IF(ISNUMBER(outYear),KQQ37+KQQ42+#REF!+#REF!,"")</f>
        <v/>
      </c>
      <c r="KQR57" s="82" t="str">
        <f>IF(ISNUMBER(outYear),KQR37+KQR42+#REF!+#REF!,"")</f>
        <v/>
      </c>
      <c r="KQS57" s="82" t="str">
        <f>IF(ISNUMBER(outYear),KQS37+KQS42+#REF!+#REF!,"")</f>
        <v/>
      </c>
      <c r="KQT57" s="82" t="str">
        <f>IF(ISNUMBER(outYear),KQT37+KQT42+#REF!+#REF!,"")</f>
        <v/>
      </c>
      <c r="KQU57" s="82" t="str">
        <f>IF(ISNUMBER(outYear),KQU37+KQU42+#REF!+#REF!,"")</f>
        <v/>
      </c>
      <c r="KQV57" s="82" t="str">
        <f>IF(ISNUMBER(outYear),KQV37+KQV42+#REF!+#REF!,"")</f>
        <v/>
      </c>
      <c r="KQW57" s="82" t="str">
        <f>IF(ISNUMBER(outYear),KQW37+KQW42+#REF!+#REF!,"")</f>
        <v/>
      </c>
      <c r="KQX57" s="82" t="str">
        <f>IF(ISNUMBER(outYear),KQX37+KQX42+#REF!+#REF!,"")</f>
        <v/>
      </c>
      <c r="KQY57" s="82" t="str">
        <f>IF(ISNUMBER(outYear),KQY37+KQY42+#REF!+#REF!,"")</f>
        <v/>
      </c>
      <c r="KQZ57" s="82" t="str">
        <f>IF(ISNUMBER(outYear),KQZ37+KQZ42+#REF!+#REF!,"")</f>
        <v/>
      </c>
      <c r="KRA57" s="82" t="str">
        <f>IF(ISNUMBER(outYear),KRA37+KRA42+#REF!+#REF!,"")</f>
        <v/>
      </c>
      <c r="KRB57" s="82" t="str">
        <f>IF(ISNUMBER(outYear),KRB37+KRB42+#REF!+#REF!,"")</f>
        <v/>
      </c>
      <c r="KRC57" s="82" t="str">
        <f>IF(ISNUMBER(outYear),KRC37+KRC42+#REF!+#REF!,"")</f>
        <v/>
      </c>
      <c r="KRD57" s="82" t="str">
        <f>IF(ISNUMBER(outYear),KRD37+KRD42+#REF!+#REF!,"")</f>
        <v/>
      </c>
      <c r="KRE57" s="82" t="str">
        <f>IF(ISNUMBER(outYear),KRE37+KRE42+#REF!+#REF!,"")</f>
        <v/>
      </c>
      <c r="KRF57" s="82" t="str">
        <f>IF(ISNUMBER(outYear),KRF37+KRF42+#REF!+#REF!,"")</f>
        <v/>
      </c>
      <c r="KRG57" s="82" t="str">
        <f>IF(ISNUMBER(outYear),KRG37+KRG42+#REF!+#REF!,"")</f>
        <v/>
      </c>
      <c r="KRH57" s="82" t="str">
        <f>IF(ISNUMBER(outYear),KRH37+KRH42+#REF!+#REF!,"")</f>
        <v/>
      </c>
      <c r="KRI57" s="82" t="str">
        <f>IF(ISNUMBER(outYear),KRI37+KRI42+#REF!+#REF!,"")</f>
        <v/>
      </c>
      <c r="KRJ57" s="82" t="str">
        <f>IF(ISNUMBER(outYear),KRJ37+KRJ42+#REF!+#REF!,"")</f>
        <v/>
      </c>
      <c r="KRK57" s="82" t="str">
        <f>IF(ISNUMBER(outYear),KRK37+KRK42+#REF!+#REF!,"")</f>
        <v/>
      </c>
      <c r="KRL57" s="82" t="str">
        <f>IF(ISNUMBER(outYear),KRL37+KRL42+#REF!+#REF!,"")</f>
        <v/>
      </c>
      <c r="KRM57" s="82" t="str">
        <f>IF(ISNUMBER(outYear),KRM37+KRM42+#REF!+#REF!,"")</f>
        <v/>
      </c>
      <c r="KRN57" s="82" t="str">
        <f>IF(ISNUMBER(outYear),KRN37+KRN42+#REF!+#REF!,"")</f>
        <v/>
      </c>
      <c r="KRO57" s="82" t="str">
        <f>IF(ISNUMBER(outYear),KRO37+KRO42+#REF!+#REF!,"")</f>
        <v/>
      </c>
      <c r="KRP57" s="82" t="str">
        <f>IF(ISNUMBER(outYear),KRP37+KRP42+#REF!+#REF!,"")</f>
        <v/>
      </c>
      <c r="KRQ57" s="82" t="str">
        <f>IF(ISNUMBER(outYear),KRQ37+KRQ42+#REF!+#REF!,"")</f>
        <v/>
      </c>
      <c r="KRR57" s="82" t="str">
        <f>IF(ISNUMBER(outYear),KRR37+KRR42+#REF!+#REF!,"")</f>
        <v/>
      </c>
      <c r="KRS57" s="82" t="str">
        <f>IF(ISNUMBER(outYear),KRS37+KRS42+#REF!+#REF!,"")</f>
        <v/>
      </c>
      <c r="KRT57" s="82" t="str">
        <f>IF(ISNUMBER(outYear),KRT37+KRT42+#REF!+#REF!,"")</f>
        <v/>
      </c>
      <c r="KRU57" s="82" t="str">
        <f>IF(ISNUMBER(outYear),KRU37+KRU42+#REF!+#REF!,"")</f>
        <v/>
      </c>
      <c r="KRV57" s="82" t="str">
        <f>IF(ISNUMBER(outYear),KRV37+KRV42+#REF!+#REF!,"")</f>
        <v/>
      </c>
      <c r="KRW57" s="82" t="str">
        <f>IF(ISNUMBER(outYear),KRW37+KRW42+#REF!+#REF!,"")</f>
        <v/>
      </c>
      <c r="KRX57" s="82" t="str">
        <f>IF(ISNUMBER(outYear),KRX37+KRX42+#REF!+#REF!,"")</f>
        <v/>
      </c>
      <c r="KRY57" s="82" t="str">
        <f>IF(ISNUMBER(outYear),KRY37+KRY42+#REF!+#REF!,"")</f>
        <v/>
      </c>
      <c r="KRZ57" s="82" t="str">
        <f>IF(ISNUMBER(outYear),KRZ37+KRZ42+#REF!+#REF!,"")</f>
        <v/>
      </c>
      <c r="KSA57" s="82" t="str">
        <f>IF(ISNUMBER(outYear),KSA37+KSA42+#REF!+#REF!,"")</f>
        <v/>
      </c>
      <c r="KSB57" s="82" t="str">
        <f>IF(ISNUMBER(outYear),KSB37+KSB42+#REF!+#REF!,"")</f>
        <v/>
      </c>
      <c r="KSC57" s="82" t="str">
        <f>IF(ISNUMBER(outYear),KSC37+KSC42+#REF!+#REF!,"")</f>
        <v/>
      </c>
      <c r="KSD57" s="82" t="str">
        <f>IF(ISNUMBER(outYear),KSD37+KSD42+#REF!+#REF!,"")</f>
        <v/>
      </c>
      <c r="KSE57" s="82" t="str">
        <f>IF(ISNUMBER(outYear),KSE37+KSE42+#REF!+#REF!,"")</f>
        <v/>
      </c>
      <c r="KSF57" s="82" t="str">
        <f>IF(ISNUMBER(outYear),KSF37+KSF42+#REF!+#REF!,"")</f>
        <v/>
      </c>
      <c r="KSG57" s="82" t="str">
        <f>IF(ISNUMBER(outYear),KSG37+KSG42+#REF!+#REF!,"")</f>
        <v/>
      </c>
      <c r="KSH57" s="82" t="str">
        <f>IF(ISNUMBER(outYear),KSH37+KSH42+#REF!+#REF!,"")</f>
        <v/>
      </c>
      <c r="KSI57" s="82" t="str">
        <f>IF(ISNUMBER(outYear),KSI37+KSI42+#REF!+#REF!,"")</f>
        <v/>
      </c>
      <c r="KSJ57" s="82" t="str">
        <f>IF(ISNUMBER(outYear),KSJ37+KSJ42+#REF!+#REF!,"")</f>
        <v/>
      </c>
      <c r="KSK57" s="82" t="str">
        <f>IF(ISNUMBER(outYear),KSK37+KSK42+#REF!+#REF!,"")</f>
        <v/>
      </c>
      <c r="KSL57" s="82" t="str">
        <f>IF(ISNUMBER(outYear),KSL37+KSL42+#REF!+#REF!,"")</f>
        <v/>
      </c>
      <c r="KSM57" s="82" t="str">
        <f>IF(ISNUMBER(outYear),KSM37+KSM42+#REF!+#REF!,"")</f>
        <v/>
      </c>
      <c r="KSN57" s="82" t="str">
        <f>IF(ISNUMBER(outYear),KSN37+KSN42+#REF!+#REF!,"")</f>
        <v/>
      </c>
      <c r="KSO57" s="82" t="str">
        <f>IF(ISNUMBER(outYear),KSO37+KSO42+#REF!+#REF!,"")</f>
        <v/>
      </c>
      <c r="KSP57" s="82" t="str">
        <f>IF(ISNUMBER(outYear),KSP37+KSP42+#REF!+#REF!,"")</f>
        <v/>
      </c>
      <c r="KSQ57" s="82" t="str">
        <f>IF(ISNUMBER(outYear),KSQ37+KSQ42+#REF!+#REF!,"")</f>
        <v/>
      </c>
      <c r="KSR57" s="82" t="str">
        <f>IF(ISNUMBER(outYear),KSR37+KSR42+#REF!+#REF!,"")</f>
        <v/>
      </c>
      <c r="KSS57" s="82" t="str">
        <f>IF(ISNUMBER(outYear),KSS37+KSS42+#REF!+#REF!,"")</f>
        <v/>
      </c>
      <c r="KST57" s="82" t="str">
        <f>IF(ISNUMBER(outYear),KST37+KST42+#REF!+#REF!,"")</f>
        <v/>
      </c>
      <c r="KSU57" s="82" t="str">
        <f>IF(ISNUMBER(outYear),KSU37+KSU42+#REF!+#REF!,"")</f>
        <v/>
      </c>
      <c r="KSV57" s="82" t="str">
        <f>IF(ISNUMBER(outYear),KSV37+KSV42+#REF!+#REF!,"")</f>
        <v/>
      </c>
      <c r="KSW57" s="82" t="str">
        <f>IF(ISNUMBER(outYear),KSW37+KSW42+#REF!+#REF!,"")</f>
        <v/>
      </c>
      <c r="KSX57" s="82" t="str">
        <f>IF(ISNUMBER(outYear),KSX37+KSX42+#REF!+#REF!,"")</f>
        <v/>
      </c>
      <c r="KSY57" s="82" t="str">
        <f>IF(ISNUMBER(outYear),KSY37+KSY42+#REF!+#REF!,"")</f>
        <v/>
      </c>
      <c r="KSZ57" s="82" t="str">
        <f>IF(ISNUMBER(outYear),KSZ37+KSZ42+#REF!+#REF!,"")</f>
        <v/>
      </c>
      <c r="KTA57" s="82" t="str">
        <f>IF(ISNUMBER(outYear),KTA37+KTA42+#REF!+#REF!,"")</f>
        <v/>
      </c>
      <c r="KTB57" s="82" t="str">
        <f>IF(ISNUMBER(outYear),KTB37+KTB42+#REF!+#REF!,"")</f>
        <v/>
      </c>
      <c r="KTC57" s="82" t="str">
        <f>IF(ISNUMBER(outYear),KTC37+KTC42+#REF!+#REF!,"")</f>
        <v/>
      </c>
      <c r="KTD57" s="82" t="str">
        <f>IF(ISNUMBER(outYear),KTD37+KTD42+#REF!+#REF!,"")</f>
        <v/>
      </c>
      <c r="KTE57" s="82" t="str">
        <f>IF(ISNUMBER(outYear),KTE37+KTE42+#REF!+#REF!,"")</f>
        <v/>
      </c>
      <c r="KTF57" s="82" t="str">
        <f>IF(ISNUMBER(outYear),KTF37+KTF42+#REF!+#REF!,"")</f>
        <v/>
      </c>
      <c r="KTG57" s="82" t="str">
        <f>IF(ISNUMBER(outYear),KTG37+KTG42+#REF!+#REF!,"")</f>
        <v/>
      </c>
      <c r="KTH57" s="82" t="str">
        <f>IF(ISNUMBER(outYear),KTH37+KTH42+#REF!+#REF!,"")</f>
        <v/>
      </c>
      <c r="KTI57" s="82" t="str">
        <f>IF(ISNUMBER(outYear),KTI37+KTI42+#REF!+#REF!,"")</f>
        <v/>
      </c>
      <c r="KTJ57" s="82" t="str">
        <f>IF(ISNUMBER(outYear),KTJ37+KTJ42+#REF!+#REF!,"")</f>
        <v/>
      </c>
      <c r="KTK57" s="82" t="str">
        <f>IF(ISNUMBER(outYear),KTK37+KTK42+#REF!+#REF!,"")</f>
        <v/>
      </c>
      <c r="KTL57" s="82" t="str">
        <f>IF(ISNUMBER(outYear),KTL37+KTL42+#REF!+#REF!,"")</f>
        <v/>
      </c>
      <c r="KTM57" s="82" t="str">
        <f>IF(ISNUMBER(outYear),KTM37+KTM42+#REF!+#REF!,"")</f>
        <v/>
      </c>
      <c r="KTN57" s="82" t="str">
        <f>IF(ISNUMBER(outYear),KTN37+KTN42+#REF!+#REF!,"")</f>
        <v/>
      </c>
      <c r="KTO57" s="82" t="str">
        <f>IF(ISNUMBER(outYear),KTO37+KTO42+#REF!+#REF!,"")</f>
        <v/>
      </c>
      <c r="KTP57" s="82" t="str">
        <f>IF(ISNUMBER(outYear),KTP37+KTP42+#REF!+#REF!,"")</f>
        <v/>
      </c>
      <c r="KTQ57" s="82" t="str">
        <f>IF(ISNUMBER(outYear),KTQ37+KTQ42+#REF!+#REF!,"")</f>
        <v/>
      </c>
      <c r="KTR57" s="82" t="str">
        <f>IF(ISNUMBER(outYear),KTR37+KTR42+#REF!+#REF!,"")</f>
        <v/>
      </c>
      <c r="KTS57" s="82" t="str">
        <f>IF(ISNUMBER(outYear),KTS37+KTS42+#REF!+#REF!,"")</f>
        <v/>
      </c>
      <c r="KTT57" s="82" t="str">
        <f>IF(ISNUMBER(outYear),KTT37+KTT42+#REF!+#REF!,"")</f>
        <v/>
      </c>
      <c r="KTU57" s="82" t="str">
        <f>IF(ISNUMBER(outYear),KTU37+KTU42+#REF!+#REF!,"")</f>
        <v/>
      </c>
      <c r="KTV57" s="82" t="str">
        <f>IF(ISNUMBER(outYear),KTV37+KTV42+#REF!+#REF!,"")</f>
        <v/>
      </c>
      <c r="KTW57" s="82" t="str">
        <f>IF(ISNUMBER(outYear),KTW37+KTW42+#REF!+#REF!,"")</f>
        <v/>
      </c>
      <c r="KTX57" s="82" t="str">
        <f>IF(ISNUMBER(outYear),KTX37+KTX42+#REF!+#REF!,"")</f>
        <v/>
      </c>
      <c r="KTY57" s="82" t="str">
        <f>IF(ISNUMBER(outYear),KTY37+KTY42+#REF!+#REF!,"")</f>
        <v/>
      </c>
      <c r="KTZ57" s="82" t="str">
        <f>IF(ISNUMBER(outYear),KTZ37+KTZ42+#REF!+#REF!,"")</f>
        <v/>
      </c>
      <c r="KUA57" s="82" t="str">
        <f>IF(ISNUMBER(outYear),KUA37+KUA42+#REF!+#REF!,"")</f>
        <v/>
      </c>
      <c r="KUB57" s="82" t="str">
        <f>IF(ISNUMBER(outYear),KUB37+KUB42+#REF!+#REF!,"")</f>
        <v/>
      </c>
      <c r="KUC57" s="82" t="str">
        <f>IF(ISNUMBER(outYear),KUC37+KUC42+#REF!+#REF!,"")</f>
        <v/>
      </c>
      <c r="KUD57" s="82" t="str">
        <f>IF(ISNUMBER(outYear),KUD37+KUD42+#REF!+#REF!,"")</f>
        <v/>
      </c>
      <c r="KUE57" s="82" t="str">
        <f>IF(ISNUMBER(outYear),KUE37+KUE42+#REF!+#REF!,"")</f>
        <v/>
      </c>
      <c r="KUF57" s="82" t="str">
        <f>IF(ISNUMBER(outYear),KUF37+KUF42+#REF!+#REF!,"")</f>
        <v/>
      </c>
      <c r="KUG57" s="82" t="str">
        <f>IF(ISNUMBER(outYear),KUG37+KUG42+#REF!+#REF!,"")</f>
        <v/>
      </c>
      <c r="KUH57" s="82" t="str">
        <f>IF(ISNUMBER(outYear),KUH37+KUH42+#REF!+#REF!,"")</f>
        <v/>
      </c>
      <c r="KUI57" s="82" t="str">
        <f>IF(ISNUMBER(outYear),KUI37+KUI42+#REF!+#REF!,"")</f>
        <v/>
      </c>
      <c r="KUJ57" s="82" t="str">
        <f>IF(ISNUMBER(outYear),KUJ37+KUJ42+#REF!+#REF!,"")</f>
        <v/>
      </c>
      <c r="KUK57" s="82" t="str">
        <f>IF(ISNUMBER(outYear),KUK37+KUK42+#REF!+#REF!,"")</f>
        <v/>
      </c>
      <c r="KUL57" s="82" t="str">
        <f>IF(ISNUMBER(outYear),KUL37+KUL42+#REF!+#REF!,"")</f>
        <v/>
      </c>
      <c r="KUM57" s="82" t="str">
        <f>IF(ISNUMBER(outYear),KUM37+KUM42+#REF!+#REF!,"")</f>
        <v/>
      </c>
      <c r="KUN57" s="82" t="str">
        <f>IF(ISNUMBER(outYear),KUN37+KUN42+#REF!+#REF!,"")</f>
        <v/>
      </c>
      <c r="KUO57" s="82" t="str">
        <f>IF(ISNUMBER(outYear),KUO37+KUO42+#REF!+#REF!,"")</f>
        <v/>
      </c>
      <c r="KUP57" s="82" t="str">
        <f>IF(ISNUMBER(outYear),KUP37+KUP42+#REF!+#REF!,"")</f>
        <v/>
      </c>
      <c r="KUQ57" s="82" t="str">
        <f>IF(ISNUMBER(outYear),KUQ37+KUQ42+#REF!+#REF!,"")</f>
        <v/>
      </c>
      <c r="KUR57" s="82" t="str">
        <f>IF(ISNUMBER(outYear),KUR37+KUR42+#REF!+#REF!,"")</f>
        <v/>
      </c>
      <c r="KUS57" s="82" t="str">
        <f>IF(ISNUMBER(outYear),KUS37+KUS42+#REF!+#REF!,"")</f>
        <v/>
      </c>
      <c r="KUT57" s="82" t="str">
        <f>IF(ISNUMBER(outYear),KUT37+KUT42+#REF!+#REF!,"")</f>
        <v/>
      </c>
      <c r="KUU57" s="82" t="str">
        <f>IF(ISNUMBER(outYear),KUU37+KUU42+#REF!+#REF!,"")</f>
        <v/>
      </c>
      <c r="KUV57" s="82" t="str">
        <f>IF(ISNUMBER(outYear),KUV37+KUV42+#REF!+#REF!,"")</f>
        <v/>
      </c>
      <c r="KUW57" s="82" t="str">
        <f>IF(ISNUMBER(outYear),KUW37+KUW42+#REF!+#REF!,"")</f>
        <v/>
      </c>
      <c r="KUX57" s="82" t="str">
        <f>IF(ISNUMBER(outYear),KUX37+KUX42+#REF!+#REF!,"")</f>
        <v/>
      </c>
      <c r="KUY57" s="82" t="str">
        <f>IF(ISNUMBER(outYear),KUY37+KUY42+#REF!+#REF!,"")</f>
        <v/>
      </c>
      <c r="KUZ57" s="82" t="str">
        <f>IF(ISNUMBER(outYear),KUZ37+KUZ42+#REF!+#REF!,"")</f>
        <v/>
      </c>
      <c r="KVA57" s="82" t="str">
        <f>IF(ISNUMBER(outYear),KVA37+KVA42+#REF!+#REF!,"")</f>
        <v/>
      </c>
      <c r="KVB57" s="82" t="str">
        <f>IF(ISNUMBER(outYear),KVB37+KVB42+#REF!+#REF!,"")</f>
        <v/>
      </c>
      <c r="KVC57" s="82" t="str">
        <f>IF(ISNUMBER(outYear),KVC37+KVC42+#REF!+#REF!,"")</f>
        <v/>
      </c>
      <c r="KVD57" s="82" t="str">
        <f>IF(ISNUMBER(outYear),KVD37+KVD42+#REF!+#REF!,"")</f>
        <v/>
      </c>
      <c r="KVE57" s="82" t="str">
        <f>IF(ISNUMBER(outYear),KVE37+KVE42+#REF!+#REF!,"")</f>
        <v/>
      </c>
      <c r="KVF57" s="82" t="str">
        <f>IF(ISNUMBER(outYear),KVF37+KVF42+#REF!+#REF!,"")</f>
        <v/>
      </c>
      <c r="KVG57" s="82" t="str">
        <f>IF(ISNUMBER(outYear),KVG37+KVG42+#REF!+#REF!,"")</f>
        <v/>
      </c>
      <c r="KVH57" s="82" t="str">
        <f>IF(ISNUMBER(outYear),KVH37+KVH42+#REF!+#REF!,"")</f>
        <v/>
      </c>
      <c r="KVI57" s="82" t="str">
        <f>IF(ISNUMBER(outYear),KVI37+KVI42+#REF!+#REF!,"")</f>
        <v/>
      </c>
      <c r="KVJ57" s="82" t="str">
        <f>IF(ISNUMBER(outYear),KVJ37+KVJ42+#REF!+#REF!,"")</f>
        <v/>
      </c>
      <c r="KVK57" s="82" t="str">
        <f>IF(ISNUMBER(outYear),KVK37+KVK42+#REF!+#REF!,"")</f>
        <v/>
      </c>
      <c r="KVL57" s="82" t="str">
        <f>IF(ISNUMBER(outYear),KVL37+KVL42+#REF!+#REF!,"")</f>
        <v/>
      </c>
      <c r="KVM57" s="82" t="str">
        <f>IF(ISNUMBER(outYear),KVM37+KVM42+#REF!+#REF!,"")</f>
        <v/>
      </c>
      <c r="KVN57" s="82" t="str">
        <f>IF(ISNUMBER(outYear),KVN37+KVN42+#REF!+#REF!,"")</f>
        <v/>
      </c>
      <c r="KVO57" s="82" t="str">
        <f>IF(ISNUMBER(outYear),KVO37+KVO42+#REF!+#REF!,"")</f>
        <v/>
      </c>
      <c r="KVP57" s="82" t="str">
        <f>IF(ISNUMBER(outYear),KVP37+KVP42+#REF!+#REF!,"")</f>
        <v/>
      </c>
      <c r="KVQ57" s="82" t="str">
        <f>IF(ISNUMBER(outYear),KVQ37+KVQ42+#REF!+#REF!,"")</f>
        <v/>
      </c>
      <c r="KVR57" s="82" t="str">
        <f>IF(ISNUMBER(outYear),KVR37+KVR42+#REF!+#REF!,"")</f>
        <v/>
      </c>
      <c r="KVS57" s="82" t="str">
        <f>IF(ISNUMBER(outYear),KVS37+KVS42+#REF!+#REF!,"")</f>
        <v/>
      </c>
      <c r="KVT57" s="82" t="str">
        <f>IF(ISNUMBER(outYear),KVT37+KVT42+#REF!+#REF!,"")</f>
        <v/>
      </c>
      <c r="KVU57" s="82" t="str">
        <f>IF(ISNUMBER(outYear),KVU37+KVU42+#REF!+#REF!,"")</f>
        <v/>
      </c>
      <c r="KVV57" s="82" t="str">
        <f>IF(ISNUMBER(outYear),KVV37+KVV42+#REF!+#REF!,"")</f>
        <v/>
      </c>
      <c r="KVW57" s="82" t="str">
        <f>IF(ISNUMBER(outYear),KVW37+KVW42+#REF!+#REF!,"")</f>
        <v/>
      </c>
      <c r="KVX57" s="82" t="str">
        <f>IF(ISNUMBER(outYear),KVX37+KVX42+#REF!+#REF!,"")</f>
        <v/>
      </c>
      <c r="KVY57" s="82" t="str">
        <f>IF(ISNUMBER(outYear),KVY37+KVY42+#REF!+#REF!,"")</f>
        <v/>
      </c>
      <c r="KVZ57" s="82" t="str">
        <f>IF(ISNUMBER(outYear),KVZ37+KVZ42+#REF!+#REF!,"")</f>
        <v/>
      </c>
      <c r="KWA57" s="82" t="str">
        <f>IF(ISNUMBER(outYear),KWA37+KWA42+#REF!+#REF!,"")</f>
        <v/>
      </c>
      <c r="KWB57" s="82" t="str">
        <f>IF(ISNUMBER(outYear),KWB37+KWB42+#REF!+#REF!,"")</f>
        <v/>
      </c>
      <c r="KWC57" s="82" t="str">
        <f>IF(ISNUMBER(outYear),KWC37+KWC42+#REF!+#REF!,"")</f>
        <v/>
      </c>
      <c r="KWD57" s="82" t="str">
        <f>IF(ISNUMBER(outYear),KWD37+KWD42+#REF!+#REF!,"")</f>
        <v/>
      </c>
      <c r="KWE57" s="82" t="str">
        <f>IF(ISNUMBER(outYear),KWE37+KWE42+#REF!+#REF!,"")</f>
        <v/>
      </c>
      <c r="KWF57" s="82" t="str">
        <f>IF(ISNUMBER(outYear),KWF37+KWF42+#REF!+#REF!,"")</f>
        <v/>
      </c>
      <c r="KWG57" s="82" t="str">
        <f>IF(ISNUMBER(outYear),KWG37+KWG42+#REF!+#REF!,"")</f>
        <v/>
      </c>
      <c r="KWH57" s="82" t="str">
        <f>IF(ISNUMBER(outYear),KWH37+KWH42+#REF!+#REF!,"")</f>
        <v/>
      </c>
      <c r="KWI57" s="82" t="str">
        <f>IF(ISNUMBER(outYear),KWI37+KWI42+#REF!+#REF!,"")</f>
        <v/>
      </c>
      <c r="KWJ57" s="82" t="str">
        <f>IF(ISNUMBER(outYear),KWJ37+KWJ42+#REF!+#REF!,"")</f>
        <v/>
      </c>
      <c r="KWK57" s="82" t="str">
        <f>IF(ISNUMBER(outYear),KWK37+KWK42+#REF!+#REF!,"")</f>
        <v/>
      </c>
      <c r="KWL57" s="82" t="str">
        <f>IF(ISNUMBER(outYear),KWL37+KWL42+#REF!+#REF!,"")</f>
        <v/>
      </c>
      <c r="KWM57" s="82" t="str">
        <f>IF(ISNUMBER(outYear),KWM37+KWM42+#REF!+#REF!,"")</f>
        <v/>
      </c>
      <c r="KWN57" s="82" t="str">
        <f>IF(ISNUMBER(outYear),KWN37+KWN42+#REF!+#REF!,"")</f>
        <v/>
      </c>
      <c r="KWO57" s="82" t="str">
        <f>IF(ISNUMBER(outYear),KWO37+KWO42+#REF!+#REF!,"")</f>
        <v/>
      </c>
      <c r="KWP57" s="82" t="str">
        <f>IF(ISNUMBER(outYear),KWP37+KWP42+#REF!+#REF!,"")</f>
        <v/>
      </c>
      <c r="KWQ57" s="82" t="str">
        <f>IF(ISNUMBER(outYear),KWQ37+KWQ42+#REF!+#REF!,"")</f>
        <v/>
      </c>
      <c r="KWR57" s="82" t="str">
        <f>IF(ISNUMBER(outYear),KWR37+KWR42+#REF!+#REF!,"")</f>
        <v/>
      </c>
      <c r="KWS57" s="82" t="str">
        <f>IF(ISNUMBER(outYear),KWS37+KWS42+#REF!+#REF!,"")</f>
        <v/>
      </c>
      <c r="KWT57" s="82" t="str">
        <f>IF(ISNUMBER(outYear),KWT37+KWT42+#REF!+#REF!,"")</f>
        <v/>
      </c>
      <c r="KWU57" s="82" t="str">
        <f>IF(ISNUMBER(outYear),KWU37+KWU42+#REF!+#REF!,"")</f>
        <v/>
      </c>
      <c r="KWV57" s="82" t="str">
        <f>IF(ISNUMBER(outYear),KWV37+KWV42+#REF!+#REF!,"")</f>
        <v/>
      </c>
      <c r="KWW57" s="82" t="str">
        <f>IF(ISNUMBER(outYear),KWW37+KWW42+#REF!+#REF!,"")</f>
        <v/>
      </c>
      <c r="KWX57" s="82" t="str">
        <f>IF(ISNUMBER(outYear),KWX37+KWX42+#REF!+#REF!,"")</f>
        <v/>
      </c>
      <c r="KWY57" s="82" t="str">
        <f>IF(ISNUMBER(outYear),KWY37+KWY42+#REF!+#REF!,"")</f>
        <v/>
      </c>
      <c r="KWZ57" s="82" t="str">
        <f>IF(ISNUMBER(outYear),KWZ37+KWZ42+#REF!+#REF!,"")</f>
        <v/>
      </c>
      <c r="KXA57" s="82" t="str">
        <f>IF(ISNUMBER(outYear),KXA37+KXA42+#REF!+#REF!,"")</f>
        <v/>
      </c>
      <c r="KXB57" s="82" t="str">
        <f>IF(ISNUMBER(outYear),KXB37+KXB42+#REF!+#REF!,"")</f>
        <v/>
      </c>
      <c r="KXC57" s="82" t="str">
        <f>IF(ISNUMBER(outYear),KXC37+KXC42+#REF!+#REF!,"")</f>
        <v/>
      </c>
      <c r="KXD57" s="82" t="str">
        <f>IF(ISNUMBER(outYear),KXD37+KXD42+#REF!+#REF!,"")</f>
        <v/>
      </c>
      <c r="KXE57" s="82" t="str">
        <f>IF(ISNUMBER(outYear),KXE37+KXE42+#REF!+#REF!,"")</f>
        <v/>
      </c>
      <c r="KXF57" s="82" t="str">
        <f>IF(ISNUMBER(outYear),KXF37+KXF42+#REF!+#REF!,"")</f>
        <v/>
      </c>
      <c r="KXG57" s="82" t="str">
        <f>IF(ISNUMBER(outYear),KXG37+KXG42+#REF!+#REF!,"")</f>
        <v/>
      </c>
      <c r="KXH57" s="82" t="str">
        <f>IF(ISNUMBER(outYear),KXH37+KXH42+#REF!+#REF!,"")</f>
        <v/>
      </c>
      <c r="KXI57" s="82" t="str">
        <f>IF(ISNUMBER(outYear),KXI37+KXI42+#REF!+#REF!,"")</f>
        <v/>
      </c>
      <c r="KXJ57" s="82" t="str">
        <f>IF(ISNUMBER(outYear),KXJ37+KXJ42+#REF!+#REF!,"")</f>
        <v/>
      </c>
      <c r="KXK57" s="82" t="str">
        <f>IF(ISNUMBER(outYear),KXK37+KXK42+#REF!+#REF!,"")</f>
        <v/>
      </c>
      <c r="KXL57" s="82" t="str">
        <f>IF(ISNUMBER(outYear),KXL37+KXL42+#REF!+#REF!,"")</f>
        <v/>
      </c>
      <c r="KXM57" s="82" t="str">
        <f>IF(ISNUMBER(outYear),KXM37+KXM42+#REF!+#REF!,"")</f>
        <v/>
      </c>
      <c r="KXN57" s="82" t="str">
        <f>IF(ISNUMBER(outYear),KXN37+KXN42+#REF!+#REF!,"")</f>
        <v/>
      </c>
      <c r="KXO57" s="82" t="str">
        <f>IF(ISNUMBER(outYear),KXO37+KXO42+#REF!+#REF!,"")</f>
        <v/>
      </c>
      <c r="KXP57" s="82" t="str">
        <f>IF(ISNUMBER(outYear),KXP37+KXP42+#REF!+#REF!,"")</f>
        <v/>
      </c>
      <c r="KXQ57" s="82" t="str">
        <f>IF(ISNUMBER(outYear),KXQ37+KXQ42+#REF!+#REF!,"")</f>
        <v/>
      </c>
      <c r="KXR57" s="82" t="str">
        <f>IF(ISNUMBER(outYear),KXR37+KXR42+#REF!+#REF!,"")</f>
        <v/>
      </c>
      <c r="KXS57" s="82" t="str">
        <f>IF(ISNUMBER(outYear),KXS37+KXS42+#REF!+#REF!,"")</f>
        <v/>
      </c>
      <c r="KXT57" s="82" t="str">
        <f>IF(ISNUMBER(outYear),KXT37+KXT42+#REF!+#REF!,"")</f>
        <v/>
      </c>
      <c r="KXU57" s="82" t="str">
        <f>IF(ISNUMBER(outYear),KXU37+KXU42+#REF!+#REF!,"")</f>
        <v/>
      </c>
      <c r="KXV57" s="82" t="str">
        <f>IF(ISNUMBER(outYear),KXV37+KXV42+#REF!+#REF!,"")</f>
        <v/>
      </c>
      <c r="KXW57" s="82" t="str">
        <f>IF(ISNUMBER(outYear),KXW37+KXW42+#REF!+#REF!,"")</f>
        <v/>
      </c>
      <c r="KXX57" s="82" t="str">
        <f>IF(ISNUMBER(outYear),KXX37+KXX42+#REF!+#REF!,"")</f>
        <v/>
      </c>
      <c r="KXY57" s="82" t="str">
        <f>IF(ISNUMBER(outYear),KXY37+KXY42+#REF!+#REF!,"")</f>
        <v/>
      </c>
      <c r="KXZ57" s="82" t="str">
        <f>IF(ISNUMBER(outYear),KXZ37+KXZ42+#REF!+#REF!,"")</f>
        <v/>
      </c>
      <c r="KYA57" s="82" t="str">
        <f>IF(ISNUMBER(outYear),KYA37+KYA42+#REF!+#REF!,"")</f>
        <v/>
      </c>
      <c r="KYB57" s="82" t="str">
        <f>IF(ISNUMBER(outYear),KYB37+KYB42+#REF!+#REF!,"")</f>
        <v/>
      </c>
      <c r="KYC57" s="82" t="str">
        <f>IF(ISNUMBER(outYear),KYC37+KYC42+#REF!+#REF!,"")</f>
        <v/>
      </c>
      <c r="KYD57" s="82" t="str">
        <f>IF(ISNUMBER(outYear),KYD37+KYD42+#REF!+#REF!,"")</f>
        <v/>
      </c>
      <c r="KYE57" s="82" t="str">
        <f>IF(ISNUMBER(outYear),KYE37+KYE42+#REF!+#REF!,"")</f>
        <v/>
      </c>
      <c r="KYF57" s="82" t="str">
        <f>IF(ISNUMBER(outYear),KYF37+KYF42+#REF!+#REF!,"")</f>
        <v/>
      </c>
      <c r="KYG57" s="82" t="str">
        <f>IF(ISNUMBER(outYear),KYG37+KYG42+#REF!+#REF!,"")</f>
        <v/>
      </c>
      <c r="KYH57" s="82" t="str">
        <f>IF(ISNUMBER(outYear),KYH37+KYH42+#REF!+#REF!,"")</f>
        <v/>
      </c>
      <c r="KYI57" s="82" t="str">
        <f>IF(ISNUMBER(outYear),KYI37+KYI42+#REF!+#REF!,"")</f>
        <v/>
      </c>
      <c r="KYJ57" s="82" t="str">
        <f>IF(ISNUMBER(outYear),KYJ37+KYJ42+#REF!+#REF!,"")</f>
        <v/>
      </c>
      <c r="KYK57" s="82" t="str">
        <f>IF(ISNUMBER(outYear),KYK37+KYK42+#REF!+#REF!,"")</f>
        <v/>
      </c>
      <c r="KYL57" s="82" t="str">
        <f>IF(ISNUMBER(outYear),KYL37+KYL42+#REF!+#REF!,"")</f>
        <v/>
      </c>
      <c r="KYM57" s="82" t="str">
        <f>IF(ISNUMBER(outYear),KYM37+KYM42+#REF!+#REF!,"")</f>
        <v/>
      </c>
      <c r="KYN57" s="82" t="str">
        <f>IF(ISNUMBER(outYear),KYN37+KYN42+#REF!+#REF!,"")</f>
        <v/>
      </c>
      <c r="KYO57" s="82" t="str">
        <f>IF(ISNUMBER(outYear),KYO37+KYO42+#REF!+#REF!,"")</f>
        <v/>
      </c>
      <c r="KYP57" s="82" t="str">
        <f>IF(ISNUMBER(outYear),KYP37+KYP42+#REF!+#REF!,"")</f>
        <v/>
      </c>
      <c r="KYQ57" s="82" t="str">
        <f>IF(ISNUMBER(outYear),KYQ37+KYQ42+#REF!+#REF!,"")</f>
        <v/>
      </c>
      <c r="KYR57" s="82" t="str">
        <f>IF(ISNUMBER(outYear),KYR37+KYR42+#REF!+#REF!,"")</f>
        <v/>
      </c>
      <c r="KYS57" s="82" t="str">
        <f>IF(ISNUMBER(outYear),KYS37+KYS42+#REF!+#REF!,"")</f>
        <v/>
      </c>
      <c r="KYT57" s="82" t="str">
        <f>IF(ISNUMBER(outYear),KYT37+KYT42+#REF!+#REF!,"")</f>
        <v/>
      </c>
      <c r="KYU57" s="82" t="str">
        <f>IF(ISNUMBER(outYear),KYU37+KYU42+#REF!+#REF!,"")</f>
        <v/>
      </c>
      <c r="KYV57" s="82" t="str">
        <f>IF(ISNUMBER(outYear),KYV37+KYV42+#REF!+#REF!,"")</f>
        <v/>
      </c>
      <c r="KYW57" s="82" t="str">
        <f>IF(ISNUMBER(outYear),KYW37+KYW42+#REF!+#REF!,"")</f>
        <v/>
      </c>
      <c r="KYX57" s="82" t="str">
        <f>IF(ISNUMBER(outYear),KYX37+KYX42+#REF!+#REF!,"")</f>
        <v/>
      </c>
      <c r="KYY57" s="82" t="str">
        <f>IF(ISNUMBER(outYear),KYY37+KYY42+#REF!+#REF!,"")</f>
        <v/>
      </c>
      <c r="KYZ57" s="82" t="str">
        <f>IF(ISNUMBER(outYear),KYZ37+KYZ42+#REF!+#REF!,"")</f>
        <v/>
      </c>
      <c r="KZA57" s="82" t="str">
        <f>IF(ISNUMBER(outYear),KZA37+KZA42+#REF!+#REF!,"")</f>
        <v/>
      </c>
      <c r="KZB57" s="82" t="str">
        <f>IF(ISNUMBER(outYear),KZB37+KZB42+#REF!+#REF!,"")</f>
        <v/>
      </c>
      <c r="KZC57" s="82" t="str">
        <f>IF(ISNUMBER(outYear),KZC37+KZC42+#REF!+#REF!,"")</f>
        <v/>
      </c>
      <c r="KZD57" s="82" t="str">
        <f>IF(ISNUMBER(outYear),KZD37+KZD42+#REF!+#REF!,"")</f>
        <v/>
      </c>
      <c r="KZE57" s="82" t="str">
        <f>IF(ISNUMBER(outYear),KZE37+KZE42+#REF!+#REF!,"")</f>
        <v/>
      </c>
      <c r="KZF57" s="82" t="str">
        <f>IF(ISNUMBER(outYear),KZF37+KZF42+#REF!+#REF!,"")</f>
        <v/>
      </c>
      <c r="KZG57" s="82" t="str">
        <f>IF(ISNUMBER(outYear),KZG37+KZG42+#REF!+#REF!,"")</f>
        <v/>
      </c>
      <c r="KZH57" s="82" t="str">
        <f>IF(ISNUMBER(outYear),KZH37+KZH42+#REF!+#REF!,"")</f>
        <v/>
      </c>
      <c r="KZI57" s="82" t="str">
        <f>IF(ISNUMBER(outYear),KZI37+KZI42+#REF!+#REF!,"")</f>
        <v/>
      </c>
      <c r="KZJ57" s="82" t="str">
        <f>IF(ISNUMBER(outYear),KZJ37+KZJ42+#REF!+#REF!,"")</f>
        <v/>
      </c>
      <c r="KZK57" s="82" t="str">
        <f>IF(ISNUMBER(outYear),KZK37+KZK42+#REF!+#REF!,"")</f>
        <v/>
      </c>
      <c r="KZL57" s="82" t="str">
        <f>IF(ISNUMBER(outYear),KZL37+KZL42+#REF!+#REF!,"")</f>
        <v/>
      </c>
      <c r="KZM57" s="82" t="str">
        <f>IF(ISNUMBER(outYear),KZM37+KZM42+#REF!+#REF!,"")</f>
        <v/>
      </c>
      <c r="KZN57" s="82" t="str">
        <f>IF(ISNUMBER(outYear),KZN37+KZN42+#REF!+#REF!,"")</f>
        <v/>
      </c>
      <c r="KZO57" s="82" t="str">
        <f>IF(ISNUMBER(outYear),KZO37+KZO42+#REF!+#REF!,"")</f>
        <v/>
      </c>
      <c r="KZP57" s="82" t="str">
        <f>IF(ISNUMBER(outYear),KZP37+KZP42+#REF!+#REF!,"")</f>
        <v/>
      </c>
      <c r="KZQ57" s="82" t="str">
        <f>IF(ISNUMBER(outYear),KZQ37+KZQ42+#REF!+#REF!,"")</f>
        <v/>
      </c>
      <c r="KZR57" s="82" t="str">
        <f>IF(ISNUMBER(outYear),KZR37+KZR42+#REF!+#REF!,"")</f>
        <v/>
      </c>
      <c r="KZS57" s="82" t="str">
        <f>IF(ISNUMBER(outYear),KZS37+KZS42+#REF!+#REF!,"")</f>
        <v/>
      </c>
      <c r="KZT57" s="82" t="str">
        <f>IF(ISNUMBER(outYear),KZT37+KZT42+#REF!+#REF!,"")</f>
        <v/>
      </c>
      <c r="KZU57" s="82" t="str">
        <f>IF(ISNUMBER(outYear),KZU37+KZU42+#REF!+#REF!,"")</f>
        <v/>
      </c>
      <c r="KZV57" s="82" t="str">
        <f>IF(ISNUMBER(outYear),KZV37+KZV42+#REF!+#REF!,"")</f>
        <v/>
      </c>
      <c r="KZW57" s="82" t="str">
        <f>IF(ISNUMBER(outYear),KZW37+KZW42+#REF!+#REF!,"")</f>
        <v/>
      </c>
      <c r="KZX57" s="82" t="str">
        <f>IF(ISNUMBER(outYear),KZX37+KZX42+#REF!+#REF!,"")</f>
        <v/>
      </c>
      <c r="KZY57" s="82" t="str">
        <f>IF(ISNUMBER(outYear),KZY37+KZY42+#REF!+#REF!,"")</f>
        <v/>
      </c>
      <c r="KZZ57" s="82" t="str">
        <f>IF(ISNUMBER(outYear),KZZ37+KZZ42+#REF!+#REF!,"")</f>
        <v/>
      </c>
      <c r="LAA57" s="82" t="str">
        <f>IF(ISNUMBER(outYear),LAA37+LAA42+#REF!+#REF!,"")</f>
        <v/>
      </c>
      <c r="LAB57" s="82" t="str">
        <f>IF(ISNUMBER(outYear),LAB37+LAB42+#REF!+#REF!,"")</f>
        <v/>
      </c>
      <c r="LAC57" s="82" t="str">
        <f>IF(ISNUMBER(outYear),LAC37+LAC42+#REF!+#REF!,"")</f>
        <v/>
      </c>
      <c r="LAD57" s="82" t="str">
        <f>IF(ISNUMBER(outYear),LAD37+LAD42+#REF!+#REF!,"")</f>
        <v/>
      </c>
      <c r="LAE57" s="82" t="str">
        <f>IF(ISNUMBER(outYear),LAE37+LAE42+#REF!+#REF!,"")</f>
        <v/>
      </c>
      <c r="LAF57" s="82" t="str">
        <f>IF(ISNUMBER(outYear),LAF37+LAF42+#REF!+#REF!,"")</f>
        <v/>
      </c>
      <c r="LAG57" s="82" t="str">
        <f>IF(ISNUMBER(outYear),LAG37+LAG42+#REF!+#REF!,"")</f>
        <v/>
      </c>
      <c r="LAH57" s="82" t="str">
        <f>IF(ISNUMBER(outYear),LAH37+LAH42+#REF!+#REF!,"")</f>
        <v/>
      </c>
      <c r="LAI57" s="82" t="str">
        <f>IF(ISNUMBER(outYear),LAI37+LAI42+#REF!+#REF!,"")</f>
        <v/>
      </c>
      <c r="LAJ57" s="82" t="str">
        <f>IF(ISNUMBER(outYear),LAJ37+LAJ42+#REF!+#REF!,"")</f>
        <v/>
      </c>
      <c r="LAK57" s="82" t="str">
        <f>IF(ISNUMBER(outYear),LAK37+LAK42+#REF!+#REF!,"")</f>
        <v/>
      </c>
      <c r="LAL57" s="82" t="str">
        <f>IF(ISNUMBER(outYear),LAL37+LAL42+#REF!+#REF!,"")</f>
        <v/>
      </c>
      <c r="LAM57" s="82" t="str">
        <f>IF(ISNUMBER(outYear),LAM37+LAM42+#REF!+#REF!,"")</f>
        <v/>
      </c>
      <c r="LAN57" s="82" t="str">
        <f>IF(ISNUMBER(outYear),LAN37+LAN42+#REF!+#REF!,"")</f>
        <v/>
      </c>
      <c r="LAO57" s="82" t="str">
        <f>IF(ISNUMBER(outYear),LAO37+LAO42+#REF!+#REF!,"")</f>
        <v/>
      </c>
      <c r="LAP57" s="82" t="str">
        <f>IF(ISNUMBER(outYear),LAP37+LAP42+#REF!+#REF!,"")</f>
        <v/>
      </c>
      <c r="LAQ57" s="82" t="str">
        <f>IF(ISNUMBER(outYear),LAQ37+LAQ42+#REF!+#REF!,"")</f>
        <v/>
      </c>
      <c r="LAR57" s="82" t="str">
        <f>IF(ISNUMBER(outYear),LAR37+LAR42+#REF!+#REF!,"")</f>
        <v/>
      </c>
      <c r="LAS57" s="82" t="str">
        <f>IF(ISNUMBER(outYear),LAS37+LAS42+#REF!+#REF!,"")</f>
        <v/>
      </c>
      <c r="LAT57" s="82" t="str">
        <f>IF(ISNUMBER(outYear),LAT37+LAT42+#REF!+#REF!,"")</f>
        <v/>
      </c>
      <c r="LAU57" s="82" t="str">
        <f>IF(ISNUMBER(outYear),LAU37+LAU42+#REF!+#REF!,"")</f>
        <v/>
      </c>
      <c r="LAV57" s="82" t="str">
        <f>IF(ISNUMBER(outYear),LAV37+LAV42+#REF!+#REF!,"")</f>
        <v/>
      </c>
      <c r="LAW57" s="82" t="str">
        <f>IF(ISNUMBER(outYear),LAW37+LAW42+#REF!+#REF!,"")</f>
        <v/>
      </c>
      <c r="LAX57" s="82" t="str">
        <f>IF(ISNUMBER(outYear),LAX37+LAX42+#REF!+#REF!,"")</f>
        <v/>
      </c>
      <c r="LAY57" s="82" t="str">
        <f>IF(ISNUMBER(outYear),LAY37+LAY42+#REF!+#REF!,"")</f>
        <v/>
      </c>
      <c r="LAZ57" s="82" t="str">
        <f>IF(ISNUMBER(outYear),LAZ37+LAZ42+#REF!+#REF!,"")</f>
        <v/>
      </c>
      <c r="LBA57" s="82" t="str">
        <f>IF(ISNUMBER(outYear),LBA37+LBA42+#REF!+#REF!,"")</f>
        <v/>
      </c>
      <c r="LBB57" s="82" t="str">
        <f>IF(ISNUMBER(outYear),LBB37+LBB42+#REF!+#REF!,"")</f>
        <v/>
      </c>
      <c r="LBC57" s="82" t="str">
        <f>IF(ISNUMBER(outYear),LBC37+LBC42+#REF!+#REF!,"")</f>
        <v/>
      </c>
      <c r="LBD57" s="82" t="str">
        <f>IF(ISNUMBER(outYear),LBD37+LBD42+#REF!+#REF!,"")</f>
        <v/>
      </c>
      <c r="LBE57" s="82" t="str">
        <f>IF(ISNUMBER(outYear),LBE37+LBE42+#REF!+#REF!,"")</f>
        <v/>
      </c>
      <c r="LBF57" s="82" t="str">
        <f>IF(ISNUMBER(outYear),LBF37+LBF42+#REF!+#REF!,"")</f>
        <v/>
      </c>
      <c r="LBG57" s="82" t="str">
        <f>IF(ISNUMBER(outYear),LBG37+LBG42+#REF!+#REF!,"")</f>
        <v/>
      </c>
      <c r="LBH57" s="82" t="str">
        <f>IF(ISNUMBER(outYear),LBH37+LBH42+#REF!+#REF!,"")</f>
        <v/>
      </c>
      <c r="LBI57" s="82" t="str">
        <f>IF(ISNUMBER(outYear),LBI37+LBI42+#REF!+#REF!,"")</f>
        <v/>
      </c>
      <c r="LBJ57" s="82" t="str">
        <f>IF(ISNUMBER(outYear),LBJ37+LBJ42+#REF!+#REF!,"")</f>
        <v/>
      </c>
      <c r="LBK57" s="82" t="str">
        <f>IF(ISNUMBER(outYear),LBK37+LBK42+#REF!+#REF!,"")</f>
        <v/>
      </c>
      <c r="LBL57" s="82" t="str">
        <f>IF(ISNUMBER(outYear),LBL37+LBL42+#REF!+#REF!,"")</f>
        <v/>
      </c>
      <c r="LBM57" s="82" t="str">
        <f>IF(ISNUMBER(outYear),LBM37+LBM42+#REF!+#REF!,"")</f>
        <v/>
      </c>
      <c r="LBN57" s="82" t="str">
        <f>IF(ISNUMBER(outYear),LBN37+LBN42+#REF!+#REF!,"")</f>
        <v/>
      </c>
      <c r="LBO57" s="82" t="str">
        <f>IF(ISNUMBER(outYear),LBO37+LBO42+#REF!+#REF!,"")</f>
        <v/>
      </c>
      <c r="LBP57" s="82" t="str">
        <f>IF(ISNUMBER(outYear),LBP37+LBP42+#REF!+#REF!,"")</f>
        <v/>
      </c>
      <c r="LBQ57" s="82" t="str">
        <f>IF(ISNUMBER(outYear),LBQ37+LBQ42+#REF!+#REF!,"")</f>
        <v/>
      </c>
      <c r="LBR57" s="82" t="str">
        <f>IF(ISNUMBER(outYear),LBR37+LBR42+#REF!+#REF!,"")</f>
        <v/>
      </c>
      <c r="LBS57" s="82" t="str">
        <f>IF(ISNUMBER(outYear),LBS37+LBS42+#REF!+#REF!,"")</f>
        <v/>
      </c>
      <c r="LBT57" s="82" t="str">
        <f>IF(ISNUMBER(outYear),LBT37+LBT42+#REF!+#REF!,"")</f>
        <v/>
      </c>
      <c r="LBU57" s="82" t="str">
        <f>IF(ISNUMBER(outYear),LBU37+LBU42+#REF!+#REF!,"")</f>
        <v/>
      </c>
      <c r="LBV57" s="82" t="str">
        <f>IF(ISNUMBER(outYear),LBV37+LBV42+#REF!+#REF!,"")</f>
        <v/>
      </c>
      <c r="LBW57" s="82" t="str">
        <f>IF(ISNUMBER(outYear),LBW37+LBW42+#REF!+#REF!,"")</f>
        <v/>
      </c>
      <c r="LBX57" s="82" t="str">
        <f>IF(ISNUMBER(outYear),LBX37+LBX42+#REF!+#REF!,"")</f>
        <v/>
      </c>
      <c r="LBY57" s="82" t="str">
        <f>IF(ISNUMBER(outYear),LBY37+LBY42+#REF!+#REF!,"")</f>
        <v/>
      </c>
      <c r="LBZ57" s="82" t="str">
        <f>IF(ISNUMBER(outYear),LBZ37+LBZ42+#REF!+#REF!,"")</f>
        <v/>
      </c>
      <c r="LCA57" s="82" t="str">
        <f>IF(ISNUMBER(outYear),LCA37+LCA42+#REF!+#REF!,"")</f>
        <v/>
      </c>
      <c r="LCB57" s="82" t="str">
        <f>IF(ISNUMBER(outYear),LCB37+LCB42+#REF!+#REF!,"")</f>
        <v/>
      </c>
      <c r="LCC57" s="82" t="str">
        <f>IF(ISNUMBER(outYear),LCC37+LCC42+#REF!+#REF!,"")</f>
        <v/>
      </c>
      <c r="LCD57" s="82" t="str">
        <f>IF(ISNUMBER(outYear),LCD37+LCD42+#REF!+#REF!,"")</f>
        <v/>
      </c>
      <c r="LCE57" s="82" t="str">
        <f>IF(ISNUMBER(outYear),LCE37+LCE42+#REF!+#REF!,"")</f>
        <v/>
      </c>
      <c r="LCF57" s="82" t="str">
        <f>IF(ISNUMBER(outYear),LCF37+LCF42+#REF!+#REF!,"")</f>
        <v/>
      </c>
      <c r="LCG57" s="82" t="str">
        <f>IF(ISNUMBER(outYear),LCG37+LCG42+#REF!+#REF!,"")</f>
        <v/>
      </c>
      <c r="LCH57" s="82" t="str">
        <f>IF(ISNUMBER(outYear),LCH37+LCH42+#REF!+#REF!,"")</f>
        <v/>
      </c>
      <c r="LCI57" s="82" t="str">
        <f>IF(ISNUMBER(outYear),LCI37+LCI42+#REF!+#REF!,"")</f>
        <v/>
      </c>
      <c r="LCJ57" s="82" t="str">
        <f>IF(ISNUMBER(outYear),LCJ37+LCJ42+#REF!+#REF!,"")</f>
        <v/>
      </c>
      <c r="LCK57" s="82" t="str">
        <f>IF(ISNUMBER(outYear),LCK37+LCK42+#REF!+#REF!,"")</f>
        <v/>
      </c>
      <c r="LCL57" s="82" t="str">
        <f>IF(ISNUMBER(outYear),LCL37+LCL42+#REF!+#REF!,"")</f>
        <v/>
      </c>
      <c r="LCM57" s="82" t="str">
        <f>IF(ISNUMBER(outYear),LCM37+LCM42+#REF!+#REF!,"")</f>
        <v/>
      </c>
      <c r="LCN57" s="82" t="str">
        <f>IF(ISNUMBER(outYear),LCN37+LCN42+#REF!+#REF!,"")</f>
        <v/>
      </c>
      <c r="LCO57" s="82" t="str">
        <f>IF(ISNUMBER(outYear),LCO37+LCO42+#REF!+#REF!,"")</f>
        <v/>
      </c>
      <c r="LCP57" s="82" t="str">
        <f>IF(ISNUMBER(outYear),LCP37+LCP42+#REF!+#REF!,"")</f>
        <v/>
      </c>
      <c r="LCQ57" s="82" t="str">
        <f>IF(ISNUMBER(outYear),LCQ37+LCQ42+#REF!+#REF!,"")</f>
        <v/>
      </c>
      <c r="LCR57" s="82" t="str">
        <f>IF(ISNUMBER(outYear),LCR37+LCR42+#REF!+#REF!,"")</f>
        <v/>
      </c>
      <c r="LCS57" s="82" t="str">
        <f>IF(ISNUMBER(outYear),LCS37+LCS42+#REF!+#REF!,"")</f>
        <v/>
      </c>
      <c r="LCT57" s="82" t="str">
        <f>IF(ISNUMBER(outYear),LCT37+LCT42+#REF!+#REF!,"")</f>
        <v/>
      </c>
      <c r="LCU57" s="82" t="str">
        <f>IF(ISNUMBER(outYear),LCU37+LCU42+#REF!+#REF!,"")</f>
        <v/>
      </c>
      <c r="LCV57" s="82" t="str">
        <f>IF(ISNUMBER(outYear),LCV37+LCV42+#REF!+#REF!,"")</f>
        <v/>
      </c>
      <c r="LCW57" s="82" t="str">
        <f>IF(ISNUMBER(outYear),LCW37+LCW42+#REF!+#REF!,"")</f>
        <v/>
      </c>
      <c r="LCX57" s="82" t="str">
        <f>IF(ISNUMBER(outYear),LCX37+LCX42+#REF!+#REF!,"")</f>
        <v/>
      </c>
      <c r="LCY57" s="82" t="str">
        <f>IF(ISNUMBER(outYear),LCY37+LCY42+#REF!+#REF!,"")</f>
        <v/>
      </c>
      <c r="LCZ57" s="82" t="str">
        <f>IF(ISNUMBER(outYear),LCZ37+LCZ42+#REF!+#REF!,"")</f>
        <v/>
      </c>
      <c r="LDA57" s="82" t="str">
        <f>IF(ISNUMBER(outYear),LDA37+LDA42+#REF!+#REF!,"")</f>
        <v/>
      </c>
      <c r="LDB57" s="82" t="str">
        <f>IF(ISNUMBER(outYear),LDB37+LDB42+#REF!+#REF!,"")</f>
        <v/>
      </c>
      <c r="LDC57" s="82" t="str">
        <f>IF(ISNUMBER(outYear),LDC37+LDC42+#REF!+#REF!,"")</f>
        <v/>
      </c>
      <c r="LDD57" s="82" t="str">
        <f>IF(ISNUMBER(outYear),LDD37+LDD42+#REF!+#REF!,"")</f>
        <v/>
      </c>
      <c r="LDE57" s="82" t="str">
        <f>IF(ISNUMBER(outYear),LDE37+LDE42+#REF!+#REF!,"")</f>
        <v/>
      </c>
      <c r="LDF57" s="82" t="str">
        <f>IF(ISNUMBER(outYear),LDF37+LDF42+#REF!+#REF!,"")</f>
        <v/>
      </c>
      <c r="LDG57" s="82" t="str">
        <f>IF(ISNUMBER(outYear),LDG37+LDG42+#REF!+#REF!,"")</f>
        <v/>
      </c>
      <c r="LDH57" s="82" t="str">
        <f>IF(ISNUMBER(outYear),LDH37+LDH42+#REF!+#REF!,"")</f>
        <v/>
      </c>
      <c r="LDI57" s="82" t="str">
        <f>IF(ISNUMBER(outYear),LDI37+LDI42+#REF!+#REF!,"")</f>
        <v/>
      </c>
      <c r="LDJ57" s="82" t="str">
        <f>IF(ISNUMBER(outYear),LDJ37+LDJ42+#REF!+#REF!,"")</f>
        <v/>
      </c>
      <c r="LDK57" s="82" t="str">
        <f>IF(ISNUMBER(outYear),LDK37+LDK42+#REF!+#REF!,"")</f>
        <v/>
      </c>
      <c r="LDL57" s="82" t="str">
        <f>IF(ISNUMBER(outYear),LDL37+LDL42+#REF!+#REF!,"")</f>
        <v/>
      </c>
      <c r="LDM57" s="82" t="str">
        <f>IF(ISNUMBER(outYear),LDM37+LDM42+#REF!+#REF!,"")</f>
        <v/>
      </c>
      <c r="LDN57" s="82" t="str">
        <f>IF(ISNUMBER(outYear),LDN37+LDN42+#REF!+#REF!,"")</f>
        <v/>
      </c>
      <c r="LDO57" s="82" t="str">
        <f>IF(ISNUMBER(outYear),LDO37+LDO42+#REF!+#REF!,"")</f>
        <v/>
      </c>
      <c r="LDP57" s="82" t="str">
        <f>IF(ISNUMBER(outYear),LDP37+LDP42+#REF!+#REF!,"")</f>
        <v/>
      </c>
      <c r="LDQ57" s="82" t="str">
        <f>IF(ISNUMBER(outYear),LDQ37+LDQ42+#REF!+#REF!,"")</f>
        <v/>
      </c>
      <c r="LDR57" s="82" t="str">
        <f>IF(ISNUMBER(outYear),LDR37+LDR42+#REF!+#REF!,"")</f>
        <v/>
      </c>
      <c r="LDS57" s="82" t="str">
        <f>IF(ISNUMBER(outYear),LDS37+LDS42+#REF!+#REF!,"")</f>
        <v/>
      </c>
      <c r="LDT57" s="82" t="str">
        <f>IF(ISNUMBER(outYear),LDT37+LDT42+#REF!+#REF!,"")</f>
        <v/>
      </c>
      <c r="LDU57" s="82" t="str">
        <f>IF(ISNUMBER(outYear),LDU37+LDU42+#REF!+#REF!,"")</f>
        <v/>
      </c>
      <c r="LDV57" s="82" t="str">
        <f>IF(ISNUMBER(outYear),LDV37+LDV42+#REF!+#REF!,"")</f>
        <v/>
      </c>
      <c r="LDW57" s="82" t="str">
        <f>IF(ISNUMBER(outYear),LDW37+LDW42+#REF!+#REF!,"")</f>
        <v/>
      </c>
      <c r="LDX57" s="82" t="str">
        <f>IF(ISNUMBER(outYear),LDX37+LDX42+#REF!+#REF!,"")</f>
        <v/>
      </c>
      <c r="LDY57" s="82" t="str">
        <f>IF(ISNUMBER(outYear),LDY37+LDY42+#REF!+#REF!,"")</f>
        <v/>
      </c>
      <c r="LDZ57" s="82" t="str">
        <f>IF(ISNUMBER(outYear),LDZ37+LDZ42+#REF!+#REF!,"")</f>
        <v/>
      </c>
      <c r="LEA57" s="82" t="str">
        <f>IF(ISNUMBER(outYear),LEA37+LEA42+#REF!+#REF!,"")</f>
        <v/>
      </c>
      <c r="LEB57" s="82" t="str">
        <f>IF(ISNUMBER(outYear),LEB37+LEB42+#REF!+#REF!,"")</f>
        <v/>
      </c>
      <c r="LEC57" s="82" t="str">
        <f>IF(ISNUMBER(outYear),LEC37+LEC42+#REF!+#REF!,"")</f>
        <v/>
      </c>
      <c r="LED57" s="82" t="str">
        <f>IF(ISNUMBER(outYear),LED37+LED42+#REF!+#REF!,"")</f>
        <v/>
      </c>
      <c r="LEE57" s="82" t="str">
        <f>IF(ISNUMBER(outYear),LEE37+LEE42+#REF!+#REF!,"")</f>
        <v/>
      </c>
      <c r="LEF57" s="82" t="str">
        <f>IF(ISNUMBER(outYear),LEF37+LEF42+#REF!+#REF!,"")</f>
        <v/>
      </c>
      <c r="LEG57" s="82" t="str">
        <f>IF(ISNUMBER(outYear),LEG37+LEG42+#REF!+#REF!,"")</f>
        <v/>
      </c>
      <c r="LEH57" s="82" t="str">
        <f>IF(ISNUMBER(outYear),LEH37+LEH42+#REF!+#REF!,"")</f>
        <v/>
      </c>
      <c r="LEI57" s="82" t="str">
        <f>IF(ISNUMBER(outYear),LEI37+LEI42+#REF!+#REF!,"")</f>
        <v/>
      </c>
      <c r="LEJ57" s="82" t="str">
        <f>IF(ISNUMBER(outYear),LEJ37+LEJ42+#REF!+#REF!,"")</f>
        <v/>
      </c>
      <c r="LEK57" s="82" t="str">
        <f>IF(ISNUMBER(outYear),LEK37+LEK42+#REF!+#REF!,"")</f>
        <v/>
      </c>
      <c r="LEL57" s="82" t="str">
        <f>IF(ISNUMBER(outYear),LEL37+LEL42+#REF!+#REF!,"")</f>
        <v/>
      </c>
      <c r="LEM57" s="82" t="str">
        <f>IF(ISNUMBER(outYear),LEM37+LEM42+#REF!+#REF!,"")</f>
        <v/>
      </c>
      <c r="LEN57" s="82" t="str">
        <f>IF(ISNUMBER(outYear),LEN37+LEN42+#REF!+#REF!,"")</f>
        <v/>
      </c>
      <c r="LEO57" s="82" t="str">
        <f>IF(ISNUMBER(outYear),LEO37+LEO42+#REF!+#REF!,"")</f>
        <v/>
      </c>
      <c r="LEP57" s="82" t="str">
        <f>IF(ISNUMBER(outYear),LEP37+LEP42+#REF!+#REF!,"")</f>
        <v/>
      </c>
      <c r="LEQ57" s="82" t="str">
        <f>IF(ISNUMBER(outYear),LEQ37+LEQ42+#REF!+#REF!,"")</f>
        <v/>
      </c>
      <c r="LER57" s="82" t="str">
        <f>IF(ISNUMBER(outYear),LER37+LER42+#REF!+#REF!,"")</f>
        <v/>
      </c>
      <c r="LES57" s="82" t="str">
        <f>IF(ISNUMBER(outYear),LES37+LES42+#REF!+#REF!,"")</f>
        <v/>
      </c>
      <c r="LET57" s="82" t="str">
        <f>IF(ISNUMBER(outYear),LET37+LET42+#REF!+#REF!,"")</f>
        <v/>
      </c>
      <c r="LEU57" s="82" t="str">
        <f>IF(ISNUMBER(outYear),LEU37+LEU42+#REF!+#REF!,"")</f>
        <v/>
      </c>
      <c r="LEV57" s="82" t="str">
        <f>IF(ISNUMBER(outYear),LEV37+LEV42+#REF!+#REF!,"")</f>
        <v/>
      </c>
      <c r="LEW57" s="82" t="str">
        <f>IF(ISNUMBER(outYear),LEW37+LEW42+#REF!+#REF!,"")</f>
        <v/>
      </c>
      <c r="LEX57" s="82" t="str">
        <f>IF(ISNUMBER(outYear),LEX37+LEX42+#REF!+#REF!,"")</f>
        <v/>
      </c>
      <c r="LEY57" s="82" t="str">
        <f>IF(ISNUMBER(outYear),LEY37+LEY42+#REF!+#REF!,"")</f>
        <v/>
      </c>
      <c r="LEZ57" s="82" t="str">
        <f>IF(ISNUMBER(outYear),LEZ37+LEZ42+#REF!+#REF!,"")</f>
        <v/>
      </c>
      <c r="LFA57" s="82" t="str">
        <f>IF(ISNUMBER(outYear),LFA37+LFA42+#REF!+#REF!,"")</f>
        <v/>
      </c>
      <c r="LFB57" s="82" t="str">
        <f>IF(ISNUMBER(outYear),LFB37+LFB42+#REF!+#REF!,"")</f>
        <v/>
      </c>
      <c r="LFC57" s="82" t="str">
        <f>IF(ISNUMBER(outYear),LFC37+LFC42+#REF!+#REF!,"")</f>
        <v/>
      </c>
      <c r="LFD57" s="82" t="str">
        <f>IF(ISNUMBER(outYear),LFD37+LFD42+#REF!+#REF!,"")</f>
        <v/>
      </c>
      <c r="LFE57" s="82" t="str">
        <f>IF(ISNUMBER(outYear),LFE37+LFE42+#REF!+#REF!,"")</f>
        <v/>
      </c>
      <c r="LFF57" s="82" t="str">
        <f>IF(ISNUMBER(outYear),LFF37+LFF42+#REF!+#REF!,"")</f>
        <v/>
      </c>
      <c r="LFG57" s="82" t="str">
        <f>IF(ISNUMBER(outYear),LFG37+LFG42+#REF!+#REF!,"")</f>
        <v/>
      </c>
      <c r="LFH57" s="82" t="str">
        <f>IF(ISNUMBER(outYear),LFH37+LFH42+#REF!+#REF!,"")</f>
        <v/>
      </c>
      <c r="LFI57" s="82" t="str">
        <f>IF(ISNUMBER(outYear),LFI37+LFI42+#REF!+#REF!,"")</f>
        <v/>
      </c>
      <c r="LFJ57" s="82" t="str">
        <f>IF(ISNUMBER(outYear),LFJ37+LFJ42+#REF!+#REF!,"")</f>
        <v/>
      </c>
      <c r="LFK57" s="82" t="str">
        <f>IF(ISNUMBER(outYear),LFK37+LFK42+#REF!+#REF!,"")</f>
        <v/>
      </c>
      <c r="LFL57" s="82" t="str">
        <f>IF(ISNUMBER(outYear),LFL37+LFL42+#REF!+#REF!,"")</f>
        <v/>
      </c>
      <c r="LFM57" s="82" t="str">
        <f>IF(ISNUMBER(outYear),LFM37+LFM42+#REF!+#REF!,"")</f>
        <v/>
      </c>
      <c r="LFN57" s="82" t="str">
        <f>IF(ISNUMBER(outYear),LFN37+LFN42+#REF!+#REF!,"")</f>
        <v/>
      </c>
      <c r="LFO57" s="82" t="str">
        <f>IF(ISNUMBER(outYear),LFO37+LFO42+#REF!+#REF!,"")</f>
        <v/>
      </c>
      <c r="LFP57" s="82" t="str">
        <f>IF(ISNUMBER(outYear),LFP37+LFP42+#REF!+#REF!,"")</f>
        <v/>
      </c>
      <c r="LFQ57" s="82" t="str">
        <f>IF(ISNUMBER(outYear),LFQ37+LFQ42+#REF!+#REF!,"")</f>
        <v/>
      </c>
      <c r="LFR57" s="82" t="str">
        <f>IF(ISNUMBER(outYear),LFR37+LFR42+#REF!+#REF!,"")</f>
        <v/>
      </c>
      <c r="LFS57" s="82" t="str">
        <f>IF(ISNUMBER(outYear),LFS37+LFS42+#REF!+#REF!,"")</f>
        <v/>
      </c>
      <c r="LFT57" s="82" t="str">
        <f>IF(ISNUMBER(outYear),LFT37+LFT42+#REF!+#REF!,"")</f>
        <v/>
      </c>
      <c r="LFU57" s="82" t="str">
        <f>IF(ISNUMBER(outYear),LFU37+LFU42+#REF!+#REF!,"")</f>
        <v/>
      </c>
      <c r="LFV57" s="82" t="str">
        <f>IF(ISNUMBER(outYear),LFV37+LFV42+#REF!+#REF!,"")</f>
        <v/>
      </c>
      <c r="LFW57" s="82" t="str">
        <f>IF(ISNUMBER(outYear),LFW37+LFW42+#REF!+#REF!,"")</f>
        <v/>
      </c>
      <c r="LFX57" s="82" t="str">
        <f>IF(ISNUMBER(outYear),LFX37+LFX42+#REF!+#REF!,"")</f>
        <v/>
      </c>
      <c r="LFY57" s="82" t="str">
        <f>IF(ISNUMBER(outYear),LFY37+LFY42+#REF!+#REF!,"")</f>
        <v/>
      </c>
      <c r="LFZ57" s="82" t="str">
        <f>IF(ISNUMBER(outYear),LFZ37+LFZ42+#REF!+#REF!,"")</f>
        <v/>
      </c>
      <c r="LGA57" s="82" t="str">
        <f>IF(ISNUMBER(outYear),LGA37+LGA42+#REF!+#REF!,"")</f>
        <v/>
      </c>
      <c r="LGB57" s="82" t="str">
        <f>IF(ISNUMBER(outYear),LGB37+LGB42+#REF!+#REF!,"")</f>
        <v/>
      </c>
      <c r="LGC57" s="82" t="str">
        <f>IF(ISNUMBER(outYear),LGC37+LGC42+#REF!+#REF!,"")</f>
        <v/>
      </c>
      <c r="LGD57" s="82" t="str">
        <f>IF(ISNUMBER(outYear),LGD37+LGD42+#REF!+#REF!,"")</f>
        <v/>
      </c>
      <c r="LGE57" s="82" t="str">
        <f>IF(ISNUMBER(outYear),LGE37+LGE42+#REF!+#REF!,"")</f>
        <v/>
      </c>
      <c r="LGF57" s="82" t="str">
        <f>IF(ISNUMBER(outYear),LGF37+LGF42+#REF!+#REF!,"")</f>
        <v/>
      </c>
      <c r="LGG57" s="82" t="str">
        <f>IF(ISNUMBER(outYear),LGG37+LGG42+#REF!+#REF!,"")</f>
        <v/>
      </c>
      <c r="LGH57" s="82" t="str">
        <f>IF(ISNUMBER(outYear),LGH37+LGH42+#REF!+#REF!,"")</f>
        <v/>
      </c>
      <c r="LGI57" s="82" t="str">
        <f>IF(ISNUMBER(outYear),LGI37+LGI42+#REF!+#REF!,"")</f>
        <v/>
      </c>
      <c r="LGJ57" s="82" t="str">
        <f>IF(ISNUMBER(outYear),LGJ37+LGJ42+#REF!+#REF!,"")</f>
        <v/>
      </c>
      <c r="LGK57" s="82" t="str">
        <f>IF(ISNUMBER(outYear),LGK37+LGK42+#REF!+#REF!,"")</f>
        <v/>
      </c>
      <c r="LGL57" s="82" t="str">
        <f>IF(ISNUMBER(outYear),LGL37+LGL42+#REF!+#REF!,"")</f>
        <v/>
      </c>
      <c r="LGM57" s="82" t="str">
        <f>IF(ISNUMBER(outYear),LGM37+LGM42+#REF!+#REF!,"")</f>
        <v/>
      </c>
      <c r="LGN57" s="82" t="str">
        <f>IF(ISNUMBER(outYear),LGN37+LGN42+#REF!+#REF!,"")</f>
        <v/>
      </c>
      <c r="LGO57" s="82" t="str">
        <f>IF(ISNUMBER(outYear),LGO37+LGO42+#REF!+#REF!,"")</f>
        <v/>
      </c>
      <c r="LGP57" s="82" t="str">
        <f>IF(ISNUMBER(outYear),LGP37+LGP42+#REF!+#REF!,"")</f>
        <v/>
      </c>
      <c r="LGQ57" s="82" t="str">
        <f>IF(ISNUMBER(outYear),LGQ37+LGQ42+#REF!+#REF!,"")</f>
        <v/>
      </c>
      <c r="LGR57" s="82" t="str">
        <f>IF(ISNUMBER(outYear),LGR37+LGR42+#REF!+#REF!,"")</f>
        <v/>
      </c>
      <c r="LGS57" s="82" t="str">
        <f>IF(ISNUMBER(outYear),LGS37+LGS42+#REF!+#REF!,"")</f>
        <v/>
      </c>
      <c r="LGT57" s="82" t="str">
        <f>IF(ISNUMBER(outYear),LGT37+LGT42+#REF!+#REF!,"")</f>
        <v/>
      </c>
      <c r="LGU57" s="82" t="str">
        <f>IF(ISNUMBER(outYear),LGU37+LGU42+#REF!+#REF!,"")</f>
        <v/>
      </c>
      <c r="LGV57" s="82" t="str">
        <f>IF(ISNUMBER(outYear),LGV37+LGV42+#REF!+#REF!,"")</f>
        <v/>
      </c>
      <c r="LGW57" s="82" t="str">
        <f>IF(ISNUMBER(outYear),LGW37+LGW42+#REF!+#REF!,"")</f>
        <v/>
      </c>
      <c r="LGX57" s="82" t="str">
        <f>IF(ISNUMBER(outYear),LGX37+LGX42+#REF!+#REF!,"")</f>
        <v/>
      </c>
      <c r="LGY57" s="82" t="str">
        <f>IF(ISNUMBER(outYear),LGY37+LGY42+#REF!+#REF!,"")</f>
        <v/>
      </c>
      <c r="LGZ57" s="82" t="str">
        <f>IF(ISNUMBER(outYear),LGZ37+LGZ42+#REF!+#REF!,"")</f>
        <v/>
      </c>
      <c r="LHA57" s="82" t="str">
        <f>IF(ISNUMBER(outYear),LHA37+LHA42+#REF!+#REF!,"")</f>
        <v/>
      </c>
      <c r="LHB57" s="82" t="str">
        <f>IF(ISNUMBER(outYear),LHB37+LHB42+#REF!+#REF!,"")</f>
        <v/>
      </c>
      <c r="LHC57" s="82" t="str">
        <f>IF(ISNUMBER(outYear),LHC37+LHC42+#REF!+#REF!,"")</f>
        <v/>
      </c>
      <c r="LHD57" s="82" t="str">
        <f>IF(ISNUMBER(outYear),LHD37+LHD42+#REF!+#REF!,"")</f>
        <v/>
      </c>
      <c r="LHE57" s="82" t="str">
        <f>IF(ISNUMBER(outYear),LHE37+LHE42+#REF!+#REF!,"")</f>
        <v/>
      </c>
      <c r="LHF57" s="82" t="str">
        <f>IF(ISNUMBER(outYear),LHF37+LHF42+#REF!+#REF!,"")</f>
        <v/>
      </c>
      <c r="LHG57" s="82" t="str">
        <f>IF(ISNUMBER(outYear),LHG37+LHG42+#REF!+#REF!,"")</f>
        <v/>
      </c>
      <c r="LHH57" s="82" t="str">
        <f>IF(ISNUMBER(outYear),LHH37+LHH42+#REF!+#REF!,"")</f>
        <v/>
      </c>
      <c r="LHI57" s="82" t="str">
        <f>IF(ISNUMBER(outYear),LHI37+LHI42+#REF!+#REF!,"")</f>
        <v/>
      </c>
      <c r="LHJ57" s="82" t="str">
        <f>IF(ISNUMBER(outYear),LHJ37+LHJ42+#REF!+#REF!,"")</f>
        <v/>
      </c>
      <c r="LHK57" s="82" t="str">
        <f>IF(ISNUMBER(outYear),LHK37+LHK42+#REF!+#REF!,"")</f>
        <v/>
      </c>
      <c r="LHL57" s="82" t="str">
        <f>IF(ISNUMBER(outYear),LHL37+LHL42+#REF!+#REF!,"")</f>
        <v/>
      </c>
      <c r="LHM57" s="82" t="str">
        <f>IF(ISNUMBER(outYear),LHM37+LHM42+#REF!+#REF!,"")</f>
        <v/>
      </c>
      <c r="LHN57" s="82" t="str">
        <f>IF(ISNUMBER(outYear),LHN37+LHN42+#REF!+#REF!,"")</f>
        <v/>
      </c>
      <c r="LHO57" s="82" t="str">
        <f>IF(ISNUMBER(outYear),LHO37+LHO42+#REF!+#REF!,"")</f>
        <v/>
      </c>
      <c r="LHP57" s="82" t="str">
        <f>IF(ISNUMBER(outYear),LHP37+LHP42+#REF!+#REF!,"")</f>
        <v/>
      </c>
      <c r="LHQ57" s="82" t="str">
        <f>IF(ISNUMBER(outYear),LHQ37+LHQ42+#REF!+#REF!,"")</f>
        <v/>
      </c>
      <c r="LHR57" s="82" t="str">
        <f>IF(ISNUMBER(outYear),LHR37+LHR42+#REF!+#REF!,"")</f>
        <v/>
      </c>
      <c r="LHS57" s="82" t="str">
        <f>IF(ISNUMBER(outYear),LHS37+LHS42+#REF!+#REF!,"")</f>
        <v/>
      </c>
      <c r="LHT57" s="82" t="str">
        <f>IF(ISNUMBER(outYear),LHT37+LHT42+#REF!+#REF!,"")</f>
        <v/>
      </c>
      <c r="LHU57" s="82" t="str">
        <f>IF(ISNUMBER(outYear),LHU37+LHU42+#REF!+#REF!,"")</f>
        <v/>
      </c>
      <c r="LHV57" s="82" t="str">
        <f>IF(ISNUMBER(outYear),LHV37+LHV42+#REF!+#REF!,"")</f>
        <v/>
      </c>
      <c r="LHW57" s="82" t="str">
        <f>IF(ISNUMBER(outYear),LHW37+LHW42+#REF!+#REF!,"")</f>
        <v/>
      </c>
      <c r="LHX57" s="82" t="str">
        <f>IF(ISNUMBER(outYear),LHX37+LHX42+#REF!+#REF!,"")</f>
        <v/>
      </c>
      <c r="LHY57" s="82" t="str">
        <f>IF(ISNUMBER(outYear),LHY37+LHY42+#REF!+#REF!,"")</f>
        <v/>
      </c>
      <c r="LHZ57" s="82" t="str">
        <f>IF(ISNUMBER(outYear),LHZ37+LHZ42+#REF!+#REF!,"")</f>
        <v/>
      </c>
      <c r="LIA57" s="82" t="str">
        <f>IF(ISNUMBER(outYear),LIA37+LIA42+#REF!+#REF!,"")</f>
        <v/>
      </c>
      <c r="LIB57" s="82" t="str">
        <f>IF(ISNUMBER(outYear),LIB37+LIB42+#REF!+#REF!,"")</f>
        <v/>
      </c>
      <c r="LIC57" s="82" t="str">
        <f>IF(ISNUMBER(outYear),LIC37+LIC42+#REF!+#REF!,"")</f>
        <v/>
      </c>
      <c r="LID57" s="82" t="str">
        <f>IF(ISNUMBER(outYear),LID37+LID42+#REF!+#REF!,"")</f>
        <v/>
      </c>
      <c r="LIE57" s="82" t="str">
        <f>IF(ISNUMBER(outYear),LIE37+LIE42+#REF!+#REF!,"")</f>
        <v/>
      </c>
      <c r="LIF57" s="82" t="str">
        <f>IF(ISNUMBER(outYear),LIF37+LIF42+#REF!+#REF!,"")</f>
        <v/>
      </c>
      <c r="LIG57" s="82" t="str">
        <f>IF(ISNUMBER(outYear),LIG37+LIG42+#REF!+#REF!,"")</f>
        <v/>
      </c>
      <c r="LIH57" s="82" t="str">
        <f>IF(ISNUMBER(outYear),LIH37+LIH42+#REF!+#REF!,"")</f>
        <v/>
      </c>
      <c r="LII57" s="82" t="str">
        <f>IF(ISNUMBER(outYear),LII37+LII42+#REF!+#REF!,"")</f>
        <v/>
      </c>
      <c r="LIJ57" s="82" t="str">
        <f>IF(ISNUMBER(outYear),LIJ37+LIJ42+#REF!+#REF!,"")</f>
        <v/>
      </c>
      <c r="LIK57" s="82" t="str">
        <f>IF(ISNUMBER(outYear),LIK37+LIK42+#REF!+#REF!,"")</f>
        <v/>
      </c>
      <c r="LIL57" s="82" t="str">
        <f>IF(ISNUMBER(outYear),LIL37+LIL42+#REF!+#REF!,"")</f>
        <v/>
      </c>
      <c r="LIM57" s="82" t="str">
        <f>IF(ISNUMBER(outYear),LIM37+LIM42+#REF!+#REF!,"")</f>
        <v/>
      </c>
      <c r="LIN57" s="82" t="str">
        <f>IF(ISNUMBER(outYear),LIN37+LIN42+#REF!+#REF!,"")</f>
        <v/>
      </c>
      <c r="LIO57" s="82" t="str">
        <f>IF(ISNUMBER(outYear),LIO37+LIO42+#REF!+#REF!,"")</f>
        <v/>
      </c>
      <c r="LIP57" s="82" t="str">
        <f>IF(ISNUMBER(outYear),LIP37+LIP42+#REF!+#REF!,"")</f>
        <v/>
      </c>
      <c r="LIQ57" s="82" t="str">
        <f>IF(ISNUMBER(outYear),LIQ37+LIQ42+#REF!+#REF!,"")</f>
        <v/>
      </c>
      <c r="LIR57" s="82" t="str">
        <f>IF(ISNUMBER(outYear),LIR37+LIR42+#REF!+#REF!,"")</f>
        <v/>
      </c>
      <c r="LIS57" s="82" t="str">
        <f>IF(ISNUMBER(outYear),LIS37+LIS42+#REF!+#REF!,"")</f>
        <v/>
      </c>
      <c r="LIT57" s="82" t="str">
        <f>IF(ISNUMBER(outYear),LIT37+LIT42+#REF!+#REF!,"")</f>
        <v/>
      </c>
      <c r="LIU57" s="82" t="str">
        <f>IF(ISNUMBER(outYear),LIU37+LIU42+#REF!+#REF!,"")</f>
        <v/>
      </c>
      <c r="LIV57" s="82" t="str">
        <f>IF(ISNUMBER(outYear),LIV37+LIV42+#REF!+#REF!,"")</f>
        <v/>
      </c>
      <c r="LIW57" s="82" t="str">
        <f>IF(ISNUMBER(outYear),LIW37+LIW42+#REF!+#REF!,"")</f>
        <v/>
      </c>
      <c r="LIX57" s="82" t="str">
        <f>IF(ISNUMBER(outYear),LIX37+LIX42+#REF!+#REF!,"")</f>
        <v/>
      </c>
      <c r="LIY57" s="82" t="str">
        <f>IF(ISNUMBER(outYear),LIY37+LIY42+#REF!+#REF!,"")</f>
        <v/>
      </c>
      <c r="LIZ57" s="82" t="str">
        <f>IF(ISNUMBER(outYear),LIZ37+LIZ42+#REF!+#REF!,"")</f>
        <v/>
      </c>
      <c r="LJA57" s="82" t="str">
        <f>IF(ISNUMBER(outYear),LJA37+LJA42+#REF!+#REF!,"")</f>
        <v/>
      </c>
      <c r="LJB57" s="82" t="str">
        <f>IF(ISNUMBER(outYear),LJB37+LJB42+#REF!+#REF!,"")</f>
        <v/>
      </c>
      <c r="LJC57" s="82" t="str">
        <f>IF(ISNUMBER(outYear),LJC37+LJC42+#REF!+#REF!,"")</f>
        <v/>
      </c>
      <c r="LJD57" s="82" t="str">
        <f>IF(ISNUMBER(outYear),LJD37+LJD42+#REF!+#REF!,"")</f>
        <v/>
      </c>
      <c r="LJE57" s="82" t="str">
        <f>IF(ISNUMBER(outYear),LJE37+LJE42+#REF!+#REF!,"")</f>
        <v/>
      </c>
      <c r="LJF57" s="82" t="str">
        <f>IF(ISNUMBER(outYear),LJF37+LJF42+#REF!+#REF!,"")</f>
        <v/>
      </c>
      <c r="LJG57" s="82" t="str">
        <f>IF(ISNUMBER(outYear),LJG37+LJG42+#REF!+#REF!,"")</f>
        <v/>
      </c>
      <c r="LJH57" s="82" t="str">
        <f>IF(ISNUMBER(outYear),LJH37+LJH42+#REF!+#REF!,"")</f>
        <v/>
      </c>
      <c r="LJI57" s="82" t="str">
        <f>IF(ISNUMBER(outYear),LJI37+LJI42+#REF!+#REF!,"")</f>
        <v/>
      </c>
      <c r="LJJ57" s="82" t="str">
        <f>IF(ISNUMBER(outYear),LJJ37+LJJ42+#REF!+#REF!,"")</f>
        <v/>
      </c>
      <c r="LJK57" s="82" t="str">
        <f>IF(ISNUMBER(outYear),LJK37+LJK42+#REF!+#REF!,"")</f>
        <v/>
      </c>
      <c r="LJL57" s="82" t="str">
        <f>IF(ISNUMBER(outYear),LJL37+LJL42+#REF!+#REF!,"")</f>
        <v/>
      </c>
      <c r="LJM57" s="82" t="str">
        <f>IF(ISNUMBER(outYear),LJM37+LJM42+#REF!+#REF!,"")</f>
        <v/>
      </c>
      <c r="LJN57" s="82" t="str">
        <f>IF(ISNUMBER(outYear),LJN37+LJN42+#REF!+#REF!,"")</f>
        <v/>
      </c>
      <c r="LJO57" s="82" t="str">
        <f>IF(ISNUMBER(outYear),LJO37+LJO42+#REF!+#REF!,"")</f>
        <v/>
      </c>
      <c r="LJP57" s="82" t="str">
        <f>IF(ISNUMBER(outYear),LJP37+LJP42+#REF!+#REF!,"")</f>
        <v/>
      </c>
      <c r="LJQ57" s="82" t="str">
        <f>IF(ISNUMBER(outYear),LJQ37+LJQ42+#REF!+#REF!,"")</f>
        <v/>
      </c>
      <c r="LJR57" s="82" t="str">
        <f>IF(ISNUMBER(outYear),LJR37+LJR42+#REF!+#REF!,"")</f>
        <v/>
      </c>
      <c r="LJS57" s="82" t="str">
        <f>IF(ISNUMBER(outYear),LJS37+LJS42+#REF!+#REF!,"")</f>
        <v/>
      </c>
      <c r="LJT57" s="82" t="str">
        <f>IF(ISNUMBER(outYear),LJT37+LJT42+#REF!+#REF!,"")</f>
        <v/>
      </c>
      <c r="LJU57" s="82" t="str">
        <f>IF(ISNUMBER(outYear),LJU37+LJU42+#REF!+#REF!,"")</f>
        <v/>
      </c>
      <c r="LJV57" s="82" t="str">
        <f>IF(ISNUMBER(outYear),LJV37+LJV42+#REF!+#REF!,"")</f>
        <v/>
      </c>
      <c r="LJW57" s="82" t="str">
        <f>IF(ISNUMBER(outYear),LJW37+LJW42+#REF!+#REF!,"")</f>
        <v/>
      </c>
      <c r="LJX57" s="82" t="str">
        <f>IF(ISNUMBER(outYear),LJX37+LJX42+#REF!+#REF!,"")</f>
        <v/>
      </c>
      <c r="LJY57" s="82" t="str">
        <f>IF(ISNUMBER(outYear),LJY37+LJY42+#REF!+#REF!,"")</f>
        <v/>
      </c>
      <c r="LJZ57" s="82" t="str">
        <f>IF(ISNUMBER(outYear),LJZ37+LJZ42+#REF!+#REF!,"")</f>
        <v/>
      </c>
      <c r="LKA57" s="82" t="str">
        <f>IF(ISNUMBER(outYear),LKA37+LKA42+#REF!+#REF!,"")</f>
        <v/>
      </c>
      <c r="LKB57" s="82" t="str">
        <f>IF(ISNUMBER(outYear),LKB37+LKB42+#REF!+#REF!,"")</f>
        <v/>
      </c>
      <c r="LKC57" s="82" t="str">
        <f>IF(ISNUMBER(outYear),LKC37+LKC42+#REF!+#REF!,"")</f>
        <v/>
      </c>
      <c r="LKD57" s="82" t="str">
        <f>IF(ISNUMBER(outYear),LKD37+LKD42+#REF!+#REF!,"")</f>
        <v/>
      </c>
      <c r="LKE57" s="82" t="str">
        <f>IF(ISNUMBER(outYear),LKE37+LKE42+#REF!+#REF!,"")</f>
        <v/>
      </c>
      <c r="LKF57" s="82" t="str">
        <f>IF(ISNUMBER(outYear),LKF37+LKF42+#REF!+#REF!,"")</f>
        <v/>
      </c>
      <c r="LKG57" s="82" t="str">
        <f>IF(ISNUMBER(outYear),LKG37+LKG42+#REF!+#REF!,"")</f>
        <v/>
      </c>
      <c r="LKH57" s="82" t="str">
        <f>IF(ISNUMBER(outYear),LKH37+LKH42+#REF!+#REF!,"")</f>
        <v/>
      </c>
      <c r="LKI57" s="82" t="str">
        <f>IF(ISNUMBER(outYear),LKI37+LKI42+#REF!+#REF!,"")</f>
        <v/>
      </c>
      <c r="LKJ57" s="82" t="str">
        <f>IF(ISNUMBER(outYear),LKJ37+LKJ42+#REF!+#REF!,"")</f>
        <v/>
      </c>
      <c r="LKK57" s="82" t="str">
        <f>IF(ISNUMBER(outYear),LKK37+LKK42+#REF!+#REF!,"")</f>
        <v/>
      </c>
      <c r="LKL57" s="82" t="str">
        <f>IF(ISNUMBER(outYear),LKL37+LKL42+#REF!+#REF!,"")</f>
        <v/>
      </c>
      <c r="LKM57" s="82" t="str">
        <f>IF(ISNUMBER(outYear),LKM37+LKM42+#REF!+#REF!,"")</f>
        <v/>
      </c>
      <c r="LKN57" s="82" t="str">
        <f>IF(ISNUMBER(outYear),LKN37+LKN42+#REF!+#REF!,"")</f>
        <v/>
      </c>
      <c r="LKO57" s="82" t="str">
        <f>IF(ISNUMBER(outYear),LKO37+LKO42+#REF!+#REF!,"")</f>
        <v/>
      </c>
      <c r="LKP57" s="82" t="str">
        <f>IF(ISNUMBER(outYear),LKP37+LKP42+#REF!+#REF!,"")</f>
        <v/>
      </c>
      <c r="LKQ57" s="82" t="str">
        <f>IF(ISNUMBER(outYear),LKQ37+LKQ42+#REF!+#REF!,"")</f>
        <v/>
      </c>
      <c r="LKR57" s="82" t="str">
        <f>IF(ISNUMBER(outYear),LKR37+LKR42+#REF!+#REF!,"")</f>
        <v/>
      </c>
      <c r="LKS57" s="82" t="str">
        <f>IF(ISNUMBER(outYear),LKS37+LKS42+#REF!+#REF!,"")</f>
        <v/>
      </c>
      <c r="LKT57" s="82" t="str">
        <f>IF(ISNUMBER(outYear),LKT37+LKT42+#REF!+#REF!,"")</f>
        <v/>
      </c>
      <c r="LKU57" s="82" t="str">
        <f>IF(ISNUMBER(outYear),LKU37+LKU42+#REF!+#REF!,"")</f>
        <v/>
      </c>
      <c r="LKV57" s="82" t="str">
        <f>IF(ISNUMBER(outYear),LKV37+LKV42+#REF!+#REF!,"")</f>
        <v/>
      </c>
      <c r="LKW57" s="82" t="str">
        <f>IF(ISNUMBER(outYear),LKW37+LKW42+#REF!+#REF!,"")</f>
        <v/>
      </c>
      <c r="LKX57" s="82" t="str">
        <f>IF(ISNUMBER(outYear),LKX37+LKX42+#REF!+#REF!,"")</f>
        <v/>
      </c>
      <c r="LKY57" s="82" t="str">
        <f>IF(ISNUMBER(outYear),LKY37+LKY42+#REF!+#REF!,"")</f>
        <v/>
      </c>
      <c r="LKZ57" s="82" t="str">
        <f>IF(ISNUMBER(outYear),LKZ37+LKZ42+#REF!+#REF!,"")</f>
        <v/>
      </c>
      <c r="LLA57" s="82" t="str">
        <f>IF(ISNUMBER(outYear),LLA37+LLA42+#REF!+#REF!,"")</f>
        <v/>
      </c>
      <c r="LLB57" s="82" t="str">
        <f>IF(ISNUMBER(outYear),LLB37+LLB42+#REF!+#REF!,"")</f>
        <v/>
      </c>
      <c r="LLC57" s="82" t="str">
        <f>IF(ISNUMBER(outYear),LLC37+LLC42+#REF!+#REF!,"")</f>
        <v/>
      </c>
      <c r="LLD57" s="82" t="str">
        <f>IF(ISNUMBER(outYear),LLD37+LLD42+#REF!+#REF!,"")</f>
        <v/>
      </c>
      <c r="LLE57" s="82" t="str">
        <f>IF(ISNUMBER(outYear),LLE37+LLE42+#REF!+#REF!,"")</f>
        <v/>
      </c>
      <c r="LLF57" s="82" t="str">
        <f>IF(ISNUMBER(outYear),LLF37+LLF42+#REF!+#REF!,"")</f>
        <v/>
      </c>
      <c r="LLG57" s="82" t="str">
        <f>IF(ISNUMBER(outYear),LLG37+LLG42+#REF!+#REF!,"")</f>
        <v/>
      </c>
      <c r="LLH57" s="82" t="str">
        <f>IF(ISNUMBER(outYear),LLH37+LLH42+#REF!+#REF!,"")</f>
        <v/>
      </c>
      <c r="LLI57" s="82" t="str">
        <f>IF(ISNUMBER(outYear),LLI37+LLI42+#REF!+#REF!,"")</f>
        <v/>
      </c>
      <c r="LLJ57" s="82" t="str">
        <f>IF(ISNUMBER(outYear),LLJ37+LLJ42+#REF!+#REF!,"")</f>
        <v/>
      </c>
      <c r="LLK57" s="82" t="str">
        <f>IF(ISNUMBER(outYear),LLK37+LLK42+#REF!+#REF!,"")</f>
        <v/>
      </c>
      <c r="LLL57" s="82" t="str">
        <f>IF(ISNUMBER(outYear),LLL37+LLL42+#REF!+#REF!,"")</f>
        <v/>
      </c>
      <c r="LLM57" s="82" t="str">
        <f>IF(ISNUMBER(outYear),LLM37+LLM42+#REF!+#REF!,"")</f>
        <v/>
      </c>
      <c r="LLN57" s="82" t="str">
        <f>IF(ISNUMBER(outYear),LLN37+LLN42+#REF!+#REF!,"")</f>
        <v/>
      </c>
      <c r="LLO57" s="82" t="str">
        <f>IF(ISNUMBER(outYear),LLO37+LLO42+#REF!+#REF!,"")</f>
        <v/>
      </c>
      <c r="LLP57" s="82" t="str">
        <f>IF(ISNUMBER(outYear),LLP37+LLP42+#REF!+#REF!,"")</f>
        <v/>
      </c>
      <c r="LLQ57" s="82" t="str">
        <f>IF(ISNUMBER(outYear),LLQ37+LLQ42+#REF!+#REF!,"")</f>
        <v/>
      </c>
      <c r="LLR57" s="82" t="str">
        <f>IF(ISNUMBER(outYear),LLR37+LLR42+#REF!+#REF!,"")</f>
        <v/>
      </c>
      <c r="LLS57" s="82" t="str">
        <f>IF(ISNUMBER(outYear),LLS37+LLS42+#REF!+#REF!,"")</f>
        <v/>
      </c>
      <c r="LLT57" s="82" t="str">
        <f>IF(ISNUMBER(outYear),LLT37+LLT42+#REF!+#REF!,"")</f>
        <v/>
      </c>
      <c r="LLU57" s="82" t="str">
        <f>IF(ISNUMBER(outYear),LLU37+LLU42+#REF!+#REF!,"")</f>
        <v/>
      </c>
      <c r="LLV57" s="82" t="str">
        <f>IF(ISNUMBER(outYear),LLV37+LLV42+#REF!+#REF!,"")</f>
        <v/>
      </c>
      <c r="LLW57" s="82" t="str">
        <f>IF(ISNUMBER(outYear),LLW37+LLW42+#REF!+#REF!,"")</f>
        <v/>
      </c>
      <c r="LLX57" s="82" t="str">
        <f>IF(ISNUMBER(outYear),LLX37+LLX42+#REF!+#REF!,"")</f>
        <v/>
      </c>
      <c r="LLY57" s="82" t="str">
        <f>IF(ISNUMBER(outYear),LLY37+LLY42+#REF!+#REF!,"")</f>
        <v/>
      </c>
      <c r="LLZ57" s="82" t="str">
        <f>IF(ISNUMBER(outYear),LLZ37+LLZ42+#REF!+#REF!,"")</f>
        <v/>
      </c>
      <c r="LMA57" s="82" t="str">
        <f>IF(ISNUMBER(outYear),LMA37+LMA42+#REF!+#REF!,"")</f>
        <v/>
      </c>
      <c r="LMB57" s="82" t="str">
        <f>IF(ISNUMBER(outYear),LMB37+LMB42+#REF!+#REF!,"")</f>
        <v/>
      </c>
      <c r="LMC57" s="82" t="str">
        <f>IF(ISNUMBER(outYear),LMC37+LMC42+#REF!+#REF!,"")</f>
        <v/>
      </c>
      <c r="LMD57" s="82" t="str">
        <f>IF(ISNUMBER(outYear),LMD37+LMD42+#REF!+#REF!,"")</f>
        <v/>
      </c>
      <c r="LME57" s="82" t="str">
        <f>IF(ISNUMBER(outYear),LME37+LME42+#REF!+#REF!,"")</f>
        <v/>
      </c>
      <c r="LMF57" s="82" t="str">
        <f>IF(ISNUMBER(outYear),LMF37+LMF42+#REF!+#REF!,"")</f>
        <v/>
      </c>
      <c r="LMG57" s="82" t="str">
        <f>IF(ISNUMBER(outYear),LMG37+LMG42+#REF!+#REF!,"")</f>
        <v/>
      </c>
      <c r="LMH57" s="82" t="str">
        <f>IF(ISNUMBER(outYear),LMH37+LMH42+#REF!+#REF!,"")</f>
        <v/>
      </c>
      <c r="LMI57" s="82" t="str">
        <f>IF(ISNUMBER(outYear),LMI37+LMI42+#REF!+#REF!,"")</f>
        <v/>
      </c>
      <c r="LMJ57" s="82" t="str">
        <f>IF(ISNUMBER(outYear),LMJ37+LMJ42+#REF!+#REF!,"")</f>
        <v/>
      </c>
      <c r="LMK57" s="82" t="str">
        <f>IF(ISNUMBER(outYear),LMK37+LMK42+#REF!+#REF!,"")</f>
        <v/>
      </c>
      <c r="LML57" s="82" t="str">
        <f>IF(ISNUMBER(outYear),LML37+LML42+#REF!+#REF!,"")</f>
        <v/>
      </c>
      <c r="LMM57" s="82" t="str">
        <f>IF(ISNUMBER(outYear),LMM37+LMM42+#REF!+#REF!,"")</f>
        <v/>
      </c>
      <c r="LMN57" s="82" t="str">
        <f>IF(ISNUMBER(outYear),LMN37+LMN42+#REF!+#REF!,"")</f>
        <v/>
      </c>
      <c r="LMO57" s="82" t="str">
        <f>IF(ISNUMBER(outYear),LMO37+LMO42+#REF!+#REF!,"")</f>
        <v/>
      </c>
      <c r="LMP57" s="82" t="str">
        <f>IF(ISNUMBER(outYear),LMP37+LMP42+#REF!+#REF!,"")</f>
        <v/>
      </c>
      <c r="LMQ57" s="82" t="str">
        <f>IF(ISNUMBER(outYear),LMQ37+LMQ42+#REF!+#REF!,"")</f>
        <v/>
      </c>
      <c r="LMR57" s="82" t="str">
        <f>IF(ISNUMBER(outYear),LMR37+LMR42+#REF!+#REF!,"")</f>
        <v/>
      </c>
      <c r="LMS57" s="82" t="str">
        <f>IF(ISNUMBER(outYear),LMS37+LMS42+#REF!+#REF!,"")</f>
        <v/>
      </c>
      <c r="LMT57" s="82" t="str">
        <f>IF(ISNUMBER(outYear),LMT37+LMT42+#REF!+#REF!,"")</f>
        <v/>
      </c>
      <c r="LMU57" s="82" t="str">
        <f>IF(ISNUMBER(outYear),LMU37+LMU42+#REF!+#REF!,"")</f>
        <v/>
      </c>
      <c r="LMV57" s="82" t="str">
        <f>IF(ISNUMBER(outYear),LMV37+LMV42+#REF!+#REF!,"")</f>
        <v/>
      </c>
      <c r="LMW57" s="82" t="str">
        <f>IF(ISNUMBER(outYear),LMW37+LMW42+#REF!+#REF!,"")</f>
        <v/>
      </c>
      <c r="LMX57" s="82" t="str">
        <f>IF(ISNUMBER(outYear),LMX37+LMX42+#REF!+#REF!,"")</f>
        <v/>
      </c>
      <c r="LMY57" s="82" t="str">
        <f>IF(ISNUMBER(outYear),LMY37+LMY42+#REF!+#REF!,"")</f>
        <v/>
      </c>
      <c r="LMZ57" s="82" t="str">
        <f>IF(ISNUMBER(outYear),LMZ37+LMZ42+#REF!+#REF!,"")</f>
        <v/>
      </c>
      <c r="LNA57" s="82" t="str">
        <f>IF(ISNUMBER(outYear),LNA37+LNA42+#REF!+#REF!,"")</f>
        <v/>
      </c>
      <c r="LNB57" s="82" t="str">
        <f>IF(ISNUMBER(outYear),LNB37+LNB42+#REF!+#REF!,"")</f>
        <v/>
      </c>
      <c r="LNC57" s="82" t="str">
        <f>IF(ISNUMBER(outYear),LNC37+LNC42+#REF!+#REF!,"")</f>
        <v/>
      </c>
      <c r="LND57" s="82" t="str">
        <f>IF(ISNUMBER(outYear),LND37+LND42+#REF!+#REF!,"")</f>
        <v/>
      </c>
      <c r="LNE57" s="82" t="str">
        <f>IF(ISNUMBER(outYear),LNE37+LNE42+#REF!+#REF!,"")</f>
        <v/>
      </c>
      <c r="LNF57" s="82" t="str">
        <f>IF(ISNUMBER(outYear),LNF37+LNF42+#REF!+#REF!,"")</f>
        <v/>
      </c>
      <c r="LNG57" s="82" t="str">
        <f>IF(ISNUMBER(outYear),LNG37+LNG42+#REF!+#REF!,"")</f>
        <v/>
      </c>
      <c r="LNH57" s="82" t="str">
        <f>IF(ISNUMBER(outYear),LNH37+LNH42+#REF!+#REF!,"")</f>
        <v/>
      </c>
      <c r="LNI57" s="82" t="str">
        <f>IF(ISNUMBER(outYear),LNI37+LNI42+#REF!+#REF!,"")</f>
        <v/>
      </c>
      <c r="LNJ57" s="82" t="str">
        <f>IF(ISNUMBER(outYear),LNJ37+LNJ42+#REF!+#REF!,"")</f>
        <v/>
      </c>
      <c r="LNK57" s="82" t="str">
        <f>IF(ISNUMBER(outYear),LNK37+LNK42+#REF!+#REF!,"")</f>
        <v/>
      </c>
      <c r="LNL57" s="82" t="str">
        <f>IF(ISNUMBER(outYear),LNL37+LNL42+#REF!+#REF!,"")</f>
        <v/>
      </c>
      <c r="LNM57" s="82" t="str">
        <f>IF(ISNUMBER(outYear),LNM37+LNM42+#REF!+#REF!,"")</f>
        <v/>
      </c>
      <c r="LNN57" s="82" t="str">
        <f>IF(ISNUMBER(outYear),LNN37+LNN42+#REF!+#REF!,"")</f>
        <v/>
      </c>
      <c r="LNO57" s="82" t="str">
        <f>IF(ISNUMBER(outYear),LNO37+LNO42+#REF!+#REF!,"")</f>
        <v/>
      </c>
      <c r="LNP57" s="82" t="str">
        <f>IF(ISNUMBER(outYear),LNP37+LNP42+#REF!+#REF!,"")</f>
        <v/>
      </c>
      <c r="LNQ57" s="82" t="str">
        <f>IF(ISNUMBER(outYear),LNQ37+LNQ42+#REF!+#REF!,"")</f>
        <v/>
      </c>
      <c r="LNR57" s="82" t="str">
        <f>IF(ISNUMBER(outYear),LNR37+LNR42+#REF!+#REF!,"")</f>
        <v/>
      </c>
      <c r="LNS57" s="82" t="str">
        <f>IF(ISNUMBER(outYear),LNS37+LNS42+#REF!+#REF!,"")</f>
        <v/>
      </c>
      <c r="LNT57" s="82" t="str">
        <f>IF(ISNUMBER(outYear),LNT37+LNT42+#REF!+#REF!,"")</f>
        <v/>
      </c>
      <c r="LNU57" s="82" t="str">
        <f>IF(ISNUMBER(outYear),LNU37+LNU42+#REF!+#REF!,"")</f>
        <v/>
      </c>
      <c r="LNV57" s="82" t="str">
        <f>IF(ISNUMBER(outYear),LNV37+LNV42+#REF!+#REF!,"")</f>
        <v/>
      </c>
      <c r="LNW57" s="82" t="str">
        <f>IF(ISNUMBER(outYear),LNW37+LNW42+#REF!+#REF!,"")</f>
        <v/>
      </c>
      <c r="LNX57" s="82" t="str">
        <f>IF(ISNUMBER(outYear),LNX37+LNX42+#REF!+#REF!,"")</f>
        <v/>
      </c>
      <c r="LNY57" s="82" t="str">
        <f>IF(ISNUMBER(outYear),LNY37+LNY42+#REF!+#REF!,"")</f>
        <v/>
      </c>
      <c r="LNZ57" s="82" t="str">
        <f>IF(ISNUMBER(outYear),LNZ37+LNZ42+#REF!+#REF!,"")</f>
        <v/>
      </c>
      <c r="LOA57" s="82" t="str">
        <f>IF(ISNUMBER(outYear),LOA37+LOA42+#REF!+#REF!,"")</f>
        <v/>
      </c>
      <c r="LOB57" s="82" t="str">
        <f>IF(ISNUMBER(outYear),LOB37+LOB42+#REF!+#REF!,"")</f>
        <v/>
      </c>
      <c r="LOC57" s="82" t="str">
        <f>IF(ISNUMBER(outYear),LOC37+LOC42+#REF!+#REF!,"")</f>
        <v/>
      </c>
      <c r="LOD57" s="82" t="str">
        <f>IF(ISNUMBER(outYear),LOD37+LOD42+#REF!+#REF!,"")</f>
        <v/>
      </c>
      <c r="LOE57" s="82" t="str">
        <f>IF(ISNUMBER(outYear),LOE37+LOE42+#REF!+#REF!,"")</f>
        <v/>
      </c>
      <c r="LOF57" s="82" t="str">
        <f>IF(ISNUMBER(outYear),LOF37+LOF42+#REF!+#REF!,"")</f>
        <v/>
      </c>
      <c r="LOG57" s="82" t="str">
        <f>IF(ISNUMBER(outYear),LOG37+LOG42+#REF!+#REF!,"")</f>
        <v/>
      </c>
      <c r="LOH57" s="82" t="str">
        <f>IF(ISNUMBER(outYear),LOH37+LOH42+#REF!+#REF!,"")</f>
        <v/>
      </c>
      <c r="LOI57" s="82" t="str">
        <f>IF(ISNUMBER(outYear),LOI37+LOI42+#REF!+#REF!,"")</f>
        <v/>
      </c>
      <c r="LOJ57" s="82" t="str">
        <f>IF(ISNUMBER(outYear),LOJ37+LOJ42+#REF!+#REF!,"")</f>
        <v/>
      </c>
      <c r="LOK57" s="82" t="str">
        <f>IF(ISNUMBER(outYear),LOK37+LOK42+#REF!+#REF!,"")</f>
        <v/>
      </c>
      <c r="LOL57" s="82" t="str">
        <f>IF(ISNUMBER(outYear),LOL37+LOL42+#REF!+#REF!,"")</f>
        <v/>
      </c>
      <c r="LOM57" s="82" t="str">
        <f>IF(ISNUMBER(outYear),LOM37+LOM42+#REF!+#REF!,"")</f>
        <v/>
      </c>
      <c r="LON57" s="82" t="str">
        <f>IF(ISNUMBER(outYear),LON37+LON42+#REF!+#REF!,"")</f>
        <v/>
      </c>
      <c r="LOO57" s="82" t="str">
        <f>IF(ISNUMBER(outYear),LOO37+LOO42+#REF!+#REF!,"")</f>
        <v/>
      </c>
      <c r="LOP57" s="82" t="str">
        <f>IF(ISNUMBER(outYear),LOP37+LOP42+#REF!+#REF!,"")</f>
        <v/>
      </c>
      <c r="LOQ57" s="82" t="str">
        <f>IF(ISNUMBER(outYear),LOQ37+LOQ42+#REF!+#REF!,"")</f>
        <v/>
      </c>
      <c r="LOR57" s="82" t="str">
        <f>IF(ISNUMBER(outYear),LOR37+LOR42+#REF!+#REF!,"")</f>
        <v/>
      </c>
      <c r="LOS57" s="82" t="str">
        <f>IF(ISNUMBER(outYear),LOS37+LOS42+#REF!+#REF!,"")</f>
        <v/>
      </c>
      <c r="LOT57" s="82" t="str">
        <f>IF(ISNUMBER(outYear),LOT37+LOT42+#REF!+#REF!,"")</f>
        <v/>
      </c>
      <c r="LOU57" s="82" t="str">
        <f>IF(ISNUMBER(outYear),LOU37+LOU42+#REF!+#REF!,"")</f>
        <v/>
      </c>
      <c r="LOV57" s="82" t="str">
        <f>IF(ISNUMBER(outYear),LOV37+LOV42+#REF!+#REF!,"")</f>
        <v/>
      </c>
      <c r="LOW57" s="82" t="str">
        <f>IF(ISNUMBER(outYear),LOW37+LOW42+#REF!+#REF!,"")</f>
        <v/>
      </c>
      <c r="LOX57" s="82" t="str">
        <f>IF(ISNUMBER(outYear),LOX37+LOX42+#REF!+#REF!,"")</f>
        <v/>
      </c>
      <c r="LOY57" s="82" t="str">
        <f>IF(ISNUMBER(outYear),LOY37+LOY42+#REF!+#REF!,"")</f>
        <v/>
      </c>
      <c r="LOZ57" s="82" t="str">
        <f>IF(ISNUMBER(outYear),LOZ37+LOZ42+#REF!+#REF!,"")</f>
        <v/>
      </c>
      <c r="LPA57" s="82" t="str">
        <f>IF(ISNUMBER(outYear),LPA37+LPA42+#REF!+#REF!,"")</f>
        <v/>
      </c>
      <c r="LPB57" s="82" t="str">
        <f>IF(ISNUMBER(outYear),LPB37+LPB42+#REF!+#REF!,"")</f>
        <v/>
      </c>
      <c r="LPC57" s="82" t="str">
        <f>IF(ISNUMBER(outYear),LPC37+LPC42+#REF!+#REF!,"")</f>
        <v/>
      </c>
      <c r="LPD57" s="82" t="str">
        <f>IF(ISNUMBER(outYear),LPD37+LPD42+#REF!+#REF!,"")</f>
        <v/>
      </c>
      <c r="LPE57" s="82" t="str">
        <f>IF(ISNUMBER(outYear),LPE37+LPE42+#REF!+#REF!,"")</f>
        <v/>
      </c>
      <c r="LPF57" s="82" t="str">
        <f>IF(ISNUMBER(outYear),LPF37+LPF42+#REF!+#REF!,"")</f>
        <v/>
      </c>
      <c r="LPG57" s="82" t="str">
        <f>IF(ISNUMBER(outYear),LPG37+LPG42+#REF!+#REF!,"")</f>
        <v/>
      </c>
      <c r="LPH57" s="82" t="str">
        <f>IF(ISNUMBER(outYear),LPH37+LPH42+#REF!+#REF!,"")</f>
        <v/>
      </c>
      <c r="LPI57" s="82" t="str">
        <f>IF(ISNUMBER(outYear),LPI37+LPI42+#REF!+#REF!,"")</f>
        <v/>
      </c>
      <c r="LPJ57" s="82" t="str">
        <f>IF(ISNUMBER(outYear),LPJ37+LPJ42+#REF!+#REF!,"")</f>
        <v/>
      </c>
      <c r="LPK57" s="82" t="str">
        <f>IF(ISNUMBER(outYear),LPK37+LPK42+#REF!+#REF!,"")</f>
        <v/>
      </c>
      <c r="LPL57" s="82" t="str">
        <f>IF(ISNUMBER(outYear),LPL37+LPL42+#REF!+#REF!,"")</f>
        <v/>
      </c>
      <c r="LPM57" s="82" t="str">
        <f>IF(ISNUMBER(outYear),LPM37+LPM42+#REF!+#REF!,"")</f>
        <v/>
      </c>
      <c r="LPN57" s="82" t="str">
        <f>IF(ISNUMBER(outYear),LPN37+LPN42+#REF!+#REF!,"")</f>
        <v/>
      </c>
      <c r="LPO57" s="82" t="str">
        <f>IF(ISNUMBER(outYear),LPO37+LPO42+#REF!+#REF!,"")</f>
        <v/>
      </c>
      <c r="LPP57" s="82" t="str">
        <f>IF(ISNUMBER(outYear),LPP37+LPP42+#REF!+#REF!,"")</f>
        <v/>
      </c>
      <c r="LPQ57" s="82" t="str">
        <f>IF(ISNUMBER(outYear),LPQ37+LPQ42+#REF!+#REF!,"")</f>
        <v/>
      </c>
      <c r="LPR57" s="82" t="str">
        <f>IF(ISNUMBER(outYear),LPR37+LPR42+#REF!+#REF!,"")</f>
        <v/>
      </c>
      <c r="LPS57" s="82" t="str">
        <f>IF(ISNUMBER(outYear),LPS37+LPS42+#REF!+#REF!,"")</f>
        <v/>
      </c>
      <c r="LPT57" s="82" t="str">
        <f>IF(ISNUMBER(outYear),LPT37+LPT42+#REF!+#REF!,"")</f>
        <v/>
      </c>
      <c r="LPU57" s="82" t="str">
        <f>IF(ISNUMBER(outYear),LPU37+LPU42+#REF!+#REF!,"")</f>
        <v/>
      </c>
      <c r="LPV57" s="82" t="str">
        <f>IF(ISNUMBER(outYear),LPV37+LPV42+#REF!+#REF!,"")</f>
        <v/>
      </c>
      <c r="LPW57" s="82" t="str">
        <f>IF(ISNUMBER(outYear),LPW37+LPW42+#REF!+#REF!,"")</f>
        <v/>
      </c>
      <c r="LPX57" s="82" t="str">
        <f>IF(ISNUMBER(outYear),LPX37+LPX42+#REF!+#REF!,"")</f>
        <v/>
      </c>
      <c r="LPY57" s="82" t="str">
        <f>IF(ISNUMBER(outYear),LPY37+LPY42+#REF!+#REF!,"")</f>
        <v/>
      </c>
      <c r="LPZ57" s="82" t="str">
        <f>IF(ISNUMBER(outYear),LPZ37+LPZ42+#REF!+#REF!,"")</f>
        <v/>
      </c>
      <c r="LQA57" s="82" t="str">
        <f>IF(ISNUMBER(outYear),LQA37+LQA42+#REF!+#REF!,"")</f>
        <v/>
      </c>
      <c r="LQB57" s="82" t="str">
        <f>IF(ISNUMBER(outYear),LQB37+LQB42+#REF!+#REF!,"")</f>
        <v/>
      </c>
      <c r="LQC57" s="82" t="str">
        <f>IF(ISNUMBER(outYear),LQC37+LQC42+#REF!+#REF!,"")</f>
        <v/>
      </c>
      <c r="LQD57" s="82" t="str">
        <f>IF(ISNUMBER(outYear),LQD37+LQD42+#REF!+#REF!,"")</f>
        <v/>
      </c>
      <c r="LQE57" s="82" t="str">
        <f>IF(ISNUMBER(outYear),LQE37+LQE42+#REF!+#REF!,"")</f>
        <v/>
      </c>
      <c r="LQF57" s="82" t="str">
        <f>IF(ISNUMBER(outYear),LQF37+LQF42+#REF!+#REF!,"")</f>
        <v/>
      </c>
      <c r="LQG57" s="82" t="str">
        <f>IF(ISNUMBER(outYear),LQG37+LQG42+#REF!+#REF!,"")</f>
        <v/>
      </c>
      <c r="LQH57" s="82" t="str">
        <f>IF(ISNUMBER(outYear),LQH37+LQH42+#REF!+#REF!,"")</f>
        <v/>
      </c>
      <c r="LQI57" s="82" t="str">
        <f>IF(ISNUMBER(outYear),LQI37+LQI42+#REF!+#REF!,"")</f>
        <v/>
      </c>
      <c r="LQJ57" s="82" t="str">
        <f>IF(ISNUMBER(outYear),LQJ37+LQJ42+#REF!+#REF!,"")</f>
        <v/>
      </c>
      <c r="LQK57" s="82" t="str">
        <f>IF(ISNUMBER(outYear),LQK37+LQK42+#REF!+#REF!,"")</f>
        <v/>
      </c>
      <c r="LQL57" s="82" t="str">
        <f>IF(ISNUMBER(outYear),LQL37+LQL42+#REF!+#REF!,"")</f>
        <v/>
      </c>
      <c r="LQM57" s="82" t="str">
        <f>IF(ISNUMBER(outYear),LQM37+LQM42+#REF!+#REF!,"")</f>
        <v/>
      </c>
      <c r="LQN57" s="82" t="str">
        <f>IF(ISNUMBER(outYear),LQN37+LQN42+#REF!+#REF!,"")</f>
        <v/>
      </c>
      <c r="LQO57" s="82" t="str">
        <f>IF(ISNUMBER(outYear),LQO37+LQO42+#REF!+#REF!,"")</f>
        <v/>
      </c>
      <c r="LQP57" s="82" t="str">
        <f>IF(ISNUMBER(outYear),LQP37+LQP42+#REF!+#REF!,"")</f>
        <v/>
      </c>
      <c r="LQQ57" s="82" t="str">
        <f>IF(ISNUMBER(outYear),LQQ37+LQQ42+#REF!+#REF!,"")</f>
        <v/>
      </c>
      <c r="LQR57" s="82" t="str">
        <f>IF(ISNUMBER(outYear),LQR37+LQR42+#REF!+#REF!,"")</f>
        <v/>
      </c>
      <c r="LQS57" s="82" t="str">
        <f>IF(ISNUMBER(outYear),LQS37+LQS42+#REF!+#REF!,"")</f>
        <v/>
      </c>
      <c r="LQT57" s="82" t="str">
        <f>IF(ISNUMBER(outYear),LQT37+LQT42+#REF!+#REF!,"")</f>
        <v/>
      </c>
      <c r="LQU57" s="82" t="str">
        <f>IF(ISNUMBER(outYear),LQU37+LQU42+#REF!+#REF!,"")</f>
        <v/>
      </c>
      <c r="LQV57" s="82" t="str">
        <f>IF(ISNUMBER(outYear),LQV37+LQV42+#REF!+#REF!,"")</f>
        <v/>
      </c>
      <c r="LQW57" s="82" t="str">
        <f>IF(ISNUMBER(outYear),LQW37+LQW42+#REF!+#REF!,"")</f>
        <v/>
      </c>
      <c r="LQX57" s="82" t="str">
        <f>IF(ISNUMBER(outYear),LQX37+LQX42+#REF!+#REF!,"")</f>
        <v/>
      </c>
      <c r="LQY57" s="82" t="str">
        <f>IF(ISNUMBER(outYear),LQY37+LQY42+#REF!+#REF!,"")</f>
        <v/>
      </c>
      <c r="LQZ57" s="82" t="str">
        <f>IF(ISNUMBER(outYear),LQZ37+LQZ42+#REF!+#REF!,"")</f>
        <v/>
      </c>
      <c r="LRA57" s="82" t="str">
        <f>IF(ISNUMBER(outYear),LRA37+LRA42+#REF!+#REF!,"")</f>
        <v/>
      </c>
      <c r="LRB57" s="82" t="str">
        <f>IF(ISNUMBER(outYear),LRB37+LRB42+#REF!+#REF!,"")</f>
        <v/>
      </c>
      <c r="LRC57" s="82" t="str">
        <f>IF(ISNUMBER(outYear),LRC37+LRC42+#REF!+#REF!,"")</f>
        <v/>
      </c>
      <c r="LRD57" s="82" t="str">
        <f>IF(ISNUMBER(outYear),LRD37+LRD42+#REF!+#REF!,"")</f>
        <v/>
      </c>
      <c r="LRE57" s="82" t="str">
        <f>IF(ISNUMBER(outYear),LRE37+LRE42+#REF!+#REF!,"")</f>
        <v/>
      </c>
      <c r="LRF57" s="82" t="str">
        <f>IF(ISNUMBER(outYear),LRF37+LRF42+#REF!+#REF!,"")</f>
        <v/>
      </c>
      <c r="LRG57" s="82" t="str">
        <f>IF(ISNUMBER(outYear),LRG37+LRG42+#REF!+#REF!,"")</f>
        <v/>
      </c>
      <c r="LRH57" s="82" t="str">
        <f>IF(ISNUMBER(outYear),LRH37+LRH42+#REF!+#REF!,"")</f>
        <v/>
      </c>
      <c r="LRI57" s="82" t="str">
        <f>IF(ISNUMBER(outYear),LRI37+LRI42+#REF!+#REF!,"")</f>
        <v/>
      </c>
      <c r="LRJ57" s="82" t="str">
        <f>IF(ISNUMBER(outYear),LRJ37+LRJ42+#REF!+#REF!,"")</f>
        <v/>
      </c>
      <c r="LRK57" s="82" t="str">
        <f>IF(ISNUMBER(outYear),LRK37+LRK42+#REF!+#REF!,"")</f>
        <v/>
      </c>
      <c r="LRL57" s="82" t="str">
        <f>IF(ISNUMBER(outYear),LRL37+LRL42+#REF!+#REF!,"")</f>
        <v/>
      </c>
      <c r="LRM57" s="82" t="str">
        <f>IF(ISNUMBER(outYear),LRM37+LRM42+#REF!+#REF!,"")</f>
        <v/>
      </c>
      <c r="LRN57" s="82" t="str">
        <f>IF(ISNUMBER(outYear),LRN37+LRN42+#REF!+#REF!,"")</f>
        <v/>
      </c>
      <c r="LRO57" s="82" t="str">
        <f>IF(ISNUMBER(outYear),LRO37+LRO42+#REF!+#REF!,"")</f>
        <v/>
      </c>
      <c r="LRP57" s="82" t="str">
        <f>IF(ISNUMBER(outYear),LRP37+LRP42+#REF!+#REF!,"")</f>
        <v/>
      </c>
      <c r="LRQ57" s="82" t="str">
        <f>IF(ISNUMBER(outYear),LRQ37+LRQ42+#REF!+#REF!,"")</f>
        <v/>
      </c>
      <c r="LRR57" s="82" t="str">
        <f>IF(ISNUMBER(outYear),LRR37+LRR42+#REF!+#REF!,"")</f>
        <v/>
      </c>
      <c r="LRS57" s="82" t="str">
        <f>IF(ISNUMBER(outYear),LRS37+LRS42+#REF!+#REF!,"")</f>
        <v/>
      </c>
      <c r="LRT57" s="82" t="str">
        <f>IF(ISNUMBER(outYear),LRT37+LRT42+#REF!+#REF!,"")</f>
        <v/>
      </c>
      <c r="LRU57" s="82" t="str">
        <f>IF(ISNUMBER(outYear),LRU37+LRU42+#REF!+#REF!,"")</f>
        <v/>
      </c>
      <c r="LRV57" s="82" t="str">
        <f>IF(ISNUMBER(outYear),LRV37+LRV42+#REF!+#REF!,"")</f>
        <v/>
      </c>
      <c r="LRW57" s="82" t="str">
        <f>IF(ISNUMBER(outYear),LRW37+LRW42+#REF!+#REF!,"")</f>
        <v/>
      </c>
      <c r="LRX57" s="82" t="str">
        <f>IF(ISNUMBER(outYear),LRX37+LRX42+#REF!+#REF!,"")</f>
        <v/>
      </c>
      <c r="LRY57" s="82" t="str">
        <f>IF(ISNUMBER(outYear),LRY37+LRY42+#REF!+#REF!,"")</f>
        <v/>
      </c>
      <c r="LRZ57" s="82" t="str">
        <f>IF(ISNUMBER(outYear),LRZ37+LRZ42+#REF!+#REF!,"")</f>
        <v/>
      </c>
      <c r="LSA57" s="82" t="str">
        <f>IF(ISNUMBER(outYear),LSA37+LSA42+#REF!+#REF!,"")</f>
        <v/>
      </c>
      <c r="LSB57" s="82" t="str">
        <f>IF(ISNUMBER(outYear),LSB37+LSB42+#REF!+#REF!,"")</f>
        <v/>
      </c>
      <c r="LSC57" s="82" t="str">
        <f>IF(ISNUMBER(outYear),LSC37+LSC42+#REF!+#REF!,"")</f>
        <v/>
      </c>
      <c r="LSD57" s="82" t="str">
        <f>IF(ISNUMBER(outYear),LSD37+LSD42+#REF!+#REF!,"")</f>
        <v/>
      </c>
      <c r="LSE57" s="82" t="str">
        <f>IF(ISNUMBER(outYear),LSE37+LSE42+#REF!+#REF!,"")</f>
        <v/>
      </c>
      <c r="LSF57" s="82" t="str">
        <f>IF(ISNUMBER(outYear),LSF37+LSF42+#REF!+#REF!,"")</f>
        <v/>
      </c>
      <c r="LSG57" s="82" t="str">
        <f>IF(ISNUMBER(outYear),LSG37+LSG42+#REF!+#REF!,"")</f>
        <v/>
      </c>
      <c r="LSH57" s="82" t="str">
        <f>IF(ISNUMBER(outYear),LSH37+LSH42+#REF!+#REF!,"")</f>
        <v/>
      </c>
      <c r="LSI57" s="82" t="str">
        <f>IF(ISNUMBER(outYear),LSI37+LSI42+#REF!+#REF!,"")</f>
        <v/>
      </c>
      <c r="LSJ57" s="82" t="str">
        <f>IF(ISNUMBER(outYear),LSJ37+LSJ42+#REF!+#REF!,"")</f>
        <v/>
      </c>
      <c r="LSK57" s="82" t="str">
        <f>IF(ISNUMBER(outYear),LSK37+LSK42+#REF!+#REF!,"")</f>
        <v/>
      </c>
      <c r="LSL57" s="82" t="str">
        <f>IF(ISNUMBER(outYear),LSL37+LSL42+#REF!+#REF!,"")</f>
        <v/>
      </c>
      <c r="LSM57" s="82" t="str">
        <f>IF(ISNUMBER(outYear),LSM37+LSM42+#REF!+#REF!,"")</f>
        <v/>
      </c>
      <c r="LSN57" s="82" t="str">
        <f>IF(ISNUMBER(outYear),LSN37+LSN42+#REF!+#REF!,"")</f>
        <v/>
      </c>
      <c r="LSO57" s="82" t="str">
        <f>IF(ISNUMBER(outYear),LSO37+LSO42+#REF!+#REF!,"")</f>
        <v/>
      </c>
      <c r="LSP57" s="82" t="str">
        <f>IF(ISNUMBER(outYear),LSP37+LSP42+#REF!+#REF!,"")</f>
        <v/>
      </c>
      <c r="LSQ57" s="82" t="str">
        <f>IF(ISNUMBER(outYear),LSQ37+LSQ42+#REF!+#REF!,"")</f>
        <v/>
      </c>
      <c r="LSR57" s="82" t="str">
        <f>IF(ISNUMBER(outYear),LSR37+LSR42+#REF!+#REF!,"")</f>
        <v/>
      </c>
      <c r="LSS57" s="82" t="str">
        <f>IF(ISNUMBER(outYear),LSS37+LSS42+#REF!+#REF!,"")</f>
        <v/>
      </c>
      <c r="LST57" s="82" t="str">
        <f>IF(ISNUMBER(outYear),LST37+LST42+#REF!+#REF!,"")</f>
        <v/>
      </c>
      <c r="LSU57" s="82" t="str">
        <f>IF(ISNUMBER(outYear),LSU37+LSU42+#REF!+#REF!,"")</f>
        <v/>
      </c>
      <c r="LSV57" s="82" t="str">
        <f>IF(ISNUMBER(outYear),LSV37+LSV42+#REF!+#REF!,"")</f>
        <v/>
      </c>
      <c r="LSW57" s="82" t="str">
        <f>IF(ISNUMBER(outYear),LSW37+LSW42+#REF!+#REF!,"")</f>
        <v/>
      </c>
      <c r="LSX57" s="82" t="str">
        <f>IF(ISNUMBER(outYear),LSX37+LSX42+#REF!+#REF!,"")</f>
        <v/>
      </c>
      <c r="LSY57" s="82" t="str">
        <f>IF(ISNUMBER(outYear),LSY37+LSY42+#REF!+#REF!,"")</f>
        <v/>
      </c>
      <c r="LSZ57" s="82" t="str">
        <f>IF(ISNUMBER(outYear),LSZ37+LSZ42+#REF!+#REF!,"")</f>
        <v/>
      </c>
      <c r="LTA57" s="82" t="str">
        <f>IF(ISNUMBER(outYear),LTA37+LTA42+#REF!+#REF!,"")</f>
        <v/>
      </c>
      <c r="LTB57" s="82" t="str">
        <f>IF(ISNUMBER(outYear),LTB37+LTB42+#REF!+#REF!,"")</f>
        <v/>
      </c>
      <c r="LTC57" s="82" t="str">
        <f>IF(ISNUMBER(outYear),LTC37+LTC42+#REF!+#REF!,"")</f>
        <v/>
      </c>
      <c r="LTD57" s="82" t="str">
        <f>IF(ISNUMBER(outYear),LTD37+LTD42+#REF!+#REF!,"")</f>
        <v/>
      </c>
      <c r="LTE57" s="82" t="str">
        <f>IF(ISNUMBER(outYear),LTE37+LTE42+#REF!+#REF!,"")</f>
        <v/>
      </c>
      <c r="LTF57" s="82" t="str">
        <f>IF(ISNUMBER(outYear),LTF37+LTF42+#REF!+#REF!,"")</f>
        <v/>
      </c>
      <c r="LTG57" s="82" t="str">
        <f>IF(ISNUMBER(outYear),LTG37+LTG42+#REF!+#REF!,"")</f>
        <v/>
      </c>
      <c r="LTH57" s="82" t="str">
        <f>IF(ISNUMBER(outYear),LTH37+LTH42+#REF!+#REF!,"")</f>
        <v/>
      </c>
      <c r="LTI57" s="82" t="str">
        <f>IF(ISNUMBER(outYear),LTI37+LTI42+#REF!+#REF!,"")</f>
        <v/>
      </c>
      <c r="LTJ57" s="82" t="str">
        <f>IF(ISNUMBER(outYear),LTJ37+LTJ42+#REF!+#REF!,"")</f>
        <v/>
      </c>
      <c r="LTK57" s="82" t="str">
        <f>IF(ISNUMBER(outYear),LTK37+LTK42+#REF!+#REF!,"")</f>
        <v/>
      </c>
      <c r="LTL57" s="82" t="str">
        <f>IF(ISNUMBER(outYear),LTL37+LTL42+#REF!+#REF!,"")</f>
        <v/>
      </c>
      <c r="LTM57" s="82" t="str">
        <f>IF(ISNUMBER(outYear),LTM37+LTM42+#REF!+#REF!,"")</f>
        <v/>
      </c>
      <c r="LTN57" s="82" t="str">
        <f>IF(ISNUMBER(outYear),LTN37+LTN42+#REF!+#REF!,"")</f>
        <v/>
      </c>
      <c r="LTO57" s="82" t="str">
        <f>IF(ISNUMBER(outYear),LTO37+LTO42+#REF!+#REF!,"")</f>
        <v/>
      </c>
      <c r="LTP57" s="82" t="str">
        <f>IF(ISNUMBER(outYear),LTP37+LTP42+#REF!+#REF!,"")</f>
        <v/>
      </c>
      <c r="LTQ57" s="82" t="str">
        <f>IF(ISNUMBER(outYear),LTQ37+LTQ42+#REF!+#REF!,"")</f>
        <v/>
      </c>
      <c r="LTR57" s="82" t="str">
        <f>IF(ISNUMBER(outYear),LTR37+LTR42+#REF!+#REF!,"")</f>
        <v/>
      </c>
      <c r="LTS57" s="82" t="str">
        <f>IF(ISNUMBER(outYear),LTS37+LTS42+#REF!+#REF!,"")</f>
        <v/>
      </c>
      <c r="LTT57" s="82" t="str">
        <f>IF(ISNUMBER(outYear),LTT37+LTT42+#REF!+#REF!,"")</f>
        <v/>
      </c>
      <c r="LTU57" s="82" t="str">
        <f>IF(ISNUMBER(outYear),LTU37+LTU42+#REF!+#REF!,"")</f>
        <v/>
      </c>
      <c r="LTV57" s="82" t="str">
        <f>IF(ISNUMBER(outYear),LTV37+LTV42+#REF!+#REF!,"")</f>
        <v/>
      </c>
      <c r="LTW57" s="82" t="str">
        <f>IF(ISNUMBER(outYear),LTW37+LTW42+#REF!+#REF!,"")</f>
        <v/>
      </c>
      <c r="LTX57" s="82" t="str">
        <f>IF(ISNUMBER(outYear),LTX37+LTX42+#REF!+#REF!,"")</f>
        <v/>
      </c>
      <c r="LTY57" s="82" t="str">
        <f>IF(ISNUMBER(outYear),LTY37+LTY42+#REF!+#REF!,"")</f>
        <v/>
      </c>
      <c r="LTZ57" s="82" t="str">
        <f>IF(ISNUMBER(outYear),LTZ37+LTZ42+#REF!+#REF!,"")</f>
        <v/>
      </c>
      <c r="LUA57" s="82" t="str">
        <f>IF(ISNUMBER(outYear),LUA37+LUA42+#REF!+#REF!,"")</f>
        <v/>
      </c>
      <c r="LUB57" s="82" t="str">
        <f>IF(ISNUMBER(outYear),LUB37+LUB42+#REF!+#REF!,"")</f>
        <v/>
      </c>
      <c r="LUC57" s="82" t="str">
        <f>IF(ISNUMBER(outYear),LUC37+LUC42+#REF!+#REF!,"")</f>
        <v/>
      </c>
      <c r="LUD57" s="82" t="str">
        <f>IF(ISNUMBER(outYear),LUD37+LUD42+#REF!+#REF!,"")</f>
        <v/>
      </c>
      <c r="LUE57" s="82" t="str">
        <f>IF(ISNUMBER(outYear),LUE37+LUE42+#REF!+#REF!,"")</f>
        <v/>
      </c>
      <c r="LUF57" s="82" t="str">
        <f>IF(ISNUMBER(outYear),LUF37+LUF42+#REF!+#REF!,"")</f>
        <v/>
      </c>
      <c r="LUG57" s="82" t="str">
        <f>IF(ISNUMBER(outYear),LUG37+LUG42+#REF!+#REF!,"")</f>
        <v/>
      </c>
      <c r="LUH57" s="82" t="str">
        <f>IF(ISNUMBER(outYear),LUH37+LUH42+#REF!+#REF!,"")</f>
        <v/>
      </c>
      <c r="LUI57" s="82" t="str">
        <f>IF(ISNUMBER(outYear),LUI37+LUI42+#REF!+#REF!,"")</f>
        <v/>
      </c>
      <c r="LUJ57" s="82" t="str">
        <f>IF(ISNUMBER(outYear),LUJ37+LUJ42+#REF!+#REF!,"")</f>
        <v/>
      </c>
      <c r="LUK57" s="82" t="str">
        <f>IF(ISNUMBER(outYear),LUK37+LUK42+#REF!+#REF!,"")</f>
        <v/>
      </c>
      <c r="LUL57" s="82" t="str">
        <f>IF(ISNUMBER(outYear),LUL37+LUL42+#REF!+#REF!,"")</f>
        <v/>
      </c>
      <c r="LUM57" s="82" t="str">
        <f>IF(ISNUMBER(outYear),LUM37+LUM42+#REF!+#REF!,"")</f>
        <v/>
      </c>
      <c r="LUN57" s="82" t="str">
        <f>IF(ISNUMBER(outYear),LUN37+LUN42+#REF!+#REF!,"")</f>
        <v/>
      </c>
      <c r="LUO57" s="82" t="str">
        <f>IF(ISNUMBER(outYear),LUO37+LUO42+#REF!+#REF!,"")</f>
        <v/>
      </c>
      <c r="LUP57" s="82" t="str">
        <f>IF(ISNUMBER(outYear),LUP37+LUP42+#REF!+#REF!,"")</f>
        <v/>
      </c>
      <c r="LUQ57" s="82" t="str">
        <f>IF(ISNUMBER(outYear),LUQ37+LUQ42+#REF!+#REF!,"")</f>
        <v/>
      </c>
      <c r="LUR57" s="82" t="str">
        <f>IF(ISNUMBER(outYear),LUR37+LUR42+#REF!+#REF!,"")</f>
        <v/>
      </c>
      <c r="LUS57" s="82" t="str">
        <f>IF(ISNUMBER(outYear),LUS37+LUS42+#REF!+#REF!,"")</f>
        <v/>
      </c>
      <c r="LUT57" s="82" t="str">
        <f>IF(ISNUMBER(outYear),LUT37+LUT42+#REF!+#REF!,"")</f>
        <v/>
      </c>
      <c r="LUU57" s="82" t="str">
        <f>IF(ISNUMBER(outYear),LUU37+LUU42+#REF!+#REF!,"")</f>
        <v/>
      </c>
      <c r="LUV57" s="82" t="str">
        <f>IF(ISNUMBER(outYear),LUV37+LUV42+#REF!+#REF!,"")</f>
        <v/>
      </c>
      <c r="LUW57" s="82" t="str">
        <f>IF(ISNUMBER(outYear),LUW37+LUW42+#REF!+#REF!,"")</f>
        <v/>
      </c>
      <c r="LUX57" s="82" t="str">
        <f>IF(ISNUMBER(outYear),LUX37+LUX42+#REF!+#REF!,"")</f>
        <v/>
      </c>
      <c r="LUY57" s="82" t="str">
        <f>IF(ISNUMBER(outYear),LUY37+LUY42+#REF!+#REF!,"")</f>
        <v/>
      </c>
      <c r="LUZ57" s="82" t="str">
        <f>IF(ISNUMBER(outYear),LUZ37+LUZ42+#REF!+#REF!,"")</f>
        <v/>
      </c>
      <c r="LVA57" s="82" t="str">
        <f>IF(ISNUMBER(outYear),LVA37+LVA42+#REF!+#REF!,"")</f>
        <v/>
      </c>
      <c r="LVB57" s="82" t="str">
        <f>IF(ISNUMBER(outYear),LVB37+LVB42+#REF!+#REF!,"")</f>
        <v/>
      </c>
      <c r="LVC57" s="82" t="str">
        <f>IF(ISNUMBER(outYear),LVC37+LVC42+#REF!+#REF!,"")</f>
        <v/>
      </c>
      <c r="LVD57" s="82" t="str">
        <f>IF(ISNUMBER(outYear),LVD37+LVD42+#REF!+#REF!,"")</f>
        <v/>
      </c>
      <c r="LVE57" s="82" t="str">
        <f>IF(ISNUMBER(outYear),LVE37+LVE42+#REF!+#REF!,"")</f>
        <v/>
      </c>
      <c r="LVF57" s="82" t="str">
        <f>IF(ISNUMBER(outYear),LVF37+LVF42+#REF!+#REF!,"")</f>
        <v/>
      </c>
      <c r="LVG57" s="82" t="str">
        <f>IF(ISNUMBER(outYear),LVG37+LVG42+#REF!+#REF!,"")</f>
        <v/>
      </c>
      <c r="LVH57" s="82" t="str">
        <f>IF(ISNUMBER(outYear),LVH37+LVH42+#REF!+#REF!,"")</f>
        <v/>
      </c>
      <c r="LVI57" s="82" t="str">
        <f>IF(ISNUMBER(outYear),LVI37+LVI42+#REF!+#REF!,"")</f>
        <v/>
      </c>
      <c r="LVJ57" s="82" t="str">
        <f>IF(ISNUMBER(outYear),LVJ37+LVJ42+#REF!+#REF!,"")</f>
        <v/>
      </c>
      <c r="LVK57" s="82" t="str">
        <f>IF(ISNUMBER(outYear),LVK37+LVK42+#REF!+#REF!,"")</f>
        <v/>
      </c>
      <c r="LVL57" s="82" t="str">
        <f>IF(ISNUMBER(outYear),LVL37+LVL42+#REF!+#REF!,"")</f>
        <v/>
      </c>
      <c r="LVM57" s="82" t="str">
        <f>IF(ISNUMBER(outYear),LVM37+LVM42+#REF!+#REF!,"")</f>
        <v/>
      </c>
      <c r="LVN57" s="82" t="str">
        <f>IF(ISNUMBER(outYear),LVN37+LVN42+#REF!+#REF!,"")</f>
        <v/>
      </c>
      <c r="LVO57" s="82" t="str">
        <f>IF(ISNUMBER(outYear),LVO37+LVO42+#REF!+#REF!,"")</f>
        <v/>
      </c>
      <c r="LVP57" s="82" t="str">
        <f>IF(ISNUMBER(outYear),LVP37+LVP42+#REF!+#REF!,"")</f>
        <v/>
      </c>
      <c r="LVQ57" s="82" t="str">
        <f>IF(ISNUMBER(outYear),LVQ37+LVQ42+#REF!+#REF!,"")</f>
        <v/>
      </c>
      <c r="LVR57" s="82" t="str">
        <f>IF(ISNUMBER(outYear),LVR37+LVR42+#REF!+#REF!,"")</f>
        <v/>
      </c>
      <c r="LVS57" s="82" t="str">
        <f>IF(ISNUMBER(outYear),LVS37+LVS42+#REF!+#REF!,"")</f>
        <v/>
      </c>
      <c r="LVT57" s="82" t="str">
        <f>IF(ISNUMBER(outYear),LVT37+LVT42+#REF!+#REF!,"")</f>
        <v/>
      </c>
      <c r="LVU57" s="82" t="str">
        <f>IF(ISNUMBER(outYear),LVU37+LVU42+#REF!+#REF!,"")</f>
        <v/>
      </c>
      <c r="LVV57" s="82" t="str">
        <f>IF(ISNUMBER(outYear),LVV37+LVV42+#REF!+#REF!,"")</f>
        <v/>
      </c>
      <c r="LVW57" s="82" t="str">
        <f>IF(ISNUMBER(outYear),LVW37+LVW42+#REF!+#REF!,"")</f>
        <v/>
      </c>
      <c r="LVX57" s="82" t="str">
        <f>IF(ISNUMBER(outYear),LVX37+LVX42+#REF!+#REF!,"")</f>
        <v/>
      </c>
      <c r="LVY57" s="82" t="str">
        <f>IF(ISNUMBER(outYear),LVY37+LVY42+#REF!+#REF!,"")</f>
        <v/>
      </c>
      <c r="LVZ57" s="82" t="str">
        <f>IF(ISNUMBER(outYear),LVZ37+LVZ42+#REF!+#REF!,"")</f>
        <v/>
      </c>
      <c r="LWA57" s="82" t="str">
        <f>IF(ISNUMBER(outYear),LWA37+LWA42+#REF!+#REF!,"")</f>
        <v/>
      </c>
      <c r="LWB57" s="82" t="str">
        <f>IF(ISNUMBER(outYear),LWB37+LWB42+#REF!+#REF!,"")</f>
        <v/>
      </c>
      <c r="LWC57" s="82" t="str">
        <f>IF(ISNUMBER(outYear),LWC37+LWC42+#REF!+#REF!,"")</f>
        <v/>
      </c>
      <c r="LWD57" s="82" t="str">
        <f>IF(ISNUMBER(outYear),LWD37+LWD42+#REF!+#REF!,"")</f>
        <v/>
      </c>
      <c r="LWE57" s="82" t="str">
        <f>IF(ISNUMBER(outYear),LWE37+LWE42+#REF!+#REF!,"")</f>
        <v/>
      </c>
      <c r="LWF57" s="82" t="str">
        <f>IF(ISNUMBER(outYear),LWF37+LWF42+#REF!+#REF!,"")</f>
        <v/>
      </c>
      <c r="LWG57" s="82" t="str">
        <f>IF(ISNUMBER(outYear),LWG37+LWG42+#REF!+#REF!,"")</f>
        <v/>
      </c>
      <c r="LWH57" s="82" t="str">
        <f>IF(ISNUMBER(outYear),LWH37+LWH42+#REF!+#REF!,"")</f>
        <v/>
      </c>
      <c r="LWI57" s="82" t="str">
        <f>IF(ISNUMBER(outYear),LWI37+LWI42+#REF!+#REF!,"")</f>
        <v/>
      </c>
      <c r="LWJ57" s="82" t="str">
        <f>IF(ISNUMBER(outYear),LWJ37+LWJ42+#REF!+#REF!,"")</f>
        <v/>
      </c>
      <c r="LWK57" s="82" t="str">
        <f>IF(ISNUMBER(outYear),LWK37+LWK42+#REF!+#REF!,"")</f>
        <v/>
      </c>
      <c r="LWL57" s="82" t="str">
        <f>IF(ISNUMBER(outYear),LWL37+LWL42+#REF!+#REF!,"")</f>
        <v/>
      </c>
      <c r="LWM57" s="82" t="str">
        <f>IF(ISNUMBER(outYear),LWM37+LWM42+#REF!+#REF!,"")</f>
        <v/>
      </c>
      <c r="LWN57" s="82" t="str">
        <f>IF(ISNUMBER(outYear),LWN37+LWN42+#REF!+#REF!,"")</f>
        <v/>
      </c>
      <c r="LWO57" s="82" t="str">
        <f>IF(ISNUMBER(outYear),LWO37+LWO42+#REF!+#REF!,"")</f>
        <v/>
      </c>
      <c r="LWP57" s="82" t="str">
        <f>IF(ISNUMBER(outYear),LWP37+LWP42+#REF!+#REF!,"")</f>
        <v/>
      </c>
      <c r="LWQ57" s="82" t="str">
        <f>IF(ISNUMBER(outYear),LWQ37+LWQ42+#REF!+#REF!,"")</f>
        <v/>
      </c>
      <c r="LWR57" s="82" t="str">
        <f>IF(ISNUMBER(outYear),LWR37+LWR42+#REF!+#REF!,"")</f>
        <v/>
      </c>
      <c r="LWS57" s="82" t="str">
        <f>IF(ISNUMBER(outYear),LWS37+LWS42+#REF!+#REF!,"")</f>
        <v/>
      </c>
      <c r="LWT57" s="82" t="str">
        <f>IF(ISNUMBER(outYear),LWT37+LWT42+#REF!+#REF!,"")</f>
        <v/>
      </c>
      <c r="LWU57" s="82" t="str">
        <f>IF(ISNUMBER(outYear),LWU37+LWU42+#REF!+#REF!,"")</f>
        <v/>
      </c>
      <c r="LWV57" s="82" t="str">
        <f>IF(ISNUMBER(outYear),LWV37+LWV42+#REF!+#REF!,"")</f>
        <v/>
      </c>
      <c r="LWW57" s="82" t="str">
        <f>IF(ISNUMBER(outYear),LWW37+LWW42+#REF!+#REF!,"")</f>
        <v/>
      </c>
      <c r="LWX57" s="82" t="str">
        <f>IF(ISNUMBER(outYear),LWX37+LWX42+#REF!+#REF!,"")</f>
        <v/>
      </c>
      <c r="LWY57" s="82" t="str">
        <f>IF(ISNUMBER(outYear),LWY37+LWY42+#REF!+#REF!,"")</f>
        <v/>
      </c>
      <c r="LWZ57" s="82" t="str">
        <f>IF(ISNUMBER(outYear),LWZ37+LWZ42+#REF!+#REF!,"")</f>
        <v/>
      </c>
      <c r="LXA57" s="82" t="str">
        <f>IF(ISNUMBER(outYear),LXA37+LXA42+#REF!+#REF!,"")</f>
        <v/>
      </c>
      <c r="LXB57" s="82" t="str">
        <f>IF(ISNUMBER(outYear),LXB37+LXB42+#REF!+#REF!,"")</f>
        <v/>
      </c>
      <c r="LXC57" s="82" t="str">
        <f>IF(ISNUMBER(outYear),LXC37+LXC42+#REF!+#REF!,"")</f>
        <v/>
      </c>
      <c r="LXD57" s="82" t="str">
        <f>IF(ISNUMBER(outYear),LXD37+LXD42+#REF!+#REF!,"")</f>
        <v/>
      </c>
      <c r="LXE57" s="82" t="str">
        <f>IF(ISNUMBER(outYear),LXE37+LXE42+#REF!+#REF!,"")</f>
        <v/>
      </c>
      <c r="LXF57" s="82" t="str">
        <f>IF(ISNUMBER(outYear),LXF37+LXF42+#REF!+#REF!,"")</f>
        <v/>
      </c>
      <c r="LXG57" s="82" t="str">
        <f>IF(ISNUMBER(outYear),LXG37+LXG42+#REF!+#REF!,"")</f>
        <v/>
      </c>
      <c r="LXH57" s="82" t="str">
        <f>IF(ISNUMBER(outYear),LXH37+LXH42+#REF!+#REF!,"")</f>
        <v/>
      </c>
      <c r="LXI57" s="82" t="str">
        <f>IF(ISNUMBER(outYear),LXI37+LXI42+#REF!+#REF!,"")</f>
        <v/>
      </c>
      <c r="LXJ57" s="82" t="str">
        <f>IF(ISNUMBER(outYear),LXJ37+LXJ42+#REF!+#REF!,"")</f>
        <v/>
      </c>
      <c r="LXK57" s="82" t="str">
        <f>IF(ISNUMBER(outYear),LXK37+LXK42+#REF!+#REF!,"")</f>
        <v/>
      </c>
      <c r="LXL57" s="82" t="str">
        <f>IF(ISNUMBER(outYear),LXL37+LXL42+#REF!+#REF!,"")</f>
        <v/>
      </c>
      <c r="LXM57" s="82" t="str">
        <f>IF(ISNUMBER(outYear),LXM37+LXM42+#REF!+#REF!,"")</f>
        <v/>
      </c>
      <c r="LXN57" s="82" t="str">
        <f>IF(ISNUMBER(outYear),LXN37+LXN42+#REF!+#REF!,"")</f>
        <v/>
      </c>
      <c r="LXO57" s="82" t="str">
        <f>IF(ISNUMBER(outYear),LXO37+LXO42+#REF!+#REF!,"")</f>
        <v/>
      </c>
      <c r="LXP57" s="82" t="str">
        <f>IF(ISNUMBER(outYear),LXP37+LXP42+#REF!+#REF!,"")</f>
        <v/>
      </c>
      <c r="LXQ57" s="82" t="str">
        <f>IF(ISNUMBER(outYear),LXQ37+LXQ42+#REF!+#REF!,"")</f>
        <v/>
      </c>
      <c r="LXR57" s="82" t="str">
        <f>IF(ISNUMBER(outYear),LXR37+LXR42+#REF!+#REF!,"")</f>
        <v/>
      </c>
      <c r="LXS57" s="82" t="str">
        <f>IF(ISNUMBER(outYear),LXS37+LXS42+#REF!+#REF!,"")</f>
        <v/>
      </c>
      <c r="LXT57" s="82" t="str">
        <f>IF(ISNUMBER(outYear),LXT37+LXT42+#REF!+#REF!,"")</f>
        <v/>
      </c>
      <c r="LXU57" s="82" t="str">
        <f>IF(ISNUMBER(outYear),LXU37+LXU42+#REF!+#REF!,"")</f>
        <v/>
      </c>
      <c r="LXV57" s="82" t="str">
        <f>IF(ISNUMBER(outYear),LXV37+LXV42+#REF!+#REF!,"")</f>
        <v/>
      </c>
      <c r="LXW57" s="82" t="str">
        <f>IF(ISNUMBER(outYear),LXW37+LXW42+#REF!+#REF!,"")</f>
        <v/>
      </c>
      <c r="LXX57" s="82" t="str">
        <f>IF(ISNUMBER(outYear),LXX37+LXX42+#REF!+#REF!,"")</f>
        <v/>
      </c>
      <c r="LXY57" s="82" t="str">
        <f>IF(ISNUMBER(outYear),LXY37+LXY42+#REF!+#REF!,"")</f>
        <v/>
      </c>
      <c r="LXZ57" s="82" t="str">
        <f>IF(ISNUMBER(outYear),LXZ37+LXZ42+#REF!+#REF!,"")</f>
        <v/>
      </c>
      <c r="LYA57" s="82" t="str">
        <f>IF(ISNUMBER(outYear),LYA37+LYA42+#REF!+#REF!,"")</f>
        <v/>
      </c>
      <c r="LYB57" s="82" t="str">
        <f>IF(ISNUMBER(outYear),LYB37+LYB42+#REF!+#REF!,"")</f>
        <v/>
      </c>
      <c r="LYC57" s="82" t="str">
        <f>IF(ISNUMBER(outYear),LYC37+LYC42+#REF!+#REF!,"")</f>
        <v/>
      </c>
      <c r="LYD57" s="82" t="str">
        <f>IF(ISNUMBER(outYear),LYD37+LYD42+#REF!+#REF!,"")</f>
        <v/>
      </c>
      <c r="LYE57" s="82" t="str">
        <f>IF(ISNUMBER(outYear),LYE37+LYE42+#REF!+#REF!,"")</f>
        <v/>
      </c>
      <c r="LYF57" s="82" t="str">
        <f>IF(ISNUMBER(outYear),LYF37+LYF42+#REF!+#REF!,"")</f>
        <v/>
      </c>
      <c r="LYG57" s="82" t="str">
        <f>IF(ISNUMBER(outYear),LYG37+LYG42+#REF!+#REF!,"")</f>
        <v/>
      </c>
      <c r="LYH57" s="82" t="str">
        <f>IF(ISNUMBER(outYear),LYH37+LYH42+#REF!+#REF!,"")</f>
        <v/>
      </c>
      <c r="LYI57" s="82" t="str">
        <f>IF(ISNUMBER(outYear),LYI37+LYI42+#REF!+#REF!,"")</f>
        <v/>
      </c>
      <c r="LYJ57" s="82" t="str">
        <f>IF(ISNUMBER(outYear),LYJ37+LYJ42+#REF!+#REF!,"")</f>
        <v/>
      </c>
      <c r="LYK57" s="82" t="str">
        <f>IF(ISNUMBER(outYear),LYK37+LYK42+#REF!+#REF!,"")</f>
        <v/>
      </c>
      <c r="LYL57" s="82" t="str">
        <f>IF(ISNUMBER(outYear),LYL37+LYL42+#REF!+#REF!,"")</f>
        <v/>
      </c>
      <c r="LYM57" s="82" t="str">
        <f>IF(ISNUMBER(outYear),LYM37+LYM42+#REF!+#REF!,"")</f>
        <v/>
      </c>
      <c r="LYN57" s="82" t="str">
        <f>IF(ISNUMBER(outYear),LYN37+LYN42+#REF!+#REF!,"")</f>
        <v/>
      </c>
      <c r="LYO57" s="82" t="str">
        <f>IF(ISNUMBER(outYear),LYO37+LYO42+#REF!+#REF!,"")</f>
        <v/>
      </c>
      <c r="LYP57" s="82" t="str">
        <f>IF(ISNUMBER(outYear),LYP37+LYP42+#REF!+#REF!,"")</f>
        <v/>
      </c>
      <c r="LYQ57" s="82" t="str">
        <f>IF(ISNUMBER(outYear),LYQ37+LYQ42+#REF!+#REF!,"")</f>
        <v/>
      </c>
      <c r="LYR57" s="82" t="str">
        <f>IF(ISNUMBER(outYear),LYR37+LYR42+#REF!+#REF!,"")</f>
        <v/>
      </c>
      <c r="LYS57" s="82" t="str">
        <f>IF(ISNUMBER(outYear),LYS37+LYS42+#REF!+#REF!,"")</f>
        <v/>
      </c>
      <c r="LYT57" s="82" t="str">
        <f>IF(ISNUMBER(outYear),LYT37+LYT42+#REF!+#REF!,"")</f>
        <v/>
      </c>
      <c r="LYU57" s="82" t="str">
        <f>IF(ISNUMBER(outYear),LYU37+LYU42+#REF!+#REF!,"")</f>
        <v/>
      </c>
      <c r="LYV57" s="82" t="str">
        <f>IF(ISNUMBER(outYear),LYV37+LYV42+#REF!+#REF!,"")</f>
        <v/>
      </c>
      <c r="LYW57" s="82" t="str">
        <f>IF(ISNUMBER(outYear),LYW37+LYW42+#REF!+#REF!,"")</f>
        <v/>
      </c>
      <c r="LYX57" s="82" t="str">
        <f>IF(ISNUMBER(outYear),LYX37+LYX42+#REF!+#REF!,"")</f>
        <v/>
      </c>
      <c r="LYY57" s="82" t="str">
        <f>IF(ISNUMBER(outYear),LYY37+LYY42+#REF!+#REF!,"")</f>
        <v/>
      </c>
      <c r="LYZ57" s="82" t="str">
        <f>IF(ISNUMBER(outYear),LYZ37+LYZ42+#REF!+#REF!,"")</f>
        <v/>
      </c>
      <c r="LZA57" s="82" t="str">
        <f>IF(ISNUMBER(outYear),LZA37+LZA42+#REF!+#REF!,"")</f>
        <v/>
      </c>
      <c r="LZB57" s="82" t="str">
        <f>IF(ISNUMBER(outYear),LZB37+LZB42+#REF!+#REF!,"")</f>
        <v/>
      </c>
      <c r="LZC57" s="82" t="str">
        <f>IF(ISNUMBER(outYear),LZC37+LZC42+#REF!+#REF!,"")</f>
        <v/>
      </c>
      <c r="LZD57" s="82" t="str">
        <f>IF(ISNUMBER(outYear),LZD37+LZD42+#REF!+#REF!,"")</f>
        <v/>
      </c>
      <c r="LZE57" s="82" t="str">
        <f>IF(ISNUMBER(outYear),LZE37+LZE42+#REF!+#REF!,"")</f>
        <v/>
      </c>
      <c r="LZF57" s="82" t="str">
        <f>IF(ISNUMBER(outYear),LZF37+LZF42+#REF!+#REF!,"")</f>
        <v/>
      </c>
      <c r="LZG57" s="82" t="str">
        <f>IF(ISNUMBER(outYear),LZG37+LZG42+#REF!+#REF!,"")</f>
        <v/>
      </c>
      <c r="LZH57" s="82" t="str">
        <f>IF(ISNUMBER(outYear),LZH37+LZH42+#REF!+#REF!,"")</f>
        <v/>
      </c>
      <c r="LZI57" s="82" t="str">
        <f>IF(ISNUMBER(outYear),LZI37+LZI42+#REF!+#REF!,"")</f>
        <v/>
      </c>
      <c r="LZJ57" s="82" t="str">
        <f>IF(ISNUMBER(outYear),LZJ37+LZJ42+#REF!+#REF!,"")</f>
        <v/>
      </c>
      <c r="LZK57" s="82" t="str">
        <f>IF(ISNUMBER(outYear),LZK37+LZK42+#REF!+#REF!,"")</f>
        <v/>
      </c>
      <c r="LZL57" s="82" t="str">
        <f>IF(ISNUMBER(outYear),LZL37+LZL42+#REF!+#REF!,"")</f>
        <v/>
      </c>
      <c r="LZM57" s="82" t="str">
        <f>IF(ISNUMBER(outYear),LZM37+LZM42+#REF!+#REF!,"")</f>
        <v/>
      </c>
      <c r="LZN57" s="82" t="str">
        <f>IF(ISNUMBER(outYear),LZN37+LZN42+#REF!+#REF!,"")</f>
        <v/>
      </c>
      <c r="LZO57" s="82" t="str">
        <f>IF(ISNUMBER(outYear),LZO37+LZO42+#REF!+#REF!,"")</f>
        <v/>
      </c>
      <c r="LZP57" s="82" t="str">
        <f>IF(ISNUMBER(outYear),LZP37+LZP42+#REF!+#REF!,"")</f>
        <v/>
      </c>
      <c r="LZQ57" s="82" t="str">
        <f>IF(ISNUMBER(outYear),LZQ37+LZQ42+#REF!+#REF!,"")</f>
        <v/>
      </c>
      <c r="LZR57" s="82" t="str">
        <f>IF(ISNUMBER(outYear),LZR37+LZR42+#REF!+#REF!,"")</f>
        <v/>
      </c>
      <c r="LZS57" s="82" t="str">
        <f>IF(ISNUMBER(outYear),LZS37+LZS42+#REF!+#REF!,"")</f>
        <v/>
      </c>
      <c r="LZT57" s="82" t="str">
        <f>IF(ISNUMBER(outYear),LZT37+LZT42+#REF!+#REF!,"")</f>
        <v/>
      </c>
      <c r="LZU57" s="82" t="str">
        <f>IF(ISNUMBER(outYear),LZU37+LZU42+#REF!+#REF!,"")</f>
        <v/>
      </c>
      <c r="LZV57" s="82" t="str">
        <f>IF(ISNUMBER(outYear),LZV37+LZV42+#REF!+#REF!,"")</f>
        <v/>
      </c>
      <c r="LZW57" s="82" t="str">
        <f>IF(ISNUMBER(outYear),LZW37+LZW42+#REF!+#REF!,"")</f>
        <v/>
      </c>
      <c r="LZX57" s="82" t="str">
        <f>IF(ISNUMBER(outYear),LZX37+LZX42+#REF!+#REF!,"")</f>
        <v/>
      </c>
      <c r="LZY57" s="82" t="str">
        <f>IF(ISNUMBER(outYear),LZY37+LZY42+#REF!+#REF!,"")</f>
        <v/>
      </c>
      <c r="LZZ57" s="82" t="str">
        <f>IF(ISNUMBER(outYear),LZZ37+LZZ42+#REF!+#REF!,"")</f>
        <v/>
      </c>
      <c r="MAA57" s="82" t="str">
        <f>IF(ISNUMBER(outYear),MAA37+MAA42+#REF!+#REF!,"")</f>
        <v/>
      </c>
      <c r="MAB57" s="82" t="str">
        <f>IF(ISNUMBER(outYear),MAB37+MAB42+#REF!+#REF!,"")</f>
        <v/>
      </c>
      <c r="MAC57" s="82" t="str">
        <f>IF(ISNUMBER(outYear),MAC37+MAC42+#REF!+#REF!,"")</f>
        <v/>
      </c>
      <c r="MAD57" s="82" t="str">
        <f>IF(ISNUMBER(outYear),MAD37+MAD42+#REF!+#REF!,"")</f>
        <v/>
      </c>
      <c r="MAE57" s="82" t="str">
        <f>IF(ISNUMBER(outYear),MAE37+MAE42+#REF!+#REF!,"")</f>
        <v/>
      </c>
      <c r="MAF57" s="82" t="str">
        <f>IF(ISNUMBER(outYear),MAF37+MAF42+#REF!+#REF!,"")</f>
        <v/>
      </c>
      <c r="MAG57" s="82" t="str">
        <f>IF(ISNUMBER(outYear),MAG37+MAG42+#REF!+#REF!,"")</f>
        <v/>
      </c>
      <c r="MAH57" s="82" t="str">
        <f>IF(ISNUMBER(outYear),MAH37+MAH42+#REF!+#REF!,"")</f>
        <v/>
      </c>
      <c r="MAI57" s="82" t="str">
        <f>IF(ISNUMBER(outYear),MAI37+MAI42+#REF!+#REF!,"")</f>
        <v/>
      </c>
      <c r="MAJ57" s="82" t="str">
        <f>IF(ISNUMBER(outYear),MAJ37+MAJ42+#REF!+#REF!,"")</f>
        <v/>
      </c>
      <c r="MAK57" s="82" t="str">
        <f>IF(ISNUMBER(outYear),MAK37+MAK42+#REF!+#REF!,"")</f>
        <v/>
      </c>
      <c r="MAL57" s="82" t="str">
        <f>IF(ISNUMBER(outYear),MAL37+MAL42+#REF!+#REF!,"")</f>
        <v/>
      </c>
      <c r="MAM57" s="82" t="str">
        <f>IF(ISNUMBER(outYear),MAM37+MAM42+#REF!+#REF!,"")</f>
        <v/>
      </c>
      <c r="MAN57" s="82" t="str">
        <f>IF(ISNUMBER(outYear),MAN37+MAN42+#REF!+#REF!,"")</f>
        <v/>
      </c>
      <c r="MAO57" s="82" t="str">
        <f>IF(ISNUMBER(outYear),MAO37+MAO42+#REF!+#REF!,"")</f>
        <v/>
      </c>
      <c r="MAP57" s="82" t="str">
        <f>IF(ISNUMBER(outYear),MAP37+MAP42+#REF!+#REF!,"")</f>
        <v/>
      </c>
      <c r="MAQ57" s="82" t="str">
        <f>IF(ISNUMBER(outYear),MAQ37+MAQ42+#REF!+#REF!,"")</f>
        <v/>
      </c>
      <c r="MAR57" s="82" t="str">
        <f>IF(ISNUMBER(outYear),MAR37+MAR42+#REF!+#REF!,"")</f>
        <v/>
      </c>
      <c r="MAS57" s="82" t="str">
        <f>IF(ISNUMBER(outYear),MAS37+MAS42+#REF!+#REF!,"")</f>
        <v/>
      </c>
      <c r="MAT57" s="82" t="str">
        <f>IF(ISNUMBER(outYear),MAT37+MAT42+#REF!+#REF!,"")</f>
        <v/>
      </c>
      <c r="MAU57" s="82" t="str">
        <f>IF(ISNUMBER(outYear),MAU37+MAU42+#REF!+#REF!,"")</f>
        <v/>
      </c>
      <c r="MAV57" s="82" t="str">
        <f>IF(ISNUMBER(outYear),MAV37+MAV42+#REF!+#REF!,"")</f>
        <v/>
      </c>
      <c r="MAW57" s="82" t="str">
        <f>IF(ISNUMBER(outYear),MAW37+MAW42+#REF!+#REF!,"")</f>
        <v/>
      </c>
      <c r="MAX57" s="82" t="str">
        <f>IF(ISNUMBER(outYear),MAX37+MAX42+#REF!+#REF!,"")</f>
        <v/>
      </c>
      <c r="MAY57" s="82" t="str">
        <f>IF(ISNUMBER(outYear),MAY37+MAY42+#REF!+#REF!,"")</f>
        <v/>
      </c>
      <c r="MAZ57" s="82" t="str">
        <f>IF(ISNUMBER(outYear),MAZ37+MAZ42+#REF!+#REF!,"")</f>
        <v/>
      </c>
      <c r="MBA57" s="82" t="str">
        <f>IF(ISNUMBER(outYear),MBA37+MBA42+#REF!+#REF!,"")</f>
        <v/>
      </c>
      <c r="MBB57" s="82" t="str">
        <f>IF(ISNUMBER(outYear),MBB37+MBB42+#REF!+#REF!,"")</f>
        <v/>
      </c>
      <c r="MBC57" s="82" t="str">
        <f>IF(ISNUMBER(outYear),MBC37+MBC42+#REF!+#REF!,"")</f>
        <v/>
      </c>
      <c r="MBD57" s="82" t="str">
        <f>IF(ISNUMBER(outYear),MBD37+MBD42+#REF!+#REF!,"")</f>
        <v/>
      </c>
      <c r="MBE57" s="82" t="str">
        <f>IF(ISNUMBER(outYear),MBE37+MBE42+#REF!+#REF!,"")</f>
        <v/>
      </c>
      <c r="MBF57" s="82" t="str">
        <f>IF(ISNUMBER(outYear),MBF37+MBF42+#REF!+#REF!,"")</f>
        <v/>
      </c>
      <c r="MBG57" s="82" t="str">
        <f>IF(ISNUMBER(outYear),MBG37+MBG42+#REF!+#REF!,"")</f>
        <v/>
      </c>
      <c r="MBH57" s="82" t="str">
        <f>IF(ISNUMBER(outYear),MBH37+MBH42+#REF!+#REF!,"")</f>
        <v/>
      </c>
      <c r="MBI57" s="82" t="str">
        <f>IF(ISNUMBER(outYear),MBI37+MBI42+#REF!+#REF!,"")</f>
        <v/>
      </c>
      <c r="MBJ57" s="82" t="str">
        <f>IF(ISNUMBER(outYear),MBJ37+MBJ42+#REF!+#REF!,"")</f>
        <v/>
      </c>
      <c r="MBK57" s="82" t="str">
        <f>IF(ISNUMBER(outYear),MBK37+MBK42+#REF!+#REF!,"")</f>
        <v/>
      </c>
      <c r="MBL57" s="82" t="str">
        <f>IF(ISNUMBER(outYear),MBL37+MBL42+#REF!+#REF!,"")</f>
        <v/>
      </c>
      <c r="MBM57" s="82" t="str">
        <f>IF(ISNUMBER(outYear),MBM37+MBM42+#REF!+#REF!,"")</f>
        <v/>
      </c>
      <c r="MBN57" s="82" t="str">
        <f>IF(ISNUMBER(outYear),MBN37+MBN42+#REF!+#REF!,"")</f>
        <v/>
      </c>
      <c r="MBO57" s="82" t="str">
        <f>IF(ISNUMBER(outYear),MBO37+MBO42+#REF!+#REF!,"")</f>
        <v/>
      </c>
      <c r="MBP57" s="82" t="str">
        <f>IF(ISNUMBER(outYear),MBP37+MBP42+#REF!+#REF!,"")</f>
        <v/>
      </c>
      <c r="MBQ57" s="82" t="str">
        <f>IF(ISNUMBER(outYear),MBQ37+MBQ42+#REF!+#REF!,"")</f>
        <v/>
      </c>
      <c r="MBR57" s="82" t="str">
        <f>IF(ISNUMBER(outYear),MBR37+MBR42+#REF!+#REF!,"")</f>
        <v/>
      </c>
      <c r="MBS57" s="82" t="str">
        <f>IF(ISNUMBER(outYear),MBS37+MBS42+#REF!+#REF!,"")</f>
        <v/>
      </c>
      <c r="MBT57" s="82" t="str">
        <f>IF(ISNUMBER(outYear),MBT37+MBT42+#REF!+#REF!,"")</f>
        <v/>
      </c>
      <c r="MBU57" s="82" t="str">
        <f>IF(ISNUMBER(outYear),MBU37+MBU42+#REF!+#REF!,"")</f>
        <v/>
      </c>
      <c r="MBV57" s="82" t="str">
        <f>IF(ISNUMBER(outYear),MBV37+MBV42+#REF!+#REF!,"")</f>
        <v/>
      </c>
      <c r="MBW57" s="82" t="str">
        <f>IF(ISNUMBER(outYear),MBW37+MBW42+#REF!+#REF!,"")</f>
        <v/>
      </c>
      <c r="MBX57" s="82" t="str">
        <f>IF(ISNUMBER(outYear),MBX37+MBX42+#REF!+#REF!,"")</f>
        <v/>
      </c>
      <c r="MBY57" s="82" t="str">
        <f>IF(ISNUMBER(outYear),MBY37+MBY42+#REF!+#REF!,"")</f>
        <v/>
      </c>
      <c r="MBZ57" s="82" t="str">
        <f>IF(ISNUMBER(outYear),MBZ37+MBZ42+#REF!+#REF!,"")</f>
        <v/>
      </c>
      <c r="MCA57" s="82" t="str">
        <f>IF(ISNUMBER(outYear),MCA37+MCA42+#REF!+#REF!,"")</f>
        <v/>
      </c>
      <c r="MCB57" s="82" t="str">
        <f>IF(ISNUMBER(outYear),MCB37+MCB42+#REF!+#REF!,"")</f>
        <v/>
      </c>
      <c r="MCC57" s="82" t="str">
        <f>IF(ISNUMBER(outYear),MCC37+MCC42+#REF!+#REF!,"")</f>
        <v/>
      </c>
      <c r="MCD57" s="82" t="str">
        <f>IF(ISNUMBER(outYear),MCD37+MCD42+#REF!+#REF!,"")</f>
        <v/>
      </c>
      <c r="MCE57" s="82" t="str">
        <f>IF(ISNUMBER(outYear),MCE37+MCE42+#REF!+#REF!,"")</f>
        <v/>
      </c>
      <c r="MCF57" s="82" t="str">
        <f>IF(ISNUMBER(outYear),MCF37+MCF42+#REF!+#REF!,"")</f>
        <v/>
      </c>
      <c r="MCG57" s="82" t="str">
        <f>IF(ISNUMBER(outYear),MCG37+MCG42+#REF!+#REF!,"")</f>
        <v/>
      </c>
      <c r="MCH57" s="82" t="str">
        <f>IF(ISNUMBER(outYear),MCH37+MCH42+#REF!+#REF!,"")</f>
        <v/>
      </c>
      <c r="MCI57" s="82" t="str">
        <f>IF(ISNUMBER(outYear),MCI37+MCI42+#REF!+#REF!,"")</f>
        <v/>
      </c>
      <c r="MCJ57" s="82" t="str">
        <f>IF(ISNUMBER(outYear),MCJ37+MCJ42+#REF!+#REF!,"")</f>
        <v/>
      </c>
      <c r="MCK57" s="82" t="str">
        <f>IF(ISNUMBER(outYear),MCK37+MCK42+#REF!+#REF!,"")</f>
        <v/>
      </c>
      <c r="MCL57" s="82" t="str">
        <f>IF(ISNUMBER(outYear),MCL37+MCL42+#REF!+#REF!,"")</f>
        <v/>
      </c>
      <c r="MCM57" s="82" t="str">
        <f>IF(ISNUMBER(outYear),MCM37+MCM42+#REF!+#REF!,"")</f>
        <v/>
      </c>
      <c r="MCN57" s="82" t="str">
        <f>IF(ISNUMBER(outYear),MCN37+MCN42+#REF!+#REF!,"")</f>
        <v/>
      </c>
      <c r="MCO57" s="82" t="str">
        <f>IF(ISNUMBER(outYear),MCO37+MCO42+#REF!+#REF!,"")</f>
        <v/>
      </c>
      <c r="MCP57" s="82" t="str">
        <f>IF(ISNUMBER(outYear),MCP37+MCP42+#REF!+#REF!,"")</f>
        <v/>
      </c>
      <c r="MCQ57" s="82" t="str">
        <f>IF(ISNUMBER(outYear),MCQ37+MCQ42+#REF!+#REF!,"")</f>
        <v/>
      </c>
      <c r="MCR57" s="82" t="str">
        <f>IF(ISNUMBER(outYear),MCR37+MCR42+#REF!+#REF!,"")</f>
        <v/>
      </c>
      <c r="MCS57" s="82" t="str">
        <f>IF(ISNUMBER(outYear),MCS37+MCS42+#REF!+#REF!,"")</f>
        <v/>
      </c>
      <c r="MCT57" s="82" t="str">
        <f>IF(ISNUMBER(outYear),MCT37+MCT42+#REF!+#REF!,"")</f>
        <v/>
      </c>
      <c r="MCU57" s="82" t="str">
        <f>IF(ISNUMBER(outYear),MCU37+MCU42+#REF!+#REF!,"")</f>
        <v/>
      </c>
      <c r="MCV57" s="82" t="str">
        <f>IF(ISNUMBER(outYear),MCV37+MCV42+#REF!+#REF!,"")</f>
        <v/>
      </c>
      <c r="MCW57" s="82" t="str">
        <f>IF(ISNUMBER(outYear),MCW37+MCW42+#REF!+#REF!,"")</f>
        <v/>
      </c>
      <c r="MCX57" s="82" t="str">
        <f>IF(ISNUMBER(outYear),MCX37+MCX42+#REF!+#REF!,"")</f>
        <v/>
      </c>
      <c r="MCY57" s="82" t="str">
        <f>IF(ISNUMBER(outYear),MCY37+MCY42+#REF!+#REF!,"")</f>
        <v/>
      </c>
      <c r="MCZ57" s="82" t="str">
        <f>IF(ISNUMBER(outYear),MCZ37+MCZ42+#REF!+#REF!,"")</f>
        <v/>
      </c>
      <c r="MDA57" s="82" t="str">
        <f>IF(ISNUMBER(outYear),MDA37+MDA42+#REF!+#REF!,"")</f>
        <v/>
      </c>
      <c r="MDB57" s="82" t="str">
        <f>IF(ISNUMBER(outYear),MDB37+MDB42+#REF!+#REF!,"")</f>
        <v/>
      </c>
      <c r="MDC57" s="82" t="str">
        <f>IF(ISNUMBER(outYear),MDC37+MDC42+#REF!+#REF!,"")</f>
        <v/>
      </c>
      <c r="MDD57" s="82" t="str">
        <f>IF(ISNUMBER(outYear),MDD37+MDD42+#REF!+#REF!,"")</f>
        <v/>
      </c>
      <c r="MDE57" s="82" t="str">
        <f>IF(ISNUMBER(outYear),MDE37+MDE42+#REF!+#REF!,"")</f>
        <v/>
      </c>
      <c r="MDF57" s="82" t="str">
        <f>IF(ISNUMBER(outYear),MDF37+MDF42+#REF!+#REF!,"")</f>
        <v/>
      </c>
      <c r="MDG57" s="82" t="str">
        <f>IF(ISNUMBER(outYear),MDG37+MDG42+#REF!+#REF!,"")</f>
        <v/>
      </c>
      <c r="MDH57" s="82" t="str">
        <f>IF(ISNUMBER(outYear),MDH37+MDH42+#REF!+#REF!,"")</f>
        <v/>
      </c>
      <c r="MDI57" s="82" t="str">
        <f>IF(ISNUMBER(outYear),MDI37+MDI42+#REF!+#REF!,"")</f>
        <v/>
      </c>
      <c r="MDJ57" s="82" t="str">
        <f>IF(ISNUMBER(outYear),MDJ37+MDJ42+#REF!+#REF!,"")</f>
        <v/>
      </c>
      <c r="MDK57" s="82" t="str">
        <f>IF(ISNUMBER(outYear),MDK37+MDK42+#REF!+#REF!,"")</f>
        <v/>
      </c>
      <c r="MDL57" s="82" t="str">
        <f>IF(ISNUMBER(outYear),MDL37+MDL42+#REF!+#REF!,"")</f>
        <v/>
      </c>
      <c r="MDM57" s="82" t="str">
        <f>IF(ISNUMBER(outYear),MDM37+MDM42+#REF!+#REF!,"")</f>
        <v/>
      </c>
      <c r="MDN57" s="82" t="str">
        <f>IF(ISNUMBER(outYear),MDN37+MDN42+#REF!+#REF!,"")</f>
        <v/>
      </c>
      <c r="MDO57" s="82" t="str">
        <f>IF(ISNUMBER(outYear),MDO37+MDO42+#REF!+#REF!,"")</f>
        <v/>
      </c>
      <c r="MDP57" s="82" t="str">
        <f>IF(ISNUMBER(outYear),MDP37+MDP42+#REF!+#REF!,"")</f>
        <v/>
      </c>
      <c r="MDQ57" s="82" t="str">
        <f>IF(ISNUMBER(outYear),MDQ37+MDQ42+#REF!+#REF!,"")</f>
        <v/>
      </c>
      <c r="MDR57" s="82" t="str">
        <f>IF(ISNUMBER(outYear),MDR37+MDR42+#REF!+#REF!,"")</f>
        <v/>
      </c>
      <c r="MDS57" s="82" t="str">
        <f>IF(ISNUMBER(outYear),MDS37+MDS42+#REF!+#REF!,"")</f>
        <v/>
      </c>
      <c r="MDT57" s="82" t="str">
        <f>IF(ISNUMBER(outYear),MDT37+MDT42+#REF!+#REF!,"")</f>
        <v/>
      </c>
      <c r="MDU57" s="82" t="str">
        <f>IF(ISNUMBER(outYear),MDU37+MDU42+#REF!+#REF!,"")</f>
        <v/>
      </c>
      <c r="MDV57" s="82" t="str">
        <f>IF(ISNUMBER(outYear),MDV37+MDV42+#REF!+#REF!,"")</f>
        <v/>
      </c>
      <c r="MDW57" s="82" t="str">
        <f>IF(ISNUMBER(outYear),MDW37+MDW42+#REF!+#REF!,"")</f>
        <v/>
      </c>
      <c r="MDX57" s="82" t="str">
        <f>IF(ISNUMBER(outYear),MDX37+MDX42+#REF!+#REF!,"")</f>
        <v/>
      </c>
      <c r="MDY57" s="82" t="str">
        <f>IF(ISNUMBER(outYear),MDY37+MDY42+#REF!+#REF!,"")</f>
        <v/>
      </c>
      <c r="MDZ57" s="82" t="str">
        <f>IF(ISNUMBER(outYear),MDZ37+MDZ42+#REF!+#REF!,"")</f>
        <v/>
      </c>
      <c r="MEA57" s="82" t="str">
        <f>IF(ISNUMBER(outYear),MEA37+MEA42+#REF!+#REF!,"")</f>
        <v/>
      </c>
      <c r="MEB57" s="82" t="str">
        <f>IF(ISNUMBER(outYear),MEB37+MEB42+#REF!+#REF!,"")</f>
        <v/>
      </c>
      <c r="MEC57" s="82" t="str">
        <f>IF(ISNUMBER(outYear),MEC37+MEC42+#REF!+#REF!,"")</f>
        <v/>
      </c>
      <c r="MED57" s="82" t="str">
        <f>IF(ISNUMBER(outYear),MED37+MED42+#REF!+#REF!,"")</f>
        <v/>
      </c>
      <c r="MEE57" s="82" t="str">
        <f>IF(ISNUMBER(outYear),MEE37+MEE42+#REF!+#REF!,"")</f>
        <v/>
      </c>
      <c r="MEF57" s="82" t="str">
        <f>IF(ISNUMBER(outYear),MEF37+MEF42+#REF!+#REF!,"")</f>
        <v/>
      </c>
      <c r="MEG57" s="82" t="str">
        <f>IF(ISNUMBER(outYear),MEG37+MEG42+#REF!+#REF!,"")</f>
        <v/>
      </c>
      <c r="MEH57" s="82" t="str">
        <f>IF(ISNUMBER(outYear),MEH37+MEH42+#REF!+#REF!,"")</f>
        <v/>
      </c>
      <c r="MEI57" s="82" t="str">
        <f>IF(ISNUMBER(outYear),MEI37+MEI42+#REF!+#REF!,"")</f>
        <v/>
      </c>
      <c r="MEJ57" s="82" t="str">
        <f>IF(ISNUMBER(outYear),MEJ37+MEJ42+#REF!+#REF!,"")</f>
        <v/>
      </c>
      <c r="MEK57" s="82" t="str">
        <f>IF(ISNUMBER(outYear),MEK37+MEK42+#REF!+#REF!,"")</f>
        <v/>
      </c>
      <c r="MEL57" s="82" t="str">
        <f>IF(ISNUMBER(outYear),MEL37+MEL42+#REF!+#REF!,"")</f>
        <v/>
      </c>
      <c r="MEM57" s="82" t="str">
        <f>IF(ISNUMBER(outYear),MEM37+MEM42+#REF!+#REF!,"")</f>
        <v/>
      </c>
      <c r="MEN57" s="82" t="str">
        <f>IF(ISNUMBER(outYear),MEN37+MEN42+#REF!+#REF!,"")</f>
        <v/>
      </c>
      <c r="MEO57" s="82" t="str">
        <f>IF(ISNUMBER(outYear),MEO37+MEO42+#REF!+#REF!,"")</f>
        <v/>
      </c>
      <c r="MEP57" s="82" t="str">
        <f>IF(ISNUMBER(outYear),MEP37+MEP42+#REF!+#REF!,"")</f>
        <v/>
      </c>
      <c r="MEQ57" s="82" t="str">
        <f>IF(ISNUMBER(outYear),MEQ37+MEQ42+#REF!+#REF!,"")</f>
        <v/>
      </c>
      <c r="MER57" s="82" t="str">
        <f>IF(ISNUMBER(outYear),MER37+MER42+#REF!+#REF!,"")</f>
        <v/>
      </c>
      <c r="MES57" s="82" t="str">
        <f>IF(ISNUMBER(outYear),MES37+MES42+#REF!+#REF!,"")</f>
        <v/>
      </c>
      <c r="MET57" s="82" t="str">
        <f>IF(ISNUMBER(outYear),MET37+MET42+#REF!+#REF!,"")</f>
        <v/>
      </c>
      <c r="MEU57" s="82" t="str">
        <f>IF(ISNUMBER(outYear),MEU37+MEU42+#REF!+#REF!,"")</f>
        <v/>
      </c>
      <c r="MEV57" s="82" t="str">
        <f>IF(ISNUMBER(outYear),MEV37+MEV42+#REF!+#REF!,"")</f>
        <v/>
      </c>
      <c r="MEW57" s="82" t="str">
        <f>IF(ISNUMBER(outYear),MEW37+MEW42+#REF!+#REF!,"")</f>
        <v/>
      </c>
      <c r="MEX57" s="82" t="str">
        <f>IF(ISNUMBER(outYear),MEX37+MEX42+#REF!+#REF!,"")</f>
        <v/>
      </c>
      <c r="MEY57" s="82" t="str">
        <f>IF(ISNUMBER(outYear),MEY37+MEY42+#REF!+#REF!,"")</f>
        <v/>
      </c>
      <c r="MEZ57" s="82" t="str">
        <f>IF(ISNUMBER(outYear),MEZ37+MEZ42+#REF!+#REF!,"")</f>
        <v/>
      </c>
      <c r="MFA57" s="82" t="str">
        <f>IF(ISNUMBER(outYear),MFA37+MFA42+#REF!+#REF!,"")</f>
        <v/>
      </c>
      <c r="MFB57" s="82" t="str">
        <f>IF(ISNUMBER(outYear),MFB37+MFB42+#REF!+#REF!,"")</f>
        <v/>
      </c>
      <c r="MFC57" s="82" t="str">
        <f>IF(ISNUMBER(outYear),MFC37+MFC42+#REF!+#REF!,"")</f>
        <v/>
      </c>
      <c r="MFD57" s="82" t="str">
        <f>IF(ISNUMBER(outYear),MFD37+MFD42+#REF!+#REF!,"")</f>
        <v/>
      </c>
      <c r="MFE57" s="82" t="str">
        <f>IF(ISNUMBER(outYear),MFE37+MFE42+#REF!+#REF!,"")</f>
        <v/>
      </c>
      <c r="MFF57" s="82" t="str">
        <f>IF(ISNUMBER(outYear),MFF37+MFF42+#REF!+#REF!,"")</f>
        <v/>
      </c>
      <c r="MFG57" s="82" t="str">
        <f>IF(ISNUMBER(outYear),MFG37+MFG42+#REF!+#REF!,"")</f>
        <v/>
      </c>
      <c r="MFH57" s="82" t="str">
        <f>IF(ISNUMBER(outYear),MFH37+MFH42+#REF!+#REF!,"")</f>
        <v/>
      </c>
      <c r="MFI57" s="82" t="str">
        <f>IF(ISNUMBER(outYear),MFI37+MFI42+#REF!+#REF!,"")</f>
        <v/>
      </c>
      <c r="MFJ57" s="82" t="str">
        <f>IF(ISNUMBER(outYear),MFJ37+MFJ42+#REF!+#REF!,"")</f>
        <v/>
      </c>
      <c r="MFK57" s="82" t="str">
        <f>IF(ISNUMBER(outYear),MFK37+MFK42+#REF!+#REF!,"")</f>
        <v/>
      </c>
      <c r="MFL57" s="82" t="str">
        <f>IF(ISNUMBER(outYear),MFL37+MFL42+#REF!+#REF!,"")</f>
        <v/>
      </c>
      <c r="MFM57" s="82" t="str">
        <f>IF(ISNUMBER(outYear),MFM37+MFM42+#REF!+#REF!,"")</f>
        <v/>
      </c>
      <c r="MFN57" s="82" t="str">
        <f>IF(ISNUMBER(outYear),MFN37+MFN42+#REF!+#REF!,"")</f>
        <v/>
      </c>
      <c r="MFO57" s="82" t="str">
        <f>IF(ISNUMBER(outYear),MFO37+MFO42+#REF!+#REF!,"")</f>
        <v/>
      </c>
      <c r="MFP57" s="82" t="str">
        <f>IF(ISNUMBER(outYear),MFP37+MFP42+#REF!+#REF!,"")</f>
        <v/>
      </c>
      <c r="MFQ57" s="82" t="str">
        <f>IF(ISNUMBER(outYear),MFQ37+MFQ42+#REF!+#REF!,"")</f>
        <v/>
      </c>
      <c r="MFR57" s="82" t="str">
        <f>IF(ISNUMBER(outYear),MFR37+MFR42+#REF!+#REF!,"")</f>
        <v/>
      </c>
      <c r="MFS57" s="82" t="str">
        <f>IF(ISNUMBER(outYear),MFS37+MFS42+#REF!+#REF!,"")</f>
        <v/>
      </c>
      <c r="MFT57" s="82" t="str">
        <f>IF(ISNUMBER(outYear),MFT37+MFT42+#REF!+#REF!,"")</f>
        <v/>
      </c>
      <c r="MFU57" s="82" t="str">
        <f>IF(ISNUMBER(outYear),MFU37+MFU42+#REF!+#REF!,"")</f>
        <v/>
      </c>
      <c r="MFV57" s="82" t="str">
        <f>IF(ISNUMBER(outYear),MFV37+MFV42+#REF!+#REF!,"")</f>
        <v/>
      </c>
      <c r="MFW57" s="82" t="str">
        <f>IF(ISNUMBER(outYear),MFW37+MFW42+#REF!+#REF!,"")</f>
        <v/>
      </c>
      <c r="MFX57" s="82" t="str">
        <f>IF(ISNUMBER(outYear),MFX37+MFX42+#REF!+#REF!,"")</f>
        <v/>
      </c>
      <c r="MFY57" s="82" t="str">
        <f>IF(ISNUMBER(outYear),MFY37+MFY42+#REF!+#REF!,"")</f>
        <v/>
      </c>
      <c r="MFZ57" s="82" t="str">
        <f>IF(ISNUMBER(outYear),MFZ37+MFZ42+#REF!+#REF!,"")</f>
        <v/>
      </c>
      <c r="MGA57" s="82" t="str">
        <f>IF(ISNUMBER(outYear),MGA37+MGA42+#REF!+#REF!,"")</f>
        <v/>
      </c>
      <c r="MGB57" s="82" t="str">
        <f>IF(ISNUMBER(outYear),MGB37+MGB42+#REF!+#REF!,"")</f>
        <v/>
      </c>
      <c r="MGC57" s="82" t="str">
        <f>IF(ISNUMBER(outYear),MGC37+MGC42+#REF!+#REF!,"")</f>
        <v/>
      </c>
      <c r="MGD57" s="82" t="str">
        <f>IF(ISNUMBER(outYear),MGD37+MGD42+#REF!+#REF!,"")</f>
        <v/>
      </c>
      <c r="MGE57" s="82" t="str">
        <f>IF(ISNUMBER(outYear),MGE37+MGE42+#REF!+#REF!,"")</f>
        <v/>
      </c>
      <c r="MGF57" s="82" t="str">
        <f>IF(ISNUMBER(outYear),MGF37+MGF42+#REF!+#REF!,"")</f>
        <v/>
      </c>
      <c r="MGG57" s="82" t="str">
        <f>IF(ISNUMBER(outYear),MGG37+MGG42+#REF!+#REF!,"")</f>
        <v/>
      </c>
      <c r="MGH57" s="82" t="str">
        <f>IF(ISNUMBER(outYear),MGH37+MGH42+#REF!+#REF!,"")</f>
        <v/>
      </c>
      <c r="MGI57" s="82" t="str">
        <f>IF(ISNUMBER(outYear),MGI37+MGI42+#REF!+#REF!,"")</f>
        <v/>
      </c>
      <c r="MGJ57" s="82" t="str">
        <f>IF(ISNUMBER(outYear),MGJ37+MGJ42+#REF!+#REF!,"")</f>
        <v/>
      </c>
      <c r="MGK57" s="82" t="str">
        <f>IF(ISNUMBER(outYear),MGK37+MGK42+#REF!+#REF!,"")</f>
        <v/>
      </c>
      <c r="MGL57" s="82" t="str">
        <f>IF(ISNUMBER(outYear),MGL37+MGL42+#REF!+#REF!,"")</f>
        <v/>
      </c>
      <c r="MGM57" s="82" t="str">
        <f>IF(ISNUMBER(outYear),MGM37+MGM42+#REF!+#REF!,"")</f>
        <v/>
      </c>
      <c r="MGN57" s="82" t="str">
        <f>IF(ISNUMBER(outYear),MGN37+MGN42+#REF!+#REF!,"")</f>
        <v/>
      </c>
      <c r="MGO57" s="82" t="str">
        <f>IF(ISNUMBER(outYear),MGO37+MGO42+#REF!+#REF!,"")</f>
        <v/>
      </c>
      <c r="MGP57" s="82" t="str">
        <f>IF(ISNUMBER(outYear),MGP37+MGP42+#REF!+#REF!,"")</f>
        <v/>
      </c>
      <c r="MGQ57" s="82" t="str">
        <f>IF(ISNUMBER(outYear),MGQ37+MGQ42+#REF!+#REF!,"")</f>
        <v/>
      </c>
      <c r="MGR57" s="82" t="str">
        <f>IF(ISNUMBER(outYear),MGR37+MGR42+#REF!+#REF!,"")</f>
        <v/>
      </c>
      <c r="MGS57" s="82" t="str">
        <f>IF(ISNUMBER(outYear),MGS37+MGS42+#REF!+#REF!,"")</f>
        <v/>
      </c>
      <c r="MGT57" s="82" t="str">
        <f>IF(ISNUMBER(outYear),MGT37+MGT42+#REF!+#REF!,"")</f>
        <v/>
      </c>
      <c r="MGU57" s="82" t="str">
        <f>IF(ISNUMBER(outYear),MGU37+MGU42+#REF!+#REF!,"")</f>
        <v/>
      </c>
      <c r="MGV57" s="82" t="str">
        <f>IF(ISNUMBER(outYear),MGV37+MGV42+#REF!+#REF!,"")</f>
        <v/>
      </c>
      <c r="MGW57" s="82" t="str">
        <f>IF(ISNUMBER(outYear),MGW37+MGW42+#REF!+#REF!,"")</f>
        <v/>
      </c>
      <c r="MGX57" s="82" t="str">
        <f>IF(ISNUMBER(outYear),MGX37+MGX42+#REF!+#REF!,"")</f>
        <v/>
      </c>
      <c r="MGY57" s="82" t="str">
        <f>IF(ISNUMBER(outYear),MGY37+MGY42+#REF!+#REF!,"")</f>
        <v/>
      </c>
      <c r="MGZ57" s="82" t="str">
        <f>IF(ISNUMBER(outYear),MGZ37+MGZ42+#REF!+#REF!,"")</f>
        <v/>
      </c>
      <c r="MHA57" s="82" t="str">
        <f>IF(ISNUMBER(outYear),MHA37+MHA42+#REF!+#REF!,"")</f>
        <v/>
      </c>
      <c r="MHB57" s="82" t="str">
        <f>IF(ISNUMBER(outYear),MHB37+MHB42+#REF!+#REF!,"")</f>
        <v/>
      </c>
      <c r="MHC57" s="82" t="str">
        <f>IF(ISNUMBER(outYear),MHC37+MHC42+#REF!+#REF!,"")</f>
        <v/>
      </c>
      <c r="MHD57" s="82" t="str">
        <f>IF(ISNUMBER(outYear),MHD37+MHD42+#REF!+#REF!,"")</f>
        <v/>
      </c>
      <c r="MHE57" s="82" t="str">
        <f>IF(ISNUMBER(outYear),MHE37+MHE42+#REF!+#REF!,"")</f>
        <v/>
      </c>
      <c r="MHF57" s="82" t="str">
        <f>IF(ISNUMBER(outYear),MHF37+MHF42+#REF!+#REF!,"")</f>
        <v/>
      </c>
      <c r="MHG57" s="82" t="str">
        <f>IF(ISNUMBER(outYear),MHG37+MHG42+#REF!+#REF!,"")</f>
        <v/>
      </c>
      <c r="MHH57" s="82" t="str">
        <f>IF(ISNUMBER(outYear),MHH37+MHH42+#REF!+#REF!,"")</f>
        <v/>
      </c>
      <c r="MHI57" s="82" t="str">
        <f>IF(ISNUMBER(outYear),MHI37+MHI42+#REF!+#REF!,"")</f>
        <v/>
      </c>
      <c r="MHJ57" s="82" t="str">
        <f>IF(ISNUMBER(outYear),MHJ37+MHJ42+#REF!+#REF!,"")</f>
        <v/>
      </c>
      <c r="MHK57" s="82" t="str">
        <f>IF(ISNUMBER(outYear),MHK37+MHK42+#REF!+#REF!,"")</f>
        <v/>
      </c>
      <c r="MHL57" s="82" t="str">
        <f>IF(ISNUMBER(outYear),MHL37+MHL42+#REF!+#REF!,"")</f>
        <v/>
      </c>
      <c r="MHM57" s="82" t="str">
        <f>IF(ISNUMBER(outYear),MHM37+MHM42+#REF!+#REF!,"")</f>
        <v/>
      </c>
      <c r="MHN57" s="82" t="str">
        <f>IF(ISNUMBER(outYear),MHN37+MHN42+#REF!+#REF!,"")</f>
        <v/>
      </c>
      <c r="MHO57" s="82" t="str">
        <f>IF(ISNUMBER(outYear),MHO37+MHO42+#REF!+#REF!,"")</f>
        <v/>
      </c>
      <c r="MHP57" s="82" t="str">
        <f>IF(ISNUMBER(outYear),MHP37+MHP42+#REF!+#REF!,"")</f>
        <v/>
      </c>
      <c r="MHQ57" s="82" t="str">
        <f>IF(ISNUMBER(outYear),MHQ37+MHQ42+#REF!+#REF!,"")</f>
        <v/>
      </c>
      <c r="MHR57" s="82" t="str">
        <f>IF(ISNUMBER(outYear),MHR37+MHR42+#REF!+#REF!,"")</f>
        <v/>
      </c>
      <c r="MHS57" s="82" t="str">
        <f>IF(ISNUMBER(outYear),MHS37+MHS42+#REF!+#REF!,"")</f>
        <v/>
      </c>
      <c r="MHT57" s="82" t="str">
        <f>IF(ISNUMBER(outYear),MHT37+MHT42+#REF!+#REF!,"")</f>
        <v/>
      </c>
      <c r="MHU57" s="82" t="str">
        <f>IF(ISNUMBER(outYear),MHU37+MHU42+#REF!+#REF!,"")</f>
        <v/>
      </c>
      <c r="MHV57" s="82" t="str">
        <f>IF(ISNUMBER(outYear),MHV37+MHV42+#REF!+#REF!,"")</f>
        <v/>
      </c>
      <c r="MHW57" s="82" t="str">
        <f>IF(ISNUMBER(outYear),MHW37+MHW42+#REF!+#REF!,"")</f>
        <v/>
      </c>
      <c r="MHX57" s="82" t="str">
        <f>IF(ISNUMBER(outYear),MHX37+MHX42+#REF!+#REF!,"")</f>
        <v/>
      </c>
      <c r="MHY57" s="82" t="str">
        <f>IF(ISNUMBER(outYear),MHY37+MHY42+#REF!+#REF!,"")</f>
        <v/>
      </c>
      <c r="MHZ57" s="82" t="str">
        <f>IF(ISNUMBER(outYear),MHZ37+MHZ42+#REF!+#REF!,"")</f>
        <v/>
      </c>
      <c r="MIA57" s="82" t="str">
        <f>IF(ISNUMBER(outYear),MIA37+MIA42+#REF!+#REF!,"")</f>
        <v/>
      </c>
      <c r="MIB57" s="82" t="str">
        <f>IF(ISNUMBER(outYear),MIB37+MIB42+#REF!+#REF!,"")</f>
        <v/>
      </c>
      <c r="MIC57" s="82" t="str">
        <f>IF(ISNUMBER(outYear),MIC37+MIC42+#REF!+#REF!,"")</f>
        <v/>
      </c>
      <c r="MID57" s="82" t="str">
        <f>IF(ISNUMBER(outYear),MID37+MID42+#REF!+#REF!,"")</f>
        <v/>
      </c>
      <c r="MIE57" s="82" t="str">
        <f>IF(ISNUMBER(outYear),MIE37+MIE42+#REF!+#REF!,"")</f>
        <v/>
      </c>
      <c r="MIF57" s="82" t="str">
        <f>IF(ISNUMBER(outYear),MIF37+MIF42+#REF!+#REF!,"")</f>
        <v/>
      </c>
      <c r="MIG57" s="82" t="str">
        <f>IF(ISNUMBER(outYear),MIG37+MIG42+#REF!+#REF!,"")</f>
        <v/>
      </c>
      <c r="MIH57" s="82" t="str">
        <f>IF(ISNUMBER(outYear),MIH37+MIH42+#REF!+#REF!,"")</f>
        <v/>
      </c>
      <c r="MII57" s="82" t="str">
        <f>IF(ISNUMBER(outYear),MII37+MII42+#REF!+#REF!,"")</f>
        <v/>
      </c>
      <c r="MIJ57" s="82" t="str">
        <f>IF(ISNUMBER(outYear),MIJ37+MIJ42+#REF!+#REF!,"")</f>
        <v/>
      </c>
      <c r="MIK57" s="82" t="str">
        <f>IF(ISNUMBER(outYear),MIK37+MIK42+#REF!+#REF!,"")</f>
        <v/>
      </c>
      <c r="MIL57" s="82" t="str">
        <f>IF(ISNUMBER(outYear),MIL37+MIL42+#REF!+#REF!,"")</f>
        <v/>
      </c>
      <c r="MIM57" s="82" t="str">
        <f>IF(ISNUMBER(outYear),MIM37+MIM42+#REF!+#REF!,"")</f>
        <v/>
      </c>
      <c r="MIN57" s="82" t="str">
        <f>IF(ISNUMBER(outYear),MIN37+MIN42+#REF!+#REF!,"")</f>
        <v/>
      </c>
      <c r="MIO57" s="82" t="str">
        <f>IF(ISNUMBER(outYear),MIO37+MIO42+#REF!+#REF!,"")</f>
        <v/>
      </c>
      <c r="MIP57" s="82" t="str">
        <f>IF(ISNUMBER(outYear),MIP37+MIP42+#REF!+#REF!,"")</f>
        <v/>
      </c>
      <c r="MIQ57" s="82" t="str">
        <f>IF(ISNUMBER(outYear),MIQ37+MIQ42+#REF!+#REF!,"")</f>
        <v/>
      </c>
      <c r="MIR57" s="82" t="str">
        <f>IF(ISNUMBER(outYear),MIR37+MIR42+#REF!+#REF!,"")</f>
        <v/>
      </c>
      <c r="MIS57" s="82" t="str">
        <f>IF(ISNUMBER(outYear),MIS37+MIS42+#REF!+#REF!,"")</f>
        <v/>
      </c>
      <c r="MIT57" s="82" t="str">
        <f>IF(ISNUMBER(outYear),MIT37+MIT42+#REF!+#REF!,"")</f>
        <v/>
      </c>
      <c r="MIU57" s="82" t="str">
        <f>IF(ISNUMBER(outYear),MIU37+MIU42+#REF!+#REF!,"")</f>
        <v/>
      </c>
      <c r="MIV57" s="82" t="str">
        <f>IF(ISNUMBER(outYear),MIV37+MIV42+#REF!+#REF!,"")</f>
        <v/>
      </c>
      <c r="MIW57" s="82" t="str">
        <f>IF(ISNUMBER(outYear),MIW37+MIW42+#REF!+#REF!,"")</f>
        <v/>
      </c>
      <c r="MIX57" s="82" t="str">
        <f>IF(ISNUMBER(outYear),MIX37+MIX42+#REF!+#REF!,"")</f>
        <v/>
      </c>
      <c r="MIY57" s="82" t="str">
        <f>IF(ISNUMBER(outYear),MIY37+MIY42+#REF!+#REF!,"")</f>
        <v/>
      </c>
      <c r="MIZ57" s="82" t="str">
        <f>IF(ISNUMBER(outYear),MIZ37+MIZ42+#REF!+#REF!,"")</f>
        <v/>
      </c>
      <c r="MJA57" s="82" t="str">
        <f>IF(ISNUMBER(outYear),MJA37+MJA42+#REF!+#REF!,"")</f>
        <v/>
      </c>
      <c r="MJB57" s="82" t="str">
        <f>IF(ISNUMBER(outYear),MJB37+MJB42+#REF!+#REF!,"")</f>
        <v/>
      </c>
      <c r="MJC57" s="82" t="str">
        <f>IF(ISNUMBER(outYear),MJC37+MJC42+#REF!+#REF!,"")</f>
        <v/>
      </c>
      <c r="MJD57" s="82" t="str">
        <f>IF(ISNUMBER(outYear),MJD37+MJD42+#REF!+#REF!,"")</f>
        <v/>
      </c>
      <c r="MJE57" s="82" t="str">
        <f>IF(ISNUMBER(outYear),MJE37+MJE42+#REF!+#REF!,"")</f>
        <v/>
      </c>
      <c r="MJF57" s="82" t="str">
        <f>IF(ISNUMBER(outYear),MJF37+MJF42+#REF!+#REF!,"")</f>
        <v/>
      </c>
      <c r="MJG57" s="82" t="str">
        <f>IF(ISNUMBER(outYear),MJG37+MJG42+#REF!+#REF!,"")</f>
        <v/>
      </c>
      <c r="MJH57" s="82" t="str">
        <f>IF(ISNUMBER(outYear),MJH37+MJH42+#REF!+#REF!,"")</f>
        <v/>
      </c>
      <c r="MJI57" s="82" t="str">
        <f>IF(ISNUMBER(outYear),MJI37+MJI42+#REF!+#REF!,"")</f>
        <v/>
      </c>
      <c r="MJJ57" s="82" t="str">
        <f>IF(ISNUMBER(outYear),MJJ37+MJJ42+#REF!+#REF!,"")</f>
        <v/>
      </c>
      <c r="MJK57" s="82" t="str">
        <f>IF(ISNUMBER(outYear),MJK37+MJK42+#REF!+#REF!,"")</f>
        <v/>
      </c>
      <c r="MJL57" s="82" t="str">
        <f>IF(ISNUMBER(outYear),MJL37+MJL42+#REF!+#REF!,"")</f>
        <v/>
      </c>
      <c r="MJM57" s="82" t="str">
        <f>IF(ISNUMBER(outYear),MJM37+MJM42+#REF!+#REF!,"")</f>
        <v/>
      </c>
      <c r="MJN57" s="82" t="str">
        <f>IF(ISNUMBER(outYear),MJN37+MJN42+#REF!+#REF!,"")</f>
        <v/>
      </c>
      <c r="MJO57" s="82" t="str">
        <f>IF(ISNUMBER(outYear),MJO37+MJO42+#REF!+#REF!,"")</f>
        <v/>
      </c>
      <c r="MJP57" s="82" t="str">
        <f>IF(ISNUMBER(outYear),MJP37+MJP42+#REF!+#REF!,"")</f>
        <v/>
      </c>
      <c r="MJQ57" s="82" t="str">
        <f>IF(ISNUMBER(outYear),MJQ37+MJQ42+#REF!+#REF!,"")</f>
        <v/>
      </c>
      <c r="MJR57" s="82" t="str">
        <f>IF(ISNUMBER(outYear),MJR37+MJR42+#REF!+#REF!,"")</f>
        <v/>
      </c>
      <c r="MJS57" s="82" t="str">
        <f>IF(ISNUMBER(outYear),MJS37+MJS42+#REF!+#REF!,"")</f>
        <v/>
      </c>
      <c r="MJT57" s="82" t="str">
        <f>IF(ISNUMBER(outYear),MJT37+MJT42+#REF!+#REF!,"")</f>
        <v/>
      </c>
      <c r="MJU57" s="82" t="str">
        <f>IF(ISNUMBER(outYear),MJU37+MJU42+#REF!+#REF!,"")</f>
        <v/>
      </c>
      <c r="MJV57" s="82" t="str">
        <f>IF(ISNUMBER(outYear),MJV37+MJV42+#REF!+#REF!,"")</f>
        <v/>
      </c>
      <c r="MJW57" s="82" t="str">
        <f>IF(ISNUMBER(outYear),MJW37+MJW42+#REF!+#REF!,"")</f>
        <v/>
      </c>
      <c r="MJX57" s="82" t="str">
        <f>IF(ISNUMBER(outYear),MJX37+MJX42+#REF!+#REF!,"")</f>
        <v/>
      </c>
      <c r="MJY57" s="82" t="str">
        <f>IF(ISNUMBER(outYear),MJY37+MJY42+#REF!+#REF!,"")</f>
        <v/>
      </c>
      <c r="MJZ57" s="82" t="str">
        <f>IF(ISNUMBER(outYear),MJZ37+MJZ42+#REF!+#REF!,"")</f>
        <v/>
      </c>
      <c r="MKA57" s="82" t="str">
        <f>IF(ISNUMBER(outYear),MKA37+MKA42+#REF!+#REF!,"")</f>
        <v/>
      </c>
      <c r="MKB57" s="82" t="str">
        <f>IF(ISNUMBER(outYear),MKB37+MKB42+#REF!+#REF!,"")</f>
        <v/>
      </c>
      <c r="MKC57" s="82" t="str">
        <f>IF(ISNUMBER(outYear),MKC37+MKC42+#REF!+#REF!,"")</f>
        <v/>
      </c>
      <c r="MKD57" s="82" t="str">
        <f>IF(ISNUMBER(outYear),MKD37+MKD42+#REF!+#REF!,"")</f>
        <v/>
      </c>
      <c r="MKE57" s="82" t="str">
        <f>IF(ISNUMBER(outYear),MKE37+MKE42+#REF!+#REF!,"")</f>
        <v/>
      </c>
      <c r="MKF57" s="82" t="str">
        <f>IF(ISNUMBER(outYear),MKF37+MKF42+#REF!+#REF!,"")</f>
        <v/>
      </c>
      <c r="MKG57" s="82" t="str">
        <f>IF(ISNUMBER(outYear),MKG37+MKG42+#REF!+#REF!,"")</f>
        <v/>
      </c>
      <c r="MKH57" s="82" t="str">
        <f>IF(ISNUMBER(outYear),MKH37+MKH42+#REF!+#REF!,"")</f>
        <v/>
      </c>
      <c r="MKI57" s="82" t="str">
        <f>IF(ISNUMBER(outYear),MKI37+MKI42+#REF!+#REF!,"")</f>
        <v/>
      </c>
      <c r="MKJ57" s="82" t="str">
        <f>IF(ISNUMBER(outYear),MKJ37+MKJ42+#REF!+#REF!,"")</f>
        <v/>
      </c>
      <c r="MKK57" s="82" t="str">
        <f>IF(ISNUMBER(outYear),MKK37+MKK42+#REF!+#REF!,"")</f>
        <v/>
      </c>
      <c r="MKL57" s="82" t="str">
        <f>IF(ISNUMBER(outYear),MKL37+MKL42+#REF!+#REF!,"")</f>
        <v/>
      </c>
      <c r="MKM57" s="82" t="str">
        <f>IF(ISNUMBER(outYear),MKM37+MKM42+#REF!+#REF!,"")</f>
        <v/>
      </c>
      <c r="MKN57" s="82" t="str">
        <f>IF(ISNUMBER(outYear),MKN37+MKN42+#REF!+#REF!,"")</f>
        <v/>
      </c>
      <c r="MKO57" s="82" t="str">
        <f>IF(ISNUMBER(outYear),MKO37+MKO42+#REF!+#REF!,"")</f>
        <v/>
      </c>
      <c r="MKP57" s="82" t="str">
        <f>IF(ISNUMBER(outYear),MKP37+MKP42+#REF!+#REF!,"")</f>
        <v/>
      </c>
      <c r="MKQ57" s="82" t="str">
        <f>IF(ISNUMBER(outYear),MKQ37+MKQ42+#REF!+#REF!,"")</f>
        <v/>
      </c>
      <c r="MKR57" s="82" t="str">
        <f>IF(ISNUMBER(outYear),MKR37+MKR42+#REF!+#REF!,"")</f>
        <v/>
      </c>
      <c r="MKS57" s="82" t="str">
        <f>IF(ISNUMBER(outYear),MKS37+MKS42+#REF!+#REF!,"")</f>
        <v/>
      </c>
      <c r="MKT57" s="82" t="str">
        <f>IF(ISNUMBER(outYear),MKT37+MKT42+#REF!+#REF!,"")</f>
        <v/>
      </c>
      <c r="MKU57" s="82" t="str">
        <f>IF(ISNUMBER(outYear),MKU37+MKU42+#REF!+#REF!,"")</f>
        <v/>
      </c>
      <c r="MKV57" s="82" t="str">
        <f>IF(ISNUMBER(outYear),MKV37+MKV42+#REF!+#REF!,"")</f>
        <v/>
      </c>
      <c r="MKW57" s="82" t="str">
        <f>IF(ISNUMBER(outYear),MKW37+MKW42+#REF!+#REF!,"")</f>
        <v/>
      </c>
      <c r="MKX57" s="82" t="str">
        <f>IF(ISNUMBER(outYear),MKX37+MKX42+#REF!+#REF!,"")</f>
        <v/>
      </c>
      <c r="MKY57" s="82" t="str">
        <f>IF(ISNUMBER(outYear),MKY37+MKY42+#REF!+#REF!,"")</f>
        <v/>
      </c>
      <c r="MKZ57" s="82" t="str">
        <f>IF(ISNUMBER(outYear),MKZ37+MKZ42+#REF!+#REF!,"")</f>
        <v/>
      </c>
      <c r="MLA57" s="82" t="str">
        <f>IF(ISNUMBER(outYear),MLA37+MLA42+#REF!+#REF!,"")</f>
        <v/>
      </c>
      <c r="MLB57" s="82" t="str">
        <f>IF(ISNUMBER(outYear),MLB37+MLB42+#REF!+#REF!,"")</f>
        <v/>
      </c>
      <c r="MLC57" s="82" t="str">
        <f>IF(ISNUMBER(outYear),MLC37+MLC42+#REF!+#REF!,"")</f>
        <v/>
      </c>
      <c r="MLD57" s="82" t="str">
        <f>IF(ISNUMBER(outYear),MLD37+MLD42+#REF!+#REF!,"")</f>
        <v/>
      </c>
      <c r="MLE57" s="82" t="str">
        <f>IF(ISNUMBER(outYear),MLE37+MLE42+#REF!+#REF!,"")</f>
        <v/>
      </c>
      <c r="MLF57" s="82" t="str">
        <f>IF(ISNUMBER(outYear),MLF37+MLF42+#REF!+#REF!,"")</f>
        <v/>
      </c>
      <c r="MLG57" s="82" t="str">
        <f>IF(ISNUMBER(outYear),MLG37+MLG42+#REF!+#REF!,"")</f>
        <v/>
      </c>
      <c r="MLH57" s="82" t="str">
        <f>IF(ISNUMBER(outYear),MLH37+MLH42+#REF!+#REF!,"")</f>
        <v/>
      </c>
      <c r="MLI57" s="82" t="str">
        <f>IF(ISNUMBER(outYear),MLI37+MLI42+#REF!+#REF!,"")</f>
        <v/>
      </c>
      <c r="MLJ57" s="82" t="str">
        <f>IF(ISNUMBER(outYear),MLJ37+MLJ42+#REF!+#REF!,"")</f>
        <v/>
      </c>
      <c r="MLK57" s="82" t="str">
        <f>IF(ISNUMBER(outYear),MLK37+MLK42+#REF!+#REF!,"")</f>
        <v/>
      </c>
      <c r="MLL57" s="82" t="str">
        <f>IF(ISNUMBER(outYear),MLL37+MLL42+#REF!+#REF!,"")</f>
        <v/>
      </c>
      <c r="MLM57" s="82" t="str">
        <f>IF(ISNUMBER(outYear),MLM37+MLM42+#REF!+#REF!,"")</f>
        <v/>
      </c>
      <c r="MLN57" s="82" t="str">
        <f>IF(ISNUMBER(outYear),MLN37+MLN42+#REF!+#REF!,"")</f>
        <v/>
      </c>
      <c r="MLO57" s="82" t="str">
        <f>IF(ISNUMBER(outYear),MLO37+MLO42+#REF!+#REF!,"")</f>
        <v/>
      </c>
      <c r="MLP57" s="82" t="str">
        <f>IF(ISNUMBER(outYear),MLP37+MLP42+#REF!+#REF!,"")</f>
        <v/>
      </c>
      <c r="MLQ57" s="82" t="str">
        <f>IF(ISNUMBER(outYear),MLQ37+MLQ42+#REF!+#REF!,"")</f>
        <v/>
      </c>
      <c r="MLR57" s="82" t="str">
        <f>IF(ISNUMBER(outYear),MLR37+MLR42+#REF!+#REF!,"")</f>
        <v/>
      </c>
      <c r="MLS57" s="82" t="str">
        <f>IF(ISNUMBER(outYear),MLS37+MLS42+#REF!+#REF!,"")</f>
        <v/>
      </c>
      <c r="MLT57" s="82" t="str">
        <f>IF(ISNUMBER(outYear),MLT37+MLT42+#REF!+#REF!,"")</f>
        <v/>
      </c>
      <c r="MLU57" s="82" t="str">
        <f>IF(ISNUMBER(outYear),MLU37+MLU42+#REF!+#REF!,"")</f>
        <v/>
      </c>
      <c r="MLV57" s="82" t="str">
        <f>IF(ISNUMBER(outYear),MLV37+MLV42+#REF!+#REF!,"")</f>
        <v/>
      </c>
      <c r="MLW57" s="82" t="str">
        <f>IF(ISNUMBER(outYear),MLW37+MLW42+#REF!+#REF!,"")</f>
        <v/>
      </c>
      <c r="MLX57" s="82" t="str">
        <f>IF(ISNUMBER(outYear),MLX37+MLX42+#REF!+#REF!,"")</f>
        <v/>
      </c>
      <c r="MLY57" s="82" t="str">
        <f>IF(ISNUMBER(outYear),MLY37+MLY42+#REF!+#REF!,"")</f>
        <v/>
      </c>
      <c r="MLZ57" s="82" t="str">
        <f>IF(ISNUMBER(outYear),MLZ37+MLZ42+#REF!+#REF!,"")</f>
        <v/>
      </c>
      <c r="MMA57" s="82" t="str">
        <f>IF(ISNUMBER(outYear),MMA37+MMA42+#REF!+#REF!,"")</f>
        <v/>
      </c>
      <c r="MMB57" s="82" t="str">
        <f>IF(ISNUMBER(outYear),MMB37+MMB42+#REF!+#REF!,"")</f>
        <v/>
      </c>
      <c r="MMC57" s="82" t="str">
        <f>IF(ISNUMBER(outYear),MMC37+MMC42+#REF!+#REF!,"")</f>
        <v/>
      </c>
      <c r="MMD57" s="82" t="str">
        <f>IF(ISNUMBER(outYear),MMD37+MMD42+#REF!+#REF!,"")</f>
        <v/>
      </c>
      <c r="MME57" s="82" t="str">
        <f>IF(ISNUMBER(outYear),MME37+MME42+#REF!+#REF!,"")</f>
        <v/>
      </c>
      <c r="MMF57" s="82" t="str">
        <f>IF(ISNUMBER(outYear),MMF37+MMF42+#REF!+#REF!,"")</f>
        <v/>
      </c>
      <c r="MMG57" s="82" t="str">
        <f>IF(ISNUMBER(outYear),MMG37+MMG42+#REF!+#REF!,"")</f>
        <v/>
      </c>
      <c r="MMH57" s="82" t="str">
        <f>IF(ISNUMBER(outYear),MMH37+MMH42+#REF!+#REF!,"")</f>
        <v/>
      </c>
      <c r="MMI57" s="82" t="str">
        <f>IF(ISNUMBER(outYear),MMI37+MMI42+#REF!+#REF!,"")</f>
        <v/>
      </c>
      <c r="MMJ57" s="82" t="str">
        <f>IF(ISNUMBER(outYear),MMJ37+MMJ42+#REF!+#REF!,"")</f>
        <v/>
      </c>
      <c r="MMK57" s="82" t="str">
        <f>IF(ISNUMBER(outYear),MMK37+MMK42+#REF!+#REF!,"")</f>
        <v/>
      </c>
      <c r="MML57" s="82" t="str">
        <f>IF(ISNUMBER(outYear),MML37+MML42+#REF!+#REF!,"")</f>
        <v/>
      </c>
      <c r="MMM57" s="82" t="str">
        <f>IF(ISNUMBER(outYear),MMM37+MMM42+#REF!+#REF!,"")</f>
        <v/>
      </c>
      <c r="MMN57" s="82" t="str">
        <f>IF(ISNUMBER(outYear),MMN37+MMN42+#REF!+#REF!,"")</f>
        <v/>
      </c>
      <c r="MMO57" s="82" t="str">
        <f>IF(ISNUMBER(outYear),MMO37+MMO42+#REF!+#REF!,"")</f>
        <v/>
      </c>
      <c r="MMP57" s="82" t="str">
        <f>IF(ISNUMBER(outYear),MMP37+MMP42+#REF!+#REF!,"")</f>
        <v/>
      </c>
      <c r="MMQ57" s="82" t="str">
        <f>IF(ISNUMBER(outYear),MMQ37+MMQ42+#REF!+#REF!,"")</f>
        <v/>
      </c>
      <c r="MMR57" s="82" t="str">
        <f>IF(ISNUMBER(outYear),MMR37+MMR42+#REF!+#REF!,"")</f>
        <v/>
      </c>
      <c r="MMS57" s="82" t="str">
        <f>IF(ISNUMBER(outYear),MMS37+MMS42+#REF!+#REF!,"")</f>
        <v/>
      </c>
      <c r="MMT57" s="82" t="str">
        <f>IF(ISNUMBER(outYear),MMT37+MMT42+#REF!+#REF!,"")</f>
        <v/>
      </c>
      <c r="MMU57" s="82" t="str">
        <f>IF(ISNUMBER(outYear),MMU37+MMU42+#REF!+#REF!,"")</f>
        <v/>
      </c>
      <c r="MMV57" s="82" t="str">
        <f>IF(ISNUMBER(outYear),MMV37+MMV42+#REF!+#REF!,"")</f>
        <v/>
      </c>
      <c r="MMW57" s="82" t="str">
        <f>IF(ISNUMBER(outYear),MMW37+MMW42+#REF!+#REF!,"")</f>
        <v/>
      </c>
      <c r="MMX57" s="82" t="str">
        <f>IF(ISNUMBER(outYear),MMX37+MMX42+#REF!+#REF!,"")</f>
        <v/>
      </c>
      <c r="MMY57" s="82" t="str">
        <f>IF(ISNUMBER(outYear),MMY37+MMY42+#REF!+#REF!,"")</f>
        <v/>
      </c>
      <c r="MMZ57" s="82" t="str">
        <f>IF(ISNUMBER(outYear),MMZ37+MMZ42+#REF!+#REF!,"")</f>
        <v/>
      </c>
      <c r="MNA57" s="82" t="str">
        <f>IF(ISNUMBER(outYear),MNA37+MNA42+#REF!+#REF!,"")</f>
        <v/>
      </c>
      <c r="MNB57" s="82" t="str">
        <f>IF(ISNUMBER(outYear),MNB37+MNB42+#REF!+#REF!,"")</f>
        <v/>
      </c>
      <c r="MNC57" s="82" t="str">
        <f>IF(ISNUMBER(outYear),MNC37+MNC42+#REF!+#REF!,"")</f>
        <v/>
      </c>
      <c r="MND57" s="82" t="str">
        <f>IF(ISNUMBER(outYear),MND37+MND42+#REF!+#REF!,"")</f>
        <v/>
      </c>
      <c r="MNE57" s="82" t="str">
        <f>IF(ISNUMBER(outYear),MNE37+MNE42+#REF!+#REF!,"")</f>
        <v/>
      </c>
      <c r="MNF57" s="82" t="str">
        <f>IF(ISNUMBER(outYear),MNF37+MNF42+#REF!+#REF!,"")</f>
        <v/>
      </c>
      <c r="MNG57" s="82" t="str">
        <f>IF(ISNUMBER(outYear),MNG37+MNG42+#REF!+#REF!,"")</f>
        <v/>
      </c>
      <c r="MNH57" s="82" t="str">
        <f>IF(ISNUMBER(outYear),MNH37+MNH42+#REF!+#REF!,"")</f>
        <v/>
      </c>
      <c r="MNI57" s="82" t="str">
        <f>IF(ISNUMBER(outYear),MNI37+MNI42+#REF!+#REF!,"")</f>
        <v/>
      </c>
      <c r="MNJ57" s="82" t="str">
        <f>IF(ISNUMBER(outYear),MNJ37+MNJ42+#REF!+#REF!,"")</f>
        <v/>
      </c>
      <c r="MNK57" s="82" t="str">
        <f>IF(ISNUMBER(outYear),MNK37+MNK42+#REF!+#REF!,"")</f>
        <v/>
      </c>
      <c r="MNL57" s="82" t="str">
        <f>IF(ISNUMBER(outYear),MNL37+MNL42+#REF!+#REF!,"")</f>
        <v/>
      </c>
      <c r="MNM57" s="82" t="str">
        <f>IF(ISNUMBER(outYear),MNM37+MNM42+#REF!+#REF!,"")</f>
        <v/>
      </c>
      <c r="MNN57" s="82" t="str">
        <f>IF(ISNUMBER(outYear),MNN37+MNN42+#REF!+#REF!,"")</f>
        <v/>
      </c>
      <c r="MNO57" s="82" t="str">
        <f>IF(ISNUMBER(outYear),MNO37+MNO42+#REF!+#REF!,"")</f>
        <v/>
      </c>
      <c r="MNP57" s="82" t="str">
        <f>IF(ISNUMBER(outYear),MNP37+MNP42+#REF!+#REF!,"")</f>
        <v/>
      </c>
      <c r="MNQ57" s="82" t="str">
        <f>IF(ISNUMBER(outYear),MNQ37+MNQ42+#REF!+#REF!,"")</f>
        <v/>
      </c>
      <c r="MNR57" s="82" t="str">
        <f>IF(ISNUMBER(outYear),MNR37+MNR42+#REF!+#REF!,"")</f>
        <v/>
      </c>
      <c r="MNS57" s="82" t="str">
        <f>IF(ISNUMBER(outYear),MNS37+MNS42+#REF!+#REF!,"")</f>
        <v/>
      </c>
      <c r="MNT57" s="82" t="str">
        <f>IF(ISNUMBER(outYear),MNT37+MNT42+#REF!+#REF!,"")</f>
        <v/>
      </c>
      <c r="MNU57" s="82" t="str">
        <f>IF(ISNUMBER(outYear),MNU37+MNU42+#REF!+#REF!,"")</f>
        <v/>
      </c>
      <c r="MNV57" s="82" t="str">
        <f>IF(ISNUMBER(outYear),MNV37+MNV42+#REF!+#REF!,"")</f>
        <v/>
      </c>
      <c r="MNW57" s="82" t="str">
        <f>IF(ISNUMBER(outYear),MNW37+MNW42+#REF!+#REF!,"")</f>
        <v/>
      </c>
      <c r="MNX57" s="82" t="str">
        <f>IF(ISNUMBER(outYear),MNX37+MNX42+#REF!+#REF!,"")</f>
        <v/>
      </c>
      <c r="MNY57" s="82" t="str">
        <f>IF(ISNUMBER(outYear),MNY37+MNY42+#REF!+#REF!,"")</f>
        <v/>
      </c>
      <c r="MNZ57" s="82" t="str">
        <f>IF(ISNUMBER(outYear),MNZ37+MNZ42+#REF!+#REF!,"")</f>
        <v/>
      </c>
      <c r="MOA57" s="82" t="str">
        <f>IF(ISNUMBER(outYear),MOA37+MOA42+#REF!+#REF!,"")</f>
        <v/>
      </c>
      <c r="MOB57" s="82" t="str">
        <f>IF(ISNUMBER(outYear),MOB37+MOB42+#REF!+#REF!,"")</f>
        <v/>
      </c>
      <c r="MOC57" s="82" t="str">
        <f>IF(ISNUMBER(outYear),MOC37+MOC42+#REF!+#REF!,"")</f>
        <v/>
      </c>
      <c r="MOD57" s="82" t="str">
        <f>IF(ISNUMBER(outYear),MOD37+MOD42+#REF!+#REF!,"")</f>
        <v/>
      </c>
      <c r="MOE57" s="82" t="str">
        <f>IF(ISNUMBER(outYear),MOE37+MOE42+#REF!+#REF!,"")</f>
        <v/>
      </c>
      <c r="MOF57" s="82" t="str">
        <f>IF(ISNUMBER(outYear),MOF37+MOF42+#REF!+#REF!,"")</f>
        <v/>
      </c>
      <c r="MOG57" s="82" t="str">
        <f>IF(ISNUMBER(outYear),MOG37+MOG42+#REF!+#REF!,"")</f>
        <v/>
      </c>
      <c r="MOH57" s="82" t="str">
        <f>IF(ISNUMBER(outYear),MOH37+MOH42+#REF!+#REF!,"")</f>
        <v/>
      </c>
      <c r="MOI57" s="82" t="str">
        <f>IF(ISNUMBER(outYear),MOI37+MOI42+#REF!+#REF!,"")</f>
        <v/>
      </c>
      <c r="MOJ57" s="82" t="str">
        <f>IF(ISNUMBER(outYear),MOJ37+MOJ42+#REF!+#REF!,"")</f>
        <v/>
      </c>
      <c r="MOK57" s="82" t="str">
        <f>IF(ISNUMBER(outYear),MOK37+MOK42+#REF!+#REF!,"")</f>
        <v/>
      </c>
      <c r="MOL57" s="82" t="str">
        <f>IF(ISNUMBER(outYear),MOL37+MOL42+#REF!+#REF!,"")</f>
        <v/>
      </c>
      <c r="MOM57" s="82" t="str">
        <f>IF(ISNUMBER(outYear),MOM37+MOM42+#REF!+#REF!,"")</f>
        <v/>
      </c>
      <c r="MON57" s="82" t="str">
        <f>IF(ISNUMBER(outYear),MON37+MON42+#REF!+#REF!,"")</f>
        <v/>
      </c>
      <c r="MOO57" s="82" t="str">
        <f>IF(ISNUMBER(outYear),MOO37+MOO42+#REF!+#REF!,"")</f>
        <v/>
      </c>
      <c r="MOP57" s="82" t="str">
        <f>IF(ISNUMBER(outYear),MOP37+MOP42+#REF!+#REF!,"")</f>
        <v/>
      </c>
      <c r="MOQ57" s="82" t="str">
        <f>IF(ISNUMBER(outYear),MOQ37+MOQ42+#REF!+#REF!,"")</f>
        <v/>
      </c>
      <c r="MOR57" s="82" t="str">
        <f>IF(ISNUMBER(outYear),MOR37+MOR42+#REF!+#REF!,"")</f>
        <v/>
      </c>
      <c r="MOS57" s="82" t="str">
        <f>IF(ISNUMBER(outYear),MOS37+MOS42+#REF!+#REF!,"")</f>
        <v/>
      </c>
      <c r="MOT57" s="82" t="str">
        <f>IF(ISNUMBER(outYear),MOT37+MOT42+#REF!+#REF!,"")</f>
        <v/>
      </c>
      <c r="MOU57" s="82" t="str">
        <f>IF(ISNUMBER(outYear),MOU37+MOU42+#REF!+#REF!,"")</f>
        <v/>
      </c>
      <c r="MOV57" s="82" t="str">
        <f>IF(ISNUMBER(outYear),MOV37+MOV42+#REF!+#REF!,"")</f>
        <v/>
      </c>
      <c r="MOW57" s="82" t="str">
        <f>IF(ISNUMBER(outYear),MOW37+MOW42+#REF!+#REF!,"")</f>
        <v/>
      </c>
      <c r="MOX57" s="82" t="str">
        <f>IF(ISNUMBER(outYear),MOX37+MOX42+#REF!+#REF!,"")</f>
        <v/>
      </c>
      <c r="MOY57" s="82" t="str">
        <f>IF(ISNUMBER(outYear),MOY37+MOY42+#REF!+#REF!,"")</f>
        <v/>
      </c>
      <c r="MOZ57" s="82" t="str">
        <f>IF(ISNUMBER(outYear),MOZ37+MOZ42+#REF!+#REF!,"")</f>
        <v/>
      </c>
      <c r="MPA57" s="82" t="str">
        <f>IF(ISNUMBER(outYear),MPA37+MPA42+#REF!+#REF!,"")</f>
        <v/>
      </c>
      <c r="MPB57" s="82" t="str">
        <f>IF(ISNUMBER(outYear),MPB37+MPB42+#REF!+#REF!,"")</f>
        <v/>
      </c>
      <c r="MPC57" s="82" t="str">
        <f>IF(ISNUMBER(outYear),MPC37+MPC42+#REF!+#REF!,"")</f>
        <v/>
      </c>
      <c r="MPD57" s="82" t="str">
        <f>IF(ISNUMBER(outYear),MPD37+MPD42+#REF!+#REF!,"")</f>
        <v/>
      </c>
      <c r="MPE57" s="82" t="str">
        <f>IF(ISNUMBER(outYear),MPE37+MPE42+#REF!+#REF!,"")</f>
        <v/>
      </c>
      <c r="MPF57" s="82" t="str">
        <f>IF(ISNUMBER(outYear),MPF37+MPF42+#REF!+#REF!,"")</f>
        <v/>
      </c>
      <c r="MPG57" s="82" t="str">
        <f>IF(ISNUMBER(outYear),MPG37+MPG42+#REF!+#REF!,"")</f>
        <v/>
      </c>
      <c r="MPH57" s="82" t="str">
        <f>IF(ISNUMBER(outYear),MPH37+MPH42+#REF!+#REF!,"")</f>
        <v/>
      </c>
      <c r="MPI57" s="82" t="str">
        <f>IF(ISNUMBER(outYear),MPI37+MPI42+#REF!+#REF!,"")</f>
        <v/>
      </c>
      <c r="MPJ57" s="82" t="str">
        <f>IF(ISNUMBER(outYear),MPJ37+MPJ42+#REF!+#REF!,"")</f>
        <v/>
      </c>
      <c r="MPK57" s="82" t="str">
        <f>IF(ISNUMBER(outYear),MPK37+MPK42+#REF!+#REF!,"")</f>
        <v/>
      </c>
      <c r="MPL57" s="82" t="str">
        <f>IF(ISNUMBER(outYear),MPL37+MPL42+#REF!+#REF!,"")</f>
        <v/>
      </c>
      <c r="MPM57" s="82" t="str">
        <f>IF(ISNUMBER(outYear),MPM37+MPM42+#REF!+#REF!,"")</f>
        <v/>
      </c>
      <c r="MPN57" s="82" t="str">
        <f>IF(ISNUMBER(outYear),MPN37+MPN42+#REF!+#REF!,"")</f>
        <v/>
      </c>
      <c r="MPO57" s="82" t="str">
        <f>IF(ISNUMBER(outYear),MPO37+MPO42+#REF!+#REF!,"")</f>
        <v/>
      </c>
      <c r="MPP57" s="82" t="str">
        <f>IF(ISNUMBER(outYear),MPP37+MPP42+#REF!+#REF!,"")</f>
        <v/>
      </c>
      <c r="MPQ57" s="82" t="str">
        <f>IF(ISNUMBER(outYear),MPQ37+MPQ42+#REF!+#REF!,"")</f>
        <v/>
      </c>
      <c r="MPR57" s="82" t="str">
        <f>IF(ISNUMBER(outYear),MPR37+MPR42+#REF!+#REF!,"")</f>
        <v/>
      </c>
      <c r="MPS57" s="82" t="str">
        <f>IF(ISNUMBER(outYear),MPS37+MPS42+#REF!+#REF!,"")</f>
        <v/>
      </c>
      <c r="MPT57" s="82" t="str">
        <f>IF(ISNUMBER(outYear),MPT37+MPT42+#REF!+#REF!,"")</f>
        <v/>
      </c>
      <c r="MPU57" s="82" t="str">
        <f>IF(ISNUMBER(outYear),MPU37+MPU42+#REF!+#REF!,"")</f>
        <v/>
      </c>
      <c r="MPV57" s="82" t="str">
        <f>IF(ISNUMBER(outYear),MPV37+MPV42+#REF!+#REF!,"")</f>
        <v/>
      </c>
      <c r="MPW57" s="82" t="str">
        <f>IF(ISNUMBER(outYear),MPW37+MPW42+#REF!+#REF!,"")</f>
        <v/>
      </c>
      <c r="MPX57" s="82" t="str">
        <f>IF(ISNUMBER(outYear),MPX37+MPX42+#REF!+#REF!,"")</f>
        <v/>
      </c>
      <c r="MPY57" s="82" t="str">
        <f>IF(ISNUMBER(outYear),MPY37+MPY42+#REF!+#REF!,"")</f>
        <v/>
      </c>
      <c r="MPZ57" s="82" t="str">
        <f>IF(ISNUMBER(outYear),MPZ37+MPZ42+#REF!+#REF!,"")</f>
        <v/>
      </c>
      <c r="MQA57" s="82" t="str">
        <f>IF(ISNUMBER(outYear),MQA37+MQA42+#REF!+#REF!,"")</f>
        <v/>
      </c>
      <c r="MQB57" s="82" t="str">
        <f>IF(ISNUMBER(outYear),MQB37+MQB42+#REF!+#REF!,"")</f>
        <v/>
      </c>
      <c r="MQC57" s="82" t="str">
        <f>IF(ISNUMBER(outYear),MQC37+MQC42+#REF!+#REF!,"")</f>
        <v/>
      </c>
      <c r="MQD57" s="82" t="str">
        <f>IF(ISNUMBER(outYear),MQD37+MQD42+#REF!+#REF!,"")</f>
        <v/>
      </c>
      <c r="MQE57" s="82" t="str">
        <f>IF(ISNUMBER(outYear),MQE37+MQE42+#REF!+#REF!,"")</f>
        <v/>
      </c>
      <c r="MQF57" s="82" t="str">
        <f>IF(ISNUMBER(outYear),MQF37+MQF42+#REF!+#REF!,"")</f>
        <v/>
      </c>
      <c r="MQG57" s="82" t="str">
        <f>IF(ISNUMBER(outYear),MQG37+MQG42+#REF!+#REF!,"")</f>
        <v/>
      </c>
      <c r="MQH57" s="82" t="str">
        <f>IF(ISNUMBER(outYear),MQH37+MQH42+#REF!+#REF!,"")</f>
        <v/>
      </c>
      <c r="MQI57" s="82" t="str">
        <f>IF(ISNUMBER(outYear),MQI37+MQI42+#REF!+#REF!,"")</f>
        <v/>
      </c>
      <c r="MQJ57" s="82" t="str">
        <f>IF(ISNUMBER(outYear),MQJ37+MQJ42+#REF!+#REF!,"")</f>
        <v/>
      </c>
      <c r="MQK57" s="82" t="str">
        <f>IF(ISNUMBER(outYear),MQK37+MQK42+#REF!+#REF!,"")</f>
        <v/>
      </c>
      <c r="MQL57" s="82" t="str">
        <f>IF(ISNUMBER(outYear),MQL37+MQL42+#REF!+#REF!,"")</f>
        <v/>
      </c>
      <c r="MQM57" s="82" t="str">
        <f>IF(ISNUMBER(outYear),MQM37+MQM42+#REF!+#REF!,"")</f>
        <v/>
      </c>
      <c r="MQN57" s="82" t="str">
        <f>IF(ISNUMBER(outYear),MQN37+MQN42+#REF!+#REF!,"")</f>
        <v/>
      </c>
      <c r="MQO57" s="82" t="str">
        <f>IF(ISNUMBER(outYear),MQO37+MQO42+#REF!+#REF!,"")</f>
        <v/>
      </c>
      <c r="MQP57" s="82" t="str">
        <f>IF(ISNUMBER(outYear),MQP37+MQP42+#REF!+#REF!,"")</f>
        <v/>
      </c>
      <c r="MQQ57" s="82" t="str">
        <f>IF(ISNUMBER(outYear),MQQ37+MQQ42+#REF!+#REF!,"")</f>
        <v/>
      </c>
      <c r="MQR57" s="82" t="str">
        <f>IF(ISNUMBER(outYear),MQR37+MQR42+#REF!+#REF!,"")</f>
        <v/>
      </c>
      <c r="MQS57" s="82" t="str">
        <f>IF(ISNUMBER(outYear),MQS37+MQS42+#REF!+#REF!,"")</f>
        <v/>
      </c>
      <c r="MQT57" s="82" t="str">
        <f>IF(ISNUMBER(outYear),MQT37+MQT42+#REF!+#REF!,"")</f>
        <v/>
      </c>
      <c r="MQU57" s="82" t="str">
        <f>IF(ISNUMBER(outYear),MQU37+MQU42+#REF!+#REF!,"")</f>
        <v/>
      </c>
      <c r="MQV57" s="82" t="str">
        <f>IF(ISNUMBER(outYear),MQV37+MQV42+#REF!+#REF!,"")</f>
        <v/>
      </c>
      <c r="MQW57" s="82" t="str">
        <f>IF(ISNUMBER(outYear),MQW37+MQW42+#REF!+#REF!,"")</f>
        <v/>
      </c>
      <c r="MQX57" s="82" t="str">
        <f>IF(ISNUMBER(outYear),MQX37+MQX42+#REF!+#REF!,"")</f>
        <v/>
      </c>
      <c r="MQY57" s="82" t="str">
        <f>IF(ISNUMBER(outYear),MQY37+MQY42+#REF!+#REF!,"")</f>
        <v/>
      </c>
      <c r="MQZ57" s="82" t="str">
        <f>IF(ISNUMBER(outYear),MQZ37+MQZ42+#REF!+#REF!,"")</f>
        <v/>
      </c>
      <c r="MRA57" s="82" t="str">
        <f>IF(ISNUMBER(outYear),MRA37+MRA42+#REF!+#REF!,"")</f>
        <v/>
      </c>
      <c r="MRB57" s="82" t="str">
        <f>IF(ISNUMBER(outYear),MRB37+MRB42+#REF!+#REF!,"")</f>
        <v/>
      </c>
      <c r="MRC57" s="82" t="str">
        <f>IF(ISNUMBER(outYear),MRC37+MRC42+#REF!+#REF!,"")</f>
        <v/>
      </c>
      <c r="MRD57" s="82" t="str">
        <f>IF(ISNUMBER(outYear),MRD37+MRD42+#REF!+#REF!,"")</f>
        <v/>
      </c>
      <c r="MRE57" s="82" t="str">
        <f>IF(ISNUMBER(outYear),MRE37+MRE42+#REF!+#REF!,"")</f>
        <v/>
      </c>
      <c r="MRF57" s="82" t="str">
        <f>IF(ISNUMBER(outYear),MRF37+MRF42+#REF!+#REF!,"")</f>
        <v/>
      </c>
      <c r="MRG57" s="82" t="str">
        <f>IF(ISNUMBER(outYear),MRG37+MRG42+#REF!+#REF!,"")</f>
        <v/>
      </c>
      <c r="MRH57" s="82" t="str">
        <f>IF(ISNUMBER(outYear),MRH37+MRH42+#REF!+#REF!,"")</f>
        <v/>
      </c>
      <c r="MRI57" s="82" t="str">
        <f>IF(ISNUMBER(outYear),MRI37+MRI42+#REF!+#REF!,"")</f>
        <v/>
      </c>
      <c r="MRJ57" s="82" t="str">
        <f>IF(ISNUMBER(outYear),MRJ37+MRJ42+#REF!+#REF!,"")</f>
        <v/>
      </c>
      <c r="MRK57" s="82" t="str">
        <f>IF(ISNUMBER(outYear),MRK37+MRK42+#REF!+#REF!,"")</f>
        <v/>
      </c>
      <c r="MRL57" s="82" t="str">
        <f>IF(ISNUMBER(outYear),MRL37+MRL42+#REF!+#REF!,"")</f>
        <v/>
      </c>
      <c r="MRM57" s="82" t="str">
        <f>IF(ISNUMBER(outYear),MRM37+MRM42+#REF!+#REF!,"")</f>
        <v/>
      </c>
      <c r="MRN57" s="82" t="str">
        <f>IF(ISNUMBER(outYear),MRN37+MRN42+#REF!+#REF!,"")</f>
        <v/>
      </c>
      <c r="MRO57" s="82" t="str">
        <f>IF(ISNUMBER(outYear),MRO37+MRO42+#REF!+#REF!,"")</f>
        <v/>
      </c>
      <c r="MRP57" s="82" t="str">
        <f>IF(ISNUMBER(outYear),MRP37+MRP42+#REF!+#REF!,"")</f>
        <v/>
      </c>
      <c r="MRQ57" s="82" t="str">
        <f>IF(ISNUMBER(outYear),MRQ37+MRQ42+#REF!+#REF!,"")</f>
        <v/>
      </c>
      <c r="MRR57" s="82" t="str">
        <f>IF(ISNUMBER(outYear),MRR37+MRR42+#REF!+#REF!,"")</f>
        <v/>
      </c>
      <c r="MRS57" s="82" t="str">
        <f>IF(ISNUMBER(outYear),MRS37+MRS42+#REF!+#REF!,"")</f>
        <v/>
      </c>
      <c r="MRT57" s="82" t="str">
        <f>IF(ISNUMBER(outYear),MRT37+MRT42+#REF!+#REF!,"")</f>
        <v/>
      </c>
      <c r="MRU57" s="82" t="str">
        <f>IF(ISNUMBER(outYear),MRU37+MRU42+#REF!+#REF!,"")</f>
        <v/>
      </c>
      <c r="MRV57" s="82" t="str">
        <f>IF(ISNUMBER(outYear),MRV37+MRV42+#REF!+#REF!,"")</f>
        <v/>
      </c>
      <c r="MRW57" s="82" t="str">
        <f>IF(ISNUMBER(outYear),MRW37+MRW42+#REF!+#REF!,"")</f>
        <v/>
      </c>
      <c r="MRX57" s="82" t="str">
        <f>IF(ISNUMBER(outYear),MRX37+MRX42+#REF!+#REF!,"")</f>
        <v/>
      </c>
      <c r="MRY57" s="82" t="str">
        <f>IF(ISNUMBER(outYear),MRY37+MRY42+#REF!+#REF!,"")</f>
        <v/>
      </c>
      <c r="MRZ57" s="82" t="str">
        <f>IF(ISNUMBER(outYear),MRZ37+MRZ42+#REF!+#REF!,"")</f>
        <v/>
      </c>
      <c r="MSA57" s="82" t="str">
        <f>IF(ISNUMBER(outYear),MSA37+MSA42+#REF!+#REF!,"")</f>
        <v/>
      </c>
      <c r="MSB57" s="82" t="str">
        <f>IF(ISNUMBER(outYear),MSB37+MSB42+#REF!+#REF!,"")</f>
        <v/>
      </c>
      <c r="MSC57" s="82" t="str">
        <f>IF(ISNUMBER(outYear),MSC37+MSC42+#REF!+#REF!,"")</f>
        <v/>
      </c>
      <c r="MSD57" s="82" t="str">
        <f>IF(ISNUMBER(outYear),MSD37+MSD42+#REF!+#REF!,"")</f>
        <v/>
      </c>
      <c r="MSE57" s="82" t="str">
        <f>IF(ISNUMBER(outYear),MSE37+MSE42+#REF!+#REF!,"")</f>
        <v/>
      </c>
      <c r="MSF57" s="82" t="str">
        <f>IF(ISNUMBER(outYear),MSF37+MSF42+#REF!+#REF!,"")</f>
        <v/>
      </c>
      <c r="MSG57" s="82" t="str">
        <f>IF(ISNUMBER(outYear),MSG37+MSG42+#REF!+#REF!,"")</f>
        <v/>
      </c>
      <c r="MSH57" s="82" t="str">
        <f>IF(ISNUMBER(outYear),MSH37+MSH42+#REF!+#REF!,"")</f>
        <v/>
      </c>
      <c r="MSI57" s="82" t="str">
        <f>IF(ISNUMBER(outYear),MSI37+MSI42+#REF!+#REF!,"")</f>
        <v/>
      </c>
      <c r="MSJ57" s="82" t="str">
        <f>IF(ISNUMBER(outYear),MSJ37+MSJ42+#REF!+#REF!,"")</f>
        <v/>
      </c>
      <c r="MSK57" s="82" t="str">
        <f>IF(ISNUMBER(outYear),MSK37+MSK42+#REF!+#REF!,"")</f>
        <v/>
      </c>
      <c r="MSL57" s="82" t="str">
        <f>IF(ISNUMBER(outYear),MSL37+MSL42+#REF!+#REF!,"")</f>
        <v/>
      </c>
      <c r="MSM57" s="82" t="str">
        <f>IF(ISNUMBER(outYear),MSM37+MSM42+#REF!+#REF!,"")</f>
        <v/>
      </c>
      <c r="MSN57" s="82" t="str">
        <f>IF(ISNUMBER(outYear),MSN37+MSN42+#REF!+#REF!,"")</f>
        <v/>
      </c>
      <c r="MSO57" s="82" t="str">
        <f>IF(ISNUMBER(outYear),MSO37+MSO42+#REF!+#REF!,"")</f>
        <v/>
      </c>
      <c r="MSP57" s="82" t="str">
        <f>IF(ISNUMBER(outYear),MSP37+MSP42+#REF!+#REF!,"")</f>
        <v/>
      </c>
      <c r="MSQ57" s="82" t="str">
        <f>IF(ISNUMBER(outYear),MSQ37+MSQ42+#REF!+#REF!,"")</f>
        <v/>
      </c>
      <c r="MSR57" s="82" t="str">
        <f>IF(ISNUMBER(outYear),MSR37+MSR42+#REF!+#REF!,"")</f>
        <v/>
      </c>
      <c r="MSS57" s="82" t="str">
        <f>IF(ISNUMBER(outYear),MSS37+MSS42+#REF!+#REF!,"")</f>
        <v/>
      </c>
      <c r="MST57" s="82" t="str">
        <f>IF(ISNUMBER(outYear),MST37+MST42+#REF!+#REF!,"")</f>
        <v/>
      </c>
      <c r="MSU57" s="82" t="str">
        <f>IF(ISNUMBER(outYear),MSU37+MSU42+#REF!+#REF!,"")</f>
        <v/>
      </c>
      <c r="MSV57" s="82" t="str">
        <f>IF(ISNUMBER(outYear),MSV37+MSV42+#REF!+#REF!,"")</f>
        <v/>
      </c>
      <c r="MSW57" s="82" t="str">
        <f>IF(ISNUMBER(outYear),MSW37+MSW42+#REF!+#REF!,"")</f>
        <v/>
      </c>
      <c r="MSX57" s="82" t="str">
        <f>IF(ISNUMBER(outYear),MSX37+MSX42+#REF!+#REF!,"")</f>
        <v/>
      </c>
      <c r="MSY57" s="82" t="str">
        <f>IF(ISNUMBER(outYear),MSY37+MSY42+#REF!+#REF!,"")</f>
        <v/>
      </c>
      <c r="MSZ57" s="82" t="str">
        <f>IF(ISNUMBER(outYear),MSZ37+MSZ42+#REF!+#REF!,"")</f>
        <v/>
      </c>
      <c r="MTA57" s="82" t="str">
        <f>IF(ISNUMBER(outYear),MTA37+MTA42+#REF!+#REF!,"")</f>
        <v/>
      </c>
      <c r="MTB57" s="82" t="str">
        <f>IF(ISNUMBER(outYear),MTB37+MTB42+#REF!+#REF!,"")</f>
        <v/>
      </c>
      <c r="MTC57" s="82" t="str">
        <f>IF(ISNUMBER(outYear),MTC37+MTC42+#REF!+#REF!,"")</f>
        <v/>
      </c>
      <c r="MTD57" s="82" t="str">
        <f>IF(ISNUMBER(outYear),MTD37+MTD42+#REF!+#REF!,"")</f>
        <v/>
      </c>
      <c r="MTE57" s="82" t="str">
        <f>IF(ISNUMBER(outYear),MTE37+MTE42+#REF!+#REF!,"")</f>
        <v/>
      </c>
      <c r="MTF57" s="82" t="str">
        <f>IF(ISNUMBER(outYear),MTF37+MTF42+#REF!+#REF!,"")</f>
        <v/>
      </c>
      <c r="MTG57" s="82" t="str">
        <f>IF(ISNUMBER(outYear),MTG37+MTG42+#REF!+#REF!,"")</f>
        <v/>
      </c>
      <c r="MTH57" s="82" t="str">
        <f>IF(ISNUMBER(outYear),MTH37+MTH42+#REF!+#REF!,"")</f>
        <v/>
      </c>
      <c r="MTI57" s="82" t="str">
        <f>IF(ISNUMBER(outYear),MTI37+MTI42+#REF!+#REF!,"")</f>
        <v/>
      </c>
      <c r="MTJ57" s="82" t="str">
        <f>IF(ISNUMBER(outYear),MTJ37+MTJ42+#REF!+#REF!,"")</f>
        <v/>
      </c>
      <c r="MTK57" s="82" t="str">
        <f>IF(ISNUMBER(outYear),MTK37+MTK42+#REF!+#REF!,"")</f>
        <v/>
      </c>
      <c r="MTL57" s="82" t="str">
        <f>IF(ISNUMBER(outYear),MTL37+MTL42+#REF!+#REF!,"")</f>
        <v/>
      </c>
      <c r="MTM57" s="82" t="str">
        <f>IF(ISNUMBER(outYear),MTM37+MTM42+#REF!+#REF!,"")</f>
        <v/>
      </c>
      <c r="MTN57" s="82" t="str">
        <f>IF(ISNUMBER(outYear),MTN37+MTN42+#REF!+#REF!,"")</f>
        <v/>
      </c>
      <c r="MTO57" s="82" t="str">
        <f>IF(ISNUMBER(outYear),MTO37+MTO42+#REF!+#REF!,"")</f>
        <v/>
      </c>
      <c r="MTP57" s="82" t="str">
        <f>IF(ISNUMBER(outYear),MTP37+MTP42+#REF!+#REF!,"")</f>
        <v/>
      </c>
      <c r="MTQ57" s="82" t="str">
        <f>IF(ISNUMBER(outYear),MTQ37+MTQ42+#REF!+#REF!,"")</f>
        <v/>
      </c>
      <c r="MTR57" s="82" t="str">
        <f>IF(ISNUMBER(outYear),MTR37+MTR42+#REF!+#REF!,"")</f>
        <v/>
      </c>
      <c r="MTS57" s="82" t="str">
        <f>IF(ISNUMBER(outYear),MTS37+MTS42+#REF!+#REF!,"")</f>
        <v/>
      </c>
      <c r="MTT57" s="82" t="str">
        <f>IF(ISNUMBER(outYear),MTT37+MTT42+#REF!+#REF!,"")</f>
        <v/>
      </c>
      <c r="MTU57" s="82" t="str">
        <f>IF(ISNUMBER(outYear),MTU37+MTU42+#REF!+#REF!,"")</f>
        <v/>
      </c>
      <c r="MTV57" s="82" t="str">
        <f>IF(ISNUMBER(outYear),MTV37+MTV42+#REF!+#REF!,"")</f>
        <v/>
      </c>
      <c r="MTW57" s="82" t="str">
        <f>IF(ISNUMBER(outYear),MTW37+MTW42+#REF!+#REF!,"")</f>
        <v/>
      </c>
      <c r="MTX57" s="82" t="str">
        <f>IF(ISNUMBER(outYear),MTX37+MTX42+#REF!+#REF!,"")</f>
        <v/>
      </c>
      <c r="MTY57" s="82" t="str">
        <f>IF(ISNUMBER(outYear),MTY37+MTY42+#REF!+#REF!,"")</f>
        <v/>
      </c>
      <c r="MTZ57" s="82" t="str">
        <f>IF(ISNUMBER(outYear),MTZ37+MTZ42+#REF!+#REF!,"")</f>
        <v/>
      </c>
      <c r="MUA57" s="82" t="str">
        <f>IF(ISNUMBER(outYear),MUA37+MUA42+#REF!+#REF!,"")</f>
        <v/>
      </c>
      <c r="MUB57" s="82" t="str">
        <f>IF(ISNUMBER(outYear),MUB37+MUB42+#REF!+#REF!,"")</f>
        <v/>
      </c>
      <c r="MUC57" s="82" t="str">
        <f>IF(ISNUMBER(outYear),MUC37+MUC42+#REF!+#REF!,"")</f>
        <v/>
      </c>
      <c r="MUD57" s="82" t="str">
        <f>IF(ISNUMBER(outYear),MUD37+MUD42+#REF!+#REF!,"")</f>
        <v/>
      </c>
      <c r="MUE57" s="82" t="str">
        <f>IF(ISNUMBER(outYear),MUE37+MUE42+#REF!+#REF!,"")</f>
        <v/>
      </c>
      <c r="MUF57" s="82" t="str">
        <f>IF(ISNUMBER(outYear),MUF37+MUF42+#REF!+#REF!,"")</f>
        <v/>
      </c>
      <c r="MUG57" s="82" t="str">
        <f>IF(ISNUMBER(outYear),MUG37+MUG42+#REF!+#REF!,"")</f>
        <v/>
      </c>
      <c r="MUH57" s="82" t="str">
        <f>IF(ISNUMBER(outYear),MUH37+MUH42+#REF!+#REF!,"")</f>
        <v/>
      </c>
      <c r="MUI57" s="82" t="str">
        <f>IF(ISNUMBER(outYear),MUI37+MUI42+#REF!+#REF!,"")</f>
        <v/>
      </c>
      <c r="MUJ57" s="82" t="str">
        <f>IF(ISNUMBER(outYear),MUJ37+MUJ42+#REF!+#REF!,"")</f>
        <v/>
      </c>
      <c r="MUK57" s="82" t="str">
        <f>IF(ISNUMBER(outYear),MUK37+MUK42+#REF!+#REF!,"")</f>
        <v/>
      </c>
      <c r="MUL57" s="82" t="str">
        <f>IF(ISNUMBER(outYear),MUL37+MUL42+#REF!+#REF!,"")</f>
        <v/>
      </c>
      <c r="MUM57" s="82" t="str">
        <f>IF(ISNUMBER(outYear),MUM37+MUM42+#REF!+#REF!,"")</f>
        <v/>
      </c>
      <c r="MUN57" s="82" t="str">
        <f>IF(ISNUMBER(outYear),MUN37+MUN42+#REF!+#REF!,"")</f>
        <v/>
      </c>
      <c r="MUO57" s="82" t="str">
        <f>IF(ISNUMBER(outYear),MUO37+MUO42+#REF!+#REF!,"")</f>
        <v/>
      </c>
      <c r="MUP57" s="82" t="str">
        <f>IF(ISNUMBER(outYear),MUP37+MUP42+#REF!+#REF!,"")</f>
        <v/>
      </c>
      <c r="MUQ57" s="82" t="str">
        <f>IF(ISNUMBER(outYear),MUQ37+MUQ42+#REF!+#REF!,"")</f>
        <v/>
      </c>
      <c r="MUR57" s="82" t="str">
        <f>IF(ISNUMBER(outYear),MUR37+MUR42+#REF!+#REF!,"")</f>
        <v/>
      </c>
      <c r="MUS57" s="82" t="str">
        <f>IF(ISNUMBER(outYear),MUS37+MUS42+#REF!+#REF!,"")</f>
        <v/>
      </c>
      <c r="MUT57" s="82" t="str">
        <f>IF(ISNUMBER(outYear),MUT37+MUT42+#REF!+#REF!,"")</f>
        <v/>
      </c>
      <c r="MUU57" s="82" t="str">
        <f>IF(ISNUMBER(outYear),MUU37+MUU42+#REF!+#REF!,"")</f>
        <v/>
      </c>
      <c r="MUV57" s="82" t="str">
        <f>IF(ISNUMBER(outYear),MUV37+MUV42+#REF!+#REF!,"")</f>
        <v/>
      </c>
      <c r="MUW57" s="82" t="str">
        <f>IF(ISNUMBER(outYear),MUW37+MUW42+#REF!+#REF!,"")</f>
        <v/>
      </c>
      <c r="MUX57" s="82" t="str">
        <f>IF(ISNUMBER(outYear),MUX37+MUX42+#REF!+#REF!,"")</f>
        <v/>
      </c>
      <c r="MUY57" s="82" t="str">
        <f>IF(ISNUMBER(outYear),MUY37+MUY42+#REF!+#REF!,"")</f>
        <v/>
      </c>
      <c r="MUZ57" s="82" t="str">
        <f>IF(ISNUMBER(outYear),MUZ37+MUZ42+#REF!+#REF!,"")</f>
        <v/>
      </c>
      <c r="MVA57" s="82" t="str">
        <f>IF(ISNUMBER(outYear),MVA37+MVA42+#REF!+#REF!,"")</f>
        <v/>
      </c>
      <c r="MVB57" s="82" t="str">
        <f>IF(ISNUMBER(outYear),MVB37+MVB42+#REF!+#REF!,"")</f>
        <v/>
      </c>
      <c r="MVC57" s="82" t="str">
        <f>IF(ISNUMBER(outYear),MVC37+MVC42+#REF!+#REF!,"")</f>
        <v/>
      </c>
      <c r="MVD57" s="82" t="str">
        <f>IF(ISNUMBER(outYear),MVD37+MVD42+#REF!+#REF!,"")</f>
        <v/>
      </c>
      <c r="MVE57" s="82" t="str">
        <f>IF(ISNUMBER(outYear),MVE37+MVE42+#REF!+#REF!,"")</f>
        <v/>
      </c>
      <c r="MVF57" s="82" t="str">
        <f>IF(ISNUMBER(outYear),MVF37+MVF42+#REF!+#REF!,"")</f>
        <v/>
      </c>
      <c r="MVG57" s="82" t="str">
        <f>IF(ISNUMBER(outYear),MVG37+MVG42+#REF!+#REF!,"")</f>
        <v/>
      </c>
      <c r="MVH57" s="82" t="str">
        <f>IF(ISNUMBER(outYear),MVH37+MVH42+#REF!+#REF!,"")</f>
        <v/>
      </c>
      <c r="MVI57" s="82" t="str">
        <f>IF(ISNUMBER(outYear),MVI37+MVI42+#REF!+#REF!,"")</f>
        <v/>
      </c>
      <c r="MVJ57" s="82" t="str">
        <f>IF(ISNUMBER(outYear),MVJ37+MVJ42+#REF!+#REF!,"")</f>
        <v/>
      </c>
      <c r="MVK57" s="82" t="str">
        <f>IF(ISNUMBER(outYear),MVK37+MVK42+#REF!+#REF!,"")</f>
        <v/>
      </c>
      <c r="MVL57" s="82" t="str">
        <f>IF(ISNUMBER(outYear),MVL37+MVL42+#REF!+#REF!,"")</f>
        <v/>
      </c>
      <c r="MVM57" s="82" t="str">
        <f>IF(ISNUMBER(outYear),MVM37+MVM42+#REF!+#REF!,"")</f>
        <v/>
      </c>
      <c r="MVN57" s="82" t="str">
        <f>IF(ISNUMBER(outYear),MVN37+MVN42+#REF!+#REF!,"")</f>
        <v/>
      </c>
      <c r="MVO57" s="82" t="str">
        <f>IF(ISNUMBER(outYear),MVO37+MVO42+#REF!+#REF!,"")</f>
        <v/>
      </c>
      <c r="MVP57" s="82" t="str">
        <f>IF(ISNUMBER(outYear),MVP37+MVP42+#REF!+#REF!,"")</f>
        <v/>
      </c>
      <c r="MVQ57" s="82" t="str">
        <f>IF(ISNUMBER(outYear),MVQ37+MVQ42+#REF!+#REF!,"")</f>
        <v/>
      </c>
      <c r="MVR57" s="82" t="str">
        <f>IF(ISNUMBER(outYear),MVR37+MVR42+#REF!+#REF!,"")</f>
        <v/>
      </c>
      <c r="MVS57" s="82" t="str">
        <f>IF(ISNUMBER(outYear),MVS37+MVS42+#REF!+#REF!,"")</f>
        <v/>
      </c>
      <c r="MVT57" s="82" t="str">
        <f>IF(ISNUMBER(outYear),MVT37+MVT42+#REF!+#REF!,"")</f>
        <v/>
      </c>
      <c r="MVU57" s="82" t="str">
        <f>IF(ISNUMBER(outYear),MVU37+MVU42+#REF!+#REF!,"")</f>
        <v/>
      </c>
      <c r="MVV57" s="82" t="str">
        <f>IF(ISNUMBER(outYear),MVV37+MVV42+#REF!+#REF!,"")</f>
        <v/>
      </c>
      <c r="MVW57" s="82" t="str">
        <f>IF(ISNUMBER(outYear),MVW37+MVW42+#REF!+#REF!,"")</f>
        <v/>
      </c>
      <c r="MVX57" s="82" t="str">
        <f>IF(ISNUMBER(outYear),MVX37+MVX42+#REF!+#REF!,"")</f>
        <v/>
      </c>
      <c r="MVY57" s="82" t="str">
        <f>IF(ISNUMBER(outYear),MVY37+MVY42+#REF!+#REF!,"")</f>
        <v/>
      </c>
      <c r="MVZ57" s="82" t="str">
        <f>IF(ISNUMBER(outYear),MVZ37+MVZ42+#REF!+#REF!,"")</f>
        <v/>
      </c>
      <c r="MWA57" s="82" t="str">
        <f>IF(ISNUMBER(outYear),MWA37+MWA42+#REF!+#REF!,"")</f>
        <v/>
      </c>
      <c r="MWB57" s="82" t="str">
        <f>IF(ISNUMBER(outYear),MWB37+MWB42+#REF!+#REF!,"")</f>
        <v/>
      </c>
      <c r="MWC57" s="82" t="str">
        <f>IF(ISNUMBER(outYear),MWC37+MWC42+#REF!+#REF!,"")</f>
        <v/>
      </c>
      <c r="MWD57" s="82" t="str">
        <f>IF(ISNUMBER(outYear),MWD37+MWD42+#REF!+#REF!,"")</f>
        <v/>
      </c>
      <c r="MWE57" s="82" t="str">
        <f>IF(ISNUMBER(outYear),MWE37+MWE42+#REF!+#REF!,"")</f>
        <v/>
      </c>
      <c r="MWF57" s="82" t="str">
        <f>IF(ISNUMBER(outYear),MWF37+MWF42+#REF!+#REF!,"")</f>
        <v/>
      </c>
      <c r="MWG57" s="82" t="str">
        <f>IF(ISNUMBER(outYear),MWG37+MWG42+#REF!+#REF!,"")</f>
        <v/>
      </c>
      <c r="MWH57" s="82" t="str">
        <f>IF(ISNUMBER(outYear),MWH37+MWH42+#REF!+#REF!,"")</f>
        <v/>
      </c>
      <c r="MWI57" s="82" t="str">
        <f>IF(ISNUMBER(outYear),MWI37+MWI42+#REF!+#REF!,"")</f>
        <v/>
      </c>
      <c r="MWJ57" s="82" t="str">
        <f>IF(ISNUMBER(outYear),MWJ37+MWJ42+#REF!+#REF!,"")</f>
        <v/>
      </c>
      <c r="MWK57" s="82" t="str">
        <f>IF(ISNUMBER(outYear),MWK37+MWK42+#REF!+#REF!,"")</f>
        <v/>
      </c>
      <c r="MWL57" s="82" t="str">
        <f>IF(ISNUMBER(outYear),MWL37+MWL42+#REF!+#REF!,"")</f>
        <v/>
      </c>
      <c r="MWM57" s="82" t="str">
        <f>IF(ISNUMBER(outYear),MWM37+MWM42+#REF!+#REF!,"")</f>
        <v/>
      </c>
      <c r="MWN57" s="82" t="str">
        <f>IF(ISNUMBER(outYear),MWN37+MWN42+#REF!+#REF!,"")</f>
        <v/>
      </c>
      <c r="MWO57" s="82" t="str">
        <f>IF(ISNUMBER(outYear),MWO37+MWO42+#REF!+#REF!,"")</f>
        <v/>
      </c>
      <c r="MWP57" s="82" t="str">
        <f>IF(ISNUMBER(outYear),MWP37+MWP42+#REF!+#REF!,"")</f>
        <v/>
      </c>
      <c r="MWQ57" s="82" t="str">
        <f>IF(ISNUMBER(outYear),MWQ37+MWQ42+#REF!+#REF!,"")</f>
        <v/>
      </c>
      <c r="MWR57" s="82" t="str">
        <f>IF(ISNUMBER(outYear),MWR37+MWR42+#REF!+#REF!,"")</f>
        <v/>
      </c>
      <c r="MWS57" s="82" t="str">
        <f>IF(ISNUMBER(outYear),MWS37+MWS42+#REF!+#REF!,"")</f>
        <v/>
      </c>
      <c r="MWT57" s="82" t="str">
        <f>IF(ISNUMBER(outYear),MWT37+MWT42+#REF!+#REF!,"")</f>
        <v/>
      </c>
      <c r="MWU57" s="82" t="str">
        <f>IF(ISNUMBER(outYear),MWU37+MWU42+#REF!+#REF!,"")</f>
        <v/>
      </c>
      <c r="MWV57" s="82" t="str">
        <f>IF(ISNUMBER(outYear),MWV37+MWV42+#REF!+#REF!,"")</f>
        <v/>
      </c>
      <c r="MWW57" s="82" t="str">
        <f>IF(ISNUMBER(outYear),MWW37+MWW42+#REF!+#REF!,"")</f>
        <v/>
      </c>
      <c r="MWX57" s="82" t="str">
        <f>IF(ISNUMBER(outYear),MWX37+MWX42+#REF!+#REF!,"")</f>
        <v/>
      </c>
      <c r="MWY57" s="82" t="str">
        <f>IF(ISNUMBER(outYear),MWY37+MWY42+#REF!+#REF!,"")</f>
        <v/>
      </c>
      <c r="MWZ57" s="82" t="str">
        <f>IF(ISNUMBER(outYear),MWZ37+MWZ42+#REF!+#REF!,"")</f>
        <v/>
      </c>
      <c r="MXA57" s="82" t="str">
        <f>IF(ISNUMBER(outYear),MXA37+MXA42+#REF!+#REF!,"")</f>
        <v/>
      </c>
      <c r="MXB57" s="82" t="str">
        <f>IF(ISNUMBER(outYear),MXB37+MXB42+#REF!+#REF!,"")</f>
        <v/>
      </c>
      <c r="MXC57" s="82" t="str">
        <f>IF(ISNUMBER(outYear),MXC37+MXC42+#REF!+#REF!,"")</f>
        <v/>
      </c>
      <c r="MXD57" s="82" t="str">
        <f>IF(ISNUMBER(outYear),MXD37+MXD42+#REF!+#REF!,"")</f>
        <v/>
      </c>
      <c r="MXE57" s="82" t="str">
        <f>IF(ISNUMBER(outYear),MXE37+MXE42+#REF!+#REF!,"")</f>
        <v/>
      </c>
      <c r="MXF57" s="82" t="str">
        <f>IF(ISNUMBER(outYear),MXF37+MXF42+#REF!+#REF!,"")</f>
        <v/>
      </c>
      <c r="MXG57" s="82" t="str">
        <f>IF(ISNUMBER(outYear),MXG37+MXG42+#REF!+#REF!,"")</f>
        <v/>
      </c>
      <c r="MXH57" s="82" t="str">
        <f>IF(ISNUMBER(outYear),MXH37+MXH42+#REF!+#REF!,"")</f>
        <v/>
      </c>
      <c r="MXI57" s="82" t="str">
        <f>IF(ISNUMBER(outYear),MXI37+MXI42+#REF!+#REF!,"")</f>
        <v/>
      </c>
      <c r="MXJ57" s="82" t="str">
        <f>IF(ISNUMBER(outYear),MXJ37+MXJ42+#REF!+#REF!,"")</f>
        <v/>
      </c>
      <c r="MXK57" s="82" t="str">
        <f>IF(ISNUMBER(outYear),MXK37+MXK42+#REF!+#REF!,"")</f>
        <v/>
      </c>
      <c r="MXL57" s="82" t="str">
        <f>IF(ISNUMBER(outYear),MXL37+MXL42+#REF!+#REF!,"")</f>
        <v/>
      </c>
      <c r="MXM57" s="82" t="str">
        <f>IF(ISNUMBER(outYear),MXM37+MXM42+#REF!+#REF!,"")</f>
        <v/>
      </c>
      <c r="MXN57" s="82" t="str">
        <f>IF(ISNUMBER(outYear),MXN37+MXN42+#REF!+#REF!,"")</f>
        <v/>
      </c>
      <c r="MXO57" s="82" t="str">
        <f>IF(ISNUMBER(outYear),MXO37+MXO42+#REF!+#REF!,"")</f>
        <v/>
      </c>
      <c r="MXP57" s="82" t="str">
        <f>IF(ISNUMBER(outYear),MXP37+MXP42+#REF!+#REF!,"")</f>
        <v/>
      </c>
      <c r="MXQ57" s="82" t="str">
        <f>IF(ISNUMBER(outYear),MXQ37+MXQ42+#REF!+#REF!,"")</f>
        <v/>
      </c>
      <c r="MXR57" s="82" t="str">
        <f>IF(ISNUMBER(outYear),MXR37+MXR42+#REF!+#REF!,"")</f>
        <v/>
      </c>
      <c r="MXS57" s="82" t="str">
        <f>IF(ISNUMBER(outYear),MXS37+MXS42+#REF!+#REF!,"")</f>
        <v/>
      </c>
      <c r="MXT57" s="82" t="str">
        <f>IF(ISNUMBER(outYear),MXT37+MXT42+#REF!+#REF!,"")</f>
        <v/>
      </c>
      <c r="MXU57" s="82" t="str">
        <f>IF(ISNUMBER(outYear),MXU37+MXU42+#REF!+#REF!,"")</f>
        <v/>
      </c>
      <c r="MXV57" s="82" t="str">
        <f>IF(ISNUMBER(outYear),MXV37+MXV42+#REF!+#REF!,"")</f>
        <v/>
      </c>
      <c r="MXW57" s="82" t="str">
        <f>IF(ISNUMBER(outYear),MXW37+MXW42+#REF!+#REF!,"")</f>
        <v/>
      </c>
      <c r="MXX57" s="82" t="str">
        <f>IF(ISNUMBER(outYear),MXX37+MXX42+#REF!+#REF!,"")</f>
        <v/>
      </c>
      <c r="MXY57" s="82" t="str">
        <f>IF(ISNUMBER(outYear),MXY37+MXY42+#REF!+#REF!,"")</f>
        <v/>
      </c>
      <c r="MXZ57" s="82" t="str">
        <f>IF(ISNUMBER(outYear),MXZ37+MXZ42+#REF!+#REF!,"")</f>
        <v/>
      </c>
      <c r="MYA57" s="82" t="str">
        <f>IF(ISNUMBER(outYear),MYA37+MYA42+#REF!+#REF!,"")</f>
        <v/>
      </c>
      <c r="MYB57" s="82" t="str">
        <f>IF(ISNUMBER(outYear),MYB37+MYB42+#REF!+#REF!,"")</f>
        <v/>
      </c>
      <c r="MYC57" s="82" t="str">
        <f>IF(ISNUMBER(outYear),MYC37+MYC42+#REF!+#REF!,"")</f>
        <v/>
      </c>
      <c r="MYD57" s="82" t="str">
        <f>IF(ISNUMBER(outYear),MYD37+MYD42+#REF!+#REF!,"")</f>
        <v/>
      </c>
      <c r="MYE57" s="82" t="str">
        <f>IF(ISNUMBER(outYear),MYE37+MYE42+#REF!+#REF!,"")</f>
        <v/>
      </c>
      <c r="MYF57" s="82" t="str">
        <f>IF(ISNUMBER(outYear),MYF37+MYF42+#REF!+#REF!,"")</f>
        <v/>
      </c>
      <c r="MYG57" s="82" t="str">
        <f>IF(ISNUMBER(outYear),MYG37+MYG42+#REF!+#REF!,"")</f>
        <v/>
      </c>
      <c r="MYH57" s="82" t="str">
        <f>IF(ISNUMBER(outYear),MYH37+MYH42+#REF!+#REF!,"")</f>
        <v/>
      </c>
      <c r="MYI57" s="82" t="str">
        <f>IF(ISNUMBER(outYear),MYI37+MYI42+#REF!+#REF!,"")</f>
        <v/>
      </c>
      <c r="MYJ57" s="82" t="str">
        <f>IF(ISNUMBER(outYear),MYJ37+MYJ42+#REF!+#REF!,"")</f>
        <v/>
      </c>
      <c r="MYK57" s="82" t="str">
        <f>IF(ISNUMBER(outYear),MYK37+MYK42+#REF!+#REF!,"")</f>
        <v/>
      </c>
      <c r="MYL57" s="82" t="str">
        <f>IF(ISNUMBER(outYear),MYL37+MYL42+#REF!+#REF!,"")</f>
        <v/>
      </c>
      <c r="MYM57" s="82" t="str">
        <f>IF(ISNUMBER(outYear),MYM37+MYM42+#REF!+#REF!,"")</f>
        <v/>
      </c>
      <c r="MYN57" s="82" t="str">
        <f>IF(ISNUMBER(outYear),MYN37+MYN42+#REF!+#REF!,"")</f>
        <v/>
      </c>
      <c r="MYO57" s="82" t="str">
        <f>IF(ISNUMBER(outYear),MYO37+MYO42+#REF!+#REF!,"")</f>
        <v/>
      </c>
      <c r="MYP57" s="82" t="str">
        <f>IF(ISNUMBER(outYear),MYP37+MYP42+#REF!+#REF!,"")</f>
        <v/>
      </c>
      <c r="MYQ57" s="82" t="str">
        <f>IF(ISNUMBER(outYear),MYQ37+MYQ42+#REF!+#REF!,"")</f>
        <v/>
      </c>
      <c r="MYR57" s="82" t="str">
        <f>IF(ISNUMBER(outYear),MYR37+MYR42+#REF!+#REF!,"")</f>
        <v/>
      </c>
      <c r="MYS57" s="82" t="str">
        <f>IF(ISNUMBER(outYear),MYS37+MYS42+#REF!+#REF!,"")</f>
        <v/>
      </c>
      <c r="MYT57" s="82" t="str">
        <f>IF(ISNUMBER(outYear),MYT37+MYT42+#REF!+#REF!,"")</f>
        <v/>
      </c>
      <c r="MYU57" s="82" t="str">
        <f>IF(ISNUMBER(outYear),MYU37+MYU42+#REF!+#REF!,"")</f>
        <v/>
      </c>
      <c r="MYV57" s="82" t="str">
        <f>IF(ISNUMBER(outYear),MYV37+MYV42+#REF!+#REF!,"")</f>
        <v/>
      </c>
      <c r="MYW57" s="82" t="str">
        <f>IF(ISNUMBER(outYear),MYW37+MYW42+#REF!+#REF!,"")</f>
        <v/>
      </c>
      <c r="MYX57" s="82" t="str">
        <f>IF(ISNUMBER(outYear),MYX37+MYX42+#REF!+#REF!,"")</f>
        <v/>
      </c>
      <c r="MYY57" s="82" t="str">
        <f>IF(ISNUMBER(outYear),MYY37+MYY42+#REF!+#REF!,"")</f>
        <v/>
      </c>
      <c r="MYZ57" s="82" t="str">
        <f>IF(ISNUMBER(outYear),MYZ37+MYZ42+#REF!+#REF!,"")</f>
        <v/>
      </c>
      <c r="MZA57" s="82" t="str">
        <f>IF(ISNUMBER(outYear),MZA37+MZA42+#REF!+#REF!,"")</f>
        <v/>
      </c>
      <c r="MZB57" s="82" t="str">
        <f>IF(ISNUMBER(outYear),MZB37+MZB42+#REF!+#REF!,"")</f>
        <v/>
      </c>
      <c r="MZC57" s="82" t="str">
        <f>IF(ISNUMBER(outYear),MZC37+MZC42+#REF!+#REF!,"")</f>
        <v/>
      </c>
      <c r="MZD57" s="82" t="str">
        <f>IF(ISNUMBER(outYear),MZD37+MZD42+#REF!+#REF!,"")</f>
        <v/>
      </c>
      <c r="MZE57" s="82" t="str">
        <f>IF(ISNUMBER(outYear),MZE37+MZE42+#REF!+#REF!,"")</f>
        <v/>
      </c>
      <c r="MZF57" s="82" t="str">
        <f>IF(ISNUMBER(outYear),MZF37+MZF42+#REF!+#REF!,"")</f>
        <v/>
      </c>
      <c r="MZG57" s="82" t="str">
        <f>IF(ISNUMBER(outYear),MZG37+MZG42+#REF!+#REF!,"")</f>
        <v/>
      </c>
      <c r="MZH57" s="82" t="str">
        <f>IF(ISNUMBER(outYear),MZH37+MZH42+#REF!+#REF!,"")</f>
        <v/>
      </c>
      <c r="MZI57" s="82" t="str">
        <f>IF(ISNUMBER(outYear),MZI37+MZI42+#REF!+#REF!,"")</f>
        <v/>
      </c>
      <c r="MZJ57" s="82" t="str">
        <f>IF(ISNUMBER(outYear),MZJ37+MZJ42+#REF!+#REF!,"")</f>
        <v/>
      </c>
      <c r="MZK57" s="82" t="str">
        <f>IF(ISNUMBER(outYear),MZK37+MZK42+#REF!+#REF!,"")</f>
        <v/>
      </c>
      <c r="MZL57" s="82" t="str">
        <f>IF(ISNUMBER(outYear),MZL37+MZL42+#REF!+#REF!,"")</f>
        <v/>
      </c>
      <c r="MZM57" s="82" t="str">
        <f>IF(ISNUMBER(outYear),MZM37+MZM42+#REF!+#REF!,"")</f>
        <v/>
      </c>
      <c r="MZN57" s="82" t="str">
        <f>IF(ISNUMBER(outYear),MZN37+MZN42+#REF!+#REF!,"")</f>
        <v/>
      </c>
      <c r="MZO57" s="82" t="str">
        <f>IF(ISNUMBER(outYear),MZO37+MZO42+#REF!+#REF!,"")</f>
        <v/>
      </c>
      <c r="MZP57" s="82" t="str">
        <f>IF(ISNUMBER(outYear),MZP37+MZP42+#REF!+#REF!,"")</f>
        <v/>
      </c>
      <c r="MZQ57" s="82" t="str">
        <f>IF(ISNUMBER(outYear),MZQ37+MZQ42+#REF!+#REF!,"")</f>
        <v/>
      </c>
      <c r="MZR57" s="82" t="str">
        <f>IF(ISNUMBER(outYear),MZR37+MZR42+#REF!+#REF!,"")</f>
        <v/>
      </c>
      <c r="MZS57" s="82" t="str">
        <f>IF(ISNUMBER(outYear),MZS37+MZS42+#REF!+#REF!,"")</f>
        <v/>
      </c>
      <c r="MZT57" s="82" t="str">
        <f>IF(ISNUMBER(outYear),MZT37+MZT42+#REF!+#REF!,"")</f>
        <v/>
      </c>
      <c r="MZU57" s="82" t="str">
        <f>IF(ISNUMBER(outYear),MZU37+MZU42+#REF!+#REF!,"")</f>
        <v/>
      </c>
      <c r="MZV57" s="82" t="str">
        <f>IF(ISNUMBER(outYear),MZV37+MZV42+#REF!+#REF!,"")</f>
        <v/>
      </c>
      <c r="MZW57" s="82" t="str">
        <f>IF(ISNUMBER(outYear),MZW37+MZW42+#REF!+#REF!,"")</f>
        <v/>
      </c>
      <c r="MZX57" s="82" t="str">
        <f>IF(ISNUMBER(outYear),MZX37+MZX42+#REF!+#REF!,"")</f>
        <v/>
      </c>
      <c r="MZY57" s="82" t="str">
        <f>IF(ISNUMBER(outYear),MZY37+MZY42+#REF!+#REF!,"")</f>
        <v/>
      </c>
      <c r="MZZ57" s="82" t="str">
        <f>IF(ISNUMBER(outYear),MZZ37+MZZ42+#REF!+#REF!,"")</f>
        <v/>
      </c>
      <c r="NAA57" s="82" t="str">
        <f>IF(ISNUMBER(outYear),NAA37+NAA42+#REF!+#REF!,"")</f>
        <v/>
      </c>
      <c r="NAB57" s="82" t="str">
        <f>IF(ISNUMBER(outYear),NAB37+NAB42+#REF!+#REF!,"")</f>
        <v/>
      </c>
      <c r="NAC57" s="82" t="str">
        <f>IF(ISNUMBER(outYear),NAC37+NAC42+#REF!+#REF!,"")</f>
        <v/>
      </c>
      <c r="NAD57" s="82" t="str">
        <f>IF(ISNUMBER(outYear),NAD37+NAD42+#REF!+#REF!,"")</f>
        <v/>
      </c>
      <c r="NAE57" s="82" t="str">
        <f>IF(ISNUMBER(outYear),NAE37+NAE42+#REF!+#REF!,"")</f>
        <v/>
      </c>
      <c r="NAF57" s="82" t="str">
        <f>IF(ISNUMBER(outYear),NAF37+NAF42+#REF!+#REF!,"")</f>
        <v/>
      </c>
      <c r="NAG57" s="82" t="str">
        <f>IF(ISNUMBER(outYear),NAG37+NAG42+#REF!+#REF!,"")</f>
        <v/>
      </c>
      <c r="NAH57" s="82" t="str">
        <f>IF(ISNUMBER(outYear),NAH37+NAH42+#REF!+#REF!,"")</f>
        <v/>
      </c>
      <c r="NAI57" s="82" t="str">
        <f>IF(ISNUMBER(outYear),NAI37+NAI42+#REF!+#REF!,"")</f>
        <v/>
      </c>
      <c r="NAJ57" s="82" t="str">
        <f>IF(ISNUMBER(outYear),NAJ37+NAJ42+#REF!+#REF!,"")</f>
        <v/>
      </c>
      <c r="NAK57" s="82" t="str">
        <f>IF(ISNUMBER(outYear),NAK37+NAK42+#REF!+#REF!,"")</f>
        <v/>
      </c>
      <c r="NAL57" s="82" t="str">
        <f>IF(ISNUMBER(outYear),NAL37+NAL42+#REF!+#REF!,"")</f>
        <v/>
      </c>
      <c r="NAM57" s="82" t="str">
        <f>IF(ISNUMBER(outYear),NAM37+NAM42+#REF!+#REF!,"")</f>
        <v/>
      </c>
      <c r="NAN57" s="82" t="str">
        <f>IF(ISNUMBER(outYear),NAN37+NAN42+#REF!+#REF!,"")</f>
        <v/>
      </c>
      <c r="NAO57" s="82" t="str">
        <f>IF(ISNUMBER(outYear),NAO37+NAO42+#REF!+#REF!,"")</f>
        <v/>
      </c>
      <c r="NAP57" s="82" t="str">
        <f>IF(ISNUMBER(outYear),NAP37+NAP42+#REF!+#REF!,"")</f>
        <v/>
      </c>
      <c r="NAQ57" s="82" t="str">
        <f>IF(ISNUMBER(outYear),NAQ37+NAQ42+#REF!+#REF!,"")</f>
        <v/>
      </c>
      <c r="NAR57" s="82" t="str">
        <f>IF(ISNUMBER(outYear),NAR37+NAR42+#REF!+#REF!,"")</f>
        <v/>
      </c>
      <c r="NAS57" s="82" t="str">
        <f>IF(ISNUMBER(outYear),NAS37+NAS42+#REF!+#REF!,"")</f>
        <v/>
      </c>
      <c r="NAT57" s="82" t="str">
        <f>IF(ISNUMBER(outYear),NAT37+NAT42+#REF!+#REF!,"")</f>
        <v/>
      </c>
      <c r="NAU57" s="82" t="str">
        <f>IF(ISNUMBER(outYear),NAU37+NAU42+#REF!+#REF!,"")</f>
        <v/>
      </c>
      <c r="NAV57" s="82" t="str">
        <f>IF(ISNUMBER(outYear),NAV37+NAV42+#REF!+#REF!,"")</f>
        <v/>
      </c>
      <c r="NAW57" s="82" t="str">
        <f>IF(ISNUMBER(outYear),NAW37+NAW42+#REF!+#REF!,"")</f>
        <v/>
      </c>
      <c r="NAX57" s="82" t="str">
        <f>IF(ISNUMBER(outYear),NAX37+NAX42+#REF!+#REF!,"")</f>
        <v/>
      </c>
      <c r="NAY57" s="82" t="str">
        <f>IF(ISNUMBER(outYear),NAY37+NAY42+#REF!+#REF!,"")</f>
        <v/>
      </c>
      <c r="NAZ57" s="82" t="str">
        <f>IF(ISNUMBER(outYear),NAZ37+NAZ42+#REF!+#REF!,"")</f>
        <v/>
      </c>
      <c r="NBA57" s="82" t="str">
        <f>IF(ISNUMBER(outYear),NBA37+NBA42+#REF!+#REF!,"")</f>
        <v/>
      </c>
      <c r="NBB57" s="82" t="str">
        <f>IF(ISNUMBER(outYear),NBB37+NBB42+#REF!+#REF!,"")</f>
        <v/>
      </c>
      <c r="NBC57" s="82" t="str">
        <f>IF(ISNUMBER(outYear),NBC37+NBC42+#REF!+#REF!,"")</f>
        <v/>
      </c>
      <c r="NBD57" s="82" t="str">
        <f>IF(ISNUMBER(outYear),NBD37+NBD42+#REF!+#REF!,"")</f>
        <v/>
      </c>
      <c r="NBE57" s="82" t="str">
        <f>IF(ISNUMBER(outYear),NBE37+NBE42+#REF!+#REF!,"")</f>
        <v/>
      </c>
      <c r="NBF57" s="82" t="str">
        <f>IF(ISNUMBER(outYear),NBF37+NBF42+#REF!+#REF!,"")</f>
        <v/>
      </c>
      <c r="NBG57" s="82" t="str">
        <f>IF(ISNUMBER(outYear),NBG37+NBG42+#REF!+#REF!,"")</f>
        <v/>
      </c>
      <c r="NBH57" s="82" t="str">
        <f>IF(ISNUMBER(outYear),NBH37+NBH42+#REF!+#REF!,"")</f>
        <v/>
      </c>
      <c r="NBI57" s="82" t="str">
        <f>IF(ISNUMBER(outYear),NBI37+NBI42+#REF!+#REF!,"")</f>
        <v/>
      </c>
      <c r="NBJ57" s="82" t="str">
        <f>IF(ISNUMBER(outYear),NBJ37+NBJ42+#REF!+#REF!,"")</f>
        <v/>
      </c>
      <c r="NBK57" s="82" t="str">
        <f>IF(ISNUMBER(outYear),NBK37+NBK42+#REF!+#REF!,"")</f>
        <v/>
      </c>
      <c r="NBL57" s="82" t="str">
        <f>IF(ISNUMBER(outYear),NBL37+NBL42+#REF!+#REF!,"")</f>
        <v/>
      </c>
      <c r="NBM57" s="82" t="str">
        <f>IF(ISNUMBER(outYear),NBM37+NBM42+#REF!+#REF!,"")</f>
        <v/>
      </c>
      <c r="NBN57" s="82" t="str">
        <f>IF(ISNUMBER(outYear),NBN37+NBN42+#REF!+#REF!,"")</f>
        <v/>
      </c>
      <c r="NBO57" s="82" t="str">
        <f>IF(ISNUMBER(outYear),NBO37+NBO42+#REF!+#REF!,"")</f>
        <v/>
      </c>
      <c r="NBP57" s="82" t="str">
        <f>IF(ISNUMBER(outYear),NBP37+NBP42+#REF!+#REF!,"")</f>
        <v/>
      </c>
      <c r="NBQ57" s="82" t="str">
        <f>IF(ISNUMBER(outYear),NBQ37+NBQ42+#REF!+#REF!,"")</f>
        <v/>
      </c>
      <c r="NBR57" s="82" t="str">
        <f>IF(ISNUMBER(outYear),NBR37+NBR42+#REF!+#REF!,"")</f>
        <v/>
      </c>
      <c r="NBS57" s="82" t="str">
        <f>IF(ISNUMBER(outYear),NBS37+NBS42+#REF!+#REF!,"")</f>
        <v/>
      </c>
      <c r="NBT57" s="82" t="str">
        <f>IF(ISNUMBER(outYear),NBT37+NBT42+#REF!+#REF!,"")</f>
        <v/>
      </c>
      <c r="NBU57" s="82" t="str">
        <f>IF(ISNUMBER(outYear),NBU37+NBU42+#REF!+#REF!,"")</f>
        <v/>
      </c>
      <c r="NBV57" s="82" t="str">
        <f>IF(ISNUMBER(outYear),NBV37+NBV42+#REF!+#REF!,"")</f>
        <v/>
      </c>
      <c r="NBW57" s="82" t="str">
        <f>IF(ISNUMBER(outYear),NBW37+NBW42+#REF!+#REF!,"")</f>
        <v/>
      </c>
      <c r="NBX57" s="82" t="str">
        <f>IF(ISNUMBER(outYear),NBX37+NBX42+#REF!+#REF!,"")</f>
        <v/>
      </c>
      <c r="NBY57" s="82" t="str">
        <f>IF(ISNUMBER(outYear),NBY37+NBY42+#REF!+#REF!,"")</f>
        <v/>
      </c>
      <c r="NBZ57" s="82" t="str">
        <f>IF(ISNUMBER(outYear),NBZ37+NBZ42+#REF!+#REF!,"")</f>
        <v/>
      </c>
      <c r="NCA57" s="82" t="str">
        <f>IF(ISNUMBER(outYear),NCA37+NCA42+#REF!+#REF!,"")</f>
        <v/>
      </c>
      <c r="NCB57" s="82" t="str">
        <f>IF(ISNUMBER(outYear),NCB37+NCB42+#REF!+#REF!,"")</f>
        <v/>
      </c>
      <c r="NCC57" s="82" t="str">
        <f>IF(ISNUMBER(outYear),NCC37+NCC42+#REF!+#REF!,"")</f>
        <v/>
      </c>
      <c r="NCD57" s="82" t="str">
        <f>IF(ISNUMBER(outYear),NCD37+NCD42+#REF!+#REF!,"")</f>
        <v/>
      </c>
      <c r="NCE57" s="82" t="str">
        <f>IF(ISNUMBER(outYear),NCE37+NCE42+#REF!+#REF!,"")</f>
        <v/>
      </c>
      <c r="NCF57" s="82" t="str">
        <f>IF(ISNUMBER(outYear),NCF37+NCF42+#REF!+#REF!,"")</f>
        <v/>
      </c>
      <c r="NCG57" s="82" t="str">
        <f>IF(ISNUMBER(outYear),NCG37+NCG42+#REF!+#REF!,"")</f>
        <v/>
      </c>
      <c r="NCH57" s="82" t="str">
        <f>IF(ISNUMBER(outYear),NCH37+NCH42+#REF!+#REF!,"")</f>
        <v/>
      </c>
      <c r="NCI57" s="82" t="str">
        <f>IF(ISNUMBER(outYear),NCI37+NCI42+#REF!+#REF!,"")</f>
        <v/>
      </c>
      <c r="NCJ57" s="82" t="str">
        <f>IF(ISNUMBER(outYear),NCJ37+NCJ42+#REF!+#REF!,"")</f>
        <v/>
      </c>
      <c r="NCK57" s="82" t="str">
        <f>IF(ISNUMBER(outYear),NCK37+NCK42+#REF!+#REF!,"")</f>
        <v/>
      </c>
      <c r="NCL57" s="82" t="str">
        <f>IF(ISNUMBER(outYear),NCL37+NCL42+#REF!+#REF!,"")</f>
        <v/>
      </c>
      <c r="NCM57" s="82" t="str">
        <f>IF(ISNUMBER(outYear),NCM37+NCM42+#REF!+#REF!,"")</f>
        <v/>
      </c>
      <c r="NCN57" s="82" t="str">
        <f>IF(ISNUMBER(outYear),NCN37+NCN42+#REF!+#REF!,"")</f>
        <v/>
      </c>
      <c r="NCO57" s="82" t="str">
        <f>IF(ISNUMBER(outYear),NCO37+NCO42+#REF!+#REF!,"")</f>
        <v/>
      </c>
      <c r="NCP57" s="82" t="str">
        <f>IF(ISNUMBER(outYear),NCP37+NCP42+#REF!+#REF!,"")</f>
        <v/>
      </c>
      <c r="NCQ57" s="82" t="str">
        <f>IF(ISNUMBER(outYear),NCQ37+NCQ42+#REF!+#REF!,"")</f>
        <v/>
      </c>
      <c r="NCR57" s="82" t="str">
        <f>IF(ISNUMBER(outYear),NCR37+NCR42+#REF!+#REF!,"")</f>
        <v/>
      </c>
      <c r="NCS57" s="82" t="str">
        <f>IF(ISNUMBER(outYear),NCS37+NCS42+#REF!+#REF!,"")</f>
        <v/>
      </c>
      <c r="NCT57" s="82" t="str">
        <f>IF(ISNUMBER(outYear),NCT37+NCT42+#REF!+#REF!,"")</f>
        <v/>
      </c>
      <c r="NCU57" s="82" t="str">
        <f>IF(ISNUMBER(outYear),NCU37+NCU42+#REF!+#REF!,"")</f>
        <v/>
      </c>
      <c r="NCV57" s="82" t="str">
        <f>IF(ISNUMBER(outYear),NCV37+NCV42+#REF!+#REF!,"")</f>
        <v/>
      </c>
      <c r="NCW57" s="82" t="str">
        <f>IF(ISNUMBER(outYear),NCW37+NCW42+#REF!+#REF!,"")</f>
        <v/>
      </c>
      <c r="NCX57" s="82" t="str">
        <f>IF(ISNUMBER(outYear),NCX37+NCX42+#REF!+#REF!,"")</f>
        <v/>
      </c>
      <c r="NCY57" s="82" t="str">
        <f>IF(ISNUMBER(outYear),NCY37+NCY42+#REF!+#REF!,"")</f>
        <v/>
      </c>
      <c r="NCZ57" s="82" t="str">
        <f>IF(ISNUMBER(outYear),NCZ37+NCZ42+#REF!+#REF!,"")</f>
        <v/>
      </c>
      <c r="NDA57" s="82" t="str">
        <f>IF(ISNUMBER(outYear),NDA37+NDA42+#REF!+#REF!,"")</f>
        <v/>
      </c>
      <c r="NDB57" s="82" t="str">
        <f>IF(ISNUMBER(outYear),NDB37+NDB42+#REF!+#REF!,"")</f>
        <v/>
      </c>
      <c r="NDC57" s="82" t="str">
        <f>IF(ISNUMBER(outYear),NDC37+NDC42+#REF!+#REF!,"")</f>
        <v/>
      </c>
      <c r="NDD57" s="82" t="str">
        <f>IF(ISNUMBER(outYear),NDD37+NDD42+#REF!+#REF!,"")</f>
        <v/>
      </c>
      <c r="NDE57" s="82" t="str">
        <f>IF(ISNUMBER(outYear),NDE37+NDE42+#REF!+#REF!,"")</f>
        <v/>
      </c>
      <c r="NDF57" s="82" t="str">
        <f>IF(ISNUMBER(outYear),NDF37+NDF42+#REF!+#REF!,"")</f>
        <v/>
      </c>
      <c r="NDG57" s="82" t="str">
        <f>IF(ISNUMBER(outYear),NDG37+NDG42+#REF!+#REF!,"")</f>
        <v/>
      </c>
      <c r="NDH57" s="82" t="str">
        <f>IF(ISNUMBER(outYear),NDH37+NDH42+#REF!+#REF!,"")</f>
        <v/>
      </c>
      <c r="NDI57" s="82" t="str">
        <f>IF(ISNUMBER(outYear),NDI37+NDI42+#REF!+#REF!,"")</f>
        <v/>
      </c>
      <c r="NDJ57" s="82" t="str">
        <f>IF(ISNUMBER(outYear),NDJ37+NDJ42+#REF!+#REF!,"")</f>
        <v/>
      </c>
      <c r="NDK57" s="82" t="str">
        <f>IF(ISNUMBER(outYear),NDK37+NDK42+#REF!+#REF!,"")</f>
        <v/>
      </c>
      <c r="NDL57" s="82" t="str">
        <f>IF(ISNUMBER(outYear),NDL37+NDL42+#REF!+#REF!,"")</f>
        <v/>
      </c>
      <c r="NDM57" s="82" t="str">
        <f>IF(ISNUMBER(outYear),NDM37+NDM42+#REF!+#REF!,"")</f>
        <v/>
      </c>
      <c r="NDN57" s="82" t="str">
        <f>IF(ISNUMBER(outYear),NDN37+NDN42+#REF!+#REF!,"")</f>
        <v/>
      </c>
      <c r="NDO57" s="82" t="str">
        <f>IF(ISNUMBER(outYear),NDO37+NDO42+#REF!+#REF!,"")</f>
        <v/>
      </c>
      <c r="NDP57" s="82" t="str">
        <f>IF(ISNUMBER(outYear),NDP37+NDP42+#REF!+#REF!,"")</f>
        <v/>
      </c>
      <c r="NDQ57" s="82" t="str">
        <f>IF(ISNUMBER(outYear),NDQ37+NDQ42+#REF!+#REF!,"")</f>
        <v/>
      </c>
      <c r="NDR57" s="82" t="str">
        <f>IF(ISNUMBER(outYear),NDR37+NDR42+#REF!+#REF!,"")</f>
        <v/>
      </c>
      <c r="NDS57" s="82" t="str">
        <f>IF(ISNUMBER(outYear),NDS37+NDS42+#REF!+#REF!,"")</f>
        <v/>
      </c>
      <c r="NDT57" s="82" t="str">
        <f>IF(ISNUMBER(outYear),NDT37+NDT42+#REF!+#REF!,"")</f>
        <v/>
      </c>
      <c r="NDU57" s="82" t="str">
        <f>IF(ISNUMBER(outYear),NDU37+NDU42+#REF!+#REF!,"")</f>
        <v/>
      </c>
      <c r="NDV57" s="82" t="str">
        <f>IF(ISNUMBER(outYear),NDV37+NDV42+#REF!+#REF!,"")</f>
        <v/>
      </c>
      <c r="NDW57" s="82" t="str">
        <f>IF(ISNUMBER(outYear),NDW37+NDW42+#REF!+#REF!,"")</f>
        <v/>
      </c>
      <c r="NDX57" s="82" t="str">
        <f>IF(ISNUMBER(outYear),NDX37+NDX42+#REF!+#REF!,"")</f>
        <v/>
      </c>
      <c r="NDY57" s="82" t="str">
        <f>IF(ISNUMBER(outYear),NDY37+NDY42+#REF!+#REF!,"")</f>
        <v/>
      </c>
      <c r="NDZ57" s="82" t="str">
        <f>IF(ISNUMBER(outYear),NDZ37+NDZ42+#REF!+#REF!,"")</f>
        <v/>
      </c>
      <c r="NEA57" s="82" t="str">
        <f>IF(ISNUMBER(outYear),NEA37+NEA42+#REF!+#REF!,"")</f>
        <v/>
      </c>
      <c r="NEB57" s="82" t="str">
        <f>IF(ISNUMBER(outYear),NEB37+NEB42+#REF!+#REF!,"")</f>
        <v/>
      </c>
      <c r="NEC57" s="82" t="str">
        <f>IF(ISNUMBER(outYear),NEC37+NEC42+#REF!+#REF!,"")</f>
        <v/>
      </c>
      <c r="NED57" s="82" t="str">
        <f>IF(ISNUMBER(outYear),NED37+NED42+#REF!+#REF!,"")</f>
        <v/>
      </c>
      <c r="NEE57" s="82" t="str">
        <f>IF(ISNUMBER(outYear),NEE37+NEE42+#REF!+#REF!,"")</f>
        <v/>
      </c>
      <c r="NEF57" s="82" t="str">
        <f>IF(ISNUMBER(outYear),NEF37+NEF42+#REF!+#REF!,"")</f>
        <v/>
      </c>
      <c r="NEG57" s="82" t="str">
        <f>IF(ISNUMBER(outYear),NEG37+NEG42+#REF!+#REF!,"")</f>
        <v/>
      </c>
      <c r="NEH57" s="82" t="str">
        <f>IF(ISNUMBER(outYear),NEH37+NEH42+#REF!+#REF!,"")</f>
        <v/>
      </c>
      <c r="NEI57" s="82" t="str">
        <f>IF(ISNUMBER(outYear),NEI37+NEI42+#REF!+#REF!,"")</f>
        <v/>
      </c>
      <c r="NEJ57" s="82" t="str">
        <f>IF(ISNUMBER(outYear),NEJ37+NEJ42+#REF!+#REF!,"")</f>
        <v/>
      </c>
      <c r="NEK57" s="82" t="str">
        <f>IF(ISNUMBER(outYear),NEK37+NEK42+#REF!+#REF!,"")</f>
        <v/>
      </c>
      <c r="NEL57" s="82" t="str">
        <f>IF(ISNUMBER(outYear),NEL37+NEL42+#REF!+#REF!,"")</f>
        <v/>
      </c>
      <c r="NEM57" s="82" t="str">
        <f>IF(ISNUMBER(outYear),NEM37+NEM42+#REF!+#REF!,"")</f>
        <v/>
      </c>
      <c r="NEN57" s="82" t="str">
        <f>IF(ISNUMBER(outYear),NEN37+NEN42+#REF!+#REF!,"")</f>
        <v/>
      </c>
      <c r="NEO57" s="82" t="str">
        <f>IF(ISNUMBER(outYear),NEO37+NEO42+#REF!+#REF!,"")</f>
        <v/>
      </c>
      <c r="NEP57" s="82" t="str">
        <f>IF(ISNUMBER(outYear),NEP37+NEP42+#REF!+#REF!,"")</f>
        <v/>
      </c>
      <c r="NEQ57" s="82" t="str">
        <f>IF(ISNUMBER(outYear),NEQ37+NEQ42+#REF!+#REF!,"")</f>
        <v/>
      </c>
      <c r="NER57" s="82" t="str">
        <f>IF(ISNUMBER(outYear),NER37+NER42+#REF!+#REF!,"")</f>
        <v/>
      </c>
      <c r="NES57" s="82" t="str">
        <f>IF(ISNUMBER(outYear),NES37+NES42+#REF!+#REF!,"")</f>
        <v/>
      </c>
      <c r="NET57" s="82" t="str">
        <f>IF(ISNUMBER(outYear),NET37+NET42+#REF!+#REF!,"")</f>
        <v/>
      </c>
      <c r="NEU57" s="82" t="str">
        <f>IF(ISNUMBER(outYear),NEU37+NEU42+#REF!+#REF!,"")</f>
        <v/>
      </c>
      <c r="NEV57" s="82" t="str">
        <f>IF(ISNUMBER(outYear),NEV37+NEV42+#REF!+#REF!,"")</f>
        <v/>
      </c>
      <c r="NEW57" s="82" t="str">
        <f>IF(ISNUMBER(outYear),NEW37+NEW42+#REF!+#REF!,"")</f>
        <v/>
      </c>
      <c r="NEX57" s="82" t="str">
        <f>IF(ISNUMBER(outYear),NEX37+NEX42+#REF!+#REF!,"")</f>
        <v/>
      </c>
      <c r="NEY57" s="82" t="str">
        <f>IF(ISNUMBER(outYear),NEY37+NEY42+#REF!+#REF!,"")</f>
        <v/>
      </c>
      <c r="NEZ57" s="82" t="str">
        <f>IF(ISNUMBER(outYear),NEZ37+NEZ42+#REF!+#REF!,"")</f>
        <v/>
      </c>
      <c r="NFA57" s="82" t="str">
        <f>IF(ISNUMBER(outYear),NFA37+NFA42+#REF!+#REF!,"")</f>
        <v/>
      </c>
      <c r="NFB57" s="82" t="str">
        <f>IF(ISNUMBER(outYear),NFB37+NFB42+#REF!+#REF!,"")</f>
        <v/>
      </c>
      <c r="NFC57" s="82" t="str">
        <f>IF(ISNUMBER(outYear),NFC37+NFC42+#REF!+#REF!,"")</f>
        <v/>
      </c>
      <c r="NFD57" s="82" t="str">
        <f>IF(ISNUMBER(outYear),NFD37+NFD42+#REF!+#REF!,"")</f>
        <v/>
      </c>
      <c r="NFE57" s="82" t="str">
        <f>IF(ISNUMBER(outYear),NFE37+NFE42+#REF!+#REF!,"")</f>
        <v/>
      </c>
      <c r="NFF57" s="82" t="str">
        <f>IF(ISNUMBER(outYear),NFF37+NFF42+#REF!+#REF!,"")</f>
        <v/>
      </c>
      <c r="NFG57" s="82" t="str">
        <f>IF(ISNUMBER(outYear),NFG37+NFG42+#REF!+#REF!,"")</f>
        <v/>
      </c>
      <c r="NFH57" s="82" t="str">
        <f>IF(ISNUMBER(outYear),NFH37+NFH42+#REF!+#REF!,"")</f>
        <v/>
      </c>
      <c r="NFI57" s="82" t="str">
        <f>IF(ISNUMBER(outYear),NFI37+NFI42+#REF!+#REF!,"")</f>
        <v/>
      </c>
      <c r="NFJ57" s="82" t="str">
        <f>IF(ISNUMBER(outYear),NFJ37+NFJ42+#REF!+#REF!,"")</f>
        <v/>
      </c>
      <c r="NFK57" s="82" t="str">
        <f>IF(ISNUMBER(outYear),NFK37+NFK42+#REF!+#REF!,"")</f>
        <v/>
      </c>
      <c r="NFL57" s="82" t="str">
        <f>IF(ISNUMBER(outYear),NFL37+NFL42+#REF!+#REF!,"")</f>
        <v/>
      </c>
      <c r="NFM57" s="82" t="str">
        <f>IF(ISNUMBER(outYear),NFM37+NFM42+#REF!+#REF!,"")</f>
        <v/>
      </c>
      <c r="NFN57" s="82" t="str">
        <f>IF(ISNUMBER(outYear),NFN37+NFN42+#REF!+#REF!,"")</f>
        <v/>
      </c>
      <c r="NFO57" s="82" t="str">
        <f>IF(ISNUMBER(outYear),NFO37+NFO42+#REF!+#REF!,"")</f>
        <v/>
      </c>
      <c r="NFP57" s="82" t="str">
        <f>IF(ISNUMBER(outYear),NFP37+NFP42+#REF!+#REF!,"")</f>
        <v/>
      </c>
      <c r="NFQ57" s="82" t="str">
        <f>IF(ISNUMBER(outYear),NFQ37+NFQ42+#REF!+#REF!,"")</f>
        <v/>
      </c>
      <c r="NFR57" s="82" t="str">
        <f>IF(ISNUMBER(outYear),NFR37+NFR42+#REF!+#REF!,"")</f>
        <v/>
      </c>
      <c r="NFS57" s="82" t="str">
        <f>IF(ISNUMBER(outYear),NFS37+NFS42+#REF!+#REF!,"")</f>
        <v/>
      </c>
      <c r="NFT57" s="82" t="str">
        <f>IF(ISNUMBER(outYear),NFT37+NFT42+#REF!+#REF!,"")</f>
        <v/>
      </c>
      <c r="NFU57" s="82" t="str">
        <f>IF(ISNUMBER(outYear),NFU37+NFU42+#REF!+#REF!,"")</f>
        <v/>
      </c>
      <c r="NFV57" s="82" t="str">
        <f>IF(ISNUMBER(outYear),NFV37+NFV42+#REF!+#REF!,"")</f>
        <v/>
      </c>
      <c r="NFW57" s="82" t="str">
        <f>IF(ISNUMBER(outYear),NFW37+NFW42+#REF!+#REF!,"")</f>
        <v/>
      </c>
      <c r="NFX57" s="82" t="str">
        <f>IF(ISNUMBER(outYear),NFX37+NFX42+#REF!+#REF!,"")</f>
        <v/>
      </c>
      <c r="NFY57" s="82" t="str">
        <f>IF(ISNUMBER(outYear),NFY37+NFY42+#REF!+#REF!,"")</f>
        <v/>
      </c>
      <c r="NFZ57" s="82" t="str">
        <f>IF(ISNUMBER(outYear),NFZ37+NFZ42+#REF!+#REF!,"")</f>
        <v/>
      </c>
      <c r="NGA57" s="82" t="str">
        <f>IF(ISNUMBER(outYear),NGA37+NGA42+#REF!+#REF!,"")</f>
        <v/>
      </c>
      <c r="NGB57" s="82" t="str">
        <f>IF(ISNUMBER(outYear),NGB37+NGB42+#REF!+#REF!,"")</f>
        <v/>
      </c>
      <c r="NGC57" s="82" t="str">
        <f>IF(ISNUMBER(outYear),NGC37+NGC42+#REF!+#REF!,"")</f>
        <v/>
      </c>
      <c r="NGD57" s="82" t="str">
        <f>IF(ISNUMBER(outYear),NGD37+NGD42+#REF!+#REF!,"")</f>
        <v/>
      </c>
      <c r="NGE57" s="82" t="str">
        <f>IF(ISNUMBER(outYear),NGE37+NGE42+#REF!+#REF!,"")</f>
        <v/>
      </c>
      <c r="NGF57" s="82" t="str">
        <f>IF(ISNUMBER(outYear),NGF37+NGF42+#REF!+#REF!,"")</f>
        <v/>
      </c>
      <c r="NGG57" s="82" t="str">
        <f>IF(ISNUMBER(outYear),NGG37+NGG42+#REF!+#REF!,"")</f>
        <v/>
      </c>
      <c r="NGH57" s="82" t="str">
        <f>IF(ISNUMBER(outYear),NGH37+NGH42+#REF!+#REF!,"")</f>
        <v/>
      </c>
      <c r="NGI57" s="82" t="str">
        <f>IF(ISNUMBER(outYear),NGI37+NGI42+#REF!+#REF!,"")</f>
        <v/>
      </c>
      <c r="NGJ57" s="82" t="str">
        <f>IF(ISNUMBER(outYear),NGJ37+NGJ42+#REF!+#REF!,"")</f>
        <v/>
      </c>
      <c r="NGK57" s="82" t="str">
        <f>IF(ISNUMBER(outYear),NGK37+NGK42+#REF!+#REF!,"")</f>
        <v/>
      </c>
      <c r="NGL57" s="82" t="str">
        <f>IF(ISNUMBER(outYear),NGL37+NGL42+#REF!+#REF!,"")</f>
        <v/>
      </c>
      <c r="NGM57" s="82" t="str">
        <f>IF(ISNUMBER(outYear),NGM37+NGM42+#REF!+#REF!,"")</f>
        <v/>
      </c>
      <c r="NGN57" s="82" t="str">
        <f>IF(ISNUMBER(outYear),NGN37+NGN42+#REF!+#REF!,"")</f>
        <v/>
      </c>
      <c r="NGO57" s="82" t="str">
        <f>IF(ISNUMBER(outYear),NGO37+NGO42+#REF!+#REF!,"")</f>
        <v/>
      </c>
      <c r="NGP57" s="82" t="str">
        <f>IF(ISNUMBER(outYear),NGP37+NGP42+#REF!+#REF!,"")</f>
        <v/>
      </c>
      <c r="NGQ57" s="82" t="str">
        <f>IF(ISNUMBER(outYear),NGQ37+NGQ42+#REF!+#REF!,"")</f>
        <v/>
      </c>
      <c r="NGR57" s="82" t="str">
        <f>IF(ISNUMBER(outYear),NGR37+NGR42+#REF!+#REF!,"")</f>
        <v/>
      </c>
      <c r="NGS57" s="82" t="str">
        <f>IF(ISNUMBER(outYear),NGS37+NGS42+#REF!+#REF!,"")</f>
        <v/>
      </c>
      <c r="NGT57" s="82" t="str">
        <f>IF(ISNUMBER(outYear),NGT37+NGT42+#REF!+#REF!,"")</f>
        <v/>
      </c>
      <c r="NGU57" s="82" t="str">
        <f>IF(ISNUMBER(outYear),NGU37+NGU42+#REF!+#REF!,"")</f>
        <v/>
      </c>
      <c r="NGV57" s="82" t="str">
        <f>IF(ISNUMBER(outYear),NGV37+NGV42+#REF!+#REF!,"")</f>
        <v/>
      </c>
      <c r="NGW57" s="82" t="str">
        <f>IF(ISNUMBER(outYear),NGW37+NGW42+#REF!+#REF!,"")</f>
        <v/>
      </c>
      <c r="NGX57" s="82" t="str">
        <f>IF(ISNUMBER(outYear),NGX37+NGX42+#REF!+#REF!,"")</f>
        <v/>
      </c>
      <c r="NGY57" s="82" t="str">
        <f>IF(ISNUMBER(outYear),NGY37+NGY42+#REF!+#REF!,"")</f>
        <v/>
      </c>
      <c r="NGZ57" s="82" t="str">
        <f>IF(ISNUMBER(outYear),NGZ37+NGZ42+#REF!+#REF!,"")</f>
        <v/>
      </c>
      <c r="NHA57" s="82" t="str">
        <f>IF(ISNUMBER(outYear),NHA37+NHA42+#REF!+#REF!,"")</f>
        <v/>
      </c>
      <c r="NHB57" s="82" t="str">
        <f>IF(ISNUMBER(outYear),NHB37+NHB42+#REF!+#REF!,"")</f>
        <v/>
      </c>
      <c r="NHC57" s="82" t="str">
        <f>IF(ISNUMBER(outYear),NHC37+NHC42+#REF!+#REF!,"")</f>
        <v/>
      </c>
      <c r="NHD57" s="82" t="str">
        <f>IF(ISNUMBER(outYear),NHD37+NHD42+#REF!+#REF!,"")</f>
        <v/>
      </c>
      <c r="NHE57" s="82" t="str">
        <f>IF(ISNUMBER(outYear),NHE37+NHE42+#REF!+#REF!,"")</f>
        <v/>
      </c>
      <c r="NHF57" s="82" t="str">
        <f>IF(ISNUMBER(outYear),NHF37+NHF42+#REF!+#REF!,"")</f>
        <v/>
      </c>
      <c r="NHG57" s="82" t="str">
        <f>IF(ISNUMBER(outYear),NHG37+NHG42+#REF!+#REF!,"")</f>
        <v/>
      </c>
      <c r="NHH57" s="82" t="str">
        <f>IF(ISNUMBER(outYear),NHH37+NHH42+#REF!+#REF!,"")</f>
        <v/>
      </c>
      <c r="NHI57" s="82" t="str">
        <f>IF(ISNUMBER(outYear),NHI37+NHI42+#REF!+#REF!,"")</f>
        <v/>
      </c>
      <c r="NHJ57" s="82" t="str">
        <f>IF(ISNUMBER(outYear),NHJ37+NHJ42+#REF!+#REF!,"")</f>
        <v/>
      </c>
      <c r="NHK57" s="82" t="str">
        <f>IF(ISNUMBER(outYear),NHK37+NHK42+#REF!+#REF!,"")</f>
        <v/>
      </c>
      <c r="NHL57" s="82" t="str">
        <f>IF(ISNUMBER(outYear),NHL37+NHL42+#REF!+#REF!,"")</f>
        <v/>
      </c>
      <c r="NHM57" s="82" t="str">
        <f>IF(ISNUMBER(outYear),NHM37+NHM42+#REF!+#REF!,"")</f>
        <v/>
      </c>
      <c r="NHN57" s="82" t="str">
        <f>IF(ISNUMBER(outYear),NHN37+NHN42+#REF!+#REF!,"")</f>
        <v/>
      </c>
      <c r="NHO57" s="82" t="str">
        <f>IF(ISNUMBER(outYear),NHO37+NHO42+#REF!+#REF!,"")</f>
        <v/>
      </c>
      <c r="NHP57" s="82" t="str">
        <f>IF(ISNUMBER(outYear),NHP37+NHP42+#REF!+#REF!,"")</f>
        <v/>
      </c>
      <c r="NHQ57" s="82" t="str">
        <f>IF(ISNUMBER(outYear),NHQ37+NHQ42+#REF!+#REF!,"")</f>
        <v/>
      </c>
      <c r="NHR57" s="82" t="str">
        <f>IF(ISNUMBER(outYear),NHR37+NHR42+#REF!+#REF!,"")</f>
        <v/>
      </c>
      <c r="NHS57" s="82" t="str">
        <f>IF(ISNUMBER(outYear),NHS37+NHS42+#REF!+#REF!,"")</f>
        <v/>
      </c>
      <c r="NHT57" s="82" t="str">
        <f>IF(ISNUMBER(outYear),NHT37+NHT42+#REF!+#REF!,"")</f>
        <v/>
      </c>
      <c r="NHU57" s="82" t="str">
        <f>IF(ISNUMBER(outYear),NHU37+NHU42+#REF!+#REF!,"")</f>
        <v/>
      </c>
      <c r="NHV57" s="82" t="str">
        <f>IF(ISNUMBER(outYear),NHV37+NHV42+#REF!+#REF!,"")</f>
        <v/>
      </c>
      <c r="NHW57" s="82" t="str">
        <f>IF(ISNUMBER(outYear),NHW37+NHW42+#REF!+#REF!,"")</f>
        <v/>
      </c>
      <c r="NHX57" s="82" t="str">
        <f>IF(ISNUMBER(outYear),NHX37+NHX42+#REF!+#REF!,"")</f>
        <v/>
      </c>
      <c r="NHY57" s="82" t="str">
        <f>IF(ISNUMBER(outYear),NHY37+NHY42+#REF!+#REF!,"")</f>
        <v/>
      </c>
      <c r="NHZ57" s="82" t="str">
        <f>IF(ISNUMBER(outYear),NHZ37+NHZ42+#REF!+#REF!,"")</f>
        <v/>
      </c>
      <c r="NIA57" s="82" t="str">
        <f>IF(ISNUMBER(outYear),NIA37+NIA42+#REF!+#REF!,"")</f>
        <v/>
      </c>
      <c r="NIB57" s="82" t="str">
        <f>IF(ISNUMBER(outYear),NIB37+NIB42+#REF!+#REF!,"")</f>
        <v/>
      </c>
      <c r="NIC57" s="82" t="str">
        <f>IF(ISNUMBER(outYear),NIC37+NIC42+#REF!+#REF!,"")</f>
        <v/>
      </c>
      <c r="NID57" s="82" t="str">
        <f>IF(ISNUMBER(outYear),NID37+NID42+#REF!+#REF!,"")</f>
        <v/>
      </c>
      <c r="NIE57" s="82" t="str">
        <f>IF(ISNUMBER(outYear),NIE37+NIE42+#REF!+#REF!,"")</f>
        <v/>
      </c>
      <c r="NIF57" s="82" t="str">
        <f>IF(ISNUMBER(outYear),NIF37+NIF42+#REF!+#REF!,"")</f>
        <v/>
      </c>
      <c r="NIG57" s="82" t="str">
        <f>IF(ISNUMBER(outYear),NIG37+NIG42+#REF!+#REF!,"")</f>
        <v/>
      </c>
      <c r="NIH57" s="82" t="str">
        <f>IF(ISNUMBER(outYear),NIH37+NIH42+#REF!+#REF!,"")</f>
        <v/>
      </c>
      <c r="NII57" s="82" t="str">
        <f>IF(ISNUMBER(outYear),NII37+NII42+#REF!+#REF!,"")</f>
        <v/>
      </c>
      <c r="NIJ57" s="82" t="str">
        <f>IF(ISNUMBER(outYear),NIJ37+NIJ42+#REF!+#REF!,"")</f>
        <v/>
      </c>
      <c r="NIK57" s="82" t="str">
        <f>IF(ISNUMBER(outYear),NIK37+NIK42+#REF!+#REF!,"")</f>
        <v/>
      </c>
      <c r="NIL57" s="82" t="str">
        <f>IF(ISNUMBER(outYear),NIL37+NIL42+#REF!+#REF!,"")</f>
        <v/>
      </c>
      <c r="NIM57" s="82" t="str">
        <f>IF(ISNUMBER(outYear),NIM37+NIM42+#REF!+#REF!,"")</f>
        <v/>
      </c>
      <c r="NIN57" s="82" t="str">
        <f>IF(ISNUMBER(outYear),NIN37+NIN42+#REF!+#REF!,"")</f>
        <v/>
      </c>
      <c r="NIO57" s="82" t="str">
        <f>IF(ISNUMBER(outYear),NIO37+NIO42+#REF!+#REF!,"")</f>
        <v/>
      </c>
      <c r="NIP57" s="82" t="str">
        <f>IF(ISNUMBER(outYear),NIP37+NIP42+#REF!+#REF!,"")</f>
        <v/>
      </c>
      <c r="NIQ57" s="82" t="str">
        <f>IF(ISNUMBER(outYear),NIQ37+NIQ42+#REF!+#REF!,"")</f>
        <v/>
      </c>
      <c r="NIR57" s="82" t="str">
        <f>IF(ISNUMBER(outYear),NIR37+NIR42+#REF!+#REF!,"")</f>
        <v/>
      </c>
      <c r="NIS57" s="82" t="str">
        <f>IF(ISNUMBER(outYear),NIS37+NIS42+#REF!+#REF!,"")</f>
        <v/>
      </c>
      <c r="NIT57" s="82" t="str">
        <f>IF(ISNUMBER(outYear),NIT37+NIT42+#REF!+#REF!,"")</f>
        <v/>
      </c>
      <c r="NIU57" s="82" t="str">
        <f>IF(ISNUMBER(outYear),NIU37+NIU42+#REF!+#REF!,"")</f>
        <v/>
      </c>
      <c r="NIV57" s="82" t="str">
        <f>IF(ISNUMBER(outYear),NIV37+NIV42+#REF!+#REF!,"")</f>
        <v/>
      </c>
      <c r="NIW57" s="82" t="str">
        <f>IF(ISNUMBER(outYear),NIW37+NIW42+#REF!+#REF!,"")</f>
        <v/>
      </c>
      <c r="NIX57" s="82" t="str">
        <f>IF(ISNUMBER(outYear),NIX37+NIX42+#REF!+#REF!,"")</f>
        <v/>
      </c>
      <c r="NIY57" s="82" t="str">
        <f>IF(ISNUMBER(outYear),NIY37+NIY42+#REF!+#REF!,"")</f>
        <v/>
      </c>
      <c r="NIZ57" s="82" t="str">
        <f>IF(ISNUMBER(outYear),NIZ37+NIZ42+#REF!+#REF!,"")</f>
        <v/>
      </c>
      <c r="NJA57" s="82" t="str">
        <f>IF(ISNUMBER(outYear),NJA37+NJA42+#REF!+#REF!,"")</f>
        <v/>
      </c>
      <c r="NJB57" s="82" t="str">
        <f>IF(ISNUMBER(outYear),NJB37+NJB42+#REF!+#REF!,"")</f>
        <v/>
      </c>
      <c r="NJC57" s="82" t="str">
        <f>IF(ISNUMBER(outYear),NJC37+NJC42+#REF!+#REF!,"")</f>
        <v/>
      </c>
      <c r="NJD57" s="82" t="str">
        <f>IF(ISNUMBER(outYear),NJD37+NJD42+#REF!+#REF!,"")</f>
        <v/>
      </c>
      <c r="NJE57" s="82" t="str">
        <f>IF(ISNUMBER(outYear),NJE37+NJE42+#REF!+#REF!,"")</f>
        <v/>
      </c>
      <c r="NJF57" s="82" t="str">
        <f>IF(ISNUMBER(outYear),NJF37+NJF42+#REF!+#REF!,"")</f>
        <v/>
      </c>
      <c r="NJG57" s="82" t="str">
        <f>IF(ISNUMBER(outYear),NJG37+NJG42+#REF!+#REF!,"")</f>
        <v/>
      </c>
      <c r="NJH57" s="82" t="str">
        <f>IF(ISNUMBER(outYear),NJH37+NJH42+#REF!+#REF!,"")</f>
        <v/>
      </c>
      <c r="NJI57" s="82" t="str">
        <f>IF(ISNUMBER(outYear),NJI37+NJI42+#REF!+#REF!,"")</f>
        <v/>
      </c>
      <c r="NJJ57" s="82" t="str">
        <f>IF(ISNUMBER(outYear),NJJ37+NJJ42+#REF!+#REF!,"")</f>
        <v/>
      </c>
      <c r="NJK57" s="82" t="str">
        <f>IF(ISNUMBER(outYear),NJK37+NJK42+#REF!+#REF!,"")</f>
        <v/>
      </c>
      <c r="NJL57" s="82" t="str">
        <f>IF(ISNUMBER(outYear),NJL37+NJL42+#REF!+#REF!,"")</f>
        <v/>
      </c>
      <c r="NJM57" s="82" t="str">
        <f>IF(ISNUMBER(outYear),NJM37+NJM42+#REF!+#REF!,"")</f>
        <v/>
      </c>
      <c r="NJN57" s="82" t="str">
        <f>IF(ISNUMBER(outYear),NJN37+NJN42+#REF!+#REF!,"")</f>
        <v/>
      </c>
      <c r="NJO57" s="82" t="str">
        <f>IF(ISNUMBER(outYear),NJO37+NJO42+#REF!+#REF!,"")</f>
        <v/>
      </c>
      <c r="NJP57" s="82" t="str">
        <f>IF(ISNUMBER(outYear),NJP37+NJP42+#REF!+#REF!,"")</f>
        <v/>
      </c>
      <c r="NJQ57" s="82" t="str">
        <f>IF(ISNUMBER(outYear),NJQ37+NJQ42+#REF!+#REF!,"")</f>
        <v/>
      </c>
      <c r="NJR57" s="82" t="str">
        <f>IF(ISNUMBER(outYear),NJR37+NJR42+#REF!+#REF!,"")</f>
        <v/>
      </c>
      <c r="NJS57" s="82" t="str">
        <f>IF(ISNUMBER(outYear),NJS37+NJS42+#REF!+#REF!,"")</f>
        <v/>
      </c>
      <c r="NJT57" s="82" t="str">
        <f>IF(ISNUMBER(outYear),NJT37+NJT42+#REF!+#REF!,"")</f>
        <v/>
      </c>
      <c r="NJU57" s="82" t="str">
        <f>IF(ISNUMBER(outYear),NJU37+NJU42+#REF!+#REF!,"")</f>
        <v/>
      </c>
      <c r="NJV57" s="82" t="str">
        <f>IF(ISNUMBER(outYear),NJV37+NJV42+#REF!+#REF!,"")</f>
        <v/>
      </c>
      <c r="NJW57" s="82" t="str">
        <f>IF(ISNUMBER(outYear),NJW37+NJW42+#REF!+#REF!,"")</f>
        <v/>
      </c>
      <c r="NJX57" s="82" t="str">
        <f>IF(ISNUMBER(outYear),NJX37+NJX42+#REF!+#REF!,"")</f>
        <v/>
      </c>
      <c r="NJY57" s="82" t="str">
        <f>IF(ISNUMBER(outYear),NJY37+NJY42+#REF!+#REF!,"")</f>
        <v/>
      </c>
      <c r="NJZ57" s="82" t="str">
        <f>IF(ISNUMBER(outYear),NJZ37+NJZ42+#REF!+#REF!,"")</f>
        <v/>
      </c>
      <c r="NKA57" s="82" t="str">
        <f>IF(ISNUMBER(outYear),NKA37+NKA42+#REF!+#REF!,"")</f>
        <v/>
      </c>
      <c r="NKB57" s="82" t="str">
        <f>IF(ISNUMBER(outYear),NKB37+NKB42+#REF!+#REF!,"")</f>
        <v/>
      </c>
      <c r="NKC57" s="82" t="str">
        <f>IF(ISNUMBER(outYear),NKC37+NKC42+#REF!+#REF!,"")</f>
        <v/>
      </c>
      <c r="NKD57" s="82" t="str">
        <f>IF(ISNUMBER(outYear),NKD37+NKD42+#REF!+#REF!,"")</f>
        <v/>
      </c>
      <c r="NKE57" s="82" t="str">
        <f>IF(ISNUMBER(outYear),NKE37+NKE42+#REF!+#REF!,"")</f>
        <v/>
      </c>
      <c r="NKF57" s="82" t="str">
        <f>IF(ISNUMBER(outYear),NKF37+NKF42+#REF!+#REF!,"")</f>
        <v/>
      </c>
      <c r="NKG57" s="82" t="str">
        <f>IF(ISNUMBER(outYear),NKG37+NKG42+#REF!+#REF!,"")</f>
        <v/>
      </c>
      <c r="NKH57" s="82" t="str">
        <f>IF(ISNUMBER(outYear),NKH37+NKH42+#REF!+#REF!,"")</f>
        <v/>
      </c>
      <c r="NKI57" s="82" t="str">
        <f>IF(ISNUMBER(outYear),NKI37+NKI42+#REF!+#REF!,"")</f>
        <v/>
      </c>
      <c r="NKJ57" s="82" t="str">
        <f>IF(ISNUMBER(outYear),NKJ37+NKJ42+#REF!+#REF!,"")</f>
        <v/>
      </c>
      <c r="NKK57" s="82" t="str">
        <f>IF(ISNUMBER(outYear),NKK37+NKK42+#REF!+#REF!,"")</f>
        <v/>
      </c>
      <c r="NKL57" s="82" t="str">
        <f>IF(ISNUMBER(outYear),NKL37+NKL42+#REF!+#REF!,"")</f>
        <v/>
      </c>
      <c r="NKM57" s="82" t="str">
        <f>IF(ISNUMBER(outYear),NKM37+NKM42+#REF!+#REF!,"")</f>
        <v/>
      </c>
      <c r="NKN57" s="82" t="str">
        <f>IF(ISNUMBER(outYear),NKN37+NKN42+#REF!+#REF!,"")</f>
        <v/>
      </c>
      <c r="NKO57" s="82" t="str">
        <f>IF(ISNUMBER(outYear),NKO37+NKO42+#REF!+#REF!,"")</f>
        <v/>
      </c>
      <c r="NKP57" s="82" t="str">
        <f>IF(ISNUMBER(outYear),NKP37+NKP42+#REF!+#REF!,"")</f>
        <v/>
      </c>
      <c r="NKQ57" s="82" t="str">
        <f>IF(ISNUMBER(outYear),NKQ37+NKQ42+#REF!+#REF!,"")</f>
        <v/>
      </c>
      <c r="NKR57" s="82" t="str">
        <f>IF(ISNUMBER(outYear),NKR37+NKR42+#REF!+#REF!,"")</f>
        <v/>
      </c>
      <c r="NKS57" s="82" t="str">
        <f>IF(ISNUMBER(outYear),NKS37+NKS42+#REF!+#REF!,"")</f>
        <v/>
      </c>
      <c r="NKT57" s="82" t="str">
        <f>IF(ISNUMBER(outYear),NKT37+NKT42+#REF!+#REF!,"")</f>
        <v/>
      </c>
      <c r="NKU57" s="82" t="str">
        <f>IF(ISNUMBER(outYear),NKU37+NKU42+#REF!+#REF!,"")</f>
        <v/>
      </c>
      <c r="NKV57" s="82" t="str">
        <f>IF(ISNUMBER(outYear),NKV37+NKV42+#REF!+#REF!,"")</f>
        <v/>
      </c>
      <c r="NKW57" s="82" t="str">
        <f>IF(ISNUMBER(outYear),NKW37+NKW42+#REF!+#REF!,"")</f>
        <v/>
      </c>
      <c r="NKX57" s="82" t="str">
        <f>IF(ISNUMBER(outYear),NKX37+NKX42+#REF!+#REF!,"")</f>
        <v/>
      </c>
      <c r="NKY57" s="82" t="str">
        <f>IF(ISNUMBER(outYear),NKY37+NKY42+#REF!+#REF!,"")</f>
        <v/>
      </c>
      <c r="NKZ57" s="82" t="str">
        <f>IF(ISNUMBER(outYear),NKZ37+NKZ42+#REF!+#REF!,"")</f>
        <v/>
      </c>
      <c r="NLA57" s="82" t="str">
        <f>IF(ISNUMBER(outYear),NLA37+NLA42+#REF!+#REF!,"")</f>
        <v/>
      </c>
      <c r="NLB57" s="82" t="str">
        <f>IF(ISNUMBER(outYear),NLB37+NLB42+#REF!+#REF!,"")</f>
        <v/>
      </c>
      <c r="NLC57" s="82" t="str">
        <f>IF(ISNUMBER(outYear),NLC37+NLC42+#REF!+#REF!,"")</f>
        <v/>
      </c>
      <c r="NLD57" s="82" t="str">
        <f>IF(ISNUMBER(outYear),NLD37+NLD42+#REF!+#REF!,"")</f>
        <v/>
      </c>
      <c r="NLE57" s="82" t="str">
        <f>IF(ISNUMBER(outYear),NLE37+NLE42+#REF!+#REF!,"")</f>
        <v/>
      </c>
      <c r="NLF57" s="82" t="str">
        <f>IF(ISNUMBER(outYear),NLF37+NLF42+#REF!+#REF!,"")</f>
        <v/>
      </c>
      <c r="NLG57" s="82" t="str">
        <f>IF(ISNUMBER(outYear),NLG37+NLG42+#REF!+#REF!,"")</f>
        <v/>
      </c>
      <c r="NLH57" s="82" t="str">
        <f>IF(ISNUMBER(outYear),NLH37+NLH42+#REF!+#REF!,"")</f>
        <v/>
      </c>
      <c r="NLI57" s="82" t="str">
        <f>IF(ISNUMBER(outYear),NLI37+NLI42+#REF!+#REF!,"")</f>
        <v/>
      </c>
      <c r="NLJ57" s="82" t="str">
        <f>IF(ISNUMBER(outYear),NLJ37+NLJ42+#REF!+#REF!,"")</f>
        <v/>
      </c>
      <c r="NLK57" s="82" t="str">
        <f>IF(ISNUMBER(outYear),NLK37+NLK42+#REF!+#REF!,"")</f>
        <v/>
      </c>
      <c r="NLL57" s="82" t="str">
        <f>IF(ISNUMBER(outYear),NLL37+NLL42+#REF!+#REF!,"")</f>
        <v/>
      </c>
      <c r="NLM57" s="82" t="str">
        <f>IF(ISNUMBER(outYear),NLM37+NLM42+#REF!+#REF!,"")</f>
        <v/>
      </c>
      <c r="NLN57" s="82" t="str">
        <f>IF(ISNUMBER(outYear),NLN37+NLN42+#REF!+#REF!,"")</f>
        <v/>
      </c>
      <c r="NLO57" s="82" t="str">
        <f>IF(ISNUMBER(outYear),NLO37+NLO42+#REF!+#REF!,"")</f>
        <v/>
      </c>
      <c r="NLP57" s="82" t="str">
        <f>IF(ISNUMBER(outYear),NLP37+NLP42+#REF!+#REF!,"")</f>
        <v/>
      </c>
      <c r="NLQ57" s="82" t="str">
        <f>IF(ISNUMBER(outYear),NLQ37+NLQ42+#REF!+#REF!,"")</f>
        <v/>
      </c>
      <c r="NLR57" s="82" t="str">
        <f>IF(ISNUMBER(outYear),NLR37+NLR42+#REF!+#REF!,"")</f>
        <v/>
      </c>
      <c r="NLS57" s="82" t="str">
        <f>IF(ISNUMBER(outYear),NLS37+NLS42+#REF!+#REF!,"")</f>
        <v/>
      </c>
      <c r="NLT57" s="82" t="str">
        <f>IF(ISNUMBER(outYear),NLT37+NLT42+#REF!+#REF!,"")</f>
        <v/>
      </c>
      <c r="NLU57" s="82" t="str">
        <f>IF(ISNUMBER(outYear),NLU37+NLU42+#REF!+#REF!,"")</f>
        <v/>
      </c>
      <c r="NLV57" s="82" t="str">
        <f>IF(ISNUMBER(outYear),NLV37+NLV42+#REF!+#REF!,"")</f>
        <v/>
      </c>
      <c r="NLW57" s="82" t="str">
        <f>IF(ISNUMBER(outYear),NLW37+NLW42+#REF!+#REF!,"")</f>
        <v/>
      </c>
      <c r="NLX57" s="82" t="str">
        <f>IF(ISNUMBER(outYear),NLX37+NLX42+#REF!+#REF!,"")</f>
        <v/>
      </c>
      <c r="NLY57" s="82" t="str">
        <f>IF(ISNUMBER(outYear),NLY37+NLY42+#REF!+#REF!,"")</f>
        <v/>
      </c>
      <c r="NLZ57" s="82" t="str">
        <f>IF(ISNUMBER(outYear),NLZ37+NLZ42+#REF!+#REF!,"")</f>
        <v/>
      </c>
      <c r="NMA57" s="82" t="str">
        <f>IF(ISNUMBER(outYear),NMA37+NMA42+#REF!+#REF!,"")</f>
        <v/>
      </c>
      <c r="NMB57" s="82" t="str">
        <f>IF(ISNUMBER(outYear),NMB37+NMB42+#REF!+#REF!,"")</f>
        <v/>
      </c>
      <c r="NMC57" s="82" t="str">
        <f>IF(ISNUMBER(outYear),NMC37+NMC42+#REF!+#REF!,"")</f>
        <v/>
      </c>
      <c r="NMD57" s="82" t="str">
        <f>IF(ISNUMBER(outYear),NMD37+NMD42+#REF!+#REF!,"")</f>
        <v/>
      </c>
      <c r="NME57" s="82" t="str">
        <f>IF(ISNUMBER(outYear),NME37+NME42+#REF!+#REF!,"")</f>
        <v/>
      </c>
      <c r="NMF57" s="82" t="str">
        <f>IF(ISNUMBER(outYear),NMF37+NMF42+#REF!+#REF!,"")</f>
        <v/>
      </c>
      <c r="NMG57" s="82" t="str">
        <f>IF(ISNUMBER(outYear),NMG37+NMG42+#REF!+#REF!,"")</f>
        <v/>
      </c>
      <c r="NMH57" s="82" t="str">
        <f>IF(ISNUMBER(outYear),NMH37+NMH42+#REF!+#REF!,"")</f>
        <v/>
      </c>
      <c r="NMI57" s="82" t="str">
        <f>IF(ISNUMBER(outYear),NMI37+NMI42+#REF!+#REF!,"")</f>
        <v/>
      </c>
      <c r="NMJ57" s="82" t="str">
        <f>IF(ISNUMBER(outYear),NMJ37+NMJ42+#REF!+#REF!,"")</f>
        <v/>
      </c>
      <c r="NMK57" s="82" t="str">
        <f>IF(ISNUMBER(outYear),NMK37+NMK42+#REF!+#REF!,"")</f>
        <v/>
      </c>
      <c r="NML57" s="82" t="str">
        <f>IF(ISNUMBER(outYear),NML37+NML42+#REF!+#REF!,"")</f>
        <v/>
      </c>
      <c r="NMM57" s="82" t="str">
        <f>IF(ISNUMBER(outYear),NMM37+NMM42+#REF!+#REF!,"")</f>
        <v/>
      </c>
      <c r="NMN57" s="82" t="str">
        <f>IF(ISNUMBER(outYear),NMN37+NMN42+#REF!+#REF!,"")</f>
        <v/>
      </c>
      <c r="NMO57" s="82" t="str">
        <f>IF(ISNUMBER(outYear),NMO37+NMO42+#REF!+#REF!,"")</f>
        <v/>
      </c>
      <c r="NMP57" s="82" t="str">
        <f>IF(ISNUMBER(outYear),NMP37+NMP42+#REF!+#REF!,"")</f>
        <v/>
      </c>
      <c r="NMQ57" s="82" t="str">
        <f>IF(ISNUMBER(outYear),NMQ37+NMQ42+#REF!+#REF!,"")</f>
        <v/>
      </c>
      <c r="NMR57" s="82" t="str">
        <f>IF(ISNUMBER(outYear),NMR37+NMR42+#REF!+#REF!,"")</f>
        <v/>
      </c>
      <c r="NMS57" s="82" t="str">
        <f>IF(ISNUMBER(outYear),NMS37+NMS42+#REF!+#REF!,"")</f>
        <v/>
      </c>
      <c r="NMT57" s="82" t="str">
        <f>IF(ISNUMBER(outYear),NMT37+NMT42+#REF!+#REF!,"")</f>
        <v/>
      </c>
      <c r="NMU57" s="82" t="str">
        <f>IF(ISNUMBER(outYear),NMU37+NMU42+#REF!+#REF!,"")</f>
        <v/>
      </c>
      <c r="NMV57" s="82" t="str">
        <f>IF(ISNUMBER(outYear),NMV37+NMV42+#REF!+#REF!,"")</f>
        <v/>
      </c>
      <c r="NMW57" s="82" t="str">
        <f>IF(ISNUMBER(outYear),NMW37+NMW42+#REF!+#REF!,"")</f>
        <v/>
      </c>
      <c r="NMX57" s="82" t="str">
        <f>IF(ISNUMBER(outYear),NMX37+NMX42+#REF!+#REF!,"")</f>
        <v/>
      </c>
      <c r="NMY57" s="82" t="str">
        <f>IF(ISNUMBER(outYear),NMY37+NMY42+#REF!+#REF!,"")</f>
        <v/>
      </c>
      <c r="NMZ57" s="82" t="str">
        <f>IF(ISNUMBER(outYear),NMZ37+NMZ42+#REF!+#REF!,"")</f>
        <v/>
      </c>
      <c r="NNA57" s="82" t="str">
        <f>IF(ISNUMBER(outYear),NNA37+NNA42+#REF!+#REF!,"")</f>
        <v/>
      </c>
      <c r="NNB57" s="82" t="str">
        <f>IF(ISNUMBER(outYear),NNB37+NNB42+#REF!+#REF!,"")</f>
        <v/>
      </c>
      <c r="NNC57" s="82" t="str">
        <f>IF(ISNUMBER(outYear),NNC37+NNC42+#REF!+#REF!,"")</f>
        <v/>
      </c>
      <c r="NND57" s="82" t="str">
        <f>IF(ISNUMBER(outYear),NND37+NND42+#REF!+#REF!,"")</f>
        <v/>
      </c>
      <c r="NNE57" s="82" t="str">
        <f>IF(ISNUMBER(outYear),NNE37+NNE42+#REF!+#REF!,"")</f>
        <v/>
      </c>
      <c r="NNF57" s="82" t="str">
        <f>IF(ISNUMBER(outYear),NNF37+NNF42+#REF!+#REF!,"")</f>
        <v/>
      </c>
      <c r="NNG57" s="82" t="str">
        <f>IF(ISNUMBER(outYear),NNG37+NNG42+#REF!+#REF!,"")</f>
        <v/>
      </c>
      <c r="NNH57" s="82" t="str">
        <f>IF(ISNUMBER(outYear),NNH37+NNH42+#REF!+#REF!,"")</f>
        <v/>
      </c>
      <c r="NNI57" s="82" t="str">
        <f>IF(ISNUMBER(outYear),NNI37+NNI42+#REF!+#REF!,"")</f>
        <v/>
      </c>
      <c r="NNJ57" s="82" t="str">
        <f>IF(ISNUMBER(outYear),NNJ37+NNJ42+#REF!+#REF!,"")</f>
        <v/>
      </c>
      <c r="NNK57" s="82" t="str">
        <f>IF(ISNUMBER(outYear),NNK37+NNK42+#REF!+#REF!,"")</f>
        <v/>
      </c>
      <c r="NNL57" s="82" t="str">
        <f>IF(ISNUMBER(outYear),NNL37+NNL42+#REF!+#REF!,"")</f>
        <v/>
      </c>
      <c r="NNM57" s="82" t="str">
        <f>IF(ISNUMBER(outYear),NNM37+NNM42+#REF!+#REF!,"")</f>
        <v/>
      </c>
      <c r="NNN57" s="82" t="str">
        <f>IF(ISNUMBER(outYear),NNN37+NNN42+#REF!+#REF!,"")</f>
        <v/>
      </c>
      <c r="NNO57" s="82" t="str">
        <f>IF(ISNUMBER(outYear),NNO37+NNO42+#REF!+#REF!,"")</f>
        <v/>
      </c>
      <c r="NNP57" s="82" t="str">
        <f>IF(ISNUMBER(outYear),NNP37+NNP42+#REF!+#REF!,"")</f>
        <v/>
      </c>
      <c r="NNQ57" s="82" t="str">
        <f>IF(ISNUMBER(outYear),NNQ37+NNQ42+#REF!+#REF!,"")</f>
        <v/>
      </c>
      <c r="NNR57" s="82" t="str">
        <f>IF(ISNUMBER(outYear),NNR37+NNR42+#REF!+#REF!,"")</f>
        <v/>
      </c>
      <c r="NNS57" s="82" t="str">
        <f>IF(ISNUMBER(outYear),NNS37+NNS42+#REF!+#REF!,"")</f>
        <v/>
      </c>
      <c r="NNT57" s="82" t="str">
        <f>IF(ISNUMBER(outYear),NNT37+NNT42+#REF!+#REF!,"")</f>
        <v/>
      </c>
      <c r="NNU57" s="82" t="str">
        <f>IF(ISNUMBER(outYear),NNU37+NNU42+#REF!+#REF!,"")</f>
        <v/>
      </c>
      <c r="NNV57" s="82" t="str">
        <f>IF(ISNUMBER(outYear),NNV37+NNV42+#REF!+#REF!,"")</f>
        <v/>
      </c>
      <c r="NNW57" s="82" t="str">
        <f>IF(ISNUMBER(outYear),NNW37+NNW42+#REF!+#REF!,"")</f>
        <v/>
      </c>
      <c r="NNX57" s="82" t="str">
        <f>IF(ISNUMBER(outYear),NNX37+NNX42+#REF!+#REF!,"")</f>
        <v/>
      </c>
      <c r="NNY57" s="82" t="str">
        <f>IF(ISNUMBER(outYear),NNY37+NNY42+#REF!+#REF!,"")</f>
        <v/>
      </c>
      <c r="NNZ57" s="82" t="str">
        <f>IF(ISNUMBER(outYear),NNZ37+NNZ42+#REF!+#REF!,"")</f>
        <v/>
      </c>
      <c r="NOA57" s="82" t="str">
        <f>IF(ISNUMBER(outYear),NOA37+NOA42+#REF!+#REF!,"")</f>
        <v/>
      </c>
      <c r="NOB57" s="82" t="str">
        <f>IF(ISNUMBER(outYear),NOB37+NOB42+#REF!+#REF!,"")</f>
        <v/>
      </c>
      <c r="NOC57" s="82" t="str">
        <f>IF(ISNUMBER(outYear),NOC37+NOC42+#REF!+#REF!,"")</f>
        <v/>
      </c>
      <c r="NOD57" s="82" t="str">
        <f>IF(ISNUMBER(outYear),NOD37+NOD42+#REF!+#REF!,"")</f>
        <v/>
      </c>
      <c r="NOE57" s="82" t="str">
        <f>IF(ISNUMBER(outYear),NOE37+NOE42+#REF!+#REF!,"")</f>
        <v/>
      </c>
      <c r="NOF57" s="82" t="str">
        <f>IF(ISNUMBER(outYear),NOF37+NOF42+#REF!+#REF!,"")</f>
        <v/>
      </c>
      <c r="NOG57" s="82" t="str">
        <f>IF(ISNUMBER(outYear),NOG37+NOG42+#REF!+#REF!,"")</f>
        <v/>
      </c>
      <c r="NOH57" s="82" t="str">
        <f>IF(ISNUMBER(outYear),NOH37+NOH42+#REF!+#REF!,"")</f>
        <v/>
      </c>
      <c r="NOI57" s="82" t="str">
        <f>IF(ISNUMBER(outYear),NOI37+NOI42+#REF!+#REF!,"")</f>
        <v/>
      </c>
      <c r="NOJ57" s="82" t="str">
        <f>IF(ISNUMBER(outYear),NOJ37+NOJ42+#REF!+#REF!,"")</f>
        <v/>
      </c>
      <c r="NOK57" s="82" t="str">
        <f>IF(ISNUMBER(outYear),NOK37+NOK42+#REF!+#REF!,"")</f>
        <v/>
      </c>
      <c r="NOL57" s="82" t="str">
        <f>IF(ISNUMBER(outYear),NOL37+NOL42+#REF!+#REF!,"")</f>
        <v/>
      </c>
      <c r="NOM57" s="82" t="str">
        <f>IF(ISNUMBER(outYear),NOM37+NOM42+#REF!+#REF!,"")</f>
        <v/>
      </c>
      <c r="NON57" s="82" t="str">
        <f>IF(ISNUMBER(outYear),NON37+NON42+#REF!+#REF!,"")</f>
        <v/>
      </c>
      <c r="NOO57" s="82" t="str">
        <f>IF(ISNUMBER(outYear),NOO37+NOO42+#REF!+#REF!,"")</f>
        <v/>
      </c>
      <c r="NOP57" s="82" t="str">
        <f>IF(ISNUMBER(outYear),NOP37+NOP42+#REF!+#REF!,"")</f>
        <v/>
      </c>
      <c r="NOQ57" s="82" t="str">
        <f>IF(ISNUMBER(outYear),NOQ37+NOQ42+#REF!+#REF!,"")</f>
        <v/>
      </c>
      <c r="NOR57" s="82" t="str">
        <f>IF(ISNUMBER(outYear),NOR37+NOR42+#REF!+#REF!,"")</f>
        <v/>
      </c>
      <c r="NOS57" s="82" t="str">
        <f>IF(ISNUMBER(outYear),NOS37+NOS42+#REF!+#REF!,"")</f>
        <v/>
      </c>
      <c r="NOT57" s="82" t="str">
        <f>IF(ISNUMBER(outYear),NOT37+NOT42+#REF!+#REF!,"")</f>
        <v/>
      </c>
      <c r="NOU57" s="82" t="str">
        <f>IF(ISNUMBER(outYear),NOU37+NOU42+#REF!+#REF!,"")</f>
        <v/>
      </c>
      <c r="NOV57" s="82" t="str">
        <f>IF(ISNUMBER(outYear),NOV37+NOV42+#REF!+#REF!,"")</f>
        <v/>
      </c>
      <c r="NOW57" s="82" t="str">
        <f>IF(ISNUMBER(outYear),NOW37+NOW42+#REF!+#REF!,"")</f>
        <v/>
      </c>
      <c r="NOX57" s="82" t="str">
        <f>IF(ISNUMBER(outYear),NOX37+NOX42+#REF!+#REF!,"")</f>
        <v/>
      </c>
      <c r="NOY57" s="82" t="str">
        <f>IF(ISNUMBER(outYear),NOY37+NOY42+#REF!+#REF!,"")</f>
        <v/>
      </c>
      <c r="NOZ57" s="82" t="str">
        <f>IF(ISNUMBER(outYear),NOZ37+NOZ42+#REF!+#REF!,"")</f>
        <v/>
      </c>
      <c r="NPA57" s="82" t="str">
        <f>IF(ISNUMBER(outYear),NPA37+NPA42+#REF!+#REF!,"")</f>
        <v/>
      </c>
      <c r="NPB57" s="82" t="str">
        <f>IF(ISNUMBER(outYear),NPB37+NPB42+#REF!+#REF!,"")</f>
        <v/>
      </c>
      <c r="NPC57" s="82" t="str">
        <f>IF(ISNUMBER(outYear),NPC37+NPC42+#REF!+#REF!,"")</f>
        <v/>
      </c>
      <c r="NPD57" s="82" t="str">
        <f>IF(ISNUMBER(outYear),NPD37+NPD42+#REF!+#REF!,"")</f>
        <v/>
      </c>
      <c r="NPE57" s="82" t="str">
        <f>IF(ISNUMBER(outYear),NPE37+NPE42+#REF!+#REF!,"")</f>
        <v/>
      </c>
      <c r="NPF57" s="82" t="str">
        <f>IF(ISNUMBER(outYear),NPF37+NPF42+#REF!+#REF!,"")</f>
        <v/>
      </c>
      <c r="NPG57" s="82" t="str">
        <f>IF(ISNUMBER(outYear),NPG37+NPG42+#REF!+#REF!,"")</f>
        <v/>
      </c>
      <c r="NPH57" s="82" t="str">
        <f>IF(ISNUMBER(outYear),NPH37+NPH42+#REF!+#REF!,"")</f>
        <v/>
      </c>
      <c r="NPI57" s="82" t="str">
        <f>IF(ISNUMBER(outYear),NPI37+NPI42+#REF!+#REF!,"")</f>
        <v/>
      </c>
      <c r="NPJ57" s="82" t="str">
        <f>IF(ISNUMBER(outYear),NPJ37+NPJ42+#REF!+#REF!,"")</f>
        <v/>
      </c>
      <c r="NPK57" s="82" t="str">
        <f>IF(ISNUMBER(outYear),NPK37+NPK42+#REF!+#REF!,"")</f>
        <v/>
      </c>
      <c r="NPL57" s="82" t="str">
        <f>IF(ISNUMBER(outYear),NPL37+NPL42+#REF!+#REF!,"")</f>
        <v/>
      </c>
      <c r="NPM57" s="82" t="str">
        <f>IF(ISNUMBER(outYear),NPM37+NPM42+#REF!+#REF!,"")</f>
        <v/>
      </c>
      <c r="NPN57" s="82" t="str">
        <f>IF(ISNUMBER(outYear),NPN37+NPN42+#REF!+#REF!,"")</f>
        <v/>
      </c>
      <c r="NPO57" s="82" t="str">
        <f>IF(ISNUMBER(outYear),NPO37+NPO42+#REF!+#REF!,"")</f>
        <v/>
      </c>
      <c r="NPP57" s="82" t="str">
        <f>IF(ISNUMBER(outYear),NPP37+NPP42+#REF!+#REF!,"")</f>
        <v/>
      </c>
      <c r="NPQ57" s="82" t="str">
        <f>IF(ISNUMBER(outYear),NPQ37+NPQ42+#REF!+#REF!,"")</f>
        <v/>
      </c>
      <c r="NPR57" s="82" t="str">
        <f>IF(ISNUMBER(outYear),NPR37+NPR42+#REF!+#REF!,"")</f>
        <v/>
      </c>
      <c r="NPS57" s="82" t="str">
        <f>IF(ISNUMBER(outYear),NPS37+NPS42+#REF!+#REF!,"")</f>
        <v/>
      </c>
      <c r="NPT57" s="82" t="str">
        <f>IF(ISNUMBER(outYear),NPT37+NPT42+#REF!+#REF!,"")</f>
        <v/>
      </c>
      <c r="NPU57" s="82" t="str">
        <f>IF(ISNUMBER(outYear),NPU37+NPU42+#REF!+#REF!,"")</f>
        <v/>
      </c>
      <c r="NPV57" s="82" t="str">
        <f>IF(ISNUMBER(outYear),NPV37+NPV42+#REF!+#REF!,"")</f>
        <v/>
      </c>
      <c r="NPW57" s="82" t="str">
        <f>IF(ISNUMBER(outYear),NPW37+NPW42+#REF!+#REF!,"")</f>
        <v/>
      </c>
      <c r="NPX57" s="82" t="str">
        <f>IF(ISNUMBER(outYear),NPX37+NPX42+#REF!+#REF!,"")</f>
        <v/>
      </c>
      <c r="NPY57" s="82" t="str">
        <f>IF(ISNUMBER(outYear),NPY37+NPY42+#REF!+#REF!,"")</f>
        <v/>
      </c>
      <c r="NPZ57" s="82" t="str">
        <f>IF(ISNUMBER(outYear),NPZ37+NPZ42+#REF!+#REF!,"")</f>
        <v/>
      </c>
      <c r="NQA57" s="82" t="str">
        <f>IF(ISNUMBER(outYear),NQA37+NQA42+#REF!+#REF!,"")</f>
        <v/>
      </c>
      <c r="NQB57" s="82" t="str">
        <f>IF(ISNUMBER(outYear),NQB37+NQB42+#REF!+#REF!,"")</f>
        <v/>
      </c>
      <c r="NQC57" s="82" t="str">
        <f>IF(ISNUMBER(outYear),NQC37+NQC42+#REF!+#REF!,"")</f>
        <v/>
      </c>
      <c r="NQD57" s="82" t="str">
        <f>IF(ISNUMBER(outYear),NQD37+NQD42+#REF!+#REF!,"")</f>
        <v/>
      </c>
      <c r="NQE57" s="82" t="str">
        <f>IF(ISNUMBER(outYear),NQE37+NQE42+#REF!+#REF!,"")</f>
        <v/>
      </c>
      <c r="NQF57" s="82" t="str">
        <f>IF(ISNUMBER(outYear),NQF37+NQF42+#REF!+#REF!,"")</f>
        <v/>
      </c>
      <c r="NQG57" s="82" t="str">
        <f>IF(ISNUMBER(outYear),NQG37+NQG42+#REF!+#REF!,"")</f>
        <v/>
      </c>
      <c r="NQH57" s="82" t="str">
        <f>IF(ISNUMBER(outYear),NQH37+NQH42+#REF!+#REF!,"")</f>
        <v/>
      </c>
      <c r="NQI57" s="82" t="str">
        <f>IF(ISNUMBER(outYear),NQI37+NQI42+#REF!+#REF!,"")</f>
        <v/>
      </c>
      <c r="NQJ57" s="82" t="str">
        <f>IF(ISNUMBER(outYear),NQJ37+NQJ42+#REF!+#REF!,"")</f>
        <v/>
      </c>
      <c r="NQK57" s="82" t="str">
        <f>IF(ISNUMBER(outYear),NQK37+NQK42+#REF!+#REF!,"")</f>
        <v/>
      </c>
      <c r="NQL57" s="82" t="str">
        <f>IF(ISNUMBER(outYear),NQL37+NQL42+#REF!+#REF!,"")</f>
        <v/>
      </c>
      <c r="NQM57" s="82" t="str">
        <f>IF(ISNUMBER(outYear),NQM37+NQM42+#REF!+#REF!,"")</f>
        <v/>
      </c>
      <c r="NQN57" s="82" t="str">
        <f>IF(ISNUMBER(outYear),NQN37+NQN42+#REF!+#REF!,"")</f>
        <v/>
      </c>
      <c r="NQO57" s="82" t="str">
        <f>IF(ISNUMBER(outYear),NQO37+NQO42+#REF!+#REF!,"")</f>
        <v/>
      </c>
      <c r="NQP57" s="82" t="str">
        <f>IF(ISNUMBER(outYear),NQP37+NQP42+#REF!+#REF!,"")</f>
        <v/>
      </c>
      <c r="NQQ57" s="82" t="str">
        <f>IF(ISNUMBER(outYear),NQQ37+NQQ42+#REF!+#REF!,"")</f>
        <v/>
      </c>
      <c r="NQR57" s="82" t="str">
        <f>IF(ISNUMBER(outYear),NQR37+NQR42+#REF!+#REF!,"")</f>
        <v/>
      </c>
      <c r="NQS57" s="82" t="str">
        <f>IF(ISNUMBER(outYear),NQS37+NQS42+#REF!+#REF!,"")</f>
        <v/>
      </c>
      <c r="NQT57" s="82" t="str">
        <f>IF(ISNUMBER(outYear),NQT37+NQT42+#REF!+#REF!,"")</f>
        <v/>
      </c>
      <c r="NQU57" s="82" t="str">
        <f>IF(ISNUMBER(outYear),NQU37+NQU42+#REF!+#REF!,"")</f>
        <v/>
      </c>
      <c r="NQV57" s="82" t="str">
        <f>IF(ISNUMBER(outYear),NQV37+NQV42+#REF!+#REF!,"")</f>
        <v/>
      </c>
      <c r="NQW57" s="82" t="str">
        <f>IF(ISNUMBER(outYear),NQW37+NQW42+#REF!+#REF!,"")</f>
        <v/>
      </c>
      <c r="NQX57" s="82" t="str">
        <f>IF(ISNUMBER(outYear),NQX37+NQX42+#REF!+#REF!,"")</f>
        <v/>
      </c>
      <c r="NQY57" s="82" t="str">
        <f>IF(ISNUMBER(outYear),NQY37+NQY42+#REF!+#REF!,"")</f>
        <v/>
      </c>
      <c r="NQZ57" s="82" t="str">
        <f>IF(ISNUMBER(outYear),NQZ37+NQZ42+#REF!+#REF!,"")</f>
        <v/>
      </c>
      <c r="NRA57" s="82" t="str">
        <f>IF(ISNUMBER(outYear),NRA37+NRA42+#REF!+#REF!,"")</f>
        <v/>
      </c>
      <c r="NRB57" s="82" t="str">
        <f>IF(ISNUMBER(outYear),NRB37+NRB42+#REF!+#REF!,"")</f>
        <v/>
      </c>
      <c r="NRC57" s="82" t="str">
        <f>IF(ISNUMBER(outYear),NRC37+NRC42+#REF!+#REF!,"")</f>
        <v/>
      </c>
      <c r="NRD57" s="82" t="str">
        <f>IF(ISNUMBER(outYear),NRD37+NRD42+#REF!+#REF!,"")</f>
        <v/>
      </c>
      <c r="NRE57" s="82" t="str">
        <f>IF(ISNUMBER(outYear),NRE37+NRE42+#REF!+#REF!,"")</f>
        <v/>
      </c>
      <c r="NRF57" s="82" t="str">
        <f>IF(ISNUMBER(outYear),NRF37+NRF42+#REF!+#REF!,"")</f>
        <v/>
      </c>
      <c r="NRG57" s="82" t="str">
        <f>IF(ISNUMBER(outYear),NRG37+NRG42+#REF!+#REF!,"")</f>
        <v/>
      </c>
      <c r="NRH57" s="82" t="str">
        <f>IF(ISNUMBER(outYear),NRH37+NRH42+#REF!+#REF!,"")</f>
        <v/>
      </c>
      <c r="NRI57" s="82" t="str">
        <f>IF(ISNUMBER(outYear),NRI37+NRI42+#REF!+#REF!,"")</f>
        <v/>
      </c>
      <c r="NRJ57" s="82" t="str">
        <f>IF(ISNUMBER(outYear),NRJ37+NRJ42+#REF!+#REF!,"")</f>
        <v/>
      </c>
      <c r="NRK57" s="82" t="str">
        <f>IF(ISNUMBER(outYear),NRK37+NRK42+#REF!+#REF!,"")</f>
        <v/>
      </c>
      <c r="NRL57" s="82" t="str">
        <f>IF(ISNUMBER(outYear),NRL37+NRL42+#REF!+#REF!,"")</f>
        <v/>
      </c>
      <c r="NRM57" s="82" t="str">
        <f>IF(ISNUMBER(outYear),NRM37+NRM42+#REF!+#REF!,"")</f>
        <v/>
      </c>
      <c r="NRN57" s="82" t="str">
        <f>IF(ISNUMBER(outYear),NRN37+NRN42+#REF!+#REF!,"")</f>
        <v/>
      </c>
      <c r="NRO57" s="82" t="str">
        <f>IF(ISNUMBER(outYear),NRO37+NRO42+#REF!+#REF!,"")</f>
        <v/>
      </c>
      <c r="NRP57" s="82" t="str">
        <f>IF(ISNUMBER(outYear),NRP37+NRP42+#REF!+#REF!,"")</f>
        <v/>
      </c>
      <c r="NRQ57" s="82" t="str">
        <f>IF(ISNUMBER(outYear),NRQ37+NRQ42+#REF!+#REF!,"")</f>
        <v/>
      </c>
      <c r="NRR57" s="82" t="str">
        <f>IF(ISNUMBER(outYear),NRR37+NRR42+#REF!+#REF!,"")</f>
        <v/>
      </c>
      <c r="NRS57" s="82" t="str">
        <f>IF(ISNUMBER(outYear),NRS37+NRS42+#REF!+#REF!,"")</f>
        <v/>
      </c>
      <c r="NRT57" s="82" t="str">
        <f>IF(ISNUMBER(outYear),NRT37+NRT42+#REF!+#REF!,"")</f>
        <v/>
      </c>
      <c r="NRU57" s="82" t="str">
        <f>IF(ISNUMBER(outYear),NRU37+NRU42+#REF!+#REF!,"")</f>
        <v/>
      </c>
      <c r="NRV57" s="82" t="str">
        <f>IF(ISNUMBER(outYear),NRV37+NRV42+#REF!+#REF!,"")</f>
        <v/>
      </c>
      <c r="NRW57" s="82" t="str">
        <f>IF(ISNUMBER(outYear),NRW37+NRW42+#REF!+#REF!,"")</f>
        <v/>
      </c>
      <c r="NRX57" s="82" t="str">
        <f>IF(ISNUMBER(outYear),NRX37+NRX42+#REF!+#REF!,"")</f>
        <v/>
      </c>
      <c r="NRY57" s="82" t="str">
        <f>IF(ISNUMBER(outYear),NRY37+NRY42+#REF!+#REF!,"")</f>
        <v/>
      </c>
      <c r="NRZ57" s="82" t="str">
        <f>IF(ISNUMBER(outYear),NRZ37+NRZ42+#REF!+#REF!,"")</f>
        <v/>
      </c>
      <c r="NSA57" s="82" t="str">
        <f>IF(ISNUMBER(outYear),NSA37+NSA42+#REF!+#REF!,"")</f>
        <v/>
      </c>
      <c r="NSB57" s="82" t="str">
        <f>IF(ISNUMBER(outYear),NSB37+NSB42+#REF!+#REF!,"")</f>
        <v/>
      </c>
      <c r="NSC57" s="82" t="str">
        <f>IF(ISNUMBER(outYear),NSC37+NSC42+#REF!+#REF!,"")</f>
        <v/>
      </c>
      <c r="NSD57" s="82" t="str">
        <f>IF(ISNUMBER(outYear),NSD37+NSD42+#REF!+#REF!,"")</f>
        <v/>
      </c>
      <c r="NSE57" s="82" t="str">
        <f>IF(ISNUMBER(outYear),NSE37+NSE42+#REF!+#REF!,"")</f>
        <v/>
      </c>
      <c r="NSF57" s="82" t="str">
        <f>IF(ISNUMBER(outYear),NSF37+NSF42+#REF!+#REF!,"")</f>
        <v/>
      </c>
      <c r="NSG57" s="82" t="str">
        <f>IF(ISNUMBER(outYear),NSG37+NSG42+#REF!+#REF!,"")</f>
        <v/>
      </c>
      <c r="NSH57" s="82" t="str">
        <f>IF(ISNUMBER(outYear),NSH37+NSH42+#REF!+#REF!,"")</f>
        <v/>
      </c>
      <c r="NSI57" s="82" t="str">
        <f>IF(ISNUMBER(outYear),NSI37+NSI42+#REF!+#REF!,"")</f>
        <v/>
      </c>
      <c r="NSJ57" s="82" t="str">
        <f>IF(ISNUMBER(outYear),NSJ37+NSJ42+#REF!+#REF!,"")</f>
        <v/>
      </c>
      <c r="NSK57" s="82" t="str">
        <f>IF(ISNUMBER(outYear),NSK37+NSK42+#REF!+#REF!,"")</f>
        <v/>
      </c>
      <c r="NSL57" s="82" t="str">
        <f>IF(ISNUMBER(outYear),NSL37+NSL42+#REF!+#REF!,"")</f>
        <v/>
      </c>
      <c r="NSM57" s="82" t="str">
        <f>IF(ISNUMBER(outYear),NSM37+NSM42+#REF!+#REF!,"")</f>
        <v/>
      </c>
      <c r="NSN57" s="82" t="str">
        <f>IF(ISNUMBER(outYear),NSN37+NSN42+#REF!+#REF!,"")</f>
        <v/>
      </c>
      <c r="NSO57" s="82" t="str">
        <f>IF(ISNUMBER(outYear),NSO37+NSO42+#REF!+#REF!,"")</f>
        <v/>
      </c>
      <c r="NSP57" s="82" t="str">
        <f>IF(ISNUMBER(outYear),NSP37+NSP42+#REF!+#REF!,"")</f>
        <v/>
      </c>
      <c r="NSQ57" s="82" t="str">
        <f>IF(ISNUMBER(outYear),NSQ37+NSQ42+#REF!+#REF!,"")</f>
        <v/>
      </c>
      <c r="NSR57" s="82" t="str">
        <f>IF(ISNUMBER(outYear),NSR37+NSR42+#REF!+#REF!,"")</f>
        <v/>
      </c>
      <c r="NSS57" s="82" t="str">
        <f>IF(ISNUMBER(outYear),NSS37+NSS42+#REF!+#REF!,"")</f>
        <v/>
      </c>
      <c r="NST57" s="82" t="str">
        <f>IF(ISNUMBER(outYear),NST37+NST42+#REF!+#REF!,"")</f>
        <v/>
      </c>
      <c r="NSU57" s="82" t="str">
        <f>IF(ISNUMBER(outYear),NSU37+NSU42+#REF!+#REF!,"")</f>
        <v/>
      </c>
      <c r="NSV57" s="82" t="str">
        <f>IF(ISNUMBER(outYear),NSV37+NSV42+#REF!+#REF!,"")</f>
        <v/>
      </c>
      <c r="NSW57" s="82" t="str">
        <f>IF(ISNUMBER(outYear),NSW37+NSW42+#REF!+#REF!,"")</f>
        <v/>
      </c>
      <c r="NSX57" s="82" t="str">
        <f>IF(ISNUMBER(outYear),NSX37+NSX42+#REF!+#REF!,"")</f>
        <v/>
      </c>
      <c r="NSY57" s="82" t="str">
        <f>IF(ISNUMBER(outYear),NSY37+NSY42+#REF!+#REF!,"")</f>
        <v/>
      </c>
      <c r="NSZ57" s="82" t="str">
        <f>IF(ISNUMBER(outYear),NSZ37+NSZ42+#REF!+#REF!,"")</f>
        <v/>
      </c>
      <c r="NTA57" s="82" t="str">
        <f>IF(ISNUMBER(outYear),NTA37+NTA42+#REF!+#REF!,"")</f>
        <v/>
      </c>
      <c r="NTB57" s="82" t="str">
        <f>IF(ISNUMBER(outYear),NTB37+NTB42+#REF!+#REF!,"")</f>
        <v/>
      </c>
      <c r="NTC57" s="82" t="str">
        <f>IF(ISNUMBER(outYear),NTC37+NTC42+#REF!+#REF!,"")</f>
        <v/>
      </c>
      <c r="NTD57" s="82" t="str">
        <f>IF(ISNUMBER(outYear),NTD37+NTD42+#REF!+#REF!,"")</f>
        <v/>
      </c>
      <c r="NTE57" s="82" t="str">
        <f>IF(ISNUMBER(outYear),NTE37+NTE42+#REF!+#REF!,"")</f>
        <v/>
      </c>
      <c r="NTF57" s="82" t="str">
        <f>IF(ISNUMBER(outYear),NTF37+NTF42+#REF!+#REF!,"")</f>
        <v/>
      </c>
      <c r="NTG57" s="82" t="str">
        <f>IF(ISNUMBER(outYear),NTG37+NTG42+#REF!+#REF!,"")</f>
        <v/>
      </c>
      <c r="NTH57" s="82" t="str">
        <f>IF(ISNUMBER(outYear),NTH37+NTH42+#REF!+#REF!,"")</f>
        <v/>
      </c>
      <c r="NTI57" s="82" t="str">
        <f>IF(ISNUMBER(outYear),NTI37+NTI42+#REF!+#REF!,"")</f>
        <v/>
      </c>
      <c r="NTJ57" s="82" t="str">
        <f>IF(ISNUMBER(outYear),NTJ37+NTJ42+#REF!+#REF!,"")</f>
        <v/>
      </c>
      <c r="NTK57" s="82" t="str">
        <f>IF(ISNUMBER(outYear),NTK37+NTK42+#REF!+#REF!,"")</f>
        <v/>
      </c>
      <c r="NTL57" s="82" t="str">
        <f>IF(ISNUMBER(outYear),NTL37+NTL42+#REF!+#REF!,"")</f>
        <v/>
      </c>
      <c r="NTM57" s="82" t="str">
        <f>IF(ISNUMBER(outYear),NTM37+NTM42+#REF!+#REF!,"")</f>
        <v/>
      </c>
      <c r="NTN57" s="82" t="str">
        <f>IF(ISNUMBER(outYear),NTN37+NTN42+#REF!+#REF!,"")</f>
        <v/>
      </c>
      <c r="NTO57" s="82" t="str">
        <f>IF(ISNUMBER(outYear),NTO37+NTO42+#REF!+#REF!,"")</f>
        <v/>
      </c>
      <c r="NTP57" s="82" t="str">
        <f>IF(ISNUMBER(outYear),NTP37+NTP42+#REF!+#REF!,"")</f>
        <v/>
      </c>
      <c r="NTQ57" s="82" t="str">
        <f>IF(ISNUMBER(outYear),NTQ37+NTQ42+#REF!+#REF!,"")</f>
        <v/>
      </c>
      <c r="NTR57" s="82" t="str">
        <f>IF(ISNUMBER(outYear),NTR37+NTR42+#REF!+#REF!,"")</f>
        <v/>
      </c>
      <c r="NTS57" s="82" t="str">
        <f>IF(ISNUMBER(outYear),NTS37+NTS42+#REF!+#REF!,"")</f>
        <v/>
      </c>
      <c r="NTT57" s="82" t="str">
        <f>IF(ISNUMBER(outYear),NTT37+NTT42+#REF!+#REF!,"")</f>
        <v/>
      </c>
      <c r="NTU57" s="82" t="str">
        <f>IF(ISNUMBER(outYear),NTU37+NTU42+#REF!+#REF!,"")</f>
        <v/>
      </c>
      <c r="NTV57" s="82" t="str">
        <f>IF(ISNUMBER(outYear),NTV37+NTV42+#REF!+#REF!,"")</f>
        <v/>
      </c>
      <c r="NTW57" s="82" t="str">
        <f>IF(ISNUMBER(outYear),NTW37+NTW42+#REF!+#REF!,"")</f>
        <v/>
      </c>
      <c r="NTX57" s="82" t="str">
        <f>IF(ISNUMBER(outYear),NTX37+NTX42+#REF!+#REF!,"")</f>
        <v/>
      </c>
      <c r="NTY57" s="82" t="str">
        <f>IF(ISNUMBER(outYear),NTY37+NTY42+#REF!+#REF!,"")</f>
        <v/>
      </c>
      <c r="NTZ57" s="82" t="str">
        <f>IF(ISNUMBER(outYear),NTZ37+NTZ42+#REF!+#REF!,"")</f>
        <v/>
      </c>
      <c r="NUA57" s="82" t="str">
        <f>IF(ISNUMBER(outYear),NUA37+NUA42+#REF!+#REF!,"")</f>
        <v/>
      </c>
      <c r="NUB57" s="82" t="str">
        <f>IF(ISNUMBER(outYear),NUB37+NUB42+#REF!+#REF!,"")</f>
        <v/>
      </c>
      <c r="NUC57" s="82" t="str">
        <f>IF(ISNUMBER(outYear),NUC37+NUC42+#REF!+#REF!,"")</f>
        <v/>
      </c>
      <c r="NUD57" s="82" t="str">
        <f>IF(ISNUMBER(outYear),NUD37+NUD42+#REF!+#REF!,"")</f>
        <v/>
      </c>
      <c r="NUE57" s="82" t="str">
        <f>IF(ISNUMBER(outYear),NUE37+NUE42+#REF!+#REF!,"")</f>
        <v/>
      </c>
      <c r="NUF57" s="82" t="str">
        <f>IF(ISNUMBER(outYear),NUF37+NUF42+#REF!+#REF!,"")</f>
        <v/>
      </c>
      <c r="NUG57" s="82" t="str">
        <f>IF(ISNUMBER(outYear),NUG37+NUG42+#REF!+#REF!,"")</f>
        <v/>
      </c>
      <c r="NUH57" s="82" t="str">
        <f>IF(ISNUMBER(outYear),NUH37+NUH42+#REF!+#REF!,"")</f>
        <v/>
      </c>
      <c r="NUI57" s="82" t="str">
        <f>IF(ISNUMBER(outYear),NUI37+NUI42+#REF!+#REF!,"")</f>
        <v/>
      </c>
      <c r="NUJ57" s="82" t="str">
        <f>IF(ISNUMBER(outYear),NUJ37+NUJ42+#REF!+#REF!,"")</f>
        <v/>
      </c>
      <c r="NUK57" s="82" t="str">
        <f>IF(ISNUMBER(outYear),NUK37+NUK42+#REF!+#REF!,"")</f>
        <v/>
      </c>
      <c r="NUL57" s="82" t="str">
        <f>IF(ISNUMBER(outYear),NUL37+NUL42+#REF!+#REF!,"")</f>
        <v/>
      </c>
      <c r="NUM57" s="82" t="str">
        <f>IF(ISNUMBER(outYear),NUM37+NUM42+#REF!+#REF!,"")</f>
        <v/>
      </c>
      <c r="NUN57" s="82" t="str">
        <f>IF(ISNUMBER(outYear),NUN37+NUN42+#REF!+#REF!,"")</f>
        <v/>
      </c>
      <c r="NUO57" s="82" t="str">
        <f>IF(ISNUMBER(outYear),NUO37+NUO42+#REF!+#REF!,"")</f>
        <v/>
      </c>
      <c r="NUP57" s="82" t="str">
        <f>IF(ISNUMBER(outYear),NUP37+NUP42+#REF!+#REF!,"")</f>
        <v/>
      </c>
      <c r="NUQ57" s="82" t="str">
        <f>IF(ISNUMBER(outYear),NUQ37+NUQ42+#REF!+#REF!,"")</f>
        <v/>
      </c>
      <c r="NUR57" s="82" t="str">
        <f>IF(ISNUMBER(outYear),NUR37+NUR42+#REF!+#REF!,"")</f>
        <v/>
      </c>
      <c r="NUS57" s="82" t="str">
        <f>IF(ISNUMBER(outYear),NUS37+NUS42+#REF!+#REF!,"")</f>
        <v/>
      </c>
      <c r="NUT57" s="82" t="str">
        <f>IF(ISNUMBER(outYear),NUT37+NUT42+#REF!+#REF!,"")</f>
        <v/>
      </c>
      <c r="NUU57" s="82" t="str">
        <f>IF(ISNUMBER(outYear),NUU37+NUU42+#REF!+#REF!,"")</f>
        <v/>
      </c>
      <c r="NUV57" s="82" t="str">
        <f>IF(ISNUMBER(outYear),NUV37+NUV42+#REF!+#REF!,"")</f>
        <v/>
      </c>
      <c r="NUW57" s="82" t="str">
        <f>IF(ISNUMBER(outYear),NUW37+NUW42+#REF!+#REF!,"")</f>
        <v/>
      </c>
      <c r="NUX57" s="82" t="str">
        <f>IF(ISNUMBER(outYear),NUX37+NUX42+#REF!+#REF!,"")</f>
        <v/>
      </c>
      <c r="NUY57" s="82" t="str">
        <f>IF(ISNUMBER(outYear),NUY37+NUY42+#REF!+#REF!,"")</f>
        <v/>
      </c>
      <c r="NUZ57" s="82" t="str">
        <f>IF(ISNUMBER(outYear),NUZ37+NUZ42+#REF!+#REF!,"")</f>
        <v/>
      </c>
      <c r="NVA57" s="82" t="str">
        <f>IF(ISNUMBER(outYear),NVA37+NVA42+#REF!+#REF!,"")</f>
        <v/>
      </c>
      <c r="NVB57" s="82" t="str">
        <f>IF(ISNUMBER(outYear),NVB37+NVB42+#REF!+#REF!,"")</f>
        <v/>
      </c>
      <c r="NVC57" s="82" t="str">
        <f>IF(ISNUMBER(outYear),NVC37+NVC42+#REF!+#REF!,"")</f>
        <v/>
      </c>
      <c r="NVD57" s="82" t="str">
        <f>IF(ISNUMBER(outYear),NVD37+NVD42+#REF!+#REF!,"")</f>
        <v/>
      </c>
      <c r="NVE57" s="82" t="str">
        <f>IF(ISNUMBER(outYear),NVE37+NVE42+#REF!+#REF!,"")</f>
        <v/>
      </c>
      <c r="NVF57" s="82" t="str">
        <f>IF(ISNUMBER(outYear),NVF37+NVF42+#REF!+#REF!,"")</f>
        <v/>
      </c>
      <c r="NVG57" s="82" t="str">
        <f>IF(ISNUMBER(outYear),NVG37+NVG42+#REF!+#REF!,"")</f>
        <v/>
      </c>
      <c r="NVH57" s="82" t="str">
        <f>IF(ISNUMBER(outYear),NVH37+NVH42+#REF!+#REF!,"")</f>
        <v/>
      </c>
      <c r="NVI57" s="82" t="str">
        <f>IF(ISNUMBER(outYear),NVI37+NVI42+#REF!+#REF!,"")</f>
        <v/>
      </c>
      <c r="NVJ57" s="82" t="str">
        <f>IF(ISNUMBER(outYear),NVJ37+NVJ42+#REF!+#REF!,"")</f>
        <v/>
      </c>
      <c r="NVK57" s="82" t="str">
        <f>IF(ISNUMBER(outYear),NVK37+NVK42+#REF!+#REF!,"")</f>
        <v/>
      </c>
      <c r="NVL57" s="82" t="str">
        <f>IF(ISNUMBER(outYear),NVL37+NVL42+#REF!+#REF!,"")</f>
        <v/>
      </c>
      <c r="NVM57" s="82" t="str">
        <f>IF(ISNUMBER(outYear),NVM37+NVM42+#REF!+#REF!,"")</f>
        <v/>
      </c>
      <c r="NVN57" s="82" t="str">
        <f>IF(ISNUMBER(outYear),NVN37+NVN42+#REF!+#REF!,"")</f>
        <v/>
      </c>
      <c r="NVO57" s="82" t="str">
        <f>IF(ISNUMBER(outYear),NVO37+NVO42+#REF!+#REF!,"")</f>
        <v/>
      </c>
      <c r="NVP57" s="82" t="str">
        <f>IF(ISNUMBER(outYear),NVP37+NVP42+#REF!+#REF!,"")</f>
        <v/>
      </c>
      <c r="NVQ57" s="82" t="str">
        <f>IF(ISNUMBER(outYear),NVQ37+NVQ42+#REF!+#REF!,"")</f>
        <v/>
      </c>
      <c r="NVR57" s="82" t="str">
        <f>IF(ISNUMBER(outYear),NVR37+NVR42+#REF!+#REF!,"")</f>
        <v/>
      </c>
      <c r="NVS57" s="82" t="str">
        <f>IF(ISNUMBER(outYear),NVS37+NVS42+#REF!+#REF!,"")</f>
        <v/>
      </c>
      <c r="NVT57" s="82" t="str">
        <f>IF(ISNUMBER(outYear),NVT37+NVT42+#REF!+#REF!,"")</f>
        <v/>
      </c>
      <c r="NVU57" s="82" t="str">
        <f>IF(ISNUMBER(outYear),NVU37+NVU42+#REF!+#REF!,"")</f>
        <v/>
      </c>
      <c r="NVV57" s="82" t="str">
        <f>IF(ISNUMBER(outYear),NVV37+NVV42+#REF!+#REF!,"")</f>
        <v/>
      </c>
      <c r="NVW57" s="82" t="str">
        <f>IF(ISNUMBER(outYear),NVW37+NVW42+#REF!+#REF!,"")</f>
        <v/>
      </c>
      <c r="NVX57" s="82" t="str">
        <f>IF(ISNUMBER(outYear),NVX37+NVX42+#REF!+#REF!,"")</f>
        <v/>
      </c>
      <c r="NVY57" s="82" t="str">
        <f>IF(ISNUMBER(outYear),NVY37+NVY42+#REF!+#REF!,"")</f>
        <v/>
      </c>
      <c r="NVZ57" s="82" t="str">
        <f>IF(ISNUMBER(outYear),NVZ37+NVZ42+#REF!+#REF!,"")</f>
        <v/>
      </c>
      <c r="NWA57" s="82" t="str">
        <f>IF(ISNUMBER(outYear),NWA37+NWA42+#REF!+#REF!,"")</f>
        <v/>
      </c>
      <c r="NWB57" s="82" t="str">
        <f>IF(ISNUMBER(outYear),NWB37+NWB42+#REF!+#REF!,"")</f>
        <v/>
      </c>
      <c r="NWC57" s="82" t="str">
        <f>IF(ISNUMBER(outYear),NWC37+NWC42+#REF!+#REF!,"")</f>
        <v/>
      </c>
      <c r="NWD57" s="82" t="str">
        <f>IF(ISNUMBER(outYear),NWD37+NWD42+#REF!+#REF!,"")</f>
        <v/>
      </c>
      <c r="NWE57" s="82" t="str">
        <f>IF(ISNUMBER(outYear),NWE37+NWE42+#REF!+#REF!,"")</f>
        <v/>
      </c>
      <c r="NWF57" s="82" t="str">
        <f>IF(ISNUMBER(outYear),NWF37+NWF42+#REF!+#REF!,"")</f>
        <v/>
      </c>
      <c r="NWG57" s="82" t="str">
        <f>IF(ISNUMBER(outYear),NWG37+NWG42+#REF!+#REF!,"")</f>
        <v/>
      </c>
      <c r="NWH57" s="82" t="str">
        <f>IF(ISNUMBER(outYear),NWH37+NWH42+#REF!+#REF!,"")</f>
        <v/>
      </c>
      <c r="NWI57" s="82" t="str">
        <f>IF(ISNUMBER(outYear),NWI37+NWI42+#REF!+#REF!,"")</f>
        <v/>
      </c>
      <c r="NWJ57" s="82" t="str">
        <f>IF(ISNUMBER(outYear),NWJ37+NWJ42+#REF!+#REF!,"")</f>
        <v/>
      </c>
      <c r="NWK57" s="82" t="str">
        <f>IF(ISNUMBER(outYear),NWK37+NWK42+#REF!+#REF!,"")</f>
        <v/>
      </c>
      <c r="NWL57" s="82" t="str">
        <f>IF(ISNUMBER(outYear),NWL37+NWL42+#REF!+#REF!,"")</f>
        <v/>
      </c>
      <c r="NWM57" s="82" t="str">
        <f>IF(ISNUMBER(outYear),NWM37+NWM42+#REF!+#REF!,"")</f>
        <v/>
      </c>
      <c r="NWN57" s="82" t="str">
        <f>IF(ISNUMBER(outYear),NWN37+NWN42+#REF!+#REF!,"")</f>
        <v/>
      </c>
      <c r="NWO57" s="82" t="str">
        <f>IF(ISNUMBER(outYear),NWO37+NWO42+#REF!+#REF!,"")</f>
        <v/>
      </c>
      <c r="NWP57" s="82" t="str">
        <f>IF(ISNUMBER(outYear),NWP37+NWP42+#REF!+#REF!,"")</f>
        <v/>
      </c>
      <c r="NWQ57" s="82" t="str">
        <f>IF(ISNUMBER(outYear),NWQ37+NWQ42+#REF!+#REF!,"")</f>
        <v/>
      </c>
      <c r="NWR57" s="82" t="str">
        <f>IF(ISNUMBER(outYear),NWR37+NWR42+#REF!+#REF!,"")</f>
        <v/>
      </c>
      <c r="NWS57" s="82" t="str">
        <f>IF(ISNUMBER(outYear),NWS37+NWS42+#REF!+#REF!,"")</f>
        <v/>
      </c>
      <c r="NWT57" s="82" t="str">
        <f>IF(ISNUMBER(outYear),NWT37+NWT42+#REF!+#REF!,"")</f>
        <v/>
      </c>
      <c r="NWU57" s="82" t="str">
        <f>IF(ISNUMBER(outYear),NWU37+NWU42+#REF!+#REF!,"")</f>
        <v/>
      </c>
      <c r="NWV57" s="82" t="str">
        <f>IF(ISNUMBER(outYear),NWV37+NWV42+#REF!+#REF!,"")</f>
        <v/>
      </c>
      <c r="NWW57" s="82" t="str">
        <f>IF(ISNUMBER(outYear),NWW37+NWW42+#REF!+#REF!,"")</f>
        <v/>
      </c>
      <c r="NWX57" s="82" t="str">
        <f>IF(ISNUMBER(outYear),NWX37+NWX42+#REF!+#REF!,"")</f>
        <v/>
      </c>
      <c r="NWY57" s="82" t="str">
        <f>IF(ISNUMBER(outYear),NWY37+NWY42+#REF!+#REF!,"")</f>
        <v/>
      </c>
      <c r="NWZ57" s="82" t="str">
        <f>IF(ISNUMBER(outYear),NWZ37+NWZ42+#REF!+#REF!,"")</f>
        <v/>
      </c>
      <c r="NXA57" s="82" t="str">
        <f>IF(ISNUMBER(outYear),NXA37+NXA42+#REF!+#REF!,"")</f>
        <v/>
      </c>
      <c r="NXB57" s="82" t="str">
        <f>IF(ISNUMBER(outYear),NXB37+NXB42+#REF!+#REF!,"")</f>
        <v/>
      </c>
      <c r="NXC57" s="82" t="str">
        <f>IF(ISNUMBER(outYear),NXC37+NXC42+#REF!+#REF!,"")</f>
        <v/>
      </c>
      <c r="NXD57" s="82" t="str">
        <f>IF(ISNUMBER(outYear),NXD37+NXD42+#REF!+#REF!,"")</f>
        <v/>
      </c>
      <c r="NXE57" s="82" t="str">
        <f>IF(ISNUMBER(outYear),NXE37+NXE42+#REF!+#REF!,"")</f>
        <v/>
      </c>
      <c r="NXF57" s="82" t="str">
        <f>IF(ISNUMBER(outYear),NXF37+NXF42+#REF!+#REF!,"")</f>
        <v/>
      </c>
      <c r="NXG57" s="82" t="str">
        <f>IF(ISNUMBER(outYear),NXG37+NXG42+#REF!+#REF!,"")</f>
        <v/>
      </c>
      <c r="NXH57" s="82" t="str">
        <f>IF(ISNUMBER(outYear),NXH37+NXH42+#REF!+#REF!,"")</f>
        <v/>
      </c>
      <c r="NXI57" s="82" t="str">
        <f>IF(ISNUMBER(outYear),NXI37+NXI42+#REF!+#REF!,"")</f>
        <v/>
      </c>
      <c r="NXJ57" s="82" t="str">
        <f>IF(ISNUMBER(outYear),NXJ37+NXJ42+#REF!+#REF!,"")</f>
        <v/>
      </c>
      <c r="NXK57" s="82" t="str">
        <f>IF(ISNUMBER(outYear),NXK37+NXK42+#REF!+#REF!,"")</f>
        <v/>
      </c>
      <c r="NXL57" s="82" t="str">
        <f>IF(ISNUMBER(outYear),NXL37+NXL42+#REF!+#REF!,"")</f>
        <v/>
      </c>
      <c r="NXM57" s="82" t="str">
        <f>IF(ISNUMBER(outYear),NXM37+NXM42+#REF!+#REF!,"")</f>
        <v/>
      </c>
      <c r="NXN57" s="82" t="str">
        <f>IF(ISNUMBER(outYear),NXN37+NXN42+#REF!+#REF!,"")</f>
        <v/>
      </c>
      <c r="NXO57" s="82" t="str">
        <f>IF(ISNUMBER(outYear),NXO37+NXO42+#REF!+#REF!,"")</f>
        <v/>
      </c>
      <c r="NXP57" s="82" t="str">
        <f>IF(ISNUMBER(outYear),NXP37+NXP42+#REF!+#REF!,"")</f>
        <v/>
      </c>
      <c r="NXQ57" s="82" t="str">
        <f>IF(ISNUMBER(outYear),NXQ37+NXQ42+#REF!+#REF!,"")</f>
        <v/>
      </c>
      <c r="NXR57" s="82" t="str">
        <f>IF(ISNUMBER(outYear),NXR37+NXR42+#REF!+#REF!,"")</f>
        <v/>
      </c>
      <c r="NXS57" s="82" t="str">
        <f>IF(ISNUMBER(outYear),NXS37+NXS42+#REF!+#REF!,"")</f>
        <v/>
      </c>
      <c r="NXT57" s="82" t="str">
        <f>IF(ISNUMBER(outYear),NXT37+NXT42+#REF!+#REF!,"")</f>
        <v/>
      </c>
      <c r="NXU57" s="82" t="str">
        <f>IF(ISNUMBER(outYear),NXU37+NXU42+#REF!+#REF!,"")</f>
        <v/>
      </c>
      <c r="NXV57" s="82" t="str">
        <f>IF(ISNUMBER(outYear),NXV37+NXV42+#REF!+#REF!,"")</f>
        <v/>
      </c>
      <c r="NXW57" s="82" t="str">
        <f>IF(ISNUMBER(outYear),NXW37+NXW42+#REF!+#REF!,"")</f>
        <v/>
      </c>
      <c r="NXX57" s="82" t="str">
        <f>IF(ISNUMBER(outYear),NXX37+NXX42+#REF!+#REF!,"")</f>
        <v/>
      </c>
      <c r="NXY57" s="82" t="str">
        <f>IF(ISNUMBER(outYear),NXY37+NXY42+#REF!+#REF!,"")</f>
        <v/>
      </c>
      <c r="NXZ57" s="82" t="str">
        <f>IF(ISNUMBER(outYear),NXZ37+NXZ42+#REF!+#REF!,"")</f>
        <v/>
      </c>
      <c r="NYA57" s="82" t="str">
        <f>IF(ISNUMBER(outYear),NYA37+NYA42+#REF!+#REF!,"")</f>
        <v/>
      </c>
      <c r="NYB57" s="82" t="str">
        <f>IF(ISNUMBER(outYear),NYB37+NYB42+#REF!+#REF!,"")</f>
        <v/>
      </c>
      <c r="NYC57" s="82" t="str">
        <f>IF(ISNUMBER(outYear),NYC37+NYC42+#REF!+#REF!,"")</f>
        <v/>
      </c>
      <c r="NYD57" s="82" t="str">
        <f>IF(ISNUMBER(outYear),NYD37+NYD42+#REF!+#REF!,"")</f>
        <v/>
      </c>
      <c r="NYE57" s="82" t="str">
        <f>IF(ISNUMBER(outYear),NYE37+NYE42+#REF!+#REF!,"")</f>
        <v/>
      </c>
      <c r="NYF57" s="82" t="str">
        <f>IF(ISNUMBER(outYear),NYF37+NYF42+#REF!+#REF!,"")</f>
        <v/>
      </c>
      <c r="NYG57" s="82" t="str">
        <f>IF(ISNUMBER(outYear),NYG37+NYG42+#REF!+#REF!,"")</f>
        <v/>
      </c>
      <c r="NYH57" s="82" t="str">
        <f>IF(ISNUMBER(outYear),NYH37+NYH42+#REF!+#REF!,"")</f>
        <v/>
      </c>
      <c r="NYI57" s="82" t="str">
        <f>IF(ISNUMBER(outYear),NYI37+NYI42+#REF!+#REF!,"")</f>
        <v/>
      </c>
      <c r="NYJ57" s="82" t="str">
        <f>IF(ISNUMBER(outYear),NYJ37+NYJ42+#REF!+#REF!,"")</f>
        <v/>
      </c>
      <c r="NYK57" s="82" t="str">
        <f>IF(ISNUMBER(outYear),NYK37+NYK42+#REF!+#REF!,"")</f>
        <v/>
      </c>
      <c r="NYL57" s="82" t="str">
        <f>IF(ISNUMBER(outYear),NYL37+NYL42+#REF!+#REF!,"")</f>
        <v/>
      </c>
      <c r="NYM57" s="82" t="str">
        <f>IF(ISNUMBER(outYear),NYM37+NYM42+#REF!+#REF!,"")</f>
        <v/>
      </c>
      <c r="NYN57" s="82" t="str">
        <f>IF(ISNUMBER(outYear),NYN37+NYN42+#REF!+#REF!,"")</f>
        <v/>
      </c>
      <c r="NYO57" s="82" t="str">
        <f>IF(ISNUMBER(outYear),NYO37+NYO42+#REF!+#REF!,"")</f>
        <v/>
      </c>
      <c r="NYP57" s="82" t="str">
        <f>IF(ISNUMBER(outYear),NYP37+NYP42+#REF!+#REF!,"")</f>
        <v/>
      </c>
      <c r="NYQ57" s="82" t="str">
        <f>IF(ISNUMBER(outYear),NYQ37+NYQ42+#REF!+#REF!,"")</f>
        <v/>
      </c>
      <c r="NYR57" s="82" t="str">
        <f>IF(ISNUMBER(outYear),NYR37+NYR42+#REF!+#REF!,"")</f>
        <v/>
      </c>
      <c r="NYS57" s="82" t="str">
        <f>IF(ISNUMBER(outYear),NYS37+NYS42+#REF!+#REF!,"")</f>
        <v/>
      </c>
      <c r="NYT57" s="82" t="str">
        <f>IF(ISNUMBER(outYear),NYT37+NYT42+#REF!+#REF!,"")</f>
        <v/>
      </c>
      <c r="NYU57" s="82" t="str">
        <f>IF(ISNUMBER(outYear),NYU37+NYU42+#REF!+#REF!,"")</f>
        <v/>
      </c>
      <c r="NYV57" s="82" t="str">
        <f>IF(ISNUMBER(outYear),NYV37+NYV42+#REF!+#REF!,"")</f>
        <v/>
      </c>
      <c r="NYW57" s="82" t="str">
        <f>IF(ISNUMBER(outYear),NYW37+NYW42+#REF!+#REF!,"")</f>
        <v/>
      </c>
      <c r="NYX57" s="82" t="str">
        <f>IF(ISNUMBER(outYear),NYX37+NYX42+#REF!+#REF!,"")</f>
        <v/>
      </c>
      <c r="NYY57" s="82" t="str">
        <f>IF(ISNUMBER(outYear),NYY37+NYY42+#REF!+#REF!,"")</f>
        <v/>
      </c>
      <c r="NYZ57" s="82" t="str">
        <f>IF(ISNUMBER(outYear),NYZ37+NYZ42+#REF!+#REF!,"")</f>
        <v/>
      </c>
      <c r="NZA57" s="82" t="str">
        <f>IF(ISNUMBER(outYear),NZA37+NZA42+#REF!+#REF!,"")</f>
        <v/>
      </c>
      <c r="NZB57" s="82" t="str">
        <f>IF(ISNUMBER(outYear),NZB37+NZB42+#REF!+#REF!,"")</f>
        <v/>
      </c>
      <c r="NZC57" s="82" t="str">
        <f>IF(ISNUMBER(outYear),NZC37+NZC42+#REF!+#REF!,"")</f>
        <v/>
      </c>
      <c r="NZD57" s="82" t="str">
        <f>IF(ISNUMBER(outYear),NZD37+NZD42+#REF!+#REF!,"")</f>
        <v/>
      </c>
      <c r="NZE57" s="82" t="str">
        <f>IF(ISNUMBER(outYear),NZE37+NZE42+#REF!+#REF!,"")</f>
        <v/>
      </c>
      <c r="NZF57" s="82" t="str">
        <f>IF(ISNUMBER(outYear),NZF37+NZF42+#REF!+#REF!,"")</f>
        <v/>
      </c>
      <c r="NZG57" s="82" t="str">
        <f>IF(ISNUMBER(outYear),NZG37+NZG42+#REF!+#REF!,"")</f>
        <v/>
      </c>
      <c r="NZH57" s="82" t="str">
        <f>IF(ISNUMBER(outYear),NZH37+NZH42+#REF!+#REF!,"")</f>
        <v/>
      </c>
      <c r="NZI57" s="82" t="str">
        <f>IF(ISNUMBER(outYear),NZI37+NZI42+#REF!+#REF!,"")</f>
        <v/>
      </c>
      <c r="NZJ57" s="82" t="str">
        <f>IF(ISNUMBER(outYear),NZJ37+NZJ42+#REF!+#REF!,"")</f>
        <v/>
      </c>
      <c r="NZK57" s="82" t="str">
        <f>IF(ISNUMBER(outYear),NZK37+NZK42+#REF!+#REF!,"")</f>
        <v/>
      </c>
      <c r="NZL57" s="82" t="str">
        <f>IF(ISNUMBER(outYear),NZL37+NZL42+#REF!+#REF!,"")</f>
        <v/>
      </c>
      <c r="NZM57" s="82" t="str">
        <f>IF(ISNUMBER(outYear),NZM37+NZM42+#REF!+#REF!,"")</f>
        <v/>
      </c>
      <c r="NZN57" s="82" t="str">
        <f>IF(ISNUMBER(outYear),NZN37+NZN42+#REF!+#REF!,"")</f>
        <v/>
      </c>
      <c r="NZO57" s="82" t="str">
        <f>IF(ISNUMBER(outYear),NZO37+NZO42+#REF!+#REF!,"")</f>
        <v/>
      </c>
      <c r="NZP57" s="82" t="str">
        <f>IF(ISNUMBER(outYear),NZP37+NZP42+#REF!+#REF!,"")</f>
        <v/>
      </c>
      <c r="NZQ57" s="82" t="str">
        <f>IF(ISNUMBER(outYear),NZQ37+NZQ42+#REF!+#REF!,"")</f>
        <v/>
      </c>
      <c r="NZR57" s="82" t="str">
        <f>IF(ISNUMBER(outYear),NZR37+NZR42+#REF!+#REF!,"")</f>
        <v/>
      </c>
      <c r="NZS57" s="82" t="str">
        <f>IF(ISNUMBER(outYear),NZS37+NZS42+#REF!+#REF!,"")</f>
        <v/>
      </c>
      <c r="NZT57" s="82" t="str">
        <f>IF(ISNUMBER(outYear),NZT37+NZT42+#REF!+#REF!,"")</f>
        <v/>
      </c>
      <c r="NZU57" s="82" t="str">
        <f>IF(ISNUMBER(outYear),NZU37+NZU42+#REF!+#REF!,"")</f>
        <v/>
      </c>
      <c r="NZV57" s="82" t="str">
        <f>IF(ISNUMBER(outYear),NZV37+NZV42+#REF!+#REF!,"")</f>
        <v/>
      </c>
      <c r="NZW57" s="82" t="str">
        <f>IF(ISNUMBER(outYear),NZW37+NZW42+#REF!+#REF!,"")</f>
        <v/>
      </c>
      <c r="NZX57" s="82" t="str">
        <f>IF(ISNUMBER(outYear),NZX37+NZX42+#REF!+#REF!,"")</f>
        <v/>
      </c>
      <c r="NZY57" s="82" t="str">
        <f>IF(ISNUMBER(outYear),NZY37+NZY42+#REF!+#REF!,"")</f>
        <v/>
      </c>
      <c r="NZZ57" s="82" t="str">
        <f>IF(ISNUMBER(outYear),NZZ37+NZZ42+#REF!+#REF!,"")</f>
        <v/>
      </c>
      <c r="OAA57" s="82" t="str">
        <f>IF(ISNUMBER(outYear),OAA37+OAA42+#REF!+#REF!,"")</f>
        <v/>
      </c>
      <c r="OAB57" s="82" t="str">
        <f>IF(ISNUMBER(outYear),OAB37+OAB42+#REF!+#REF!,"")</f>
        <v/>
      </c>
      <c r="OAC57" s="82" t="str">
        <f>IF(ISNUMBER(outYear),OAC37+OAC42+#REF!+#REF!,"")</f>
        <v/>
      </c>
      <c r="OAD57" s="82" t="str">
        <f>IF(ISNUMBER(outYear),OAD37+OAD42+#REF!+#REF!,"")</f>
        <v/>
      </c>
      <c r="OAE57" s="82" t="str">
        <f>IF(ISNUMBER(outYear),OAE37+OAE42+#REF!+#REF!,"")</f>
        <v/>
      </c>
      <c r="OAF57" s="82" t="str">
        <f>IF(ISNUMBER(outYear),OAF37+OAF42+#REF!+#REF!,"")</f>
        <v/>
      </c>
      <c r="OAG57" s="82" t="str">
        <f>IF(ISNUMBER(outYear),OAG37+OAG42+#REF!+#REF!,"")</f>
        <v/>
      </c>
      <c r="OAH57" s="82" t="str">
        <f>IF(ISNUMBER(outYear),OAH37+OAH42+#REF!+#REF!,"")</f>
        <v/>
      </c>
      <c r="OAI57" s="82" t="str">
        <f>IF(ISNUMBER(outYear),OAI37+OAI42+#REF!+#REF!,"")</f>
        <v/>
      </c>
      <c r="OAJ57" s="82" t="str">
        <f>IF(ISNUMBER(outYear),OAJ37+OAJ42+#REF!+#REF!,"")</f>
        <v/>
      </c>
      <c r="OAK57" s="82" t="str">
        <f>IF(ISNUMBER(outYear),OAK37+OAK42+#REF!+#REF!,"")</f>
        <v/>
      </c>
      <c r="OAL57" s="82" t="str">
        <f>IF(ISNUMBER(outYear),OAL37+OAL42+#REF!+#REF!,"")</f>
        <v/>
      </c>
      <c r="OAM57" s="82" t="str">
        <f>IF(ISNUMBER(outYear),OAM37+OAM42+#REF!+#REF!,"")</f>
        <v/>
      </c>
      <c r="OAN57" s="82" t="str">
        <f>IF(ISNUMBER(outYear),OAN37+OAN42+#REF!+#REF!,"")</f>
        <v/>
      </c>
      <c r="OAO57" s="82" t="str">
        <f>IF(ISNUMBER(outYear),OAO37+OAO42+#REF!+#REF!,"")</f>
        <v/>
      </c>
      <c r="OAP57" s="82" t="str">
        <f>IF(ISNUMBER(outYear),OAP37+OAP42+#REF!+#REF!,"")</f>
        <v/>
      </c>
      <c r="OAQ57" s="82" t="str">
        <f>IF(ISNUMBER(outYear),OAQ37+OAQ42+#REF!+#REF!,"")</f>
        <v/>
      </c>
      <c r="OAR57" s="82" t="str">
        <f>IF(ISNUMBER(outYear),OAR37+OAR42+#REF!+#REF!,"")</f>
        <v/>
      </c>
      <c r="OAS57" s="82" t="str">
        <f>IF(ISNUMBER(outYear),OAS37+OAS42+#REF!+#REF!,"")</f>
        <v/>
      </c>
      <c r="OAT57" s="82" t="str">
        <f>IF(ISNUMBER(outYear),OAT37+OAT42+#REF!+#REF!,"")</f>
        <v/>
      </c>
      <c r="OAU57" s="82" t="str">
        <f>IF(ISNUMBER(outYear),OAU37+OAU42+#REF!+#REF!,"")</f>
        <v/>
      </c>
      <c r="OAV57" s="82" t="str">
        <f>IF(ISNUMBER(outYear),OAV37+OAV42+#REF!+#REF!,"")</f>
        <v/>
      </c>
      <c r="OAW57" s="82" t="str">
        <f>IF(ISNUMBER(outYear),OAW37+OAW42+#REF!+#REF!,"")</f>
        <v/>
      </c>
      <c r="OAX57" s="82" t="str">
        <f>IF(ISNUMBER(outYear),OAX37+OAX42+#REF!+#REF!,"")</f>
        <v/>
      </c>
      <c r="OAY57" s="82" t="str">
        <f>IF(ISNUMBER(outYear),OAY37+OAY42+#REF!+#REF!,"")</f>
        <v/>
      </c>
      <c r="OAZ57" s="82" t="str">
        <f>IF(ISNUMBER(outYear),OAZ37+OAZ42+#REF!+#REF!,"")</f>
        <v/>
      </c>
      <c r="OBA57" s="82" t="str">
        <f>IF(ISNUMBER(outYear),OBA37+OBA42+#REF!+#REF!,"")</f>
        <v/>
      </c>
      <c r="OBB57" s="82" t="str">
        <f>IF(ISNUMBER(outYear),OBB37+OBB42+#REF!+#REF!,"")</f>
        <v/>
      </c>
      <c r="OBC57" s="82" t="str">
        <f>IF(ISNUMBER(outYear),OBC37+OBC42+#REF!+#REF!,"")</f>
        <v/>
      </c>
      <c r="OBD57" s="82" t="str">
        <f>IF(ISNUMBER(outYear),OBD37+OBD42+#REF!+#REF!,"")</f>
        <v/>
      </c>
      <c r="OBE57" s="82" t="str">
        <f>IF(ISNUMBER(outYear),OBE37+OBE42+#REF!+#REF!,"")</f>
        <v/>
      </c>
      <c r="OBF57" s="82" t="str">
        <f>IF(ISNUMBER(outYear),OBF37+OBF42+#REF!+#REF!,"")</f>
        <v/>
      </c>
      <c r="OBG57" s="82" t="str">
        <f>IF(ISNUMBER(outYear),OBG37+OBG42+#REF!+#REF!,"")</f>
        <v/>
      </c>
      <c r="OBH57" s="82" t="str">
        <f>IF(ISNUMBER(outYear),OBH37+OBH42+#REF!+#REF!,"")</f>
        <v/>
      </c>
      <c r="OBI57" s="82" t="str">
        <f>IF(ISNUMBER(outYear),OBI37+OBI42+#REF!+#REF!,"")</f>
        <v/>
      </c>
      <c r="OBJ57" s="82" t="str">
        <f>IF(ISNUMBER(outYear),OBJ37+OBJ42+#REF!+#REF!,"")</f>
        <v/>
      </c>
      <c r="OBK57" s="82" t="str">
        <f>IF(ISNUMBER(outYear),OBK37+OBK42+#REF!+#REF!,"")</f>
        <v/>
      </c>
      <c r="OBL57" s="82" t="str">
        <f>IF(ISNUMBER(outYear),OBL37+OBL42+#REF!+#REF!,"")</f>
        <v/>
      </c>
      <c r="OBM57" s="82" t="str">
        <f>IF(ISNUMBER(outYear),OBM37+OBM42+#REF!+#REF!,"")</f>
        <v/>
      </c>
      <c r="OBN57" s="82" t="str">
        <f>IF(ISNUMBER(outYear),OBN37+OBN42+#REF!+#REF!,"")</f>
        <v/>
      </c>
      <c r="OBO57" s="82" t="str">
        <f>IF(ISNUMBER(outYear),OBO37+OBO42+#REF!+#REF!,"")</f>
        <v/>
      </c>
      <c r="OBP57" s="82" t="str">
        <f>IF(ISNUMBER(outYear),OBP37+OBP42+#REF!+#REF!,"")</f>
        <v/>
      </c>
      <c r="OBQ57" s="82" t="str">
        <f>IF(ISNUMBER(outYear),OBQ37+OBQ42+#REF!+#REF!,"")</f>
        <v/>
      </c>
      <c r="OBR57" s="82" t="str">
        <f>IF(ISNUMBER(outYear),OBR37+OBR42+#REF!+#REF!,"")</f>
        <v/>
      </c>
      <c r="OBS57" s="82" t="str">
        <f>IF(ISNUMBER(outYear),OBS37+OBS42+#REF!+#REF!,"")</f>
        <v/>
      </c>
      <c r="OBT57" s="82" t="str">
        <f>IF(ISNUMBER(outYear),OBT37+OBT42+#REF!+#REF!,"")</f>
        <v/>
      </c>
      <c r="OBU57" s="82" t="str">
        <f>IF(ISNUMBER(outYear),OBU37+OBU42+#REF!+#REF!,"")</f>
        <v/>
      </c>
      <c r="OBV57" s="82" t="str">
        <f>IF(ISNUMBER(outYear),OBV37+OBV42+#REF!+#REF!,"")</f>
        <v/>
      </c>
      <c r="OBW57" s="82" t="str">
        <f>IF(ISNUMBER(outYear),OBW37+OBW42+#REF!+#REF!,"")</f>
        <v/>
      </c>
      <c r="OBX57" s="82" t="str">
        <f>IF(ISNUMBER(outYear),OBX37+OBX42+#REF!+#REF!,"")</f>
        <v/>
      </c>
      <c r="OBY57" s="82" t="str">
        <f>IF(ISNUMBER(outYear),OBY37+OBY42+#REF!+#REF!,"")</f>
        <v/>
      </c>
      <c r="OBZ57" s="82" t="str">
        <f>IF(ISNUMBER(outYear),OBZ37+OBZ42+#REF!+#REF!,"")</f>
        <v/>
      </c>
      <c r="OCA57" s="82" t="str">
        <f>IF(ISNUMBER(outYear),OCA37+OCA42+#REF!+#REF!,"")</f>
        <v/>
      </c>
      <c r="OCB57" s="82" t="str">
        <f>IF(ISNUMBER(outYear),OCB37+OCB42+#REF!+#REF!,"")</f>
        <v/>
      </c>
      <c r="OCC57" s="82" t="str">
        <f>IF(ISNUMBER(outYear),OCC37+OCC42+#REF!+#REF!,"")</f>
        <v/>
      </c>
      <c r="OCD57" s="82" t="str">
        <f>IF(ISNUMBER(outYear),OCD37+OCD42+#REF!+#REF!,"")</f>
        <v/>
      </c>
      <c r="OCE57" s="82" t="str">
        <f>IF(ISNUMBER(outYear),OCE37+OCE42+#REF!+#REF!,"")</f>
        <v/>
      </c>
      <c r="OCF57" s="82" t="str">
        <f>IF(ISNUMBER(outYear),OCF37+OCF42+#REF!+#REF!,"")</f>
        <v/>
      </c>
      <c r="OCG57" s="82" t="str">
        <f>IF(ISNUMBER(outYear),OCG37+OCG42+#REF!+#REF!,"")</f>
        <v/>
      </c>
      <c r="OCH57" s="82" t="str">
        <f>IF(ISNUMBER(outYear),OCH37+OCH42+#REF!+#REF!,"")</f>
        <v/>
      </c>
      <c r="OCI57" s="82" t="str">
        <f>IF(ISNUMBER(outYear),OCI37+OCI42+#REF!+#REF!,"")</f>
        <v/>
      </c>
      <c r="OCJ57" s="82" t="str">
        <f>IF(ISNUMBER(outYear),OCJ37+OCJ42+#REF!+#REF!,"")</f>
        <v/>
      </c>
      <c r="OCK57" s="82" t="str">
        <f>IF(ISNUMBER(outYear),OCK37+OCK42+#REF!+#REF!,"")</f>
        <v/>
      </c>
      <c r="OCL57" s="82" t="str">
        <f>IF(ISNUMBER(outYear),OCL37+OCL42+#REF!+#REF!,"")</f>
        <v/>
      </c>
      <c r="OCM57" s="82" t="str">
        <f>IF(ISNUMBER(outYear),OCM37+OCM42+#REF!+#REF!,"")</f>
        <v/>
      </c>
      <c r="OCN57" s="82" t="str">
        <f>IF(ISNUMBER(outYear),OCN37+OCN42+#REF!+#REF!,"")</f>
        <v/>
      </c>
      <c r="OCO57" s="82" t="str">
        <f>IF(ISNUMBER(outYear),OCO37+OCO42+#REF!+#REF!,"")</f>
        <v/>
      </c>
      <c r="OCP57" s="82" t="str">
        <f>IF(ISNUMBER(outYear),OCP37+OCP42+#REF!+#REF!,"")</f>
        <v/>
      </c>
      <c r="OCQ57" s="82" t="str">
        <f>IF(ISNUMBER(outYear),OCQ37+OCQ42+#REF!+#REF!,"")</f>
        <v/>
      </c>
      <c r="OCR57" s="82" t="str">
        <f>IF(ISNUMBER(outYear),OCR37+OCR42+#REF!+#REF!,"")</f>
        <v/>
      </c>
      <c r="OCS57" s="82" t="str">
        <f>IF(ISNUMBER(outYear),OCS37+OCS42+#REF!+#REF!,"")</f>
        <v/>
      </c>
      <c r="OCT57" s="82" t="str">
        <f>IF(ISNUMBER(outYear),OCT37+OCT42+#REF!+#REF!,"")</f>
        <v/>
      </c>
      <c r="OCU57" s="82" t="str">
        <f>IF(ISNUMBER(outYear),OCU37+OCU42+#REF!+#REF!,"")</f>
        <v/>
      </c>
      <c r="OCV57" s="82" t="str">
        <f>IF(ISNUMBER(outYear),OCV37+OCV42+#REF!+#REF!,"")</f>
        <v/>
      </c>
      <c r="OCW57" s="82" t="str">
        <f>IF(ISNUMBER(outYear),OCW37+OCW42+#REF!+#REF!,"")</f>
        <v/>
      </c>
      <c r="OCX57" s="82" t="str">
        <f>IF(ISNUMBER(outYear),OCX37+OCX42+#REF!+#REF!,"")</f>
        <v/>
      </c>
      <c r="OCY57" s="82" t="str">
        <f>IF(ISNUMBER(outYear),OCY37+OCY42+#REF!+#REF!,"")</f>
        <v/>
      </c>
      <c r="OCZ57" s="82" t="str">
        <f>IF(ISNUMBER(outYear),OCZ37+OCZ42+#REF!+#REF!,"")</f>
        <v/>
      </c>
      <c r="ODA57" s="82" t="str">
        <f>IF(ISNUMBER(outYear),ODA37+ODA42+#REF!+#REF!,"")</f>
        <v/>
      </c>
      <c r="ODB57" s="82" t="str">
        <f>IF(ISNUMBER(outYear),ODB37+ODB42+#REF!+#REF!,"")</f>
        <v/>
      </c>
      <c r="ODC57" s="82" t="str">
        <f>IF(ISNUMBER(outYear),ODC37+ODC42+#REF!+#REF!,"")</f>
        <v/>
      </c>
      <c r="ODD57" s="82" t="str">
        <f>IF(ISNUMBER(outYear),ODD37+ODD42+#REF!+#REF!,"")</f>
        <v/>
      </c>
      <c r="ODE57" s="82" t="str">
        <f>IF(ISNUMBER(outYear),ODE37+ODE42+#REF!+#REF!,"")</f>
        <v/>
      </c>
      <c r="ODF57" s="82" t="str">
        <f>IF(ISNUMBER(outYear),ODF37+ODF42+#REF!+#REF!,"")</f>
        <v/>
      </c>
      <c r="ODG57" s="82" t="str">
        <f>IF(ISNUMBER(outYear),ODG37+ODG42+#REF!+#REF!,"")</f>
        <v/>
      </c>
      <c r="ODH57" s="82" t="str">
        <f>IF(ISNUMBER(outYear),ODH37+ODH42+#REF!+#REF!,"")</f>
        <v/>
      </c>
      <c r="ODI57" s="82" t="str">
        <f>IF(ISNUMBER(outYear),ODI37+ODI42+#REF!+#REF!,"")</f>
        <v/>
      </c>
      <c r="ODJ57" s="82" t="str">
        <f>IF(ISNUMBER(outYear),ODJ37+ODJ42+#REF!+#REF!,"")</f>
        <v/>
      </c>
      <c r="ODK57" s="82" t="str">
        <f>IF(ISNUMBER(outYear),ODK37+ODK42+#REF!+#REF!,"")</f>
        <v/>
      </c>
      <c r="ODL57" s="82" t="str">
        <f>IF(ISNUMBER(outYear),ODL37+ODL42+#REF!+#REF!,"")</f>
        <v/>
      </c>
      <c r="ODM57" s="82" t="str">
        <f>IF(ISNUMBER(outYear),ODM37+ODM42+#REF!+#REF!,"")</f>
        <v/>
      </c>
      <c r="ODN57" s="82" t="str">
        <f>IF(ISNUMBER(outYear),ODN37+ODN42+#REF!+#REF!,"")</f>
        <v/>
      </c>
      <c r="ODO57" s="82" t="str">
        <f>IF(ISNUMBER(outYear),ODO37+ODO42+#REF!+#REF!,"")</f>
        <v/>
      </c>
      <c r="ODP57" s="82" t="str">
        <f>IF(ISNUMBER(outYear),ODP37+ODP42+#REF!+#REF!,"")</f>
        <v/>
      </c>
      <c r="ODQ57" s="82" t="str">
        <f>IF(ISNUMBER(outYear),ODQ37+ODQ42+#REF!+#REF!,"")</f>
        <v/>
      </c>
      <c r="ODR57" s="82" t="str">
        <f>IF(ISNUMBER(outYear),ODR37+ODR42+#REF!+#REF!,"")</f>
        <v/>
      </c>
      <c r="ODS57" s="82" t="str">
        <f>IF(ISNUMBER(outYear),ODS37+ODS42+#REF!+#REF!,"")</f>
        <v/>
      </c>
      <c r="ODT57" s="82" t="str">
        <f>IF(ISNUMBER(outYear),ODT37+ODT42+#REF!+#REF!,"")</f>
        <v/>
      </c>
      <c r="ODU57" s="82" t="str">
        <f>IF(ISNUMBER(outYear),ODU37+ODU42+#REF!+#REF!,"")</f>
        <v/>
      </c>
      <c r="ODV57" s="82" t="str">
        <f>IF(ISNUMBER(outYear),ODV37+ODV42+#REF!+#REF!,"")</f>
        <v/>
      </c>
      <c r="ODW57" s="82" t="str">
        <f>IF(ISNUMBER(outYear),ODW37+ODW42+#REF!+#REF!,"")</f>
        <v/>
      </c>
      <c r="ODX57" s="82" t="str">
        <f>IF(ISNUMBER(outYear),ODX37+ODX42+#REF!+#REF!,"")</f>
        <v/>
      </c>
      <c r="ODY57" s="82" t="str">
        <f>IF(ISNUMBER(outYear),ODY37+ODY42+#REF!+#REF!,"")</f>
        <v/>
      </c>
      <c r="ODZ57" s="82" t="str">
        <f>IF(ISNUMBER(outYear),ODZ37+ODZ42+#REF!+#REF!,"")</f>
        <v/>
      </c>
      <c r="OEA57" s="82" t="str">
        <f>IF(ISNUMBER(outYear),OEA37+OEA42+#REF!+#REF!,"")</f>
        <v/>
      </c>
      <c r="OEB57" s="82" t="str">
        <f>IF(ISNUMBER(outYear),OEB37+OEB42+#REF!+#REF!,"")</f>
        <v/>
      </c>
      <c r="OEC57" s="82" t="str">
        <f>IF(ISNUMBER(outYear),OEC37+OEC42+#REF!+#REF!,"")</f>
        <v/>
      </c>
      <c r="OED57" s="82" t="str">
        <f>IF(ISNUMBER(outYear),OED37+OED42+#REF!+#REF!,"")</f>
        <v/>
      </c>
      <c r="OEE57" s="82" t="str">
        <f>IF(ISNUMBER(outYear),OEE37+OEE42+#REF!+#REF!,"")</f>
        <v/>
      </c>
      <c r="OEF57" s="82" t="str">
        <f>IF(ISNUMBER(outYear),OEF37+OEF42+#REF!+#REF!,"")</f>
        <v/>
      </c>
      <c r="OEG57" s="82" t="str">
        <f>IF(ISNUMBER(outYear),OEG37+OEG42+#REF!+#REF!,"")</f>
        <v/>
      </c>
      <c r="OEH57" s="82" t="str">
        <f>IF(ISNUMBER(outYear),OEH37+OEH42+#REF!+#REF!,"")</f>
        <v/>
      </c>
      <c r="OEI57" s="82" t="str">
        <f>IF(ISNUMBER(outYear),OEI37+OEI42+#REF!+#REF!,"")</f>
        <v/>
      </c>
      <c r="OEJ57" s="82" t="str">
        <f>IF(ISNUMBER(outYear),OEJ37+OEJ42+#REF!+#REF!,"")</f>
        <v/>
      </c>
      <c r="OEK57" s="82" t="str">
        <f>IF(ISNUMBER(outYear),OEK37+OEK42+#REF!+#REF!,"")</f>
        <v/>
      </c>
      <c r="OEL57" s="82" t="str">
        <f>IF(ISNUMBER(outYear),OEL37+OEL42+#REF!+#REF!,"")</f>
        <v/>
      </c>
      <c r="OEM57" s="82" t="str">
        <f>IF(ISNUMBER(outYear),OEM37+OEM42+#REF!+#REF!,"")</f>
        <v/>
      </c>
      <c r="OEN57" s="82" t="str">
        <f>IF(ISNUMBER(outYear),OEN37+OEN42+#REF!+#REF!,"")</f>
        <v/>
      </c>
      <c r="OEO57" s="82" t="str">
        <f>IF(ISNUMBER(outYear),OEO37+OEO42+#REF!+#REF!,"")</f>
        <v/>
      </c>
      <c r="OEP57" s="82" t="str">
        <f>IF(ISNUMBER(outYear),OEP37+OEP42+#REF!+#REF!,"")</f>
        <v/>
      </c>
      <c r="OEQ57" s="82" t="str">
        <f>IF(ISNUMBER(outYear),OEQ37+OEQ42+#REF!+#REF!,"")</f>
        <v/>
      </c>
      <c r="OER57" s="82" t="str">
        <f>IF(ISNUMBER(outYear),OER37+OER42+#REF!+#REF!,"")</f>
        <v/>
      </c>
      <c r="OES57" s="82" t="str">
        <f>IF(ISNUMBER(outYear),OES37+OES42+#REF!+#REF!,"")</f>
        <v/>
      </c>
      <c r="OET57" s="82" t="str">
        <f>IF(ISNUMBER(outYear),OET37+OET42+#REF!+#REF!,"")</f>
        <v/>
      </c>
      <c r="OEU57" s="82" t="str">
        <f>IF(ISNUMBER(outYear),OEU37+OEU42+#REF!+#REF!,"")</f>
        <v/>
      </c>
      <c r="OEV57" s="82" t="str">
        <f>IF(ISNUMBER(outYear),OEV37+OEV42+#REF!+#REF!,"")</f>
        <v/>
      </c>
      <c r="OEW57" s="82" t="str">
        <f>IF(ISNUMBER(outYear),OEW37+OEW42+#REF!+#REF!,"")</f>
        <v/>
      </c>
      <c r="OEX57" s="82" t="str">
        <f>IF(ISNUMBER(outYear),OEX37+OEX42+#REF!+#REF!,"")</f>
        <v/>
      </c>
      <c r="OEY57" s="82" t="str">
        <f>IF(ISNUMBER(outYear),OEY37+OEY42+#REF!+#REF!,"")</f>
        <v/>
      </c>
      <c r="OEZ57" s="82" t="str">
        <f>IF(ISNUMBER(outYear),OEZ37+OEZ42+#REF!+#REF!,"")</f>
        <v/>
      </c>
      <c r="OFA57" s="82" t="str">
        <f>IF(ISNUMBER(outYear),OFA37+OFA42+#REF!+#REF!,"")</f>
        <v/>
      </c>
      <c r="OFB57" s="82" t="str">
        <f>IF(ISNUMBER(outYear),OFB37+OFB42+#REF!+#REF!,"")</f>
        <v/>
      </c>
      <c r="OFC57" s="82" t="str">
        <f>IF(ISNUMBER(outYear),OFC37+OFC42+#REF!+#REF!,"")</f>
        <v/>
      </c>
      <c r="OFD57" s="82" t="str">
        <f>IF(ISNUMBER(outYear),OFD37+OFD42+#REF!+#REF!,"")</f>
        <v/>
      </c>
      <c r="OFE57" s="82" t="str">
        <f>IF(ISNUMBER(outYear),OFE37+OFE42+#REF!+#REF!,"")</f>
        <v/>
      </c>
      <c r="OFF57" s="82" t="str">
        <f>IF(ISNUMBER(outYear),OFF37+OFF42+#REF!+#REF!,"")</f>
        <v/>
      </c>
      <c r="OFG57" s="82" t="str">
        <f>IF(ISNUMBER(outYear),OFG37+OFG42+#REF!+#REF!,"")</f>
        <v/>
      </c>
      <c r="OFH57" s="82" t="str">
        <f>IF(ISNUMBER(outYear),OFH37+OFH42+#REF!+#REF!,"")</f>
        <v/>
      </c>
      <c r="OFI57" s="82" t="str">
        <f>IF(ISNUMBER(outYear),OFI37+OFI42+#REF!+#REF!,"")</f>
        <v/>
      </c>
      <c r="OFJ57" s="82" t="str">
        <f>IF(ISNUMBER(outYear),OFJ37+OFJ42+#REF!+#REF!,"")</f>
        <v/>
      </c>
      <c r="OFK57" s="82" t="str">
        <f>IF(ISNUMBER(outYear),OFK37+OFK42+#REF!+#REF!,"")</f>
        <v/>
      </c>
      <c r="OFL57" s="82" t="str">
        <f>IF(ISNUMBER(outYear),OFL37+OFL42+#REF!+#REF!,"")</f>
        <v/>
      </c>
      <c r="OFM57" s="82" t="str">
        <f>IF(ISNUMBER(outYear),OFM37+OFM42+#REF!+#REF!,"")</f>
        <v/>
      </c>
      <c r="OFN57" s="82" t="str">
        <f>IF(ISNUMBER(outYear),OFN37+OFN42+#REF!+#REF!,"")</f>
        <v/>
      </c>
      <c r="OFO57" s="82" t="str">
        <f>IF(ISNUMBER(outYear),OFO37+OFO42+#REF!+#REF!,"")</f>
        <v/>
      </c>
      <c r="OFP57" s="82" t="str">
        <f>IF(ISNUMBER(outYear),OFP37+OFP42+#REF!+#REF!,"")</f>
        <v/>
      </c>
      <c r="OFQ57" s="82" t="str">
        <f>IF(ISNUMBER(outYear),OFQ37+OFQ42+#REF!+#REF!,"")</f>
        <v/>
      </c>
      <c r="OFR57" s="82" t="str">
        <f>IF(ISNUMBER(outYear),OFR37+OFR42+#REF!+#REF!,"")</f>
        <v/>
      </c>
      <c r="OFS57" s="82" t="str">
        <f>IF(ISNUMBER(outYear),OFS37+OFS42+#REF!+#REF!,"")</f>
        <v/>
      </c>
      <c r="OFT57" s="82" t="str">
        <f>IF(ISNUMBER(outYear),OFT37+OFT42+#REF!+#REF!,"")</f>
        <v/>
      </c>
      <c r="OFU57" s="82" t="str">
        <f>IF(ISNUMBER(outYear),OFU37+OFU42+#REF!+#REF!,"")</f>
        <v/>
      </c>
      <c r="OFV57" s="82" t="str">
        <f>IF(ISNUMBER(outYear),OFV37+OFV42+#REF!+#REF!,"")</f>
        <v/>
      </c>
      <c r="OFW57" s="82" t="str">
        <f>IF(ISNUMBER(outYear),OFW37+OFW42+#REF!+#REF!,"")</f>
        <v/>
      </c>
      <c r="OFX57" s="82" t="str">
        <f>IF(ISNUMBER(outYear),OFX37+OFX42+#REF!+#REF!,"")</f>
        <v/>
      </c>
      <c r="OFY57" s="82" t="str">
        <f>IF(ISNUMBER(outYear),OFY37+OFY42+#REF!+#REF!,"")</f>
        <v/>
      </c>
      <c r="OFZ57" s="82" t="str">
        <f>IF(ISNUMBER(outYear),OFZ37+OFZ42+#REF!+#REF!,"")</f>
        <v/>
      </c>
      <c r="OGA57" s="82" t="str">
        <f>IF(ISNUMBER(outYear),OGA37+OGA42+#REF!+#REF!,"")</f>
        <v/>
      </c>
      <c r="OGB57" s="82" t="str">
        <f>IF(ISNUMBER(outYear),OGB37+OGB42+#REF!+#REF!,"")</f>
        <v/>
      </c>
      <c r="OGC57" s="82" t="str">
        <f>IF(ISNUMBER(outYear),OGC37+OGC42+#REF!+#REF!,"")</f>
        <v/>
      </c>
      <c r="OGD57" s="82" t="str">
        <f>IF(ISNUMBER(outYear),OGD37+OGD42+#REF!+#REF!,"")</f>
        <v/>
      </c>
      <c r="OGE57" s="82" t="str">
        <f>IF(ISNUMBER(outYear),OGE37+OGE42+#REF!+#REF!,"")</f>
        <v/>
      </c>
      <c r="OGF57" s="82" t="str">
        <f>IF(ISNUMBER(outYear),OGF37+OGF42+#REF!+#REF!,"")</f>
        <v/>
      </c>
      <c r="OGG57" s="82" t="str">
        <f>IF(ISNUMBER(outYear),OGG37+OGG42+#REF!+#REF!,"")</f>
        <v/>
      </c>
      <c r="OGH57" s="82" t="str">
        <f>IF(ISNUMBER(outYear),OGH37+OGH42+#REF!+#REF!,"")</f>
        <v/>
      </c>
      <c r="OGI57" s="82" t="str">
        <f>IF(ISNUMBER(outYear),OGI37+OGI42+#REF!+#REF!,"")</f>
        <v/>
      </c>
      <c r="OGJ57" s="82" t="str">
        <f>IF(ISNUMBER(outYear),OGJ37+OGJ42+#REF!+#REF!,"")</f>
        <v/>
      </c>
      <c r="OGK57" s="82" t="str">
        <f>IF(ISNUMBER(outYear),OGK37+OGK42+#REF!+#REF!,"")</f>
        <v/>
      </c>
      <c r="OGL57" s="82" t="str">
        <f>IF(ISNUMBER(outYear),OGL37+OGL42+#REF!+#REF!,"")</f>
        <v/>
      </c>
      <c r="OGM57" s="82" t="str">
        <f>IF(ISNUMBER(outYear),OGM37+OGM42+#REF!+#REF!,"")</f>
        <v/>
      </c>
      <c r="OGN57" s="82" t="str">
        <f>IF(ISNUMBER(outYear),OGN37+OGN42+#REF!+#REF!,"")</f>
        <v/>
      </c>
      <c r="OGO57" s="82" t="str">
        <f>IF(ISNUMBER(outYear),OGO37+OGO42+#REF!+#REF!,"")</f>
        <v/>
      </c>
      <c r="OGP57" s="82" t="str">
        <f>IF(ISNUMBER(outYear),OGP37+OGP42+#REF!+#REF!,"")</f>
        <v/>
      </c>
      <c r="OGQ57" s="82" t="str">
        <f>IF(ISNUMBER(outYear),OGQ37+OGQ42+#REF!+#REF!,"")</f>
        <v/>
      </c>
      <c r="OGR57" s="82" t="str">
        <f>IF(ISNUMBER(outYear),OGR37+OGR42+#REF!+#REF!,"")</f>
        <v/>
      </c>
      <c r="OGS57" s="82" t="str">
        <f>IF(ISNUMBER(outYear),OGS37+OGS42+#REF!+#REF!,"")</f>
        <v/>
      </c>
      <c r="OGT57" s="82" t="str">
        <f>IF(ISNUMBER(outYear),OGT37+OGT42+#REF!+#REF!,"")</f>
        <v/>
      </c>
      <c r="OGU57" s="82" t="str">
        <f>IF(ISNUMBER(outYear),OGU37+OGU42+#REF!+#REF!,"")</f>
        <v/>
      </c>
      <c r="OGV57" s="82" t="str">
        <f>IF(ISNUMBER(outYear),OGV37+OGV42+#REF!+#REF!,"")</f>
        <v/>
      </c>
      <c r="OGW57" s="82" t="str">
        <f>IF(ISNUMBER(outYear),OGW37+OGW42+#REF!+#REF!,"")</f>
        <v/>
      </c>
      <c r="OGX57" s="82" t="str">
        <f>IF(ISNUMBER(outYear),OGX37+OGX42+#REF!+#REF!,"")</f>
        <v/>
      </c>
      <c r="OGY57" s="82" t="str">
        <f>IF(ISNUMBER(outYear),OGY37+OGY42+#REF!+#REF!,"")</f>
        <v/>
      </c>
      <c r="OGZ57" s="82" t="str">
        <f>IF(ISNUMBER(outYear),OGZ37+OGZ42+#REF!+#REF!,"")</f>
        <v/>
      </c>
      <c r="OHA57" s="82" t="str">
        <f>IF(ISNUMBER(outYear),OHA37+OHA42+#REF!+#REF!,"")</f>
        <v/>
      </c>
      <c r="OHB57" s="82" t="str">
        <f>IF(ISNUMBER(outYear),OHB37+OHB42+#REF!+#REF!,"")</f>
        <v/>
      </c>
      <c r="OHC57" s="82" t="str">
        <f>IF(ISNUMBER(outYear),OHC37+OHC42+#REF!+#REF!,"")</f>
        <v/>
      </c>
      <c r="OHD57" s="82" t="str">
        <f>IF(ISNUMBER(outYear),OHD37+OHD42+#REF!+#REF!,"")</f>
        <v/>
      </c>
      <c r="OHE57" s="82" t="str">
        <f>IF(ISNUMBER(outYear),OHE37+OHE42+#REF!+#REF!,"")</f>
        <v/>
      </c>
      <c r="OHF57" s="82" t="str">
        <f>IF(ISNUMBER(outYear),OHF37+OHF42+#REF!+#REF!,"")</f>
        <v/>
      </c>
      <c r="OHG57" s="82" t="str">
        <f>IF(ISNUMBER(outYear),OHG37+OHG42+#REF!+#REF!,"")</f>
        <v/>
      </c>
      <c r="OHH57" s="82" t="str">
        <f>IF(ISNUMBER(outYear),OHH37+OHH42+#REF!+#REF!,"")</f>
        <v/>
      </c>
      <c r="OHI57" s="82" t="str">
        <f>IF(ISNUMBER(outYear),OHI37+OHI42+#REF!+#REF!,"")</f>
        <v/>
      </c>
      <c r="OHJ57" s="82" t="str">
        <f>IF(ISNUMBER(outYear),OHJ37+OHJ42+#REF!+#REF!,"")</f>
        <v/>
      </c>
      <c r="OHK57" s="82" t="str">
        <f>IF(ISNUMBER(outYear),OHK37+OHK42+#REF!+#REF!,"")</f>
        <v/>
      </c>
      <c r="OHL57" s="82" t="str">
        <f>IF(ISNUMBER(outYear),OHL37+OHL42+#REF!+#REF!,"")</f>
        <v/>
      </c>
      <c r="OHM57" s="82" t="str">
        <f>IF(ISNUMBER(outYear),OHM37+OHM42+#REF!+#REF!,"")</f>
        <v/>
      </c>
      <c r="OHN57" s="82" t="str">
        <f>IF(ISNUMBER(outYear),OHN37+OHN42+#REF!+#REF!,"")</f>
        <v/>
      </c>
      <c r="OHO57" s="82" t="str">
        <f>IF(ISNUMBER(outYear),OHO37+OHO42+#REF!+#REF!,"")</f>
        <v/>
      </c>
      <c r="OHP57" s="82" t="str">
        <f>IF(ISNUMBER(outYear),OHP37+OHP42+#REF!+#REF!,"")</f>
        <v/>
      </c>
      <c r="OHQ57" s="82" t="str">
        <f>IF(ISNUMBER(outYear),OHQ37+OHQ42+#REF!+#REF!,"")</f>
        <v/>
      </c>
      <c r="OHR57" s="82" t="str">
        <f>IF(ISNUMBER(outYear),OHR37+OHR42+#REF!+#REF!,"")</f>
        <v/>
      </c>
      <c r="OHS57" s="82" t="str">
        <f>IF(ISNUMBER(outYear),OHS37+OHS42+#REF!+#REF!,"")</f>
        <v/>
      </c>
      <c r="OHT57" s="82" t="str">
        <f>IF(ISNUMBER(outYear),OHT37+OHT42+#REF!+#REF!,"")</f>
        <v/>
      </c>
      <c r="OHU57" s="82" t="str">
        <f>IF(ISNUMBER(outYear),OHU37+OHU42+#REF!+#REF!,"")</f>
        <v/>
      </c>
      <c r="OHV57" s="82" t="str">
        <f>IF(ISNUMBER(outYear),OHV37+OHV42+#REF!+#REF!,"")</f>
        <v/>
      </c>
      <c r="OHW57" s="82" t="str">
        <f>IF(ISNUMBER(outYear),OHW37+OHW42+#REF!+#REF!,"")</f>
        <v/>
      </c>
      <c r="OHX57" s="82" t="str">
        <f>IF(ISNUMBER(outYear),OHX37+OHX42+#REF!+#REF!,"")</f>
        <v/>
      </c>
      <c r="OHY57" s="82" t="str">
        <f>IF(ISNUMBER(outYear),OHY37+OHY42+#REF!+#REF!,"")</f>
        <v/>
      </c>
      <c r="OHZ57" s="82" t="str">
        <f>IF(ISNUMBER(outYear),OHZ37+OHZ42+#REF!+#REF!,"")</f>
        <v/>
      </c>
      <c r="OIA57" s="82" t="str">
        <f>IF(ISNUMBER(outYear),OIA37+OIA42+#REF!+#REF!,"")</f>
        <v/>
      </c>
      <c r="OIB57" s="82" t="str">
        <f>IF(ISNUMBER(outYear),OIB37+OIB42+#REF!+#REF!,"")</f>
        <v/>
      </c>
      <c r="OIC57" s="82" t="str">
        <f>IF(ISNUMBER(outYear),OIC37+OIC42+#REF!+#REF!,"")</f>
        <v/>
      </c>
      <c r="OID57" s="82" t="str">
        <f>IF(ISNUMBER(outYear),OID37+OID42+#REF!+#REF!,"")</f>
        <v/>
      </c>
      <c r="OIE57" s="82" t="str">
        <f>IF(ISNUMBER(outYear),OIE37+OIE42+#REF!+#REF!,"")</f>
        <v/>
      </c>
      <c r="OIF57" s="82" t="str">
        <f>IF(ISNUMBER(outYear),OIF37+OIF42+#REF!+#REF!,"")</f>
        <v/>
      </c>
      <c r="OIG57" s="82" t="str">
        <f>IF(ISNUMBER(outYear),OIG37+OIG42+#REF!+#REF!,"")</f>
        <v/>
      </c>
      <c r="OIH57" s="82" t="str">
        <f>IF(ISNUMBER(outYear),OIH37+OIH42+#REF!+#REF!,"")</f>
        <v/>
      </c>
      <c r="OII57" s="82" t="str">
        <f>IF(ISNUMBER(outYear),OII37+OII42+#REF!+#REF!,"")</f>
        <v/>
      </c>
      <c r="OIJ57" s="82" t="str">
        <f>IF(ISNUMBER(outYear),OIJ37+OIJ42+#REF!+#REF!,"")</f>
        <v/>
      </c>
      <c r="OIK57" s="82" t="str">
        <f>IF(ISNUMBER(outYear),OIK37+OIK42+#REF!+#REF!,"")</f>
        <v/>
      </c>
      <c r="OIL57" s="82" t="str">
        <f>IF(ISNUMBER(outYear),OIL37+OIL42+#REF!+#REF!,"")</f>
        <v/>
      </c>
      <c r="OIM57" s="82" t="str">
        <f>IF(ISNUMBER(outYear),OIM37+OIM42+#REF!+#REF!,"")</f>
        <v/>
      </c>
      <c r="OIN57" s="82" t="str">
        <f>IF(ISNUMBER(outYear),OIN37+OIN42+#REF!+#REF!,"")</f>
        <v/>
      </c>
      <c r="OIO57" s="82" t="str">
        <f>IF(ISNUMBER(outYear),OIO37+OIO42+#REF!+#REF!,"")</f>
        <v/>
      </c>
      <c r="OIP57" s="82" t="str">
        <f>IF(ISNUMBER(outYear),OIP37+OIP42+#REF!+#REF!,"")</f>
        <v/>
      </c>
      <c r="OIQ57" s="82" t="str">
        <f>IF(ISNUMBER(outYear),OIQ37+OIQ42+#REF!+#REF!,"")</f>
        <v/>
      </c>
      <c r="OIR57" s="82" t="str">
        <f>IF(ISNUMBER(outYear),OIR37+OIR42+#REF!+#REF!,"")</f>
        <v/>
      </c>
      <c r="OIS57" s="82" t="str">
        <f>IF(ISNUMBER(outYear),OIS37+OIS42+#REF!+#REF!,"")</f>
        <v/>
      </c>
      <c r="OIT57" s="82" t="str">
        <f>IF(ISNUMBER(outYear),OIT37+OIT42+#REF!+#REF!,"")</f>
        <v/>
      </c>
      <c r="OIU57" s="82" t="str">
        <f>IF(ISNUMBER(outYear),OIU37+OIU42+#REF!+#REF!,"")</f>
        <v/>
      </c>
      <c r="OIV57" s="82" t="str">
        <f>IF(ISNUMBER(outYear),OIV37+OIV42+#REF!+#REF!,"")</f>
        <v/>
      </c>
      <c r="OIW57" s="82" t="str">
        <f>IF(ISNUMBER(outYear),OIW37+OIW42+#REF!+#REF!,"")</f>
        <v/>
      </c>
      <c r="OIX57" s="82" t="str">
        <f>IF(ISNUMBER(outYear),OIX37+OIX42+#REF!+#REF!,"")</f>
        <v/>
      </c>
      <c r="OIY57" s="82" t="str">
        <f>IF(ISNUMBER(outYear),OIY37+OIY42+#REF!+#REF!,"")</f>
        <v/>
      </c>
      <c r="OIZ57" s="82" t="str">
        <f>IF(ISNUMBER(outYear),OIZ37+OIZ42+#REF!+#REF!,"")</f>
        <v/>
      </c>
      <c r="OJA57" s="82" t="str">
        <f>IF(ISNUMBER(outYear),OJA37+OJA42+#REF!+#REF!,"")</f>
        <v/>
      </c>
      <c r="OJB57" s="82" t="str">
        <f>IF(ISNUMBER(outYear),OJB37+OJB42+#REF!+#REF!,"")</f>
        <v/>
      </c>
      <c r="OJC57" s="82" t="str">
        <f>IF(ISNUMBER(outYear),OJC37+OJC42+#REF!+#REF!,"")</f>
        <v/>
      </c>
      <c r="OJD57" s="82" t="str">
        <f>IF(ISNUMBER(outYear),OJD37+OJD42+#REF!+#REF!,"")</f>
        <v/>
      </c>
      <c r="OJE57" s="82" t="str">
        <f>IF(ISNUMBER(outYear),OJE37+OJE42+#REF!+#REF!,"")</f>
        <v/>
      </c>
      <c r="OJF57" s="82" t="str">
        <f>IF(ISNUMBER(outYear),OJF37+OJF42+#REF!+#REF!,"")</f>
        <v/>
      </c>
      <c r="OJG57" s="82" t="str">
        <f>IF(ISNUMBER(outYear),OJG37+OJG42+#REF!+#REF!,"")</f>
        <v/>
      </c>
      <c r="OJH57" s="82" t="str">
        <f>IF(ISNUMBER(outYear),OJH37+OJH42+#REF!+#REF!,"")</f>
        <v/>
      </c>
      <c r="OJI57" s="82" t="str">
        <f>IF(ISNUMBER(outYear),OJI37+OJI42+#REF!+#REF!,"")</f>
        <v/>
      </c>
      <c r="OJJ57" s="82" t="str">
        <f>IF(ISNUMBER(outYear),OJJ37+OJJ42+#REF!+#REF!,"")</f>
        <v/>
      </c>
      <c r="OJK57" s="82" t="str">
        <f>IF(ISNUMBER(outYear),OJK37+OJK42+#REF!+#REF!,"")</f>
        <v/>
      </c>
      <c r="OJL57" s="82" t="str">
        <f>IF(ISNUMBER(outYear),OJL37+OJL42+#REF!+#REF!,"")</f>
        <v/>
      </c>
      <c r="OJM57" s="82" t="str">
        <f>IF(ISNUMBER(outYear),OJM37+OJM42+#REF!+#REF!,"")</f>
        <v/>
      </c>
      <c r="OJN57" s="82" t="str">
        <f>IF(ISNUMBER(outYear),OJN37+OJN42+#REF!+#REF!,"")</f>
        <v/>
      </c>
      <c r="OJO57" s="82" t="str">
        <f>IF(ISNUMBER(outYear),OJO37+OJO42+#REF!+#REF!,"")</f>
        <v/>
      </c>
      <c r="OJP57" s="82" t="str">
        <f>IF(ISNUMBER(outYear),OJP37+OJP42+#REF!+#REF!,"")</f>
        <v/>
      </c>
      <c r="OJQ57" s="82" t="str">
        <f>IF(ISNUMBER(outYear),OJQ37+OJQ42+#REF!+#REF!,"")</f>
        <v/>
      </c>
      <c r="OJR57" s="82" t="str">
        <f>IF(ISNUMBER(outYear),OJR37+OJR42+#REF!+#REF!,"")</f>
        <v/>
      </c>
      <c r="OJS57" s="82" t="str">
        <f>IF(ISNUMBER(outYear),OJS37+OJS42+#REF!+#REF!,"")</f>
        <v/>
      </c>
      <c r="OJT57" s="82" t="str">
        <f>IF(ISNUMBER(outYear),OJT37+OJT42+#REF!+#REF!,"")</f>
        <v/>
      </c>
      <c r="OJU57" s="82" t="str">
        <f>IF(ISNUMBER(outYear),OJU37+OJU42+#REF!+#REF!,"")</f>
        <v/>
      </c>
      <c r="OJV57" s="82" t="str">
        <f>IF(ISNUMBER(outYear),OJV37+OJV42+#REF!+#REF!,"")</f>
        <v/>
      </c>
      <c r="OJW57" s="82" t="str">
        <f>IF(ISNUMBER(outYear),OJW37+OJW42+#REF!+#REF!,"")</f>
        <v/>
      </c>
      <c r="OJX57" s="82" t="str">
        <f>IF(ISNUMBER(outYear),OJX37+OJX42+#REF!+#REF!,"")</f>
        <v/>
      </c>
      <c r="OJY57" s="82" t="str">
        <f>IF(ISNUMBER(outYear),OJY37+OJY42+#REF!+#REF!,"")</f>
        <v/>
      </c>
      <c r="OJZ57" s="82" t="str">
        <f>IF(ISNUMBER(outYear),OJZ37+OJZ42+#REF!+#REF!,"")</f>
        <v/>
      </c>
      <c r="OKA57" s="82" t="str">
        <f>IF(ISNUMBER(outYear),OKA37+OKA42+#REF!+#REF!,"")</f>
        <v/>
      </c>
      <c r="OKB57" s="82" t="str">
        <f>IF(ISNUMBER(outYear),OKB37+OKB42+#REF!+#REF!,"")</f>
        <v/>
      </c>
      <c r="OKC57" s="82" t="str">
        <f>IF(ISNUMBER(outYear),OKC37+OKC42+#REF!+#REF!,"")</f>
        <v/>
      </c>
      <c r="OKD57" s="82" t="str">
        <f>IF(ISNUMBER(outYear),OKD37+OKD42+#REF!+#REF!,"")</f>
        <v/>
      </c>
      <c r="OKE57" s="82" t="str">
        <f>IF(ISNUMBER(outYear),OKE37+OKE42+#REF!+#REF!,"")</f>
        <v/>
      </c>
      <c r="OKF57" s="82" t="str">
        <f>IF(ISNUMBER(outYear),OKF37+OKF42+#REF!+#REF!,"")</f>
        <v/>
      </c>
      <c r="OKG57" s="82" t="str">
        <f>IF(ISNUMBER(outYear),OKG37+OKG42+#REF!+#REF!,"")</f>
        <v/>
      </c>
      <c r="OKH57" s="82" t="str">
        <f>IF(ISNUMBER(outYear),OKH37+OKH42+#REF!+#REF!,"")</f>
        <v/>
      </c>
      <c r="OKI57" s="82" t="str">
        <f>IF(ISNUMBER(outYear),OKI37+OKI42+#REF!+#REF!,"")</f>
        <v/>
      </c>
      <c r="OKJ57" s="82" t="str">
        <f>IF(ISNUMBER(outYear),OKJ37+OKJ42+#REF!+#REF!,"")</f>
        <v/>
      </c>
      <c r="OKK57" s="82" t="str">
        <f>IF(ISNUMBER(outYear),OKK37+OKK42+#REF!+#REF!,"")</f>
        <v/>
      </c>
      <c r="OKL57" s="82" t="str">
        <f>IF(ISNUMBER(outYear),OKL37+OKL42+#REF!+#REF!,"")</f>
        <v/>
      </c>
      <c r="OKM57" s="82" t="str">
        <f>IF(ISNUMBER(outYear),OKM37+OKM42+#REF!+#REF!,"")</f>
        <v/>
      </c>
      <c r="OKN57" s="82" t="str">
        <f>IF(ISNUMBER(outYear),OKN37+OKN42+#REF!+#REF!,"")</f>
        <v/>
      </c>
      <c r="OKO57" s="82" t="str">
        <f>IF(ISNUMBER(outYear),OKO37+OKO42+#REF!+#REF!,"")</f>
        <v/>
      </c>
      <c r="OKP57" s="82" t="str">
        <f>IF(ISNUMBER(outYear),OKP37+OKP42+#REF!+#REF!,"")</f>
        <v/>
      </c>
      <c r="OKQ57" s="82" t="str">
        <f>IF(ISNUMBER(outYear),OKQ37+OKQ42+#REF!+#REF!,"")</f>
        <v/>
      </c>
      <c r="OKR57" s="82" t="str">
        <f>IF(ISNUMBER(outYear),OKR37+OKR42+#REF!+#REF!,"")</f>
        <v/>
      </c>
      <c r="OKS57" s="82" t="str">
        <f>IF(ISNUMBER(outYear),OKS37+OKS42+#REF!+#REF!,"")</f>
        <v/>
      </c>
      <c r="OKT57" s="82" t="str">
        <f>IF(ISNUMBER(outYear),OKT37+OKT42+#REF!+#REF!,"")</f>
        <v/>
      </c>
      <c r="OKU57" s="82" t="str">
        <f>IF(ISNUMBER(outYear),OKU37+OKU42+#REF!+#REF!,"")</f>
        <v/>
      </c>
      <c r="OKV57" s="82" t="str">
        <f>IF(ISNUMBER(outYear),OKV37+OKV42+#REF!+#REF!,"")</f>
        <v/>
      </c>
      <c r="OKW57" s="82" t="str">
        <f>IF(ISNUMBER(outYear),OKW37+OKW42+#REF!+#REF!,"")</f>
        <v/>
      </c>
      <c r="OKX57" s="82" t="str">
        <f>IF(ISNUMBER(outYear),OKX37+OKX42+#REF!+#REF!,"")</f>
        <v/>
      </c>
      <c r="OKY57" s="82" t="str">
        <f>IF(ISNUMBER(outYear),OKY37+OKY42+#REF!+#REF!,"")</f>
        <v/>
      </c>
      <c r="OKZ57" s="82" t="str">
        <f>IF(ISNUMBER(outYear),OKZ37+OKZ42+#REF!+#REF!,"")</f>
        <v/>
      </c>
      <c r="OLA57" s="82" t="str">
        <f>IF(ISNUMBER(outYear),OLA37+OLA42+#REF!+#REF!,"")</f>
        <v/>
      </c>
      <c r="OLB57" s="82" t="str">
        <f>IF(ISNUMBER(outYear),OLB37+OLB42+#REF!+#REF!,"")</f>
        <v/>
      </c>
      <c r="OLC57" s="82" t="str">
        <f>IF(ISNUMBER(outYear),OLC37+OLC42+#REF!+#REF!,"")</f>
        <v/>
      </c>
      <c r="OLD57" s="82" t="str">
        <f>IF(ISNUMBER(outYear),OLD37+OLD42+#REF!+#REF!,"")</f>
        <v/>
      </c>
      <c r="OLE57" s="82" t="str">
        <f>IF(ISNUMBER(outYear),OLE37+OLE42+#REF!+#REF!,"")</f>
        <v/>
      </c>
      <c r="OLF57" s="82" t="str">
        <f>IF(ISNUMBER(outYear),OLF37+OLF42+#REF!+#REF!,"")</f>
        <v/>
      </c>
      <c r="OLG57" s="82" t="str">
        <f>IF(ISNUMBER(outYear),OLG37+OLG42+#REF!+#REF!,"")</f>
        <v/>
      </c>
      <c r="OLH57" s="82" t="str">
        <f>IF(ISNUMBER(outYear),OLH37+OLH42+#REF!+#REF!,"")</f>
        <v/>
      </c>
      <c r="OLI57" s="82" t="str">
        <f>IF(ISNUMBER(outYear),OLI37+OLI42+#REF!+#REF!,"")</f>
        <v/>
      </c>
      <c r="OLJ57" s="82" t="str">
        <f>IF(ISNUMBER(outYear),OLJ37+OLJ42+#REF!+#REF!,"")</f>
        <v/>
      </c>
      <c r="OLK57" s="82" t="str">
        <f>IF(ISNUMBER(outYear),OLK37+OLK42+#REF!+#REF!,"")</f>
        <v/>
      </c>
      <c r="OLL57" s="82" t="str">
        <f>IF(ISNUMBER(outYear),OLL37+OLL42+#REF!+#REF!,"")</f>
        <v/>
      </c>
      <c r="OLM57" s="82" t="str">
        <f>IF(ISNUMBER(outYear),OLM37+OLM42+#REF!+#REF!,"")</f>
        <v/>
      </c>
      <c r="OLN57" s="82" t="str">
        <f>IF(ISNUMBER(outYear),OLN37+OLN42+#REF!+#REF!,"")</f>
        <v/>
      </c>
      <c r="OLO57" s="82" t="str">
        <f>IF(ISNUMBER(outYear),OLO37+OLO42+#REF!+#REF!,"")</f>
        <v/>
      </c>
      <c r="OLP57" s="82" t="str">
        <f>IF(ISNUMBER(outYear),OLP37+OLP42+#REF!+#REF!,"")</f>
        <v/>
      </c>
      <c r="OLQ57" s="82" t="str">
        <f>IF(ISNUMBER(outYear),OLQ37+OLQ42+#REF!+#REF!,"")</f>
        <v/>
      </c>
      <c r="OLR57" s="82" t="str">
        <f>IF(ISNUMBER(outYear),OLR37+OLR42+#REF!+#REF!,"")</f>
        <v/>
      </c>
      <c r="OLS57" s="82" t="str">
        <f>IF(ISNUMBER(outYear),OLS37+OLS42+#REF!+#REF!,"")</f>
        <v/>
      </c>
      <c r="OLT57" s="82" t="str">
        <f>IF(ISNUMBER(outYear),OLT37+OLT42+#REF!+#REF!,"")</f>
        <v/>
      </c>
      <c r="OLU57" s="82" t="str">
        <f>IF(ISNUMBER(outYear),OLU37+OLU42+#REF!+#REF!,"")</f>
        <v/>
      </c>
      <c r="OLV57" s="82" t="str">
        <f>IF(ISNUMBER(outYear),OLV37+OLV42+#REF!+#REF!,"")</f>
        <v/>
      </c>
      <c r="OLW57" s="82" t="str">
        <f>IF(ISNUMBER(outYear),OLW37+OLW42+#REF!+#REF!,"")</f>
        <v/>
      </c>
      <c r="OLX57" s="82" t="str">
        <f>IF(ISNUMBER(outYear),OLX37+OLX42+#REF!+#REF!,"")</f>
        <v/>
      </c>
      <c r="OLY57" s="82" t="str">
        <f>IF(ISNUMBER(outYear),OLY37+OLY42+#REF!+#REF!,"")</f>
        <v/>
      </c>
      <c r="OLZ57" s="82" t="str">
        <f>IF(ISNUMBER(outYear),OLZ37+OLZ42+#REF!+#REF!,"")</f>
        <v/>
      </c>
      <c r="OMA57" s="82" t="str">
        <f>IF(ISNUMBER(outYear),OMA37+OMA42+#REF!+#REF!,"")</f>
        <v/>
      </c>
      <c r="OMB57" s="82" t="str">
        <f>IF(ISNUMBER(outYear),OMB37+OMB42+#REF!+#REF!,"")</f>
        <v/>
      </c>
      <c r="OMC57" s="82" t="str">
        <f>IF(ISNUMBER(outYear),OMC37+OMC42+#REF!+#REF!,"")</f>
        <v/>
      </c>
      <c r="OMD57" s="82" t="str">
        <f>IF(ISNUMBER(outYear),OMD37+OMD42+#REF!+#REF!,"")</f>
        <v/>
      </c>
      <c r="OME57" s="82" t="str">
        <f>IF(ISNUMBER(outYear),OME37+OME42+#REF!+#REF!,"")</f>
        <v/>
      </c>
      <c r="OMF57" s="82" t="str">
        <f>IF(ISNUMBER(outYear),OMF37+OMF42+#REF!+#REF!,"")</f>
        <v/>
      </c>
      <c r="OMG57" s="82" t="str">
        <f>IF(ISNUMBER(outYear),OMG37+OMG42+#REF!+#REF!,"")</f>
        <v/>
      </c>
      <c r="OMH57" s="82" t="str">
        <f>IF(ISNUMBER(outYear),OMH37+OMH42+#REF!+#REF!,"")</f>
        <v/>
      </c>
      <c r="OMI57" s="82" t="str">
        <f>IF(ISNUMBER(outYear),OMI37+OMI42+#REF!+#REF!,"")</f>
        <v/>
      </c>
      <c r="OMJ57" s="82" t="str">
        <f>IF(ISNUMBER(outYear),OMJ37+OMJ42+#REF!+#REF!,"")</f>
        <v/>
      </c>
      <c r="OMK57" s="82" t="str">
        <f>IF(ISNUMBER(outYear),OMK37+OMK42+#REF!+#REF!,"")</f>
        <v/>
      </c>
      <c r="OML57" s="82" t="str">
        <f>IF(ISNUMBER(outYear),OML37+OML42+#REF!+#REF!,"")</f>
        <v/>
      </c>
      <c r="OMM57" s="82" t="str">
        <f>IF(ISNUMBER(outYear),OMM37+OMM42+#REF!+#REF!,"")</f>
        <v/>
      </c>
      <c r="OMN57" s="82" t="str">
        <f>IF(ISNUMBER(outYear),OMN37+OMN42+#REF!+#REF!,"")</f>
        <v/>
      </c>
      <c r="OMO57" s="82" t="str">
        <f>IF(ISNUMBER(outYear),OMO37+OMO42+#REF!+#REF!,"")</f>
        <v/>
      </c>
      <c r="OMP57" s="82" t="str">
        <f>IF(ISNUMBER(outYear),OMP37+OMP42+#REF!+#REF!,"")</f>
        <v/>
      </c>
      <c r="OMQ57" s="82" t="str">
        <f>IF(ISNUMBER(outYear),OMQ37+OMQ42+#REF!+#REF!,"")</f>
        <v/>
      </c>
      <c r="OMR57" s="82" t="str">
        <f>IF(ISNUMBER(outYear),OMR37+OMR42+#REF!+#REF!,"")</f>
        <v/>
      </c>
      <c r="OMS57" s="82" t="str">
        <f>IF(ISNUMBER(outYear),OMS37+OMS42+#REF!+#REF!,"")</f>
        <v/>
      </c>
      <c r="OMT57" s="82" t="str">
        <f>IF(ISNUMBER(outYear),OMT37+OMT42+#REF!+#REF!,"")</f>
        <v/>
      </c>
      <c r="OMU57" s="82" t="str">
        <f>IF(ISNUMBER(outYear),OMU37+OMU42+#REF!+#REF!,"")</f>
        <v/>
      </c>
      <c r="OMV57" s="82" t="str">
        <f>IF(ISNUMBER(outYear),OMV37+OMV42+#REF!+#REF!,"")</f>
        <v/>
      </c>
      <c r="OMW57" s="82" t="str">
        <f>IF(ISNUMBER(outYear),OMW37+OMW42+#REF!+#REF!,"")</f>
        <v/>
      </c>
      <c r="OMX57" s="82" t="str">
        <f>IF(ISNUMBER(outYear),OMX37+OMX42+#REF!+#REF!,"")</f>
        <v/>
      </c>
      <c r="OMY57" s="82" t="str">
        <f>IF(ISNUMBER(outYear),OMY37+OMY42+#REF!+#REF!,"")</f>
        <v/>
      </c>
      <c r="OMZ57" s="82" t="str">
        <f>IF(ISNUMBER(outYear),OMZ37+OMZ42+#REF!+#REF!,"")</f>
        <v/>
      </c>
      <c r="ONA57" s="82" t="str">
        <f>IF(ISNUMBER(outYear),ONA37+ONA42+#REF!+#REF!,"")</f>
        <v/>
      </c>
      <c r="ONB57" s="82" t="str">
        <f>IF(ISNUMBER(outYear),ONB37+ONB42+#REF!+#REF!,"")</f>
        <v/>
      </c>
      <c r="ONC57" s="82" t="str">
        <f>IF(ISNUMBER(outYear),ONC37+ONC42+#REF!+#REF!,"")</f>
        <v/>
      </c>
      <c r="OND57" s="82" t="str">
        <f>IF(ISNUMBER(outYear),OND37+OND42+#REF!+#REF!,"")</f>
        <v/>
      </c>
      <c r="ONE57" s="82" t="str">
        <f>IF(ISNUMBER(outYear),ONE37+ONE42+#REF!+#REF!,"")</f>
        <v/>
      </c>
      <c r="ONF57" s="82" t="str">
        <f>IF(ISNUMBER(outYear),ONF37+ONF42+#REF!+#REF!,"")</f>
        <v/>
      </c>
      <c r="ONG57" s="82" t="str">
        <f>IF(ISNUMBER(outYear),ONG37+ONG42+#REF!+#REF!,"")</f>
        <v/>
      </c>
      <c r="ONH57" s="82" t="str">
        <f>IF(ISNUMBER(outYear),ONH37+ONH42+#REF!+#REF!,"")</f>
        <v/>
      </c>
      <c r="ONI57" s="82" t="str">
        <f>IF(ISNUMBER(outYear),ONI37+ONI42+#REF!+#REF!,"")</f>
        <v/>
      </c>
      <c r="ONJ57" s="82" t="str">
        <f>IF(ISNUMBER(outYear),ONJ37+ONJ42+#REF!+#REF!,"")</f>
        <v/>
      </c>
      <c r="ONK57" s="82" t="str">
        <f>IF(ISNUMBER(outYear),ONK37+ONK42+#REF!+#REF!,"")</f>
        <v/>
      </c>
      <c r="ONL57" s="82" t="str">
        <f>IF(ISNUMBER(outYear),ONL37+ONL42+#REF!+#REF!,"")</f>
        <v/>
      </c>
      <c r="ONM57" s="82" t="str">
        <f>IF(ISNUMBER(outYear),ONM37+ONM42+#REF!+#REF!,"")</f>
        <v/>
      </c>
      <c r="ONN57" s="82" t="str">
        <f>IF(ISNUMBER(outYear),ONN37+ONN42+#REF!+#REF!,"")</f>
        <v/>
      </c>
      <c r="ONO57" s="82" t="str">
        <f>IF(ISNUMBER(outYear),ONO37+ONO42+#REF!+#REF!,"")</f>
        <v/>
      </c>
      <c r="ONP57" s="82" t="str">
        <f>IF(ISNUMBER(outYear),ONP37+ONP42+#REF!+#REF!,"")</f>
        <v/>
      </c>
      <c r="ONQ57" s="82" t="str">
        <f>IF(ISNUMBER(outYear),ONQ37+ONQ42+#REF!+#REF!,"")</f>
        <v/>
      </c>
      <c r="ONR57" s="82" t="str">
        <f>IF(ISNUMBER(outYear),ONR37+ONR42+#REF!+#REF!,"")</f>
        <v/>
      </c>
      <c r="ONS57" s="82" t="str">
        <f>IF(ISNUMBER(outYear),ONS37+ONS42+#REF!+#REF!,"")</f>
        <v/>
      </c>
      <c r="ONT57" s="82" t="str">
        <f>IF(ISNUMBER(outYear),ONT37+ONT42+#REF!+#REF!,"")</f>
        <v/>
      </c>
      <c r="ONU57" s="82" t="str">
        <f>IF(ISNUMBER(outYear),ONU37+ONU42+#REF!+#REF!,"")</f>
        <v/>
      </c>
      <c r="ONV57" s="82" t="str">
        <f>IF(ISNUMBER(outYear),ONV37+ONV42+#REF!+#REF!,"")</f>
        <v/>
      </c>
      <c r="ONW57" s="82" t="str">
        <f>IF(ISNUMBER(outYear),ONW37+ONW42+#REF!+#REF!,"")</f>
        <v/>
      </c>
      <c r="ONX57" s="82" t="str">
        <f>IF(ISNUMBER(outYear),ONX37+ONX42+#REF!+#REF!,"")</f>
        <v/>
      </c>
      <c r="ONY57" s="82" t="str">
        <f>IF(ISNUMBER(outYear),ONY37+ONY42+#REF!+#REF!,"")</f>
        <v/>
      </c>
      <c r="ONZ57" s="82" t="str">
        <f>IF(ISNUMBER(outYear),ONZ37+ONZ42+#REF!+#REF!,"")</f>
        <v/>
      </c>
      <c r="OOA57" s="82" t="str">
        <f>IF(ISNUMBER(outYear),OOA37+OOA42+#REF!+#REF!,"")</f>
        <v/>
      </c>
      <c r="OOB57" s="82" t="str">
        <f>IF(ISNUMBER(outYear),OOB37+OOB42+#REF!+#REF!,"")</f>
        <v/>
      </c>
      <c r="OOC57" s="82" t="str">
        <f>IF(ISNUMBER(outYear),OOC37+OOC42+#REF!+#REF!,"")</f>
        <v/>
      </c>
      <c r="OOD57" s="82" t="str">
        <f>IF(ISNUMBER(outYear),OOD37+OOD42+#REF!+#REF!,"")</f>
        <v/>
      </c>
      <c r="OOE57" s="82" t="str">
        <f>IF(ISNUMBER(outYear),OOE37+OOE42+#REF!+#REF!,"")</f>
        <v/>
      </c>
      <c r="OOF57" s="82" t="str">
        <f>IF(ISNUMBER(outYear),OOF37+OOF42+#REF!+#REF!,"")</f>
        <v/>
      </c>
      <c r="OOG57" s="82" t="str">
        <f>IF(ISNUMBER(outYear),OOG37+OOG42+#REF!+#REF!,"")</f>
        <v/>
      </c>
      <c r="OOH57" s="82" t="str">
        <f>IF(ISNUMBER(outYear),OOH37+OOH42+#REF!+#REF!,"")</f>
        <v/>
      </c>
      <c r="OOI57" s="82" t="str">
        <f>IF(ISNUMBER(outYear),OOI37+OOI42+#REF!+#REF!,"")</f>
        <v/>
      </c>
      <c r="OOJ57" s="82" t="str">
        <f>IF(ISNUMBER(outYear),OOJ37+OOJ42+#REF!+#REF!,"")</f>
        <v/>
      </c>
      <c r="OOK57" s="82" t="str">
        <f>IF(ISNUMBER(outYear),OOK37+OOK42+#REF!+#REF!,"")</f>
        <v/>
      </c>
      <c r="OOL57" s="82" t="str">
        <f>IF(ISNUMBER(outYear),OOL37+OOL42+#REF!+#REF!,"")</f>
        <v/>
      </c>
      <c r="OOM57" s="82" t="str">
        <f>IF(ISNUMBER(outYear),OOM37+OOM42+#REF!+#REF!,"")</f>
        <v/>
      </c>
      <c r="OON57" s="82" t="str">
        <f>IF(ISNUMBER(outYear),OON37+OON42+#REF!+#REF!,"")</f>
        <v/>
      </c>
      <c r="OOO57" s="82" t="str">
        <f>IF(ISNUMBER(outYear),OOO37+OOO42+#REF!+#REF!,"")</f>
        <v/>
      </c>
      <c r="OOP57" s="82" t="str">
        <f>IF(ISNUMBER(outYear),OOP37+OOP42+#REF!+#REF!,"")</f>
        <v/>
      </c>
      <c r="OOQ57" s="82" t="str">
        <f>IF(ISNUMBER(outYear),OOQ37+OOQ42+#REF!+#REF!,"")</f>
        <v/>
      </c>
      <c r="OOR57" s="82" t="str">
        <f>IF(ISNUMBER(outYear),OOR37+OOR42+#REF!+#REF!,"")</f>
        <v/>
      </c>
      <c r="OOS57" s="82" t="str">
        <f>IF(ISNUMBER(outYear),OOS37+OOS42+#REF!+#REF!,"")</f>
        <v/>
      </c>
      <c r="OOT57" s="82" t="str">
        <f>IF(ISNUMBER(outYear),OOT37+OOT42+#REF!+#REF!,"")</f>
        <v/>
      </c>
      <c r="OOU57" s="82" t="str">
        <f>IF(ISNUMBER(outYear),OOU37+OOU42+#REF!+#REF!,"")</f>
        <v/>
      </c>
      <c r="OOV57" s="82" t="str">
        <f>IF(ISNUMBER(outYear),OOV37+OOV42+#REF!+#REF!,"")</f>
        <v/>
      </c>
      <c r="OOW57" s="82" t="str">
        <f>IF(ISNUMBER(outYear),OOW37+OOW42+#REF!+#REF!,"")</f>
        <v/>
      </c>
      <c r="OOX57" s="82" t="str">
        <f>IF(ISNUMBER(outYear),OOX37+OOX42+#REF!+#REF!,"")</f>
        <v/>
      </c>
      <c r="OOY57" s="82" t="str">
        <f>IF(ISNUMBER(outYear),OOY37+OOY42+#REF!+#REF!,"")</f>
        <v/>
      </c>
      <c r="OOZ57" s="82" t="str">
        <f>IF(ISNUMBER(outYear),OOZ37+OOZ42+#REF!+#REF!,"")</f>
        <v/>
      </c>
      <c r="OPA57" s="82" t="str">
        <f>IF(ISNUMBER(outYear),OPA37+OPA42+#REF!+#REF!,"")</f>
        <v/>
      </c>
      <c r="OPB57" s="82" t="str">
        <f>IF(ISNUMBER(outYear),OPB37+OPB42+#REF!+#REF!,"")</f>
        <v/>
      </c>
      <c r="OPC57" s="82" t="str">
        <f>IF(ISNUMBER(outYear),OPC37+OPC42+#REF!+#REF!,"")</f>
        <v/>
      </c>
      <c r="OPD57" s="82" t="str">
        <f>IF(ISNUMBER(outYear),OPD37+OPD42+#REF!+#REF!,"")</f>
        <v/>
      </c>
      <c r="OPE57" s="82" t="str">
        <f>IF(ISNUMBER(outYear),OPE37+OPE42+#REF!+#REF!,"")</f>
        <v/>
      </c>
      <c r="OPF57" s="82" t="str">
        <f>IF(ISNUMBER(outYear),OPF37+OPF42+#REF!+#REF!,"")</f>
        <v/>
      </c>
      <c r="OPG57" s="82" t="str">
        <f>IF(ISNUMBER(outYear),OPG37+OPG42+#REF!+#REF!,"")</f>
        <v/>
      </c>
      <c r="OPH57" s="82" t="str">
        <f>IF(ISNUMBER(outYear),OPH37+OPH42+#REF!+#REF!,"")</f>
        <v/>
      </c>
      <c r="OPI57" s="82" t="str">
        <f>IF(ISNUMBER(outYear),OPI37+OPI42+#REF!+#REF!,"")</f>
        <v/>
      </c>
      <c r="OPJ57" s="82" t="str">
        <f>IF(ISNUMBER(outYear),OPJ37+OPJ42+#REF!+#REF!,"")</f>
        <v/>
      </c>
      <c r="OPK57" s="82" t="str">
        <f>IF(ISNUMBER(outYear),OPK37+OPK42+#REF!+#REF!,"")</f>
        <v/>
      </c>
      <c r="OPL57" s="82" t="str">
        <f>IF(ISNUMBER(outYear),OPL37+OPL42+#REF!+#REF!,"")</f>
        <v/>
      </c>
      <c r="OPM57" s="82" t="str">
        <f>IF(ISNUMBER(outYear),OPM37+OPM42+#REF!+#REF!,"")</f>
        <v/>
      </c>
      <c r="OPN57" s="82" t="str">
        <f>IF(ISNUMBER(outYear),OPN37+OPN42+#REF!+#REF!,"")</f>
        <v/>
      </c>
      <c r="OPO57" s="82" t="str">
        <f>IF(ISNUMBER(outYear),OPO37+OPO42+#REF!+#REF!,"")</f>
        <v/>
      </c>
      <c r="OPP57" s="82" t="str">
        <f>IF(ISNUMBER(outYear),OPP37+OPP42+#REF!+#REF!,"")</f>
        <v/>
      </c>
      <c r="OPQ57" s="82" t="str">
        <f>IF(ISNUMBER(outYear),OPQ37+OPQ42+#REF!+#REF!,"")</f>
        <v/>
      </c>
      <c r="OPR57" s="82" t="str">
        <f>IF(ISNUMBER(outYear),OPR37+OPR42+#REF!+#REF!,"")</f>
        <v/>
      </c>
      <c r="OPS57" s="82" t="str">
        <f>IF(ISNUMBER(outYear),OPS37+OPS42+#REF!+#REF!,"")</f>
        <v/>
      </c>
      <c r="OPT57" s="82" t="str">
        <f>IF(ISNUMBER(outYear),OPT37+OPT42+#REF!+#REF!,"")</f>
        <v/>
      </c>
      <c r="OPU57" s="82" t="str">
        <f>IF(ISNUMBER(outYear),OPU37+OPU42+#REF!+#REF!,"")</f>
        <v/>
      </c>
      <c r="OPV57" s="82" t="str">
        <f>IF(ISNUMBER(outYear),OPV37+OPV42+#REF!+#REF!,"")</f>
        <v/>
      </c>
      <c r="OPW57" s="82" t="str">
        <f>IF(ISNUMBER(outYear),OPW37+OPW42+#REF!+#REF!,"")</f>
        <v/>
      </c>
      <c r="OPX57" s="82" t="str">
        <f>IF(ISNUMBER(outYear),OPX37+OPX42+#REF!+#REF!,"")</f>
        <v/>
      </c>
      <c r="OPY57" s="82" t="str">
        <f>IF(ISNUMBER(outYear),OPY37+OPY42+#REF!+#REF!,"")</f>
        <v/>
      </c>
      <c r="OPZ57" s="82" t="str">
        <f>IF(ISNUMBER(outYear),OPZ37+OPZ42+#REF!+#REF!,"")</f>
        <v/>
      </c>
      <c r="OQA57" s="82" t="str">
        <f>IF(ISNUMBER(outYear),OQA37+OQA42+#REF!+#REF!,"")</f>
        <v/>
      </c>
      <c r="OQB57" s="82" t="str">
        <f>IF(ISNUMBER(outYear),OQB37+OQB42+#REF!+#REF!,"")</f>
        <v/>
      </c>
      <c r="OQC57" s="82" t="str">
        <f>IF(ISNUMBER(outYear),OQC37+OQC42+#REF!+#REF!,"")</f>
        <v/>
      </c>
      <c r="OQD57" s="82" t="str">
        <f>IF(ISNUMBER(outYear),OQD37+OQD42+#REF!+#REF!,"")</f>
        <v/>
      </c>
      <c r="OQE57" s="82" t="str">
        <f>IF(ISNUMBER(outYear),OQE37+OQE42+#REF!+#REF!,"")</f>
        <v/>
      </c>
      <c r="OQF57" s="82" t="str">
        <f>IF(ISNUMBER(outYear),OQF37+OQF42+#REF!+#REF!,"")</f>
        <v/>
      </c>
      <c r="OQG57" s="82" t="str">
        <f>IF(ISNUMBER(outYear),OQG37+OQG42+#REF!+#REF!,"")</f>
        <v/>
      </c>
      <c r="OQH57" s="82" t="str">
        <f>IF(ISNUMBER(outYear),OQH37+OQH42+#REF!+#REF!,"")</f>
        <v/>
      </c>
      <c r="OQI57" s="82" t="str">
        <f>IF(ISNUMBER(outYear),OQI37+OQI42+#REF!+#REF!,"")</f>
        <v/>
      </c>
      <c r="OQJ57" s="82" t="str">
        <f>IF(ISNUMBER(outYear),OQJ37+OQJ42+#REF!+#REF!,"")</f>
        <v/>
      </c>
      <c r="OQK57" s="82" t="str">
        <f>IF(ISNUMBER(outYear),OQK37+OQK42+#REF!+#REF!,"")</f>
        <v/>
      </c>
      <c r="OQL57" s="82" t="str">
        <f>IF(ISNUMBER(outYear),OQL37+OQL42+#REF!+#REF!,"")</f>
        <v/>
      </c>
      <c r="OQM57" s="82" t="str">
        <f>IF(ISNUMBER(outYear),OQM37+OQM42+#REF!+#REF!,"")</f>
        <v/>
      </c>
      <c r="OQN57" s="82" t="str">
        <f>IF(ISNUMBER(outYear),OQN37+OQN42+#REF!+#REF!,"")</f>
        <v/>
      </c>
      <c r="OQO57" s="82" t="str">
        <f>IF(ISNUMBER(outYear),OQO37+OQO42+#REF!+#REF!,"")</f>
        <v/>
      </c>
      <c r="OQP57" s="82" t="str">
        <f>IF(ISNUMBER(outYear),OQP37+OQP42+#REF!+#REF!,"")</f>
        <v/>
      </c>
      <c r="OQQ57" s="82" t="str">
        <f>IF(ISNUMBER(outYear),OQQ37+OQQ42+#REF!+#REF!,"")</f>
        <v/>
      </c>
      <c r="OQR57" s="82" t="str">
        <f>IF(ISNUMBER(outYear),OQR37+OQR42+#REF!+#REF!,"")</f>
        <v/>
      </c>
      <c r="OQS57" s="82" t="str">
        <f>IF(ISNUMBER(outYear),OQS37+OQS42+#REF!+#REF!,"")</f>
        <v/>
      </c>
      <c r="OQT57" s="82" t="str">
        <f>IF(ISNUMBER(outYear),OQT37+OQT42+#REF!+#REF!,"")</f>
        <v/>
      </c>
      <c r="OQU57" s="82" t="str">
        <f>IF(ISNUMBER(outYear),OQU37+OQU42+#REF!+#REF!,"")</f>
        <v/>
      </c>
      <c r="OQV57" s="82" t="str">
        <f>IF(ISNUMBER(outYear),OQV37+OQV42+#REF!+#REF!,"")</f>
        <v/>
      </c>
      <c r="OQW57" s="82" t="str">
        <f>IF(ISNUMBER(outYear),OQW37+OQW42+#REF!+#REF!,"")</f>
        <v/>
      </c>
      <c r="OQX57" s="82" t="str">
        <f>IF(ISNUMBER(outYear),OQX37+OQX42+#REF!+#REF!,"")</f>
        <v/>
      </c>
      <c r="OQY57" s="82" t="str">
        <f>IF(ISNUMBER(outYear),OQY37+OQY42+#REF!+#REF!,"")</f>
        <v/>
      </c>
      <c r="OQZ57" s="82" t="str">
        <f>IF(ISNUMBER(outYear),OQZ37+OQZ42+#REF!+#REF!,"")</f>
        <v/>
      </c>
      <c r="ORA57" s="82" t="str">
        <f>IF(ISNUMBER(outYear),ORA37+ORA42+#REF!+#REF!,"")</f>
        <v/>
      </c>
      <c r="ORB57" s="82" t="str">
        <f>IF(ISNUMBER(outYear),ORB37+ORB42+#REF!+#REF!,"")</f>
        <v/>
      </c>
      <c r="ORC57" s="82" t="str">
        <f>IF(ISNUMBER(outYear),ORC37+ORC42+#REF!+#REF!,"")</f>
        <v/>
      </c>
      <c r="ORD57" s="82" t="str">
        <f>IF(ISNUMBER(outYear),ORD37+ORD42+#REF!+#REF!,"")</f>
        <v/>
      </c>
      <c r="ORE57" s="82" t="str">
        <f>IF(ISNUMBER(outYear),ORE37+ORE42+#REF!+#REF!,"")</f>
        <v/>
      </c>
      <c r="ORF57" s="82" t="str">
        <f>IF(ISNUMBER(outYear),ORF37+ORF42+#REF!+#REF!,"")</f>
        <v/>
      </c>
      <c r="ORG57" s="82" t="str">
        <f>IF(ISNUMBER(outYear),ORG37+ORG42+#REF!+#REF!,"")</f>
        <v/>
      </c>
      <c r="ORH57" s="82" t="str">
        <f>IF(ISNUMBER(outYear),ORH37+ORH42+#REF!+#REF!,"")</f>
        <v/>
      </c>
      <c r="ORI57" s="82" t="str">
        <f>IF(ISNUMBER(outYear),ORI37+ORI42+#REF!+#REF!,"")</f>
        <v/>
      </c>
      <c r="ORJ57" s="82" t="str">
        <f>IF(ISNUMBER(outYear),ORJ37+ORJ42+#REF!+#REF!,"")</f>
        <v/>
      </c>
      <c r="ORK57" s="82" t="str">
        <f>IF(ISNUMBER(outYear),ORK37+ORK42+#REF!+#REF!,"")</f>
        <v/>
      </c>
      <c r="ORL57" s="82" t="str">
        <f>IF(ISNUMBER(outYear),ORL37+ORL42+#REF!+#REF!,"")</f>
        <v/>
      </c>
      <c r="ORM57" s="82" t="str">
        <f>IF(ISNUMBER(outYear),ORM37+ORM42+#REF!+#REF!,"")</f>
        <v/>
      </c>
      <c r="ORN57" s="82" t="str">
        <f>IF(ISNUMBER(outYear),ORN37+ORN42+#REF!+#REF!,"")</f>
        <v/>
      </c>
      <c r="ORO57" s="82" t="str">
        <f>IF(ISNUMBER(outYear),ORO37+ORO42+#REF!+#REF!,"")</f>
        <v/>
      </c>
      <c r="ORP57" s="82" t="str">
        <f>IF(ISNUMBER(outYear),ORP37+ORP42+#REF!+#REF!,"")</f>
        <v/>
      </c>
      <c r="ORQ57" s="82" t="str">
        <f>IF(ISNUMBER(outYear),ORQ37+ORQ42+#REF!+#REF!,"")</f>
        <v/>
      </c>
      <c r="ORR57" s="82" t="str">
        <f>IF(ISNUMBER(outYear),ORR37+ORR42+#REF!+#REF!,"")</f>
        <v/>
      </c>
      <c r="ORS57" s="82" t="str">
        <f>IF(ISNUMBER(outYear),ORS37+ORS42+#REF!+#REF!,"")</f>
        <v/>
      </c>
      <c r="ORT57" s="82" t="str">
        <f>IF(ISNUMBER(outYear),ORT37+ORT42+#REF!+#REF!,"")</f>
        <v/>
      </c>
      <c r="ORU57" s="82" t="str">
        <f>IF(ISNUMBER(outYear),ORU37+ORU42+#REF!+#REF!,"")</f>
        <v/>
      </c>
      <c r="ORV57" s="82" t="str">
        <f>IF(ISNUMBER(outYear),ORV37+ORV42+#REF!+#REF!,"")</f>
        <v/>
      </c>
      <c r="ORW57" s="82" t="str">
        <f>IF(ISNUMBER(outYear),ORW37+ORW42+#REF!+#REF!,"")</f>
        <v/>
      </c>
      <c r="ORX57" s="82" t="str">
        <f>IF(ISNUMBER(outYear),ORX37+ORX42+#REF!+#REF!,"")</f>
        <v/>
      </c>
      <c r="ORY57" s="82" t="str">
        <f>IF(ISNUMBER(outYear),ORY37+ORY42+#REF!+#REF!,"")</f>
        <v/>
      </c>
      <c r="ORZ57" s="82" t="str">
        <f>IF(ISNUMBER(outYear),ORZ37+ORZ42+#REF!+#REF!,"")</f>
        <v/>
      </c>
      <c r="OSA57" s="82" t="str">
        <f>IF(ISNUMBER(outYear),OSA37+OSA42+#REF!+#REF!,"")</f>
        <v/>
      </c>
      <c r="OSB57" s="82" t="str">
        <f>IF(ISNUMBER(outYear),OSB37+OSB42+#REF!+#REF!,"")</f>
        <v/>
      </c>
      <c r="OSC57" s="82" t="str">
        <f>IF(ISNUMBER(outYear),OSC37+OSC42+#REF!+#REF!,"")</f>
        <v/>
      </c>
      <c r="OSD57" s="82" t="str">
        <f>IF(ISNUMBER(outYear),OSD37+OSD42+#REF!+#REF!,"")</f>
        <v/>
      </c>
      <c r="OSE57" s="82" t="str">
        <f>IF(ISNUMBER(outYear),OSE37+OSE42+#REF!+#REF!,"")</f>
        <v/>
      </c>
      <c r="OSF57" s="82" t="str">
        <f>IF(ISNUMBER(outYear),OSF37+OSF42+#REF!+#REF!,"")</f>
        <v/>
      </c>
      <c r="OSG57" s="82" t="str">
        <f>IF(ISNUMBER(outYear),OSG37+OSG42+#REF!+#REF!,"")</f>
        <v/>
      </c>
      <c r="OSH57" s="82" t="str">
        <f>IF(ISNUMBER(outYear),OSH37+OSH42+#REF!+#REF!,"")</f>
        <v/>
      </c>
      <c r="OSI57" s="82" t="str">
        <f>IF(ISNUMBER(outYear),OSI37+OSI42+#REF!+#REF!,"")</f>
        <v/>
      </c>
      <c r="OSJ57" s="82" t="str">
        <f>IF(ISNUMBER(outYear),OSJ37+OSJ42+#REF!+#REF!,"")</f>
        <v/>
      </c>
      <c r="OSK57" s="82" t="str">
        <f>IF(ISNUMBER(outYear),OSK37+OSK42+#REF!+#REF!,"")</f>
        <v/>
      </c>
      <c r="OSL57" s="82" t="str">
        <f>IF(ISNUMBER(outYear),OSL37+OSL42+#REF!+#REF!,"")</f>
        <v/>
      </c>
      <c r="OSM57" s="82" t="str">
        <f>IF(ISNUMBER(outYear),OSM37+OSM42+#REF!+#REF!,"")</f>
        <v/>
      </c>
      <c r="OSN57" s="82" t="str">
        <f>IF(ISNUMBER(outYear),OSN37+OSN42+#REF!+#REF!,"")</f>
        <v/>
      </c>
      <c r="OSO57" s="82" t="str">
        <f>IF(ISNUMBER(outYear),OSO37+OSO42+#REF!+#REF!,"")</f>
        <v/>
      </c>
      <c r="OSP57" s="82" t="str">
        <f>IF(ISNUMBER(outYear),OSP37+OSP42+#REF!+#REF!,"")</f>
        <v/>
      </c>
      <c r="OSQ57" s="82" t="str">
        <f>IF(ISNUMBER(outYear),OSQ37+OSQ42+#REF!+#REF!,"")</f>
        <v/>
      </c>
      <c r="OSR57" s="82" t="str">
        <f>IF(ISNUMBER(outYear),OSR37+OSR42+#REF!+#REF!,"")</f>
        <v/>
      </c>
      <c r="OSS57" s="82" t="str">
        <f>IF(ISNUMBER(outYear),OSS37+OSS42+#REF!+#REF!,"")</f>
        <v/>
      </c>
      <c r="OST57" s="82" t="str">
        <f>IF(ISNUMBER(outYear),OST37+OST42+#REF!+#REF!,"")</f>
        <v/>
      </c>
      <c r="OSU57" s="82" t="str">
        <f>IF(ISNUMBER(outYear),OSU37+OSU42+#REF!+#REF!,"")</f>
        <v/>
      </c>
      <c r="OSV57" s="82" t="str">
        <f>IF(ISNUMBER(outYear),OSV37+OSV42+#REF!+#REF!,"")</f>
        <v/>
      </c>
      <c r="OSW57" s="82" t="str">
        <f>IF(ISNUMBER(outYear),OSW37+OSW42+#REF!+#REF!,"")</f>
        <v/>
      </c>
      <c r="OSX57" s="82" t="str">
        <f>IF(ISNUMBER(outYear),OSX37+OSX42+#REF!+#REF!,"")</f>
        <v/>
      </c>
      <c r="OSY57" s="82" t="str">
        <f>IF(ISNUMBER(outYear),OSY37+OSY42+#REF!+#REF!,"")</f>
        <v/>
      </c>
      <c r="OSZ57" s="82" t="str">
        <f>IF(ISNUMBER(outYear),OSZ37+OSZ42+#REF!+#REF!,"")</f>
        <v/>
      </c>
      <c r="OTA57" s="82" t="str">
        <f>IF(ISNUMBER(outYear),OTA37+OTA42+#REF!+#REF!,"")</f>
        <v/>
      </c>
      <c r="OTB57" s="82" t="str">
        <f>IF(ISNUMBER(outYear),OTB37+OTB42+#REF!+#REF!,"")</f>
        <v/>
      </c>
      <c r="OTC57" s="82" t="str">
        <f>IF(ISNUMBER(outYear),OTC37+OTC42+#REF!+#REF!,"")</f>
        <v/>
      </c>
      <c r="OTD57" s="82" t="str">
        <f>IF(ISNUMBER(outYear),OTD37+OTD42+#REF!+#REF!,"")</f>
        <v/>
      </c>
      <c r="OTE57" s="82" t="str">
        <f>IF(ISNUMBER(outYear),OTE37+OTE42+#REF!+#REF!,"")</f>
        <v/>
      </c>
      <c r="OTF57" s="82" t="str">
        <f>IF(ISNUMBER(outYear),OTF37+OTF42+#REF!+#REF!,"")</f>
        <v/>
      </c>
      <c r="OTG57" s="82" t="str">
        <f>IF(ISNUMBER(outYear),OTG37+OTG42+#REF!+#REF!,"")</f>
        <v/>
      </c>
      <c r="OTH57" s="82" t="str">
        <f>IF(ISNUMBER(outYear),OTH37+OTH42+#REF!+#REF!,"")</f>
        <v/>
      </c>
      <c r="OTI57" s="82" t="str">
        <f>IF(ISNUMBER(outYear),OTI37+OTI42+#REF!+#REF!,"")</f>
        <v/>
      </c>
      <c r="OTJ57" s="82" t="str">
        <f>IF(ISNUMBER(outYear),OTJ37+OTJ42+#REF!+#REF!,"")</f>
        <v/>
      </c>
      <c r="OTK57" s="82" t="str">
        <f>IF(ISNUMBER(outYear),OTK37+OTK42+#REF!+#REF!,"")</f>
        <v/>
      </c>
      <c r="OTL57" s="82" t="str">
        <f>IF(ISNUMBER(outYear),OTL37+OTL42+#REF!+#REF!,"")</f>
        <v/>
      </c>
      <c r="OTM57" s="82" t="str">
        <f>IF(ISNUMBER(outYear),OTM37+OTM42+#REF!+#REF!,"")</f>
        <v/>
      </c>
      <c r="OTN57" s="82" t="str">
        <f>IF(ISNUMBER(outYear),OTN37+OTN42+#REF!+#REF!,"")</f>
        <v/>
      </c>
      <c r="OTO57" s="82" t="str">
        <f>IF(ISNUMBER(outYear),OTO37+OTO42+#REF!+#REF!,"")</f>
        <v/>
      </c>
      <c r="OTP57" s="82" t="str">
        <f>IF(ISNUMBER(outYear),OTP37+OTP42+#REF!+#REF!,"")</f>
        <v/>
      </c>
      <c r="OTQ57" s="82" t="str">
        <f>IF(ISNUMBER(outYear),OTQ37+OTQ42+#REF!+#REF!,"")</f>
        <v/>
      </c>
      <c r="OTR57" s="82" t="str">
        <f>IF(ISNUMBER(outYear),OTR37+OTR42+#REF!+#REF!,"")</f>
        <v/>
      </c>
      <c r="OTS57" s="82" t="str">
        <f>IF(ISNUMBER(outYear),OTS37+OTS42+#REF!+#REF!,"")</f>
        <v/>
      </c>
      <c r="OTT57" s="82" t="str">
        <f>IF(ISNUMBER(outYear),OTT37+OTT42+#REF!+#REF!,"")</f>
        <v/>
      </c>
      <c r="OTU57" s="82" t="str">
        <f>IF(ISNUMBER(outYear),OTU37+OTU42+#REF!+#REF!,"")</f>
        <v/>
      </c>
      <c r="OTV57" s="82" t="str">
        <f>IF(ISNUMBER(outYear),OTV37+OTV42+#REF!+#REF!,"")</f>
        <v/>
      </c>
      <c r="OTW57" s="82" t="str">
        <f>IF(ISNUMBER(outYear),OTW37+OTW42+#REF!+#REF!,"")</f>
        <v/>
      </c>
      <c r="OTX57" s="82" t="str">
        <f>IF(ISNUMBER(outYear),OTX37+OTX42+#REF!+#REF!,"")</f>
        <v/>
      </c>
      <c r="OTY57" s="82" t="str">
        <f>IF(ISNUMBER(outYear),OTY37+OTY42+#REF!+#REF!,"")</f>
        <v/>
      </c>
      <c r="OTZ57" s="82" t="str">
        <f>IF(ISNUMBER(outYear),OTZ37+OTZ42+#REF!+#REF!,"")</f>
        <v/>
      </c>
      <c r="OUA57" s="82" t="str">
        <f>IF(ISNUMBER(outYear),OUA37+OUA42+#REF!+#REF!,"")</f>
        <v/>
      </c>
      <c r="OUB57" s="82" t="str">
        <f>IF(ISNUMBER(outYear),OUB37+OUB42+#REF!+#REF!,"")</f>
        <v/>
      </c>
      <c r="OUC57" s="82" t="str">
        <f>IF(ISNUMBER(outYear),OUC37+OUC42+#REF!+#REF!,"")</f>
        <v/>
      </c>
      <c r="OUD57" s="82" t="str">
        <f>IF(ISNUMBER(outYear),OUD37+OUD42+#REF!+#REF!,"")</f>
        <v/>
      </c>
      <c r="OUE57" s="82" t="str">
        <f>IF(ISNUMBER(outYear),OUE37+OUE42+#REF!+#REF!,"")</f>
        <v/>
      </c>
      <c r="OUF57" s="82" t="str">
        <f>IF(ISNUMBER(outYear),OUF37+OUF42+#REF!+#REF!,"")</f>
        <v/>
      </c>
      <c r="OUG57" s="82" t="str">
        <f>IF(ISNUMBER(outYear),OUG37+OUG42+#REF!+#REF!,"")</f>
        <v/>
      </c>
      <c r="OUH57" s="82" t="str">
        <f>IF(ISNUMBER(outYear),OUH37+OUH42+#REF!+#REF!,"")</f>
        <v/>
      </c>
      <c r="OUI57" s="82" t="str">
        <f>IF(ISNUMBER(outYear),OUI37+OUI42+#REF!+#REF!,"")</f>
        <v/>
      </c>
      <c r="OUJ57" s="82" t="str">
        <f>IF(ISNUMBER(outYear),OUJ37+OUJ42+#REF!+#REF!,"")</f>
        <v/>
      </c>
      <c r="OUK57" s="82" t="str">
        <f>IF(ISNUMBER(outYear),OUK37+OUK42+#REF!+#REF!,"")</f>
        <v/>
      </c>
      <c r="OUL57" s="82" t="str">
        <f>IF(ISNUMBER(outYear),OUL37+OUL42+#REF!+#REF!,"")</f>
        <v/>
      </c>
      <c r="OUM57" s="82" t="str">
        <f>IF(ISNUMBER(outYear),OUM37+OUM42+#REF!+#REF!,"")</f>
        <v/>
      </c>
      <c r="OUN57" s="82" t="str">
        <f>IF(ISNUMBER(outYear),OUN37+OUN42+#REF!+#REF!,"")</f>
        <v/>
      </c>
      <c r="OUO57" s="82" t="str">
        <f>IF(ISNUMBER(outYear),OUO37+OUO42+#REF!+#REF!,"")</f>
        <v/>
      </c>
      <c r="OUP57" s="82" t="str">
        <f>IF(ISNUMBER(outYear),OUP37+OUP42+#REF!+#REF!,"")</f>
        <v/>
      </c>
      <c r="OUQ57" s="82" t="str">
        <f>IF(ISNUMBER(outYear),OUQ37+OUQ42+#REF!+#REF!,"")</f>
        <v/>
      </c>
      <c r="OUR57" s="82" t="str">
        <f>IF(ISNUMBER(outYear),OUR37+OUR42+#REF!+#REF!,"")</f>
        <v/>
      </c>
      <c r="OUS57" s="82" t="str">
        <f>IF(ISNUMBER(outYear),OUS37+OUS42+#REF!+#REF!,"")</f>
        <v/>
      </c>
      <c r="OUT57" s="82" t="str">
        <f>IF(ISNUMBER(outYear),OUT37+OUT42+#REF!+#REF!,"")</f>
        <v/>
      </c>
      <c r="OUU57" s="82" t="str">
        <f>IF(ISNUMBER(outYear),OUU37+OUU42+#REF!+#REF!,"")</f>
        <v/>
      </c>
      <c r="OUV57" s="82" t="str">
        <f>IF(ISNUMBER(outYear),OUV37+OUV42+#REF!+#REF!,"")</f>
        <v/>
      </c>
      <c r="OUW57" s="82" t="str">
        <f>IF(ISNUMBER(outYear),OUW37+OUW42+#REF!+#REF!,"")</f>
        <v/>
      </c>
      <c r="OUX57" s="82" t="str">
        <f>IF(ISNUMBER(outYear),OUX37+OUX42+#REF!+#REF!,"")</f>
        <v/>
      </c>
      <c r="OUY57" s="82" t="str">
        <f>IF(ISNUMBER(outYear),OUY37+OUY42+#REF!+#REF!,"")</f>
        <v/>
      </c>
      <c r="OUZ57" s="82" t="str">
        <f>IF(ISNUMBER(outYear),OUZ37+OUZ42+#REF!+#REF!,"")</f>
        <v/>
      </c>
      <c r="OVA57" s="82" t="str">
        <f>IF(ISNUMBER(outYear),OVA37+OVA42+#REF!+#REF!,"")</f>
        <v/>
      </c>
      <c r="OVB57" s="82" t="str">
        <f>IF(ISNUMBER(outYear),OVB37+OVB42+#REF!+#REF!,"")</f>
        <v/>
      </c>
      <c r="OVC57" s="82" t="str">
        <f>IF(ISNUMBER(outYear),OVC37+OVC42+#REF!+#REF!,"")</f>
        <v/>
      </c>
      <c r="OVD57" s="82" t="str">
        <f>IF(ISNUMBER(outYear),OVD37+OVD42+#REF!+#REF!,"")</f>
        <v/>
      </c>
      <c r="OVE57" s="82" t="str">
        <f>IF(ISNUMBER(outYear),OVE37+OVE42+#REF!+#REF!,"")</f>
        <v/>
      </c>
      <c r="OVF57" s="82" t="str">
        <f>IF(ISNUMBER(outYear),OVF37+OVF42+#REF!+#REF!,"")</f>
        <v/>
      </c>
      <c r="OVG57" s="82" t="str">
        <f>IF(ISNUMBER(outYear),OVG37+OVG42+#REF!+#REF!,"")</f>
        <v/>
      </c>
      <c r="OVH57" s="82" t="str">
        <f>IF(ISNUMBER(outYear),OVH37+OVH42+#REF!+#REF!,"")</f>
        <v/>
      </c>
      <c r="OVI57" s="82" t="str">
        <f>IF(ISNUMBER(outYear),OVI37+OVI42+#REF!+#REF!,"")</f>
        <v/>
      </c>
      <c r="OVJ57" s="82" t="str">
        <f>IF(ISNUMBER(outYear),OVJ37+OVJ42+#REF!+#REF!,"")</f>
        <v/>
      </c>
      <c r="OVK57" s="82" t="str">
        <f>IF(ISNUMBER(outYear),OVK37+OVK42+#REF!+#REF!,"")</f>
        <v/>
      </c>
      <c r="OVL57" s="82" t="str">
        <f>IF(ISNUMBER(outYear),OVL37+OVL42+#REF!+#REF!,"")</f>
        <v/>
      </c>
      <c r="OVM57" s="82" t="str">
        <f>IF(ISNUMBER(outYear),OVM37+OVM42+#REF!+#REF!,"")</f>
        <v/>
      </c>
      <c r="OVN57" s="82" t="str">
        <f>IF(ISNUMBER(outYear),OVN37+OVN42+#REF!+#REF!,"")</f>
        <v/>
      </c>
      <c r="OVO57" s="82" t="str">
        <f>IF(ISNUMBER(outYear),OVO37+OVO42+#REF!+#REF!,"")</f>
        <v/>
      </c>
      <c r="OVP57" s="82" t="str">
        <f>IF(ISNUMBER(outYear),OVP37+OVP42+#REF!+#REF!,"")</f>
        <v/>
      </c>
      <c r="OVQ57" s="82" t="str">
        <f>IF(ISNUMBER(outYear),OVQ37+OVQ42+#REF!+#REF!,"")</f>
        <v/>
      </c>
      <c r="OVR57" s="82" t="str">
        <f>IF(ISNUMBER(outYear),OVR37+OVR42+#REF!+#REF!,"")</f>
        <v/>
      </c>
      <c r="OVS57" s="82" t="str">
        <f>IF(ISNUMBER(outYear),OVS37+OVS42+#REF!+#REF!,"")</f>
        <v/>
      </c>
      <c r="OVT57" s="82" t="str">
        <f>IF(ISNUMBER(outYear),OVT37+OVT42+#REF!+#REF!,"")</f>
        <v/>
      </c>
      <c r="OVU57" s="82" t="str">
        <f>IF(ISNUMBER(outYear),OVU37+OVU42+#REF!+#REF!,"")</f>
        <v/>
      </c>
      <c r="OVV57" s="82" t="str">
        <f>IF(ISNUMBER(outYear),OVV37+OVV42+#REF!+#REF!,"")</f>
        <v/>
      </c>
      <c r="OVW57" s="82" t="str">
        <f>IF(ISNUMBER(outYear),OVW37+OVW42+#REF!+#REF!,"")</f>
        <v/>
      </c>
      <c r="OVX57" s="82" t="str">
        <f>IF(ISNUMBER(outYear),OVX37+OVX42+#REF!+#REF!,"")</f>
        <v/>
      </c>
      <c r="OVY57" s="82" t="str">
        <f>IF(ISNUMBER(outYear),OVY37+OVY42+#REF!+#REF!,"")</f>
        <v/>
      </c>
      <c r="OVZ57" s="82" t="str">
        <f>IF(ISNUMBER(outYear),OVZ37+OVZ42+#REF!+#REF!,"")</f>
        <v/>
      </c>
      <c r="OWA57" s="82" t="str">
        <f>IF(ISNUMBER(outYear),OWA37+OWA42+#REF!+#REF!,"")</f>
        <v/>
      </c>
      <c r="OWB57" s="82" t="str">
        <f>IF(ISNUMBER(outYear),OWB37+OWB42+#REF!+#REF!,"")</f>
        <v/>
      </c>
      <c r="OWC57" s="82" t="str">
        <f>IF(ISNUMBER(outYear),OWC37+OWC42+#REF!+#REF!,"")</f>
        <v/>
      </c>
      <c r="OWD57" s="82" t="str">
        <f>IF(ISNUMBER(outYear),OWD37+OWD42+#REF!+#REF!,"")</f>
        <v/>
      </c>
      <c r="OWE57" s="82" t="str">
        <f>IF(ISNUMBER(outYear),OWE37+OWE42+#REF!+#REF!,"")</f>
        <v/>
      </c>
      <c r="OWF57" s="82" t="str">
        <f>IF(ISNUMBER(outYear),OWF37+OWF42+#REF!+#REF!,"")</f>
        <v/>
      </c>
      <c r="OWG57" s="82" t="str">
        <f>IF(ISNUMBER(outYear),OWG37+OWG42+#REF!+#REF!,"")</f>
        <v/>
      </c>
      <c r="OWH57" s="82" t="str">
        <f>IF(ISNUMBER(outYear),OWH37+OWH42+#REF!+#REF!,"")</f>
        <v/>
      </c>
      <c r="OWI57" s="82" t="str">
        <f>IF(ISNUMBER(outYear),OWI37+OWI42+#REF!+#REF!,"")</f>
        <v/>
      </c>
      <c r="OWJ57" s="82" t="str">
        <f>IF(ISNUMBER(outYear),OWJ37+OWJ42+#REF!+#REF!,"")</f>
        <v/>
      </c>
      <c r="OWK57" s="82" t="str">
        <f>IF(ISNUMBER(outYear),OWK37+OWK42+#REF!+#REF!,"")</f>
        <v/>
      </c>
      <c r="OWL57" s="82" t="str">
        <f>IF(ISNUMBER(outYear),OWL37+OWL42+#REF!+#REF!,"")</f>
        <v/>
      </c>
      <c r="OWM57" s="82" t="str">
        <f>IF(ISNUMBER(outYear),OWM37+OWM42+#REF!+#REF!,"")</f>
        <v/>
      </c>
      <c r="OWN57" s="82" t="str">
        <f>IF(ISNUMBER(outYear),OWN37+OWN42+#REF!+#REF!,"")</f>
        <v/>
      </c>
      <c r="OWO57" s="82" t="str">
        <f>IF(ISNUMBER(outYear),OWO37+OWO42+#REF!+#REF!,"")</f>
        <v/>
      </c>
      <c r="OWP57" s="82" t="str">
        <f>IF(ISNUMBER(outYear),OWP37+OWP42+#REF!+#REF!,"")</f>
        <v/>
      </c>
      <c r="OWQ57" s="82" t="str">
        <f>IF(ISNUMBER(outYear),OWQ37+OWQ42+#REF!+#REF!,"")</f>
        <v/>
      </c>
      <c r="OWR57" s="82" t="str">
        <f>IF(ISNUMBER(outYear),OWR37+OWR42+#REF!+#REF!,"")</f>
        <v/>
      </c>
      <c r="OWS57" s="82" t="str">
        <f>IF(ISNUMBER(outYear),OWS37+OWS42+#REF!+#REF!,"")</f>
        <v/>
      </c>
      <c r="OWT57" s="82" t="str">
        <f>IF(ISNUMBER(outYear),OWT37+OWT42+#REF!+#REF!,"")</f>
        <v/>
      </c>
      <c r="OWU57" s="82" t="str">
        <f>IF(ISNUMBER(outYear),OWU37+OWU42+#REF!+#REF!,"")</f>
        <v/>
      </c>
      <c r="OWV57" s="82" t="str">
        <f>IF(ISNUMBER(outYear),OWV37+OWV42+#REF!+#REF!,"")</f>
        <v/>
      </c>
      <c r="OWW57" s="82" t="str">
        <f>IF(ISNUMBER(outYear),OWW37+OWW42+#REF!+#REF!,"")</f>
        <v/>
      </c>
      <c r="OWX57" s="82" t="str">
        <f>IF(ISNUMBER(outYear),OWX37+OWX42+#REF!+#REF!,"")</f>
        <v/>
      </c>
      <c r="OWY57" s="82" t="str">
        <f>IF(ISNUMBER(outYear),OWY37+OWY42+#REF!+#REF!,"")</f>
        <v/>
      </c>
      <c r="OWZ57" s="82" t="str">
        <f>IF(ISNUMBER(outYear),OWZ37+OWZ42+#REF!+#REF!,"")</f>
        <v/>
      </c>
      <c r="OXA57" s="82" t="str">
        <f>IF(ISNUMBER(outYear),OXA37+OXA42+#REF!+#REF!,"")</f>
        <v/>
      </c>
      <c r="OXB57" s="82" t="str">
        <f>IF(ISNUMBER(outYear),OXB37+OXB42+#REF!+#REF!,"")</f>
        <v/>
      </c>
      <c r="OXC57" s="82" t="str">
        <f>IF(ISNUMBER(outYear),OXC37+OXC42+#REF!+#REF!,"")</f>
        <v/>
      </c>
      <c r="OXD57" s="82" t="str">
        <f>IF(ISNUMBER(outYear),OXD37+OXD42+#REF!+#REF!,"")</f>
        <v/>
      </c>
      <c r="OXE57" s="82" t="str">
        <f>IF(ISNUMBER(outYear),OXE37+OXE42+#REF!+#REF!,"")</f>
        <v/>
      </c>
      <c r="OXF57" s="82" t="str">
        <f>IF(ISNUMBER(outYear),OXF37+OXF42+#REF!+#REF!,"")</f>
        <v/>
      </c>
      <c r="OXG57" s="82" t="str">
        <f>IF(ISNUMBER(outYear),OXG37+OXG42+#REF!+#REF!,"")</f>
        <v/>
      </c>
      <c r="OXH57" s="82" t="str">
        <f>IF(ISNUMBER(outYear),OXH37+OXH42+#REF!+#REF!,"")</f>
        <v/>
      </c>
      <c r="OXI57" s="82" t="str">
        <f>IF(ISNUMBER(outYear),OXI37+OXI42+#REF!+#REF!,"")</f>
        <v/>
      </c>
      <c r="OXJ57" s="82" t="str">
        <f>IF(ISNUMBER(outYear),OXJ37+OXJ42+#REF!+#REF!,"")</f>
        <v/>
      </c>
      <c r="OXK57" s="82" t="str">
        <f>IF(ISNUMBER(outYear),OXK37+OXK42+#REF!+#REF!,"")</f>
        <v/>
      </c>
      <c r="OXL57" s="82" t="str">
        <f>IF(ISNUMBER(outYear),OXL37+OXL42+#REF!+#REF!,"")</f>
        <v/>
      </c>
      <c r="OXM57" s="82" t="str">
        <f>IF(ISNUMBER(outYear),OXM37+OXM42+#REF!+#REF!,"")</f>
        <v/>
      </c>
      <c r="OXN57" s="82" t="str">
        <f>IF(ISNUMBER(outYear),OXN37+OXN42+#REF!+#REF!,"")</f>
        <v/>
      </c>
      <c r="OXO57" s="82" t="str">
        <f>IF(ISNUMBER(outYear),OXO37+OXO42+#REF!+#REF!,"")</f>
        <v/>
      </c>
      <c r="OXP57" s="82" t="str">
        <f>IF(ISNUMBER(outYear),OXP37+OXP42+#REF!+#REF!,"")</f>
        <v/>
      </c>
      <c r="OXQ57" s="82" t="str">
        <f>IF(ISNUMBER(outYear),OXQ37+OXQ42+#REF!+#REF!,"")</f>
        <v/>
      </c>
      <c r="OXR57" s="82" t="str">
        <f>IF(ISNUMBER(outYear),OXR37+OXR42+#REF!+#REF!,"")</f>
        <v/>
      </c>
      <c r="OXS57" s="82" t="str">
        <f>IF(ISNUMBER(outYear),OXS37+OXS42+#REF!+#REF!,"")</f>
        <v/>
      </c>
      <c r="OXT57" s="82" t="str">
        <f>IF(ISNUMBER(outYear),OXT37+OXT42+#REF!+#REF!,"")</f>
        <v/>
      </c>
      <c r="OXU57" s="82" t="str">
        <f>IF(ISNUMBER(outYear),OXU37+OXU42+#REF!+#REF!,"")</f>
        <v/>
      </c>
      <c r="OXV57" s="82" t="str">
        <f>IF(ISNUMBER(outYear),OXV37+OXV42+#REF!+#REF!,"")</f>
        <v/>
      </c>
      <c r="OXW57" s="82" t="str">
        <f>IF(ISNUMBER(outYear),OXW37+OXW42+#REF!+#REF!,"")</f>
        <v/>
      </c>
      <c r="OXX57" s="82" t="str">
        <f>IF(ISNUMBER(outYear),OXX37+OXX42+#REF!+#REF!,"")</f>
        <v/>
      </c>
      <c r="OXY57" s="82" t="str">
        <f>IF(ISNUMBER(outYear),OXY37+OXY42+#REF!+#REF!,"")</f>
        <v/>
      </c>
      <c r="OXZ57" s="82" t="str">
        <f>IF(ISNUMBER(outYear),OXZ37+OXZ42+#REF!+#REF!,"")</f>
        <v/>
      </c>
      <c r="OYA57" s="82" t="str">
        <f>IF(ISNUMBER(outYear),OYA37+OYA42+#REF!+#REF!,"")</f>
        <v/>
      </c>
      <c r="OYB57" s="82" t="str">
        <f>IF(ISNUMBER(outYear),OYB37+OYB42+#REF!+#REF!,"")</f>
        <v/>
      </c>
      <c r="OYC57" s="82" t="str">
        <f>IF(ISNUMBER(outYear),OYC37+OYC42+#REF!+#REF!,"")</f>
        <v/>
      </c>
      <c r="OYD57" s="82" t="str">
        <f>IF(ISNUMBER(outYear),OYD37+OYD42+#REF!+#REF!,"")</f>
        <v/>
      </c>
      <c r="OYE57" s="82" t="str">
        <f>IF(ISNUMBER(outYear),OYE37+OYE42+#REF!+#REF!,"")</f>
        <v/>
      </c>
      <c r="OYF57" s="82" t="str">
        <f>IF(ISNUMBER(outYear),OYF37+OYF42+#REF!+#REF!,"")</f>
        <v/>
      </c>
      <c r="OYG57" s="82" t="str">
        <f>IF(ISNUMBER(outYear),OYG37+OYG42+#REF!+#REF!,"")</f>
        <v/>
      </c>
      <c r="OYH57" s="82" t="str">
        <f>IF(ISNUMBER(outYear),OYH37+OYH42+#REF!+#REF!,"")</f>
        <v/>
      </c>
      <c r="OYI57" s="82" t="str">
        <f>IF(ISNUMBER(outYear),OYI37+OYI42+#REF!+#REF!,"")</f>
        <v/>
      </c>
      <c r="OYJ57" s="82" t="str">
        <f>IF(ISNUMBER(outYear),OYJ37+OYJ42+#REF!+#REF!,"")</f>
        <v/>
      </c>
      <c r="OYK57" s="82" t="str">
        <f>IF(ISNUMBER(outYear),OYK37+OYK42+#REF!+#REF!,"")</f>
        <v/>
      </c>
      <c r="OYL57" s="82" t="str">
        <f>IF(ISNUMBER(outYear),OYL37+OYL42+#REF!+#REF!,"")</f>
        <v/>
      </c>
      <c r="OYM57" s="82" t="str">
        <f>IF(ISNUMBER(outYear),OYM37+OYM42+#REF!+#REF!,"")</f>
        <v/>
      </c>
      <c r="OYN57" s="82" t="str">
        <f>IF(ISNUMBER(outYear),OYN37+OYN42+#REF!+#REF!,"")</f>
        <v/>
      </c>
      <c r="OYO57" s="82" t="str">
        <f>IF(ISNUMBER(outYear),OYO37+OYO42+#REF!+#REF!,"")</f>
        <v/>
      </c>
      <c r="OYP57" s="82" t="str">
        <f>IF(ISNUMBER(outYear),OYP37+OYP42+#REF!+#REF!,"")</f>
        <v/>
      </c>
      <c r="OYQ57" s="82" t="str">
        <f>IF(ISNUMBER(outYear),OYQ37+OYQ42+#REF!+#REF!,"")</f>
        <v/>
      </c>
      <c r="OYR57" s="82" t="str">
        <f>IF(ISNUMBER(outYear),OYR37+OYR42+#REF!+#REF!,"")</f>
        <v/>
      </c>
      <c r="OYS57" s="82" t="str">
        <f>IF(ISNUMBER(outYear),OYS37+OYS42+#REF!+#REF!,"")</f>
        <v/>
      </c>
      <c r="OYT57" s="82" t="str">
        <f>IF(ISNUMBER(outYear),OYT37+OYT42+#REF!+#REF!,"")</f>
        <v/>
      </c>
      <c r="OYU57" s="82" t="str">
        <f>IF(ISNUMBER(outYear),OYU37+OYU42+#REF!+#REF!,"")</f>
        <v/>
      </c>
      <c r="OYV57" s="82" t="str">
        <f>IF(ISNUMBER(outYear),OYV37+OYV42+#REF!+#REF!,"")</f>
        <v/>
      </c>
      <c r="OYW57" s="82" t="str">
        <f>IF(ISNUMBER(outYear),OYW37+OYW42+#REF!+#REF!,"")</f>
        <v/>
      </c>
      <c r="OYX57" s="82" t="str">
        <f>IF(ISNUMBER(outYear),OYX37+OYX42+#REF!+#REF!,"")</f>
        <v/>
      </c>
      <c r="OYY57" s="82" t="str">
        <f>IF(ISNUMBER(outYear),OYY37+OYY42+#REF!+#REF!,"")</f>
        <v/>
      </c>
      <c r="OYZ57" s="82" t="str">
        <f>IF(ISNUMBER(outYear),OYZ37+OYZ42+#REF!+#REF!,"")</f>
        <v/>
      </c>
      <c r="OZA57" s="82" t="str">
        <f>IF(ISNUMBER(outYear),OZA37+OZA42+#REF!+#REF!,"")</f>
        <v/>
      </c>
      <c r="OZB57" s="82" t="str">
        <f>IF(ISNUMBER(outYear),OZB37+OZB42+#REF!+#REF!,"")</f>
        <v/>
      </c>
      <c r="OZC57" s="82" t="str">
        <f>IF(ISNUMBER(outYear),OZC37+OZC42+#REF!+#REF!,"")</f>
        <v/>
      </c>
      <c r="OZD57" s="82" t="str">
        <f>IF(ISNUMBER(outYear),OZD37+OZD42+#REF!+#REF!,"")</f>
        <v/>
      </c>
      <c r="OZE57" s="82" t="str">
        <f>IF(ISNUMBER(outYear),OZE37+OZE42+#REF!+#REF!,"")</f>
        <v/>
      </c>
      <c r="OZF57" s="82" t="str">
        <f>IF(ISNUMBER(outYear),OZF37+OZF42+#REF!+#REF!,"")</f>
        <v/>
      </c>
      <c r="OZG57" s="82" t="str">
        <f>IF(ISNUMBER(outYear),OZG37+OZG42+#REF!+#REF!,"")</f>
        <v/>
      </c>
      <c r="OZH57" s="82" t="str">
        <f>IF(ISNUMBER(outYear),OZH37+OZH42+#REF!+#REF!,"")</f>
        <v/>
      </c>
      <c r="OZI57" s="82" t="str">
        <f>IF(ISNUMBER(outYear),OZI37+OZI42+#REF!+#REF!,"")</f>
        <v/>
      </c>
      <c r="OZJ57" s="82" t="str">
        <f>IF(ISNUMBER(outYear),OZJ37+OZJ42+#REF!+#REF!,"")</f>
        <v/>
      </c>
      <c r="OZK57" s="82" t="str">
        <f>IF(ISNUMBER(outYear),OZK37+OZK42+#REF!+#REF!,"")</f>
        <v/>
      </c>
      <c r="OZL57" s="82" t="str">
        <f>IF(ISNUMBER(outYear),OZL37+OZL42+#REF!+#REF!,"")</f>
        <v/>
      </c>
      <c r="OZM57" s="82" t="str">
        <f>IF(ISNUMBER(outYear),OZM37+OZM42+#REF!+#REF!,"")</f>
        <v/>
      </c>
      <c r="OZN57" s="82" t="str">
        <f>IF(ISNUMBER(outYear),OZN37+OZN42+#REF!+#REF!,"")</f>
        <v/>
      </c>
      <c r="OZO57" s="82" t="str">
        <f>IF(ISNUMBER(outYear),OZO37+OZO42+#REF!+#REF!,"")</f>
        <v/>
      </c>
      <c r="OZP57" s="82" t="str">
        <f>IF(ISNUMBER(outYear),OZP37+OZP42+#REF!+#REF!,"")</f>
        <v/>
      </c>
      <c r="OZQ57" s="82" t="str">
        <f>IF(ISNUMBER(outYear),OZQ37+OZQ42+#REF!+#REF!,"")</f>
        <v/>
      </c>
      <c r="OZR57" s="82" t="str">
        <f>IF(ISNUMBER(outYear),OZR37+OZR42+#REF!+#REF!,"")</f>
        <v/>
      </c>
      <c r="OZS57" s="82" t="str">
        <f>IF(ISNUMBER(outYear),OZS37+OZS42+#REF!+#REF!,"")</f>
        <v/>
      </c>
      <c r="OZT57" s="82" t="str">
        <f>IF(ISNUMBER(outYear),OZT37+OZT42+#REF!+#REF!,"")</f>
        <v/>
      </c>
      <c r="OZU57" s="82" t="str">
        <f>IF(ISNUMBER(outYear),OZU37+OZU42+#REF!+#REF!,"")</f>
        <v/>
      </c>
      <c r="OZV57" s="82" t="str">
        <f>IF(ISNUMBER(outYear),OZV37+OZV42+#REF!+#REF!,"")</f>
        <v/>
      </c>
      <c r="OZW57" s="82" t="str">
        <f>IF(ISNUMBER(outYear),OZW37+OZW42+#REF!+#REF!,"")</f>
        <v/>
      </c>
      <c r="OZX57" s="82" t="str">
        <f>IF(ISNUMBER(outYear),OZX37+OZX42+#REF!+#REF!,"")</f>
        <v/>
      </c>
      <c r="OZY57" s="82" t="str">
        <f>IF(ISNUMBER(outYear),OZY37+OZY42+#REF!+#REF!,"")</f>
        <v/>
      </c>
      <c r="OZZ57" s="82" t="str">
        <f>IF(ISNUMBER(outYear),OZZ37+OZZ42+#REF!+#REF!,"")</f>
        <v/>
      </c>
      <c r="PAA57" s="82" t="str">
        <f>IF(ISNUMBER(outYear),PAA37+PAA42+#REF!+#REF!,"")</f>
        <v/>
      </c>
      <c r="PAB57" s="82" t="str">
        <f>IF(ISNUMBER(outYear),PAB37+PAB42+#REF!+#REF!,"")</f>
        <v/>
      </c>
      <c r="PAC57" s="82" t="str">
        <f>IF(ISNUMBER(outYear),PAC37+PAC42+#REF!+#REF!,"")</f>
        <v/>
      </c>
      <c r="PAD57" s="82" t="str">
        <f>IF(ISNUMBER(outYear),PAD37+PAD42+#REF!+#REF!,"")</f>
        <v/>
      </c>
      <c r="PAE57" s="82" t="str">
        <f>IF(ISNUMBER(outYear),PAE37+PAE42+#REF!+#REF!,"")</f>
        <v/>
      </c>
      <c r="PAF57" s="82" t="str">
        <f>IF(ISNUMBER(outYear),PAF37+PAF42+#REF!+#REF!,"")</f>
        <v/>
      </c>
      <c r="PAG57" s="82" t="str">
        <f>IF(ISNUMBER(outYear),PAG37+PAG42+#REF!+#REF!,"")</f>
        <v/>
      </c>
      <c r="PAH57" s="82" t="str">
        <f>IF(ISNUMBER(outYear),PAH37+PAH42+#REF!+#REF!,"")</f>
        <v/>
      </c>
      <c r="PAI57" s="82" t="str">
        <f>IF(ISNUMBER(outYear),PAI37+PAI42+#REF!+#REF!,"")</f>
        <v/>
      </c>
      <c r="PAJ57" s="82" t="str">
        <f>IF(ISNUMBER(outYear),PAJ37+PAJ42+#REF!+#REF!,"")</f>
        <v/>
      </c>
      <c r="PAK57" s="82" t="str">
        <f>IF(ISNUMBER(outYear),PAK37+PAK42+#REF!+#REF!,"")</f>
        <v/>
      </c>
      <c r="PAL57" s="82" t="str">
        <f>IF(ISNUMBER(outYear),PAL37+PAL42+#REF!+#REF!,"")</f>
        <v/>
      </c>
      <c r="PAM57" s="82" t="str">
        <f>IF(ISNUMBER(outYear),PAM37+PAM42+#REF!+#REF!,"")</f>
        <v/>
      </c>
      <c r="PAN57" s="82" t="str">
        <f>IF(ISNUMBER(outYear),PAN37+PAN42+#REF!+#REF!,"")</f>
        <v/>
      </c>
      <c r="PAO57" s="82" t="str">
        <f>IF(ISNUMBER(outYear),PAO37+PAO42+#REF!+#REF!,"")</f>
        <v/>
      </c>
      <c r="PAP57" s="82" t="str">
        <f>IF(ISNUMBER(outYear),PAP37+PAP42+#REF!+#REF!,"")</f>
        <v/>
      </c>
      <c r="PAQ57" s="82" t="str">
        <f>IF(ISNUMBER(outYear),PAQ37+PAQ42+#REF!+#REF!,"")</f>
        <v/>
      </c>
      <c r="PAR57" s="82" t="str">
        <f>IF(ISNUMBER(outYear),PAR37+PAR42+#REF!+#REF!,"")</f>
        <v/>
      </c>
      <c r="PAS57" s="82" t="str">
        <f>IF(ISNUMBER(outYear),PAS37+PAS42+#REF!+#REF!,"")</f>
        <v/>
      </c>
      <c r="PAT57" s="82" t="str">
        <f>IF(ISNUMBER(outYear),PAT37+PAT42+#REF!+#REF!,"")</f>
        <v/>
      </c>
      <c r="PAU57" s="82" t="str">
        <f>IF(ISNUMBER(outYear),PAU37+PAU42+#REF!+#REF!,"")</f>
        <v/>
      </c>
      <c r="PAV57" s="82" t="str">
        <f>IF(ISNUMBER(outYear),PAV37+PAV42+#REF!+#REF!,"")</f>
        <v/>
      </c>
      <c r="PAW57" s="82" t="str">
        <f>IF(ISNUMBER(outYear),PAW37+PAW42+#REF!+#REF!,"")</f>
        <v/>
      </c>
      <c r="PAX57" s="82" t="str">
        <f>IF(ISNUMBER(outYear),PAX37+PAX42+#REF!+#REF!,"")</f>
        <v/>
      </c>
      <c r="PAY57" s="82" t="str">
        <f>IF(ISNUMBER(outYear),PAY37+PAY42+#REF!+#REF!,"")</f>
        <v/>
      </c>
      <c r="PAZ57" s="82" t="str">
        <f>IF(ISNUMBER(outYear),PAZ37+PAZ42+#REF!+#REF!,"")</f>
        <v/>
      </c>
      <c r="PBA57" s="82" t="str">
        <f>IF(ISNUMBER(outYear),PBA37+PBA42+#REF!+#REF!,"")</f>
        <v/>
      </c>
      <c r="PBB57" s="82" t="str">
        <f>IF(ISNUMBER(outYear),PBB37+PBB42+#REF!+#REF!,"")</f>
        <v/>
      </c>
      <c r="PBC57" s="82" t="str">
        <f>IF(ISNUMBER(outYear),PBC37+PBC42+#REF!+#REF!,"")</f>
        <v/>
      </c>
      <c r="PBD57" s="82" t="str">
        <f>IF(ISNUMBER(outYear),PBD37+PBD42+#REF!+#REF!,"")</f>
        <v/>
      </c>
      <c r="PBE57" s="82" t="str">
        <f>IF(ISNUMBER(outYear),PBE37+PBE42+#REF!+#REF!,"")</f>
        <v/>
      </c>
      <c r="PBF57" s="82" t="str">
        <f>IF(ISNUMBER(outYear),PBF37+PBF42+#REF!+#REF!,"")</f>
        <v/>
      </c>
      <c r="PBG57" s="82" t="str">
        <f>IF(ISNUMBER(outYear),PBG37+PBG42+#REF!+#REF!,"")</f>
        <v/>
      </c>
      <c r="PBH57" s="82" t="str">
        <f>IF(ISNUMBER(outYear),PBH37+PBH42+#REF!+#REF!,"")</f>
        <v/>
      </c>
      <c r="PBI57" s="82" t="str">
        <f>IF(ISNUMBER(outYear),PBI37+PBI42+#REF!+#REF!,"")</f>
        <v/>
      </c>
      <c r="PBJ57" s="82" t="str">
        <f>IF(ISNUMBER(outYear),PBJ37+PBJ42+#REF!+#REF!,"")</f>
        <v/>
      </c>
      <c r="PBK57" s="82" t="str">
        <f>IF(ISNUMBER(outYear),PBK37+PBK42+#REF!+#REF!,"")</f>
        <v/>
      </c>
      <c r="PBL57" s="82" t="str">
        <f>IF(ISNUMBER(outYear),PBL37+PBL42+#REF!+#REF!,"")</f>
        <v/>
      </c>
      <c r="PBM57" s="82" t="str">
        <f>IF(ISNUMBER(outYear),PBM37+PBM42+#REF!+#REF!,"")</f>
        <v/>
      </c>
      <c r="PBN57" s="82" t="str">
        <f>IF(ISNUMBER(outYear),PBN37+PBN42+#REF!+#REF!,"")</f>
        <v/>
      </c>
      <c r="PBO57" s="82" t="str">
        <f>IF(ISNUMBER(outYear),PBO37+PBO42+#REF!+#REF!,"")</f>
        <v/>
      </c>
      <c r="PBP57" s="82" t="str">
        <f>IF(ISNUMBER(outYear),PBP37+PBP42+#REF!+#REF!,"")</f>
        <v/>
      </c>
      <c r="PBQ57" s="82" t="str">
        <f>IF(ISNUMBER(outYear),PBQ37+PBQ42+#REF!+#REF!,"")</f>
        <v/>
      </c>
      <c r="PBR57" s="82" t="str">
        <f>IF(ISNUMBER(outYear),PBR37+PBR42+#REF!+#REF!,"")</f>
        <v/>
      </c>
      <c r="PBS57" s="82" t="str">
        <f>IF(ISNUMBER(outYear),PBS37+PBS42+#REF!+#REF!,"")</f>
        <v/>
      </c>
      <c r="PBT57" s="82" t="str">
        <f>IF(ISNUMBER(outYear),PBT37+PBT42+#REF!+#REF!,"")</f>
        <v/>
      </c>
      <c r="PBU57" s="82" t="str">
        <f>IF(ISNUMBER(outYear),PBU37+PBU42+#REF!+#REF!,"")</f>
        <v/>
      </c>
      <c r="PBV57" s="82" t="str">
        <f>IF(ISNUMBER(outYear),PBV37+PBV42+#REF!+#REF!,"")</f>
        <v/>
      </c>
      <c r="PBW57" s="82" t="str">
        <f>IF(ISNUMBER(outYear),PBW37+PBW42+#REF!+#REF!,"")</f>
        <v/>
      </c>
      <c r="PBX57" s="82" t="str">
        <f>IF(ISNUMBER(outYear),PBX37+PBX42+#REF!+#REF!,"")</f>
        <v/>
      </c>
      <c r="PBY57" s="82" t="str">
        <f>IF(ISNUMBER(outYear),PBY37+PBY42+#REF!+#REF!,"")</f>
        <v/>
      </c>
      <c r="PBZ57" s="82" t="str">
        <f>IF(ISNUMBER(outYear),PBZ37+PBZ42+#REF!+#REF!,"")</f>
        <v/>
      </c>
      <c r="PCA57" s="82" t="str">
        <f>IF(ISNUMBER(outYear),PCA37+PCA42+#REF!+#REF!,"")</f>
        <v/>
      </c>
      <c r="PCB57" s="82" t="str">
        <f>IF(ISNUMBER(outYear),PCB37+PCB42+#REF!+#REF!,"")</f>
        <v/>
      </c>
      <c r="PCC57" s="82" t="str">
        <f>IF(ISNUMBER(outYear),PCC37+PCC42+#REF!+#REF!,"")</f>
        <v/>
      </c>
      <c r="PCD57" s="82" t="str">
        <f>IF(ISNUMBER(outYear),PCD37+PCD42+#REF!+#REF!,"")</f>
        <v/>
      </c>
      <c r="PCE57" s="82" t="str">
        <f>IF(ISNUMBER(outYear),PCE37+PCE42+#REF!+#REF!,"")</f>
        <v/>
      </c>
      <c r="PCF57" s="82" t="str">
        <f>IF(ISNUMBER(outYear),PCF37+PCF42+#REF!+#REF!,"")</f>
        <v/>
      </c>
      <c r="PCG57" s="82" t="str">
        <f>IF(ISNUMBER(outYear),PCG37+PCG42+#REF!+#REF!,"")</f>
        <v/>
      </c>
      <c r="PCH57" s="82" t="str">
        <f>IF(ISNUMBER(outYear),PCH37+PCH42+#REF!+#REF!,"")</f>
        <v/>
      </c>
      <c r="PCI57" s="82" t="str">
        <f>IF(ISNUMBER(outYear),PCI37+PCI42+#REF!+#REF!,"")</f>
        <v/>
      </c>
      <c r="PCJ57" s="82" t="str">
        <f>IF(ISNUMBER(outYear),PCJ37+PCJ42+#REF!+#REF!,"")</f>
        <v/>
      </c>
      <c r="PCK57" s="82" t="str">
        <f>IF(ISNUMBER(outYear),PCK37+PCK42+#REF!+#REF!,"")</f>
        <v/>
      </c>
      <c r="PCL57" s="82" t="str">
        <f>IF(ISNUMBER(outYear),PCL37+PCL42+#REF!+#REF!,"")</f>
        <v/>
      </c>
      <c r="PCM57" s="82" t="str">
        <f>IF(ISNUMBER(outYear),PCM37+PCM42+#REF!+#REF!,"")</f>
        <v/>
      </c>
      <c r="PCN57" s="82" t="str">
        <f>IF(ISNUMBER(outYear),PCN37+PCN42+#REF!+#REF!,"")</f>
        <v/>
      </c>
      <c r="PCO57" s="82" t="str">
        <f>IF(ISNUMBER(outYear),PCO37+PCO42+#REF!+#REF!,"")</f>
        <v/>
      </c>
      <c r="PCP57" s="82" t="str">
        <f>IF(ISNUMBER(outYear),PCP37+PCP42+#REF!+#REF!,"")</f>
        <v/>
      </c>
      <c r="PCQ57" s="82" t="str">
        <f>IF(ISNUMBER(outYear),PCQ37+PCQ42+#REF!+#REF!,"")</f>
        <v/>
      </c>
      <c r="PCR57" s="82" t="str">
        <f>IF(ISNUMBER(outYear),PCR37+PCR42+#REF!+#REF!,"")</f>
        <v/>
      </c>
      <c r="PCS57" s="82" t="str">
        <f>IF(ISNUMBER(outYear),PCS37+PCS42+#REF!+#REF!,"")</f>
        <v/>
      </c>
      <c r="PCT57" s="82" t="str">
        <f>IF(ISNUMBER(outYear),PCT37+PCT42+#REF!+#REF!,"")</f>
        <v/>
      </c>
      <c r="PCU57" s="82" t="str">
        <f>IF(ISNUMBER(outYear),PCU37+PCU42+#REF!+#REF!,"")</f>
        <v/>
      </c>
      <c r="PCV57" s="82" t="str">
        <f>IF(ISNUMBER(outYear),PCV37+PCV42+#REF!+#REF!,"")</f>
        <v/>
      </c>
      <c r="PCW57" s="82" t="str">
        <f>IF(ISNUMBER(outYear),PCW37+PCW42+#REF!+#REF!,"")</f>
        <v/>
      </c>
      <c r="PCX57" s="82" t="str">
        <f>IF(ISNUMBER(outYear),PCX37+PCX42+#REF!+#REF!,"")</f>
        <v/>
      </c>
      <c r="PCY57" s="82" t="str">
        <f>IF(ISNUMBER(outYear),PCY37+PCY42+#REF!+#REF!,"")</f>
        <v/>
      </c>
      <c r="PCZ57" s="82" t="str">
        <f>IF(ISNUMBER(outYear),PCZ37+PCZ42+#REF!+#REF!,"")</f>
        <v/>
      </c>
      <c r="PDA57" s="82" t="str">
        <f>IF(ISNUMBER(outYear),PDA37+PDA42+#REF!+#REF!,"")</f>
        <v/>
      </c>
      <c r="PDB57" s="82" t="str">
        <f>IF(ISNUMBER(outYear),PDB37+PDB42+#REF!+#REF!,"")</f>
        <v/>
      </c>
      <c r="PDC57" s="82" t="str">
        <f>IF(ISNUMBER(outYear),PDC37+PDC42+#REF!+#REF!,"")</f>
        <v/>
      </c>
      <c r="PDD57" s="82" t="str">
        <f>IF(ISNUMBER(outYear),PDD37+PDD42+#REF!+#REF!,"")</f>
        <v/>
      </c>
      <c r="PDE57" s="82" t="str">
        <f>IF(ISNUMBER(outYear),PDE37+PDE42+#REF!+#REF!,"")</f>
        <v/>
      </c>
      <c r="PDF57" s="82" t="str">
        <f>IF(ISNUMBER(outYear),PDF37+PDF42+#REF!+#REF!,"")</f>
        <v/>
      </c>
      <c r="PDG57" s="82" t="str">
        <f>IF(ISNUMBER(outYear),PDG37+PDG42+#REF!+#REF!,"")</f>
        <v/>
      </c>
      <c r="PDH57" s="82" t="str">
        <f>IF(ISNUMBER(outYear),PDH37+PDH42+#REF!+#REF!,"")</f>
        <v/>
      </c>
      <c r="PDI57" s="82" t="str">
        <f>IF(ISNUMBER(outYear),PDI37+PDI42+#REF!+#REF!,"")</f>
        <v/>
      </c>
      <c r="PDJ57" s="82" t="str">
        <f>IF(ISNUMBER(outYear),PDJ37+PDJ42+#REF!+#REF!,"")</f>
        <v/>
      </c>
      <c r="PDK57" s="82" t="str">
        <f>IF(ISNUMBER(outYear),PDK37+PDK42+#REF!+#REF!,"")</f>
        <v/>
      </c>
      <c r="PDL57" s="82" t="str">
        <f>IF(ISNUMBER(outYear),PDL37+PDL42+#REF!+#REF!,"")</f>
        <v/>
      </c>
      <c r="PDM57" s="82" t="str">
        <f>IF(ISNUMBER(outYear),PDM37+PDM42+#REF!+#REF!,"")</f>
        <v/>
      </c>
      <c r="PDN57" s="82" t="str">
        <f>IF(ISNUMBER(outYear),PDN37+PDN42+#REF!+#REF!,"")</f>
        <v/>
      </c>
      <c r="PDO57" s="82" t="str">
        <f>IF(ISNUMBER(outYear),PDO37+PDO42+#REF!+#REF!,"")</f>
        <v/>
      </c>
      <c r="PDP57" s="82" t="str">
        <f>IF(ISNUMBER(outYear),PDP37+PDP42+#REF!+#REF!,"")</f>
        <v/>
      </c>
      <c r="PDQ57" s="82" t="str">
        <f>IF(ISNUMBER(outYear),PDQ37+PDQ42+#REF!+#REF!,"")</f>
        <v/>
      </c>
      <c r="PDR57" s="82" t="str">
        <f>IF(ISNUMBER(outYear),PDR37+PDR42+#REF!+#REF!,"")</f>
        <v/>
      </c>
      <c r="PDS57" s="82" t="str">
        <f>IF(ISNUMBER(outYear),PDS37+PDS42+#REF!+#REF!,"")</f>
        <v/>
      </c>
      <c r="PDT57" s="82" t="str">
        <f>IF(ISNUMBER(outYear),PDT37+PDT42+#REF!+#REF!,"")</f>
        <v/>
      </c>
      <c r="PDU57" s="82" t="str">
        <f>IF(ISNUMBER(outYear),PDU37+PDU42+#REF!+#REF!,"")</f>
        <v/>
      </c>
      <c r="PDV57" s="82" t="str">
        <f>IF(ISNUMBER(outYear),PDV37+PDV42+#REF!+#REF!,"")</f>
        <v/>
      </c>
      <c r="PDW57" s="82" t="str">
        <f>IF(ISNUMBER(outYear),PDW37+PDW42+#REF!+#REF!,"")</f>
        <v/>
      </c>
      <c r="PDX57" s="82" t="str">
        <f>IF(ISNUMBER(outYear),PDX37+PDX42+#REF!+#REF!,"")</f>
        <v/>
      </c>
      <c r="PDY57" s="82" t="str">
        <f>IF(ISNUMBER(outYear),PDY37+PDY42+#REF!+#REF!,"")</f>
        <v/>
      </c>
      <c r="PDZ57" s="82" t="str">
        <f>IF(ISNUMBER(outYear),PDZ37+PDZ42+#REF!+#REF!,"")</f>
        <v/>
      </c>
      <c r="PEA57" s="82" t="str">
        <f>IF(ISNUMBER(outYear),PEA37+PEA42+#REF!+#REF!,"")</f>
        <v/>
      </c>
      <c r="PEB57" s="82" t="str">
        <f>IF(ISNUMBER(outYear),PEB37+PEB42+#REF!+#REF!,"")</f>
        <v/>
      </c>
      <c r="PEC57" s="82" t="str">
        <f>IF(ISNUMBER(outYear),PEC37+PEC42+#REF!+#REF!,"")</f>
        <v/>
      </c>
      <c r="PED57" s="82" t="str">
        <f>IF(ISNUMBER(outYear),PED37+PED42+#REF!+#REF!,"")</f>
        <v/>
      </c>
      <c r="PEE57" s="82" t="str">
        <f>IF(ISNUMBER(outYear),PEE37+PEE42+#REF!+#REF!,"")</f>
        <v/>
      </c>
      <c r="PEF57" s="82" t="str">
        <f>IF(ISNUMBER(outYear),PEF37+PEF42+#REF!+#REF!,"")</f>
        <v/>
      </c>
      <c r="PEG57" s="82" t="str">
        <f>IF(ISNUMBER(outYear),PEG37+PEG42+#REF!+#REF!,"")</f>
        <v/>
      </c>
      <c r="PEH57" s="82" t="str">
        <f>IF(ISNUMBER(outYear),PEH37+PEH42+#REF!+#REF!,"")</f>
        <v/>
      </c>
      <c r="PEI57" s="82" t="str">
        <f>IF(ISNUMBER(outYear),PEI37+PEI42+#REF!+#REF!,"")</f>
        <v/>
      </c>
      <c r="PEJ57" s="82" t="str">
        <f>IF(ISNUMBER(outYear),PEJ37+PEJ42+#REF!+#REF!,"")</f>
        <v/>
      </c>
      <c r="PEK57" s="82" t="str">
        <f>IF(ISNUMBER(outYear),PEK37+PEK42+#REF!+#REF!,"")</f>
        <v/>
      </c>
      <c r="PEL57" s="82" t="str">
        <f>IF(ISNUMBER(outYear),PEL37+PEL42+#REF!+#REF!,"")</f>
        <v/>
      </c>
      <c r="PEM57" s="82" t="str">
        <f>IF(ISNUMBER(outYear),PEM37+PEM42+#REF!+#REF!,"")</f>
        <v/>
      </c>
      <c r="PEN57" s="82" t="str">
        <f>IF(ISNUMBER(outYear),PEN37+PEN42+#REF!+#REF!,"")</f>
        <v/>
      </c>
      <c r="PEO57" s="82" t="str">
        <f>IF(ISNUMBER(outYear),PEO37+PEO42+#REF!+#REF!,"")</f>
        <v/>
      </c>
      <c r="PEP57" s="82" t="str">
        <f>IF(ISNUMBER(outYear),PEP37+PEP42+#REF!+#REF!,"")</f>
        <v/>
      </c>
      <c r="PEQ57" s="82" t="str">
        <f>IF(ISNUMBER(outYear),PEQ37+PEQ42+#REF!+#REF!,"")</f>
        <v/>
      </c>
      <c r="PER57" s="82" t="str">
        <f>IF(ISNUMBER(outYear),PER37+PER42+#REF!+#REF!,"")</f>
        <v/>
      </c>
      <c r="PES57" s="82" t="str">
        <f>IF(ISNUMBER(outYear),PES37+PES42+#REF!+#REF!,"")</f>
        <v/>
      </c>
      <c r="PET57" s="82" t="str">
        <f>IF(ISNUMBER(outYear),PET37+PET42+#REF!+#REF!,"")</f>
        <v/>
      </c>
      <c r="PEU57" s="82" t="str">
        <f>IF(ISNUMBER(outYear),PEU37+PEU42+#REF!+#REF!,"")</f>
        <v/>
      </c>
      <c r="PEV57" s="82" t="str">
        <f>IF(ISNUMBER(outYear),PEV37+PEV42+#REF!+#REF!,"")</f>
        <v/>
      </c>
      <c r="PEW57" s="82" t="str">
        <f>IF(ISNUMBER(outYear),PEW37+PEW42+#REF!+#REF!,"")</f>
        <v/>
      </c>
      <c r="PEX57" s="82" t="str">
        <f>IF(ISNUMBER(outYear),PEX37+PEX42+#REF!+#REF!,"")</f>
        <v/>
      </c>
      <c r="PEY57" s="82" t="str">
        <f>IF(ISNUMBER(outYear),PEY37+PEY42+#REF!+#REF!,"")</f>
        <v/>
      </c>
      <c r="PEZ57" s="82" t="str">
        <f>IF(ISNUMBER(outYear),PEZ37+PEZ42+#REF!+#REF!,"")</f>
        <v/>
      </c>
      <c r="PFA57" s="82" t="str">
        <f>IF(ISNUMBER(outYear),PFA37+PFA42+#REF!+#REF!,"")</f>
        <v/>
      </c>
      <c r="PFB57" s="82" t="str">
        <f>IF(ISNUMBER(outYear),PFB37+PFB42+#REF!+#REF!,"")</f>
        <v/>
      </c>
      <c r="PFC57" s="82" t="str">
        <f>IF(ISNUMBER(outYear),PFC37+PFC42+#REF!+#REF!,"")</f>
        <v/>
      </c>
      <c r="PFD57" s="82" t="str">
        <f>IF(ISNUMBER(outYear),PFD37+PFD42+#REF!+#REF!,"")</f>
        <v/>
      </c>
      <c r="PFE57" s="82" t="str">
        <f>IF(ISNUMBER(outYear),PFE37+PFE42+#REF!+#REF!,"")</f>
        <v/>
      </c>
      <c r="PFF57" s="82" t="str">
        <f>IF(ISNUMBER(outYear),PFF37+PFF42+#REF!+#REF!,"")</f>
        <v/>
      </c>
      <c r="PFG57" s="82" t="str">
        <f>IF(ISNUMBER(outYear),PFG37+PFG42+#REF!+#REF!,"")</f>
        <v/>
      </c>
      <c r="PFH57" s="82" t="str">
        <f>IF(ISNUMBER(outYear),PFH37+PFH42+#REF!+#REF!,"")</f>
        <v/>
      </c>
      <c r="PFI57" s="82" t="str">
        <f>IF(ISNUMBER(outYear),PFI37+PFI42+#REF!+#REF!,"")</f>
        <v/>
      </c>
      <c r="PFJ57" s="82" t="str">
        <f>IF(ISNUMBER(outYear),PFJ37+PFJ42+#REF!+#REF!,"")</f>
        <v/>
      </c>
      <c r="PFK57" s="82" t="str">
        <f>IF(ISNUMBER(outYear),PFK37+PFK42+#REF!+#REF!,"")</f>
        <v/>
      </c>
      <c r="PFL57" s="82" t="str">
        <f>IF(ISNUMBER(outYear),PFL37+PFL42+#REF!+#REF!,"")</f>
        <v/>
      </c>
      <c r="PFM57" s="82" t="str">
        <f>IF(ISNUMBER(outYear),PFM37+PFM42+#REF!+#REF!,"")</f>
        <v/>
      </c>
      <c r="PFN57" s="82" t="str">
        <f>IF(ISNUMBER(outYear),PFN37+PFN42+#REF!+#REF!,"")</f>
        <v/>
      </c>
      <c r="PFO57" s="82" t="str">
        <f>IF(ISNUMBER(outYear),PFO37+PFO42+#REF!+#REF!,"")</f>
        <v/>
      </c>
      <c r="PFP57" s="82" t="str">
        <f>IF(ISNUMBER(outYear),PFP37+PFP42+#REF!+#REF!,"")</f>
        <v/>
      </c>
      <c r="PFQ57" s="82" t="str">
        <f>IF(ISNUMBER(outYear),PFQ37+PFQ42+#REF!+#REF!,"")</f>
        <v/>
      </c>
      <c r="PFR57" s="82" t="str">
        <f>IF(ISNUMBER(outYear),PFR37+PFR42+#REF!+#REF!,"")</f>
        <v/>
      </c>
      <c r="PFS57" s="82" t="str">
        <f>IF(ISNUMBER(outYear),PFS37+PFS42+#REF!+#REF!,"")</f>
        <v/>
      </c>
      <c r="PFT57" s="82" t="str">
        <f>IF(ISNUMBER(outYear),PFT37+PFT42+#REF!+#REF!,"")</f>
        <v/>
      </c>
      <c r="PFU57" s="82" t="str">
        <f>IF(ISNUMBER(outYear),PFU37+PFU42+#REF!+#REF!,"")</f>
        <v/>
      </c>
      <c r="PFV57" s="82" t="str">
        <f>IF(ISNUMBER(outYear),PFV37+PFV42+#REF!+#REF!,"")</f>
        <v/>
      </c>
      <c r="PFW57" s="82" t="str">
        <f>IF(ISNUMBER(outYear),PFW37+PFW42+#REF!+#REF!,"")</f>
        <v/>
      </c>
      <c r="PFX57" s="82" t="str">
        <f>IF(ISNUMBER(outYear),PFX37+PFX42+#REF!+#REF!,"")</f>
        <v/>
      </c>
      <c r="PFY57" s="82" t="str">
        <f>IF(ISNUMBER(outYear),PFY37+PFY42+#REF!+#REF!,"")</f>
        <v/>
      </c>
      <c r="PFZ57" s="82" t="str">
        <f>IF(ISNUMBER(outYear),PFZ37+PFZ42+#REF!+#REF!,"")</f>
        <v/>
      </c>
      <c r="PGA57" s="82" t="str">
        <f>IF(ISNUMBER(outYear),PGA37+PGA42+#REF!+#REF!,"")</f>
        <v/>
      </c>
      <c r="PGB57" s="82" t="str">
        <f>IF(ISNUMBER(outYear),PGB37+PGB42+#REF!+#REF!,"")</f>
        <v/>
      </c>
      <c r="PGC57" s="82" t="str">
        <f>IF(ISNUMBER(outYear),PGC37+PGC42+#REF!+#REF!,"")</f>
        <v/>
      </c>
      <c r="PGD57" s="82" t="str">
        <f>IF(ISNUMBER(outYear),PGD37+PGD42+#REF!+#REF!,"")</f>
        <v/>
      </c>
      <c r="PGE57" s="82" t="str">
        <f>IF(ISNUMBER(outYear),PGE37+PGE42+#REF!+#REF!,"")</f>
        <v/>
      </c>
      <c r="PGF57" s="82" t="str">
        <f>IF(ISNUMBER(outYear),PGF37+PGF42+#REF!+#REF!,"")</f>
        <v/>
      </c>
      <c r="PGG57" s="82" t="str">
        <f>IF(ISNUMBER(outYear),PGG37+PGG42+#REF!+#REF!,"")</f>
        <v/>
      </c>
      <c r="PGH57" s="82" t="str">
        <f>IF(ISNUMBER(outYear),PGH37+PGH42+#REF!+#REF!,"")</f>
        <v/>
      </c>
      <c r="PGI57" s="82" t="str">
        <f>IF(ISNUMBER(outYear),PGI37+PGI42+#REF!+#REF!,"")</f>
        <v/>
      </c>
      <c r="PGJ57" s="82" t="str">
        <f>IF(ISNUMBER(outYear),PGJ37+PGJ42+#REF!+#REF!,"")</f>
        <v/>
      </c>
      <c r="PGK57" s="82" t="str">
        <f>IF(ISNUMBER(outYear),PGK37+PGK42+#REF!+#REF!,"")</f>
        <v/>
      </c>
      <c r="PGL57" s="82" t="str">
        <f>IF(ISNUMBER(outYear),PGL37+PGL42+#REF!+#REF!,"")</f>
        <v/>
      </c>
      <c r="PGM57" s="82" t="str">
        <f>IF(ISNUMBER(outYear),PGM37+PGM42+#REF!+#REF!,"")</f>
        <v/>
      </c>
      <c r="PGN57" s="82" t="str">
        <f>IF(ISNUMBER(outYear),PGN37+PGN42+#REF!+#REF!,"")</f>
        <v/>
      </c>
      <c r="PGO57" s="82" t="str">
        <f>IF(ISNUMBER(outYear),PGO37+PGO42+#REF!+#REF!,"")</f>
        <v/>
      </c>
      <c r="PGP57" s="82" t="str">
        <f>IF(ISNUMBER(outYear),PGP37+PGP42+#REF!+#REF!,"")</f>
        <v/>
      </c>
      <c r="PGQ57" s="82" t="str">
        <f>IF(ISNUMBER(outYear),PGQ37+PGQ42+#REF!+#REF!,"")</f>
        <v/>
      </c>
      <c r="PGR57" s="82" t="str">
        <f>IF(ISNUMBER(outYear),PGR37+PGR42+#REF!+#REF!,"")</f>
        <v/>
      </c>
      <c r="PGS57" s="82" t="str">
        <f>IF(ISNUMBER(outYear),PGS37+PGS42+#REF!+#REF!,"")</f>
        <v/>
      </c>
      <c r="PGT57" s="82" t="str">
        <f>IF(ISNUMBER(outYear),PGT37+PGT42+#REF!+#REF!,"")</f>
        <v/>
      </c>
      <c r="PGU57" s="82" t="str">
        <f>IF(ISNUMBER(outYear),PGU37+PGU42+#REF!+#REF!,"")</f>
        <v/>
      </c>
      <c r="PGV57" s="82" t="str">
        <f>IF(ISNUMBER(outYear),PGV37+PGV42+#REF!+#REF!,"")</f>
        <v/>
      </c>
      <c r="PGW57" s="82" t="str">
        <f>IF(ISNUMBER(outYear),PGW37+PGW42+#REF!+#REF!,"")</f>
        <v/>
      </c>
      <c r="PGX57" s="82" t="str">
        <f>IF(ISNUMBER(outYear),PGX37+PGX42+#REF!+#REF!,"")</f>
        <v/>
      </c>
      <c r="PGY57" s="82" t="str">
        <f>IF(ISNUMBER(outYear),PGY37+PGY42+#REF!+#REF!,"")</f>
        <v/>
      </c>
      <c r="PGZ57" s="82" t="str">
        <f>IF(ISNUMBER(outYear),PGZ37+PGZ42+#REF!+#REF!,"")</f>
        <v/>
      </c>
      <c r="PHA57" s="82" t="str">
        <f>IF(ISNUMBER(outYear),PHA37+PHA42+#REF!+#REF!,"")</f>
        <v/>
      </c>
      <c r="PHB57" s="82" t="str">
        <f>IF(ISNUMBER(outYear),PHB37+PHB42+#REF!+#REF!,"")</f>
        <v/>
      </c>
      <c r="PHC57" s="82" t="str">
        <f>IF(ISNUMBER(outYear),PHC37+PHC42+#REF!+#REF!,"")</f>
        <v/>
      </c>
      <c r="PHD57" s="82" t="str">
        <f>IF(ISNUMBER(outYear),PHD37+PHD42+#REF!+#REF!,"")</f>
        <v/>
      </c>
      <c r="PHE57" s="82" t="str">
        <f>IF(ISNUMBER(outYear),PHE37+PHE42+#REF!+#REF!,"")</f>
        <v/>
      </c>
      <c r="PHF57" s="82" t="str">
        <f>IF(ISNUMBER(outYear),PHF37+PHF42+#REF!+#REF!,"")</f>
        <v/>
      </c>
      <c r="PHG57" s="82" t="str">
        <f>IF(ISNUMBER(outYear),PHG37+PHG42+#REF!+#REF!,"")</f>
        <v/>
      </c>
      <c r="PHH57" s="82" t="str">
        <f>IF(ISNUMBER(outYear),PHH37+PHH42+#REF!+#REF!,"")</f>
        <v/>
      </c>
      <c r="PHI57" s="82" t="str">
        <f>IF(ISNUMBER(outYear),PHI37+PHI42+#REF!+#REF!,"")</f>
        <v/>
      </c>
      <c r="PHJ57" s="82" t="str">
        <f>IF(ISNUMBER(outYear),PHJ37+PHJ42+#REF!+#REF!,"")</f>
        <v/>
      </c>
      <c r="PHK57" s="82" t="str">
        <f>IF(ISNUMBER(outYear),PHK37+PHK42+#REF!+#REF!,"")</f>
        <v/>
      </c>
      <c r="PHL57" s="82" t="str">
        <f>IF(ISNUMBER(outYear),PHL37+PHL42+#REF!+#REF!,"")</f>
        <v/>
      </c>
      <c r="PHM57" s="82" t="str">
        <f>IF(ISNUMBER(outYear),PHM37+PHM42+#REF!+#REF!,"")</f>
        <v/>
      </c>
      <c r="PHN57" s="82" t="str">
        <f>IF(ISNUMBER(outYear),PHN37+PHN42+#REF!+#REF!,"")</f>
        <v/>
      </c>
      <c r="PHO57" s="82" t="str">
        <f>IF(ISNUMBER(outYear),PHO37+PHO42+#REF!+#REF!,"")</f>
        <v/>
      </c>
      <c r="PHP57" s="82" t="str">
        <f>IF(ISNUMBER(outYear),PHP37+PHP42+#REF!+#REF!,"")</f>
        <v/>
      </c>
      <c r="PHQ57" s="82" t="str">
        <f>IF(ISNUMBER(outYear),PHQ37+PHQ42+#REF!+#REF!,"")</f>
        <v/>
      </c>
      <c r="PHR57" s="82" t="str">
        <f>IF(ISNUMBER(outYear),PHR37+PHR42+#REF!+#REF!,"")</f>
        <v/>
      </c>
      <c r="PHS57" s="82" t="str">
        <f>IF(ISNUMBER(outYear),PHS37+PHS42+#REF!+#REF!,"")</f>
        <v/>
      </c>
      <c r="PHT57" s="82" t="str">
        <f>IF(ISNUMBER(outYear),PHT37+PHT42+#REF!+#REF!,"")</f>
        <v/>
      </c>
      <c r="PHU57" s="82" t="str">
        <f>IF(ISNUMBER(outYear),PHU37+PHU42+#REF!+#REF!,"")</f>
        <v/>
      </c>
      <c r="PHV57" s="82" t="str">
        <f>IF(ISNUMBER(outYear),PHV37+PHV42+#REF!+#REF!,"")</f>
        <v/>
      </c>
      <c r="PHW57" s="82" t="str">
        <f>IF(ISNUMBER(outYear),PHW37+PHW42+#REF!+#REF!,"")</f>
        <v/>
      </c>
      <c r="PHX57" s="82" t="str">
        <f>IF(ISNUMBER(outYear),PHX37+PHX42+#REF!+#REF!,"")</f>
        <v/>
      </c>
      <c r="PHY57" s="82" t="str">
        <f>IF(ISNUMBER(outYear),PHY37+PHY42+#REF!+#REF!,"")</f>
        <v/>
      </c>
      <c r="PHZ57" s="82" t="str">
        <f>IF(ISNUMBER(outYear),PHZ37+PHZ42+#REF!+#REF!,"")</f>
        <v/>
      </c>
      <c r="PIA57" s="82" t="str">
        <f>IF(ISNUMBER(outYear),PIA37+PIA42+#REF!+#REF!,"")</f>
        <v/>
      </c>
      <c r="PIB57" s="82" t="str">
        <f>IF(ISNUMBER(outYear),PIB37+PIB42+#REF!+#REF!,"")</f>
        <v/>
      </c>
      <c r="PIC57" s="82" t="str">
        <f>IF(ISNUMBER(outYear),PIC37+PIC42+#REF!+#REF!,"")</f>
        <v/>
      </c>
      <c r="PID57" s="82" t="str">
        <f>IF(ISNUMBER(outYear),PID37+PID42+#REF!+#REF!,"")</f>
        <v/>
      </c>
      <c r="PIE57" s="82" t="str">
        <f>IF(ISNUMBER(outYear),PIE37+PIE42+#REF!+#REF!,"")</f>
        <v/>
      </c>
      <c r="PIF57" s="82" t="str">
        <f>IF(ISNUMBER(outYear),PIF37+PIF42+#REF!+#REF!,"")</f>
        <v/>
      </c>
      <c r="PIG57" s="82" t="str">
        <f>IF(ISNUMBER(outYear),PIG37+PIG42+#REF!+#REF!,"")</f>
        <v/>
      </c>
      <c r="PIH57" s="82" t="str">
        <f>IF(ISNUMBER(outYear),PIH37+PIH42+#REF!+#REF!,"")</f>
        <v/>
      </c>
      <c r="PII57" s="82" t="str">
        <f>IF(ISNUMBER(outYear),PII37+PII42+#REF!+#REF!,"")</f>
        <v/>
      </c>
      <c r="PIJ57" s="82" t="str">
        <f>IF(ISNUMBER(outYear),PIJ37+PIJ42+#REF!+#REF!,"")</f>
        <v/>
      </c>
      <c r="PIK57" s="82" t="str">
        <f>IF(ISNUMBER(outYear),PIK37+PIK42+#REF!+#REF!,"")</f>
        <v/>
      </c>
      <c r="PIL57" s="82" t="str">
        <f>IF(ISNUMBER(outYear),PIL37+PIL42+#REF!+#REF!,"")</f>
        <v/>
      </c>
      <c r="PIM57" s="82" t="str">
        <f>IF(ISNUMBER(outYear),PIM37+PIM42+#REF!+#REF!,"")</f>
        <v/>
      </c>
      <c r="PIN57" s="82" t="str">
        <f>IF(ISNUMBER(outYear),PIN37+PIN42+#REF!+#REF!,"")</f>
        <v/>
      </c>
      <c r="PIO57" s="82" t="str">
        <f>IF(ISNUMBER(outYear),PIO37+PIO42+#REF!+#REF!,"")</f>
        <v/>
      </c>
      <c r="PIP57" s="82" t="str">
        <f>IF(ISNUMBER(outYear),PIP37+PIP42+#REF!+#REF!,"")</f>
        <v/>
      </c>
      <c r="PIQ57" s="82" t="str">
        <f>IF(ISNUMBER(outYear),PIQ37+PIQ42+#REF!+#REF!,"")</f>
        <v/>
      </c>
      <c r="PIR57" s="82" t="str">
        <f>IF(ISNUMBER(outYear),PIR37+PIR42+#REF!+#REF!,"")</f>
        <v/>
      </c>
      <c r="PIS57" s="82" t="str">
        <f>IF(ISNUMBER(outYear),PIS37+PIS42+#REF!+#REF!,"")</f>
        <v/>
      </c>
      <c r="PIT57" s="82" t="str">
        <f>IF(ISNUMBER(outYear),PIT37+PIT42+#REF!+#REF!,"")</f>
        <v/>
      </c>
      <c r="PIU57" s="82" t="str">
        <f>IF(ISNUMBER(outYear),PIU37+PIU42+#REF!+#REF!,"")</f>
        <v/>
      </c>
      <c r="PIV57" s="82" t="str">
        <f>IF(ISNUMBER(outYear),PIV37+PIV42+#REF!+#REF!,"")</f>
        <v/>
      </c>
      <c r="PIW57" s="82" t="str">
        <f>IF(ISNUMBER(outYear),PIW37+PIW42+#REF!+#REF!,"")</f>
        <v/>
      </c>
      <c r="PIX57" s="82" t="str">
        <f>IF(ISNUMBER(outYear),PIX37+PIX42+#REF!+#REF!,"")</f>
        <v/>
      </c>
      <c r="PIY57" s="82" t="str">
        <f>IF(ISNUMBER(outYear),PIY37+PIY42+#REF!+#REF!,"")</f>
        <v/>
      </c>
      <c r="PIZ57" s="82" t="str">
        <f>IF(ISNUMBER(outYear),PIZ37+PIZ42+#REF!+#REF!,"")</f>
        <v/>
      </c>
      <c r="PJA57" s="82" t="str">
        <f>IF(ISNUMBER(outYear),PJA37+PJA42+#REF!+#REF!,"")</f>
        <v/>
      </c>
      <c r="PJB57" s="82" t="str">
        <f>IF(ISNUMBER(outYear),PJB37+PJB42+#REF!+#REF!,"")</f>
        <v/>
      </c>
      <c r="PJC57" s="82" t="str">
        <f>IF(ISNUMBER(outYear),PJC37+PJC42+#REF!+#REF!,"")</f>
        <v/>
      </c>
      <c r="PJD57" s="82" t="str">
        <f>IF(ISNUMBER(outYear),PJD37+PJD42+#REF!+#REF!,"")</f>
        <v/>
      </c>
      <c r="PJE57" s="82" t="str">
        <f>IF(ISNUMBER(outYear),PJE37+PJE42+#REF!+#REF!,"")</f>
        <v/>
      </c>
      <c r="PJF57" s="82" t="str">
        <f>IF(ISNUMBER(outYear),PJF37+PJF42+#REF!+#REF!,"")</f>
        <v/>
      </c>
      <c r="PJG57" s="82" t="str">
        <f>IF(ISNUMBER(outYear),PJG37+PJG42+#REF!+#REF!,"")</f>
        <v/>
      </c>
      <c r="PJH57" s="82" t="str">
        <f>IF(ISNUMBER(outYear),PJH37+PJH42+#REF!+#REF!,"")</f>
        <v/>
      </c>
      <c r="PJI57" s="82" t="str">
        <f>IF(ISNUMBER(outYear),PJI37+PJI42+#REF!+#REF!,"")</f>
        <v/>
      </c>
      <c r="PJJ57" s="82" t="str">
        <f>IF(ISNUMBER(outYear),PJJ37+PJJ42+#REF!+#REF!,"")</f>
        <v/>
      </c>
      <c r="PJK57" s="82" t="str">
        <f>IF(ISNUMBER(outYear),PJK37+PJK42+#REF!+#REF!,"")</f>
        <v/>
      </c>
      <c r="PJL57" s="82" t="str">
        <f>IF(ISNUMBER(outYear),PJL37+PJL42+#REF!+#REF!,"")</f>
        <v/>
      </c>
      <c r="PJM57" s="82" t="str">
        <f>IF(ISNUMBER(outYear),PJM37+PJM42+#REF!+#REF!,"")</f>
        <v/>
      </c>
      <c r="PJN57" s="82" t="str">
        <f>IF(ISNUMBER(outYear),PJN37+PJN42+#REF!+#REF!,"")</f>
        <v/>
      </c>
      <c r="PJO57" s="82" t="str">
        <f>IF(ISNUMBER(outYear),PJO37+PJO42+#REF!+#REF!,"")</f>
        <v/>
      </c>
      <c r="PJP57" s="82" t="str">
        <f>IF(ISNUMBER(outYear),PJP37+PJP42+#REF!+#REF!,"")</f>
        <v/>
      </c>
      <c r="PJQ57" s="82" t="str">
        <f>IF(ISNUMBER(outYear),PJQ37+PJQ42+#REF!+#REF!,"")</f>
        <v/>
      </c>
      <c r="PJR57" s="82" t="str">
        <f>IF(ISNUMBER(outYear),PJR37+PJR42+#REF!+#REF!,"")</f>
        <v/>
      </c>
      <c r="PJS57" s="82" t="str">
        <f>IF(ISNUMBER(outYear),PJS37+PJS42+#REF!+#REF!,"")</f>
        <v/>
      </c>
      <c r="PJT57" s="82" t="str">
        <f>IF(ISNUMBER(outYear),PJT37+PJT42+#REF!+#REF!,"")</f>
        <v/>
      </c>
      <c r="PJU57" s="82" t="str">
        <f>IF(ISNUMBER(outYear),PJU37+PJU42+#REF!+#REF!,"")</f>
        <v/>
      </c>
      <c r="PJV57" s="82" t="str">
        <f>IF(ISNUMBER(outYear),PJV37+PJV42+#REF!+#REF!,"")</f>
        <v/>
      </c>
      <c r="PJW57" s="82" t="str">
        <f>IF(ISNUMBER(outYear),PJW37+PJW42+#REF!+#REF!,"")</f>
        <v/>
      </c>
      <c r="PJX57" s="82" t="str">
        <f>IF(ISNUMBER(outYear),PJX37+PJX42+#REF!+#REF!,"")</f>
        <v/>
      </c>
      <c r="PJY57" s="82" t="str">
        <f>IF(ISNUMBER(outYear),PJY37+PJY42+#REF!+#REF!,"")</f>
        <v/>
      </c>
      <c r="PJZ57" s="82" t="str">
        <f>IF(ISNUMBER(outYear),PJZ37+PJZ42+#REF!+#REF!,"")</f>
        <v/>
      </c>
      <c r="PKA57" s="82" t="str">
        <f>IF(ISNUMBER(outYear),PKA37+PKA42+#REF!+#REF!,"")</f>
        <v/>
      </c>
      <c r="PKB57" s="82" t="str">
        <f>IF(ISNUMBER(outYear),PKB37+PKB42+#REF!+#REF!,"")</f>
        <v/>
      </c>
      <c r="PKC57" s="82" t="str">
        <f>IF(ISNUMBER(outYear),PKC37+PKC42+#REF!+#REF!,"")</f>
        <v/>
      </c>
      <c r="PKD57" s="82" t="str">
        <f>IF(ISNUMBER(outYear),PKD37+PKD42+#REF!+#REF!,"")</f>
        <v/>
      </c>
      <c r="PKE57" s="82" t="str">
        <f>IF(ISNUMBER(outYear),PKE37+PKE42+#REF!+#REF!,"")</f>
        <v/>
      </c>
      <c r="PKF57" s="82" t="str">
        <f>IF(ISNUMBER(outYear),PKF37+PKF42+#REF!+#REF!,"")</f>
        <v/>
      </c>
      <c r="PKG57" s="82" t="str">
        <f>IF(ISNUMBER(outYear),PKG37+PKG42+#REF!+#REF!,"")</f>
        <v/>
      </c>
      <c r="PKH57" s="82" t="str">
        <f>IF(ISNUMBER(outYear),PKH37+PKH42+#REF!+#REF!,"")</f>
        <v/>
      </c>
      <c r="PKI57" s="82" t="str">
        <f>IF(ISNUMBER(outYear),PKI37+PKI42+#REF!+#REF!,"")</f>
        <v/>
      </c>
      <c r="PKJ57" s="82" t="str">
        <f>IF(ISNUMBER(outYear),PKJ37+PKJ42+#REF!+#REF!,"")</f>
        <v/>
      </c>
      <c r="PKK57" s="82" t="str">
        <f>IF(ISNUMBER(outYear),PKK37+PKK42+#REF!+#REF!,"")</f>
        <v/>
      </c>
      <c r="PKL57" s="82" t="str">
        <f>IF(ISNUMBER(outYear),PKL37+PKL42+#REF!+#REF!,"")</f>
        <v/>
      </c>
      <c r="PKM57" s="82" t="str">
        <f>IF(ISNUMBER(outYear),PKM37+PKM42+#REF!+#REF!,"")</f>
        <v/>
      </c>
      <c r="PKN57" s="82" t="str">
        <f>IF(ISNUMBER(outYear),PKN37+PKN42+#REF!+#REF!,"")</f>
        <v/>
      </c>
      <c r="PKO57" s="82" t="str">
        <f>IF(ISNUMBER(outYear),PKO37+PKO42+#REF!+#REF!,"")</f>
        <v/>
      </c>
      <c r="PKP57" s="82" t="str">
        <f>IF(ISNUMBER(outYear),PKP37+PKP42+#REF!+#REF!,"")</f>
        <v/>
      </c>
      <c r="PKQ57" s="82" t="str">
        <f>IF(ISNUMBER(outYear),PKQ37+PKQ42+#REF!+#REF!,"")</f>
        <v/>
      </c>
      <c r="PKR57" s="82" t="str">
        <f>IF(ISNUMBER(outYear),PKR37+PKR42+#REF!+#REF!,"")</f>
        <v/>
      </c>
      <c r="PKS57" s="82" t="str">
        <f>IF(ISNUMBER(outYear),PKS37+PKS42+#REF!+#REF!,"")</f>
        <v/>
      </c>
      <c r="PKT57" s="82" t="str">
        <f>IF(ISNUMBER(outYear),PKT37+PKT42+#REF!+#REF!,"")</f>
        <v/>
      </c>
      <c r="PKU57" s="82" t="str">
        <f>IF(ISNUMBER(outYear),PKU37+PKU42+#REF!+#REF!,"")</f>
        <v/>
      </c>
      <c r="PKV57" s="82" t="str">
        <f>IF(ISNUMBER(outYear),PKV37+PKV42+#REF!+#REF!,"")</f>
        <v/>
      </c>
      <c r="PKW57" s="82" t="str">
        <f>IF(ISNUMBER(outYear),PKW37+PKW42+#REF!+#REF!,"")</f>
        <v/>
      </c>
      <c r="PKX57" s="82" t="str">
        <f>IF(ISNUMBER(outYear),PKX37+PKX42+#REF!+#REF!,"")</f>
        <v/>
      </c>
      <c r="PKY57" s="82" t="str">
        <f>IF(ISNUMBER(outYear),PKY37+PKY42+#REF!+#REF!,"")</f>
        <v/>
      </c>
      <c r="PKZ57" s="82" t="str">
        <f>IF(ISNUMBER(outYear),PKZ37+PKZ42+#REF!+#REF!,"")</f>
        <v/>
      </c>
      <c r="PLA57" s="82" t="str">
        <f>IF(ISNUMBER(outYear),PLA37+PLA42+#REF!+#REF!,"")</f>
        <v/>
      </c>
      <c r="PLB57" s="82" t="str">
        <f>IF(ISNUMBER(outYear),PLB37+PLB42+#REF!+#REF!,"")</f>
        <v/>
      </c>
      <c r="PLC57" s="82" t="str">
        <f>IF(ISNUMBER(outYear),PLC37+PLC42+#REF!+#REF!,"")</f>
        <v/>
      </c>
      <c r="PLD57" s="82" t="str">
        <f>IF(ISNUMBER(outYear),PLD37+PLD42+#REF!+#REF!,"")</f>
        <v/>
      </c>
      <c r="PLE57" s="82" t="str">
        <f>IF(ISNUMBER(outYear),PLE37+PLE42+#REF!+#REF!,"")</f>
        <v/>
      </c>
      <c r="PLF57" s="82" t="str">
        <f>IF(ISNUMBER(outYear),PLF37+PLF42+#REF!+#REF!,"")</f>
        <v/>
      </c>
      <c r="PLG57" s="82" t="str">
        <f>IF(ISNUMBER(outYear),PLG37+PLG42+#REF!+#REF!,"")</f>
        <v/>
      </c>
      <c r="PLH57" s="82" t="str">
        <f>IF(ISNUMBER(outYear),PLH37+PLH42+#REF!+#REF!,"")</f>
        <v/>
      </c>
      <c r="PLI57" s="82" t="str">
        <f>IF(ISNUMBER(outYear),PLI37+PLI42+#REF!+#REF!,"")</f>
        <v/>
      </c>
      <c r="PLJ57" s="82" t="str">
        <f>IF(ISNUMBER(outYear),PLJ37+PLJ42+#REF!+#REF!,"")</f>
        <v/>
      </c>
      <c r="PLK57" s="82" t="str">
        <f>IF(ISNUMBER(outYear),PLK37+PLK42+#REF!+#REF!,"")</f>
        <v/>
      </c>
      <c r="PLL57" s="82" t="str">
        <f>IF(ISNUMBER(outYear),PLL37+PLL42+#REF!+#REF!,"")</f>
        <v/>
      </c>
      <c r="PLM57" s="82" t="str">
        <f>IF(ISNUMBER(outYear),PLM37+PLM42+#REF!+#REF!,"")</f>
        <v/>
      </c>
      <c r="PLN57" s="82" t="str">
        <f>IF(ISNUMBER(outYear),PLN37+PLN42+#REF!+#REF!,"")</f>
        <v/>
      </c>
      <c r="PLO57" s="82" t="str">
        <f>IF(ISNUMBER(outYear),PLO37+PLO42+#REF!+#REF!,"")</f>
        <v/>
      </c>
      <c r="PLP57" s="82" t="str">
        <f>IF(ISNUMBER(outYear),PLP37+PLP42+#REF!+#REF!,"")</f>
        <v/>
      </c>
      <c r="PLQ57" s="82" t="str">
        <f>IF(ISNUMBER(outYear),PLQ37+PLQ42+#REF!+#REF!,"")</f>
        <v/>
      </c>
      <c r="PLR57" s="82" t="str">
        <f>IF(ISNUMBER(outYear),PLR37+PLR42+#REF!+#REF!,"")</f>
        <v/>
      </c>
      <c r="PLS57" s="82" t="str">
        <f>IF(ISNUMBER(outYear),PLS37+PLS42+#REF!+#REF!,"")</f>
        <v/>
      </c>
      <c r="PLT57" s="82" t="str">
        <f>IF(ISNUMBER(outYear),PLT37+PLT42+#REF!+#REF!,"")</f>
        <v/>
      </c>
      <c r="PLU57" s="82" t="str">
        <f>IF(ISNUMBER(outYear),PLU37+PLU42+#REF!+#REF!,"")</f>
        <v/>
      </c>
      <c r="PLV57" s="82" t="str">
        <f>IF(ISNUMBER(outYear),PLV37+PLV42+#REF!+#REF!,"")</f>
        <v/>
      </c>
      <c r="PLW57" s="82" t="str">
        <f>IF(ISNUMBER(outYear),PLW37+PLW42+#REF!+#REF!,"")</f>
        <v/>
      </c>
      <c r="PLX57" s="82" t="str">
        <f>IF(ISNUMBER(outYear),PLX37+PLX42+#REF!+#REF!,"")</f>
        <v/>
      </c>
      <c r="PLY57" s="82" t="str">
        <f>IF(ISNUMBER(outYear),PLY37+PLY42+#REF!+#REF!,"")</f>
        <v/>
      </c>
      <c r="PLZ57" s="82" t="str">
        <f>IF(ISNUMBER(outYear),PLZ37+PLZ42+#REF!+#REF!,"")</f>
        <v/>
      </c>
      <c r="PMA57" s="82" t="str">
        <f>IF(ISNUMBER(outYear),PMA37+PMA42+#REF!+#REF!,"")</f>
        <v/>
      </c>
      <c r="PMB57" s="82" t="str">
        <f>IF(ISNUMBER(outYear),PMB37+PMB42+#REF!+#REF!,"")</f>
        <v/>
      </c>
      <c r="PMC57" s="82" t="str">
        <f>IF(ISNUMBER(outYear),PMC37+PMC42+#REF!+#REF!,"")</f>
        <v/>
      </c>
      <c r="PMD57" s="82" t="str">
        <f>IF(ISNUMBER(outYear),PMD37+PMD42+#REF!+#REF!,"")</f>
        <v/>
      </c>
      <c r="PME57" s="82" t="str">
        <f>IF(ISNUMBER(outYear),PME37+PME42+#REF!+#REF!,"")</f>
        <v/>
      </c>
      <c r="PMF57" s="82" t="str">
        <f>IF(ISNUMBER(outYear),PMF37+PMF42+#REF!+#REF!,"")</f>
        <v/>
      </c>
      <c r="PMG57" s="82" t="str">
        <f>IF(ISNUMBER(outYear),PMG37+PMG42+#REF!+#REF!,"")</f>
        <v/>
      </c>
      <c r="PMH57" s="82" t="str">
        <f>IF(ISNUMBER(outYear),PMH37+PMH42+#REF!+#REF!,"")</f>
        <v/>
      </c>
      <c r="PMI57" s="82" t="str">
        <f>IF(ISNUMBER(outYear),PMI37+PMI42+#REF!+#REF!,"")</f>
        <v/>
      </c>
      <c r="PMJ57" s="82" t="str">
        <f>IF(ISNUMBER(outYear),PMJ37+PMJ42+#REF!+#REF!,"")</f>
        <v/>
      </c>
      <c r="PMK57" s="82" t="str">
        <f>IF(ISNUMBER(outYear),PMK37+PMK42+#REF!+#REF!,"")</f>
        <v/>
      </c>
      <c r="PML57" s="82" t="str">
        <f>IF(ISNUMBER(outYear),PML37+PML42+#REF!+#REF!,"")</f>
        <v/>
      </c>
      <c r="PMM57" s="82" t="str">
        <f>IF(ISNUMBER(outYear),PMM37+PMM42+#REF!+#REF!,"")</f>
        <v/>
      </c>
      <c r="PMN57" s="82" t="str">
        <f>IF(ISNUMBER(outYear),PMN37+PMN42+#REF!+#REF!,"")</f>
        <v/>
      </c>
      <c r="PMO57" s="82" t="str">
        <f>IF(ISNUMBER(outYear),PMO37+PMO42+#REF!+#REF!,"")</f>
        <v/>
      </c>
      <c r="PMP57" s="82" t="str">
        <f>IF(ISNUMBER(outYear),PMP37+PMP42+#REF!+#REF!,"")</f>
        <v/>
      </c>
      <c r="PMQ57" s="82" t="str">
        <f>IF(ISNUMBER(outYear),PMQ37+PMQ42+#REF!+#REF!,"")</f>
        <v/>
      </c>
      <c r="PMR57" s="82" t="str">
        <f>IF(ISNUMBER(outYear),PMR37+PMR42+#REF!+#REF!,"")</f>
        <v/>
      </c>
      <c r="PMS57" s="82" t="str">
        <f>IF(ISNUMBER(outYear),PMS37+PMS42+#REF!+#REF!,"")</f>
        <v/>
      </c>
      <c r="PMT57" s="82" t="str">
        <f>IF(ISNUMBER(outYear),PMT37+PMT42+#REF!+#REF!,"")</f>
        <v/>
      </c>
      <c r="PMU57" s="82" t="str">
        <f>IF(ISNUMBER(outYear),PMU37+PMU42+#REF!+#REF!,"")</f>
        <v/>
      </c>
      <c r="PMV57" s="82" t="str">
        <f>IF(ISNUMBER(outYear),PMV37+PMV42+#REF!+#REF!,"")</f>
        <v/>
      </c>
      <c r="PMW57" s="82" t="str">
        <f>IF(ISNUMBER(outYear),PMW37+PMW42+#REF!+#REF!,"")</f>
        <v/>
      </c>
      <c r="PMX57" s="82" t="str">
        <f>IF(ISNUMBER(outYear),PMX37+PMX42+#REF!+#REF!,"")</f>
        <v/>
      </c>
      <c r="PMY57" s="82" t="str">
        <f>IF(ISNUMBER(outYear),PMY37+PMY42+#REF!+#REF!,"")</f>
        <v/>
      </c>
      <c r="PMZ57" s="82" t="str">
        <f>IF(ISNUMBER(outYear),PMZ37+PMZ42+#REF!+#REF!,"")</f>
        <v/>
      </c>
      <c r="PNA57" s="82" t="str">
        <f>IF(ISNUMBER(outYear),PNA37+PNA42+#REF!+#REF!,"")</f>
        <v/>
      </c>
      <c r="PNB57" s="82" t="str">
        <f>IF(ISNUMBER(outYear),PNB37+PNB42+#REF!+#REF!,"")</f>
        <v/>
      </c>
      <c r="PNC57" s="82" t="str">
        <f>IF(ISNUMBER(outYear),PNC37+PNC42+#REF!+#REF!,"")</f>
        <v/>
      </c>
      <c r="PND57" s="82" t="str">
        <f>IF(ISNUMBER(outYear),PND37+PND42+#REF!+#REF!,"")</f>
        <v/>
      </c>
      <c r="PNE57" s="82" t="str">
        <f>IF(ISNUMBER(outYear),PNE37+PNE42+#REF!+#REF!,"")</f>
        <v/>
      </c>
      <c r="PNF57" s="82" t="str">
        <f>IF(ISNUMBER(outYear),PNF37+PNF42+#REF!+#REF!,"")</f>
        <v/>
      </c>
      <c r="PNG57" s="82" t="str">
        <f>IF(ISNUMBER(outYear),PNG37+PNG42+#REF!+#REF!,"")</f>
        <v/>
      </c>
      <c r="PNH57" s="82" t="str">
        <f>IF(ISNUMBER(outYear),PNH37+PNH42+#REF!+#REF!,"")</f>
        <v/>
      </c>
      <c r="PNI57" s="82" t="str">
        <f>IF(ISNUMBER(outYear),PNI37+PNI42+#REF!+#REF!,"")</f>
        <v/>
      </c>
      <c r="PNJ57" s="82" t="str">
        <f>IF(ISNUMBER(outYear),PNJ37+PNJ42+#REF!+#REF!,"")</f>
        <v/>
      </c>
      <c r="PNK57" s="82" t="str">
        <f>IF(ISNUMBER(outYear),PNK37+PNK42+#REF!+#REF!,"")</f>
        <v/>
      </c>
      <c r="PNL57" s="82" t="str">
        <f>IF(ISNUMBER(outYear),PNL37+PNL42+#REF!+#REF!,"")</f>
        <v/>
      </c>
      <c r="PNM57" s="82" t="str">
        <f>IF(ISNUMBER(outYear),PNM37+PNM42+#REF!+#REF!,"")</f>
        <v/>
      </c>
      <c r="PNN57" s="82" t="str">
        <f>IF(ISNUMBER(outYear),PNN37+PNN42+#REF!+#REF!,"")</f>
        <v/>
      </c>
      <c r="PNO57" s="82" t="str">
        <f>IF(ISNUMBER(outYear),PNO37+PNO42+#REF!+#REF!,"")</f>
        <v/>
      </c>
      <c r="PNP57" s="82" t="str">
        <f>IF(ISNUMBER(outYear),PNP37+PNP42+#REF!+#REF!,"")</f>
        <v/>
      </c>
      <c r="PNQ57" s="82" t="str">
        <f>IF(ISNUMBER(outYear),PNQ37+PNQ42+#REF!+#REF!,"")</f>
        <v/>
      </c>
      <c r="PNR57" s="82" t="str">
        <f>IF(ISNUMBER(outYear),PNR37+PNR42+#REF!+#REF!,"")</f>
        <v/>
      </c>
      <c r="PNS57" s="82" t="str">
        <f>IF(ISNUMBER(outYear),PNS37+PNS42+#REF!+#REF!,"")</f>
        <v/>
      </c>
      <c r="PNT57" s="82" t="str">
        <f>IF(ISNUMBER(outYear),PNT37+PNT42+#REF!+#REF!,"")</f>
        <v/>
      </c>
      <c r="PNU57" s="82" t="str">
        <f>IF(ISNUMBER(outYear),PNU37+PNU42+#REF!+#REF!,"")</f>
        <v/>
      </c>
      <c r="PNV57" s="82" t="str">
        <f>IF(ISNUMBER(outYear),PNV37+PNV42+#REF!+#REF!,"")</f>
        <v/>
      </c>
      <c r="PNW57" s="82" t="str">
        <f>IF(ISNUMBER(outYear),PNW37+PNW42+#REF!+#REF!,"")</f>
        <v/>
      </c>
      <c r="PNX57" s="82" t="str">
        <f>IF(ISNUMBER(outYear),PNX37+PNX42+#REF!+#REF!,"")</f>
        <v/>
      </c>
      <c r="PNY57" s="82" t="str">
        <f>IF(ISNUMBER(outYear),PNY37+PNY42+#REF!+#REF!,"")</f>
        <v/>
      </c>
      <c r="PNZ57" s="82" t="str">
        <f>IF(ISNUMBER(outYear),PNZ37+PNZ42+#REF!+#REF!,"")</f>
        <v/>
      </c>
      <c r="POA57" s="82" t="str">
        <f>IF(ISNUMBER(outYear),POA37+POA42+#REF!+#REF!,"")</f>
        <v/>
      </c>
      <c r="POB57" s="82" t="str">
        <f>IF(ISNUMBER(outYear),POB37+POB42+#REF!+#REF!,"")</f>
        <v/>
      </c>
      <c r="POC57" s="82" t="str">
        <f>IF(ISNUMBER(outYear),POC37+POC42+#REF!+#REF!,"")</f>
        <v/>
      </c>
      <c r="POD57" s="82" t="str">
        <f>IF(ISNUMBER(outYear),POD37+POD42+#REF!+#REF!,"")</f>
        <v/>
      </c>
      <c r="POE57" s="82" t="str">
        <f>IF(ISNUMBER(outYear),POE37+POE42+#REF!+#REF!,"")</f>
        <v/>
      </c>
      <c r="POF57" s="82" t="str">
        <f>IF(ISNUMBER(outYear),POF37+POF42+#REF!+#REF!,"")</f>
        <v/>
      </c>
      <c r="POG57" s="82" t="str">
        <f>IF(ISNUMBER(outYear),POG37+POG42+#REF!+#REF!,"")</f>
        <v/>
      </c>
      <c r="POH57" s="82" t="str">
        <f>IF(ISNUMBER(outYear),POH37+POH42+#REF!+#REF!,"")</f>
        <v/>
      </c>
      <c r="POI57" s="82" t="str">
        <f>IF(ISNUMBER(outYear),POI37+POI42+#REF!+#REF!,"")</f>
        <v/>
      </c>
      <c r="POJ57" s="82" t="str">
        <f>IF(ISNUMBER(outYear),POJ37+POJ42+#REF!+#REF!,"")</f>
        <v/>
      </c>
      <c r="POK57" s="82" t="str">
        <f>IF(ISNUMBER(outYear),POK37+POK42+#REF!+#REF!,"")</f>
        <v/>
      </c>
      <c r="POL57" s="82" t="str">
        <f>IF(ISNUMBER(outYear),POL37+POL42+#REF!+#REF!,"")</f>
        <v/>
      </c>
      <c r="POM57" s="82" t="str">
        <f>IF(ISNUMBER(outYear),POM37+POM42+#REF!+#REF!,"")</f>
        <v/>
      </c>
      <c r="PON57" s="82" t="str">
        <f>IF(ISNUMBER(outYear),PON37+PON42+#REF!+#REF!,"")</f>
        <v/>
      </c>
      <c r="POO57" s="82" t="str">
        <f>IF(ISNUMBER(outYear),POO37+POO42+#REF!+#REF!,"")</f>
        <v/>
      </c>
      <c r="POP57" s="82" t="str">
        <f>IF(ISNUMBER(outYear),POP37+POP42+#REF!+#REF!,"")</f>
        <v/>
      </c>
      <c r="POQ57" s="82" t="str">
        <f>IF(ISNUMBER(outYear),POQ37+POQ42+#REF!+#REF!,"")</f>
        <v/>
      </c>
      <c r="POR57" s="82" t="str">
        <f>IF(ISNUMBER(outYear),POR37+POR42+#REF!+#REF!,"")</f>
        <v/>
      </c>
      <c r="POS57" s="82" t="str">
        <f>IF(ISNUMBER(outYear),POS37+POS42+#REF!+#REF!,"")</f>
        <v/>
      </c>
      <c r="POT57" s="82" t="str">
        <f>IF(ISNUMBER(outYear),POT37+POT42+#REF!+#REF!,"")</f>
        <v/>
      </c>
      <c r="POU57" s="82" t="str">
        <f>IF(ISNUMBER(outYear),POU37+POU42+#REF!+#REF!,"")</f>
        <v/>
      </c>
      <c r="POV57" s="82" t="str">
        <f>IF(ISNUMBER(outYear),POV37+POV42+#REF!+#REF!,"")</f>
        <v/>
      </c>
      <c r="POW57" s="82" t="str">
        <f>IF(ISNUMBER(outYear),POW37+POW42+#REF!+#REF!,"")</f>
        <v/>
      </c>
      <c r="POX57" s="82" t="str">
        <f>IF(ISNUMBER(outYear),POX37+POX42+#REF!+#REF!,"")</f>
        <v/>
      </c>
      <c r="POY57" s="82" t="str">
        <f>IF(ISNUMBER(outYear),POY37+POY42+#REF!+#REF!,"")</f>
        <v/>
      </c>
      <c r="POZ57" s="82" t="str">
        <f>IF(ISNUMBER(outYear),POZ37+POZ42+#REF!+#REF!,"")</f>
        <v/>
      </c>
      <c r="PPA57" s="82" t="str">
        <f>IF(ISNUMBER(outYear),PPA37+PPA42+#REF!+#REF!,"")</f>
        <v/>
      </c>
      <c r="PPB57" s="82" t="str">
        <f>IF(ISNUMBER(outYear),PPB37+PPB42+#REF!+#REF!,"")</f>
        <v/>
      </c>
      <c r="PPC57" s="82" t="str">
        <f>IF(ISNUMBER(outYear),PPC37+PPC42+#REF!+#REF!,"")</f>
        <v/>
      </c>
      <c r="PPD57" s="82" t="str">
        <f>IF(ISNUMBER(outYear),PPD37+PPD42+#REF!+#REF!,"")</f>
        <v/>
      </c>
      <c r="PPE57" s="82" t="str">
        <f>IF(ISNUMBER(outYear),PPE37+PPE42+#REF!+#REF!,"")</f>
        <v/>
      </c>
      <c r="PPF57" s="82" t="str">
        <f>IF(ISNUMBER(outYear),PPF37+PPF42+#REF!+#REF!,"")</f>
        <v/>
      </c>
      <c r="PPG57" s="82" t="str">
        <f>IF(ISNUMBER(outYear),PPG37+PPG42+#REF!+#REF!,"")</f>
        <v/>
      </c>
      <c r="PPH57" s="82" t="str">
        <f>IF(ISNUMBER(outYear),PPH37+PPH42+#REF!+#REF!,"")</f>
        <v/>
      </c>
      <c r="PPI57" s="82" t="str">
        <f>IF(ISNUMBER(outYear),PPI37+PPI42+#REF!+#REF!,"")</f>
        <v/>
      </c>
      <c r="PPJ57" s="82" t="str">
        <f>IF(ISNUMBER(outYear),PPJ37+PPJ42+#REF!+#REF!,"")</f>
        <v/>
      </c>
      <c r="PPK57" s="82" t="str">
        <f>IF(ISNUMBER(outYear),PPK37+PPK42+#REF!+#REF!,"")</f>
        <v/>
      </c>
      <c r="PPL57" s="82" t="str">
        <f>IF(ISNUMBER(outYear),PPL37+PPL42+#REF!+#REF!,"")</f>
        <v/>
      </c>
      <c r="PPM57" s="82" t="str">
        <f>IF(ISNUMBER(outYear),PPM37+PPM42+#REF!+#REF!,"")</f>
        <v/>
      </c>
      <c r="PPN57" s="82" t="str">
        <f>IF(ISNUMBER(outYear),PPN37+PPN42+#REF!+#REF!,"")</f>
        <v/>
      </c>
      <c r="PPO57" s="82" t="str">
        <f>IF(ISNUMBER(outYear),PPO37+PPO42+#REF!+#REF!,"")</f>
        <v/>
      </c>
      <c r="PPP57" s="82" t="str">
        <f>IF(ISNUMBER(outYear),PPP37+PPP42+#REF!+#REF!,"")</f>
        <v/>
      </c>
      <c r="PPQ57" s="82" t="str">
        <f>IF(ISNUMBER(outYear),PPQ37+PPQ42+#REF!+#REF!,"")</f>
        <v/>
      </c>
      <c r="PPR57" s="82" t="str">
        <f>IF(ISNUMBER(outYear),PPR37+PPR42+#REF!+#REF!,"")</f>
        <v/>
      </c>
      <c r="PPS57" s="82" t="str">
        <f>IF(ISNUMBER(outYear),PPS37+PPS42+#REF!+#REF!,"")</f>
        <v/>
      </c>
      <c r="PPT57" s="82" t="str">
        <f>IF(ISNUMBER(outYear),PPT37+PPT42+#REF!+#REF!,"")</f>
        <v/>
      </c>
      <c r="PPU57" s="82" t="str">
        <f>IF(ISNUMBER(outYear),PPU37+PPU42+#REF!+#REF!,"")</f>
        <v/>
      </c>
      <c r="PPV57" s="82" t="str">
        <f>IF(ISNUMBER(outYear),PPV37+PPV42+#REF!+#REF!,"")</f>
        <v/>
      </c>
      <c r="PPW57" s="82" t="str">
        <f>IF(ISNUMBER(outYear),PPW37+PPW42+#REF!+#REF!,"")</f>
        <v/>
      </c>
      <c r="PPX57" s="82" t="str">
        <f>IF(ISNUMBER(outYear),PPX37+PPX42+#REF!+#REF!,"")</f>
        <v/>
      </c>
      <c r="PPY57" s="82" t="str">
        <f>IF(ISNUMBER(outYear),PPY37+PPY42+#REF!+#REF!,"")</f>
        <v/>
      </c>
      <c r="PPZ57" s="82" t="str">
        <f>IF(ISNUMBER(outYear),PPZ37+PPZ42+#REF!+#REF!,"")</f>
        <v/>
      </c>
      <c r="PQA57" s="82" t="str">
        <f>IF(ISNUMBER(outYear),PQA37+PQA42+#REF!+#REF!,"")</f>
        <v/>
      </c>
      <c r="PQB57" s="82" t="str">
        <f>IF(ISNUMBER(outYear),PQB37+PQB42+#REF!+#REF!,"")</f>
        <v/>
      </c>
      <c r="PQC57" s="82" t="str">
        <f>IF(ISNUMBER(outYear),PQC37+PQC42+#REF!+#REF!,"")</f>
        <v/>
      </c>
      <c r="PQD57" s="82" t="str">
        <f>IF(ISNUMBER(outYear),PQD37+PQD42+#REF!+#REF!,"")</f>
        <v/>
      </c>
      <c r="PQE57" s="82" t="str">
        <f>IF(ISNUMBER(outYear),PQE37+PQE42+#REF!+#REF!,"")</f>
        <v/>
      </c>
      <c r="PQF57" s="82" t="str">
        <f>IF(ISNUMBER(outYear),PQF37+PQF42+#REF!+#REF!,"")</f>
        <v/>
      </c>
      <c r="PQG57" s="82" t="str">
        <f>IF(ISNUMBER(outYear),PQG37+PQG42+#REF!+#REF!,"")</f>
        <v/>
      </c>
      <c r="PQH57" s="82" t="str">
        <f>IF(ISNUMBER(outYear),PQH37+PQH42+#REF!+#REF!,"")</f>
        <v/>
      </c>
      <c r="PQI57" s="82" t="str">
        <f>IF(ISNUMBER(outYear),PQI37+PQI42+#REF!+#REF!,"")</f>
        <v/>
      </c>
      <c r="PQJ57" s="82" t="str">
        <f>IF(ISNUMBER(outYear),PQJ37+PQJ42+#REF!+#REF!,"")</f>
        <v/>
      </c>
      <c r="PQK57" s="82" t="str">
        <f>IF(ISNUMBER(outYear),PQK37+PQK42+#REF!+#REF!,"")</f>
        <v/>
      </c>
      <c r="PQL57" s="82" t="str">
        <f>IF(ISNUMBER(outYear),PQL37+PQL42+#REF!+#REF!,"")</f>
        <v/>
      </c>
      <c r="PQM57" s="82" t="str">
        <f>IF(ISNUMBER(outYear),PQM37+PQM42+#REF!+#REF!,"")</f>
        <v/>
      </c>
      <c r="PQN57" s="82" t="str">
        <f>IF(ISNUMBER(outYear),PQN37+PQN42+#REF!+#REF!,"")</f>
        <v/>
      </c>
      <c r="PQO57" s="82" t="str">
        <f>IF(ISNUMBER(outYear),PQO37+PQO42+#REF!+#REF!,"")</f>
        <v/>
      </c>
      <c r="PQP57" s="82" t="str">
        <f>IF(ISNUMBER(outYear),PQP37+PQP42+#REF!+#REF!,"")</f>
        <v/>
      </c>
      <c r="PQQ57" s="82" t="str">
        <f>IF(ISNUMBER(outYear),PQQ37+PQQ42+#REF!+#REF!,"")</f>
        <v/>
      </c>
      <c r="PQR57" s="82" t="str">
        <f>IF(ISNUMBER(outYear),PQR37+PQR42+#REF!+#REF!,"")</f>
        <v/>
      </c>
      <c r="PQS57" s="82" t="str">
        <f>IF(ISNUMBER(outYear),PQS37+PQS42+#REF!+#REF!,"")</f>
        <v/>
      </c>
      <c r="PQT57" s="82" t="str">
        <f>IF(ISNUMBER(outYear),PQT37+PQT42+#REF!+#REF!,"")</f>
        <v/>
      </c>
      <c r="PQU57" s="82" t="str">
        <f>IF(ISNUMBER(outYear),PQU37+PQU42+#REF!+#REF!,"")</f>
        <v/>
      </c>
      <c r="PQV57" s="82" t="str">
        <f>IF(ISNUMBER(outYear),PQV37+PQV42+#REF!+#REF!,"")</f>
        <v/>
      </c>
      <c r="PQW57" s="82" t="str">
        <f>IF(ISNUMBER(outYear),PQW37+PQW42+#REF!+#REF!,"")</f>
        <v/>
      </c>
      <c r="PQX57" s="82" t="str">
        <f>IF(ISNUMBER(outYear),PQX37+PQX42+#REF!+#REF!,"")</f>
        <v/>
      </c>
      <c r="PQY57" s="82" t="str">
        <f>IF(ISNUMBER(outYear),PQY37+PQY42+#REF!+#REF!,"")</f>
        <v/>
      </c>
      <c r="PQZ57" s="82" t="str">
        <f>IF(ISNUMBER(outYear),PQZ37+PQZ42+#REF!+#REF!,"")</f>
        <v/>
      </c>
      <c r="PRA57" s="82" t="str">
        <f>IF(ISNUMBER(outYear),PRA37+PRA42+#REF!+#REF!,"")</f>
        <v/>
      </c>
      <c r="PRB57" s="82" t="str">
        <f>IF(ISNUMBER(outYear),PRB37+PRB42+#REF!+#REF!,"")</f>
        <v/>
      </c>
      <c r="PRC57" s="82" t="str">
        <f>IF(ISNUMBER(outYear),PRC37+PRC42+#REF!+#REF!,"")</f>
        <v/>
      </c>
      <c r="PRD57" s="82" t="str">
        <f>IF(ISNUMBER(outYear),PRD37+PRD42+#REF!+#REF!,"")</f>
        <v/>
      </c>
      <c r="PRE57" s="82" t="str">
        <f>IF(ISNUMBER(outYear),PRE37+PRE42+#REF!+#REF!,"")</f>
        <v/>
      </c>
      <c r="PRF57" s="82" t="str">
        <f>IF(ISNUMBER(outYear),PRF37+PRF42+#REF!+#REF!,"")</f>
        <v/>
      </c>
      <c r="PRG57" s="82" t="str">
        <f>IF(ISNUMBER(outYear),PRG37+PRG42+#REF!+#REF!,"")</f>
        <v/>
      </c>
      <c r="PRH57" s="82" t="str">
        <f>IF(ISNUMBER(outYear),PRH37+PRH42+#REF!+#REF!,"")</f>
        <v/>
      </c>
      <c r="PRI57" s="82" t="str">
        <f>IF(ISNUMBER(outYear),PRI37+PRI42+#REF!+#REF!,"")</f>
        <v/>
      </c>
      <c r="PRJ57" s="82" t="str">
        <f>IF(ISNUMBER(outYear),PRJ37+PRJ42+#REF!+#REF!,"")</f>
        <v/>
      </c>
      <c r="PRK57" s="82" t="str">
        <f>IF(ISNUMBER(outYear),PRK37+PRK42+#REF!+#REF!,"")</f>
        <v/>
      </c>
      <c r="PRL57" s="82" t="str">
        <f>IF(ISNUMBER(outYear),PRL37+PRL42+#REF!+#REF!,"")</f>
        <v/>
      </c>
      <c r="PRM57" s="82" t="str">
        <f>IF(ISNUMBER(outYear),PRM37+PRM42+#REF!+#REF!,"")</f>
        <v/>
      </c>
      <c r="PRN57" s="82" t="str">
        <f>IF(ISNUMBER(outYear),PRN37+PRN42+#REF!+#REF!,"")</f>
        <v/>
      </c>
      <c r="PRO57" s="82" t="str">
        <f>IF(ISNUMBER(outYear),PRO37+PRO42+#REF!+#REF!,"")</f>
        <v/>
      </c>
      <c r="PRP57" s="82" t="str">
        <f>IF(ISNUMBER(outYear),PRP37+PRP42+#REF!+#REF!,"")</f>
        <v/>
      </c>
      <c r="PRQ57" s="82" t="str">
        <f>IF(ISNUMBER(outYear),PRQ37+PRQ42+#REF!+#REF!,"")</f>
        <v/>
      </c>
      <c r="PRR57" s="82" t="str">
        <f>IF(ISNUMBER(outYear),PRR37+PRR42+#REF!+#REF!,"")</f>
        <v/>
      </c>
      <c r="PRS57" s="82" t="str">
        <f>IF(ISNUMBER(outYear),PRS37+PRS42+#REF!+#REF!,"")</f>
        <v/>
      </c>
      <c r="PRT57" s="82" t="str">
        <f>IF(ISNUMBER(outYear),PRT37+PRT42+#REF!+#REF!,"")</f>
        <v/>
      </c>
      <c r="PRU57" s="82" t="str">
        <f>IF(ISNUMBER(outYear),PRU37+PRU42+#REF!+#REF!,"")</f>
        <v/>
      </c>
      <c r="PRV57" s="82" t="str">
        <f>IF(ISNUMBER(outYear),PRV37+PRV42+#REF!+#REF!,"")</f>
        <v/>
      </c>
      <c r="PRW57" s="82" t="str">
        <f>IF(ISNUMBER(outYear),PRW37+PRW42+#REF!+#REF!,"")</f>
        <v/>
      </c>
      <c r="PRX57" s="82" t="str">
        <f>IF(ISNUMBER(outYear),PRX37+PRX42+#REF!+#REF!,"")</f>
        <v/>
      </c>
      <c r="PRY57" s="82" t="str">
        <f>IF(ISNUMBER(outYear),PRY37+PRY42+#REF!+#REF!,"")</f>
        <v/>
      </c>
      <c r="PRZ57" s="82" t="str">
        <f>IF(ISNUMBER(outYear),PRZ37+PRZ42+#REF!+#REF!,"")</f>
        <v/>
      </c>
      <c r="PSA57" s="82" t="str">
        <f>IF(ISNUMBER(outYear),PSA37+PSA42+#REF!+#REF!,"")</f>
        <v/>
      </c>
      <c r="PSB57" s="82" t="str">
        <f>IF(ISNUMBER(outYear),PSB37+PSB42+#REF!+#REF!,"")</f>
        <v/>
      </c>
      <c r="PSC57" s="82" t="str">
        <f>IF(ISNUMBER(outYear),PSC37+PSC42+#REF!+#REF!,"")</f>
        <v/>
      </c>
      <c r="PSD57" s="82" t="str">
        <f>IF(ISNUMBER(outYear),PSD37+PSD42+#REF!+#REF!,"")</f>
        <v/>
      </c>
      <c r="PSE57" s="82" t="str">
        <f>IF(ISNUMBER(outYear),PSE37+PSE42+#REF!+#REF!,"")</f>
        <v/>
      </c>
      <c r="PSF57" s="82" t="str">
        <f>IF(ISNUMBER(outYear),PSF37+PSF42+#REF!+#REF!,"")</f>
        <v/>
      </c>
      <c r="PSG57" s="82" t="str">
        <f>IF(ISNUMBER(outYear),PSG37+PSG42+#REF!+#REF!,"")</f>
        <v/>
      </c>
      <c r="PSH57" s="82" t="str">
        <f>IF(ISNUMBER(outYear),PSH37+PSH42+#REF!+#REF!,"")</f>
        <v/>
      </c>
      <c r="PSI57" s="82" t="str">
        <f>IF(ISNUMBER(outYear),PSI37+PSI42+#REF!+#REF!,"")</f>
        <v/>
      </c>
      <c r="PSJ57" s="82" t="str">
        <f>IF(ISNUMBER(outYear),PSJ37+PSJ42+#REF!+#REF!,"")</f>
        <v/>
      </c>
      <c r="PSK57" s="82" t="str">
        <f>IF(ISNUMBER(outYear),PSK37+PSK42+#REF!+#REF!,"")</f>
        <v/>
      </c>
      <c r="PSL57" s="82" t="str">
        <f>IF(ISNUMBER(outYear),PSL37+PSL42+#REF!+#REF!,"")</f>
        <v/>
      </c>
      <c r="PSM57" s="82" t="str">
        <f>IF(ISNUMBER(outYear),PSM37+PSM42+#REF!+#REF!,"")</f>
        <v/>
      </c>
      <c r="PSN57" s="82" t="str">
        <f>IF(ISNUMBER(outYear),PSN37+PSN42+#REF!+#REF!,"")</f>
        <v/>
      </c>
      <c r="PSO57" s="82" t="str">
        <f>IF(ISNUMBER(outYear),PSO37+PSO42+#REF!+#REF!,"")</f>
        <v/>
      </c>
      <c r="PSP57" s="82" t="str">
        <f>IF(ISNUMBER(outYear),PSP37+PSP42+#REF!+#REF!,"")</f>
        <v/>
      </c>
      <c r="PSQ57" s="82" t="str">
        <f>IF(ISNUMBER(outYear),PSQ37+PSQ42+#REF!+#REF!,"")</f>
        <v/>
      </c>
      <c r="PSR57" s="82" t="str">
        <f>IF(ISNUMBER(outYear),PSR37+PSR42+#REF!+#REF!,"")</f>
        <v/>
      </c>
      <c r="PSS57" s="82" t="str">
        <f>IF(ISNUMBER(outYear),PSS37+PSS42+#REF!+#REF!,"")</f>
        <v/>
      </c>
      <c r="PST57" s="82" t="str">
        <f>IF(ISNUMBER(outYear),PST37+PST42+#REF!+#REF!,"")</f>
        <v/>
      </c>
      <c r="PSU57" s="82" t="str">
        <f>IF(ISNUMBER(outYear),PSU37+PSU42+#REF!+#REF!,"")</f>
        <v/>
      </c>
      <c r="PSV57" s="82" t="str">
        <f>IF(ISNUMBER(outYear),PSV37+PSV42+#REF!+#REF!,"")</f>
        <v/>
      </c>
      <c r="PSW57" s="82" t="str">
        <f>IF(ISNUMBER(outYear),PSW37+PSW42+#REF!+#REF!,"")</f>
        <v/>
      </c>
      <c r="PSX57" s="82" t="str">
        <f>IF(ISNUMBER(outYear),PSX37+PSX42+#REF!+#REF!,"")</f>
        <v/>
      </c>
      <c r="PSY57" s="82" t="str">
        <f>IF(ISNUMBER(outYear),PSY37+PSY42+#REF!+#REF!,"")</f>
        <v/>
      </c>
      <c r="PSZ57" s="82" t="str">
        <f>IF(ISNUMBER(outYear),PSZ37+PSZ42+#REF!+#REF!,"")</f>
        <v/>
      </c>
      <c r="PTA57" s="82" t="str">
        <f>IF(ISNUMBER(outYear),PTA37+PTA42+#REF!+#REF!,"")</f>
        <v/>
      </c>
      <c r="PTB57" s="82" t="str">
        <f>IF(ISNUMBER(outYear),PTB37+PTB42+#REF!+#REF!,"")</f>
        <v/>
      </c>
      <c r="PTC57" s="82" t="str">
        <f>IF(ISNUMBER(outYear),PTC37+PTC42+#REF!+#REF!,"")</f>
        <v/>
      </c>
      <c r="PTD57" s="82" t="str">
        <f>IF(ISNUMBER(outYear),PTD37+PTD42+#REF!+#REF!,"")</f>
        <v/>
      </c>
      <c r="PTE57" s="82" t="str">
        <f>IF(ISNUMBER(outYear),PTE37+PTE42+#REF!+#REF!,"")</f>
        <v/>
      </c>
      <c r="PTF57" s="82" t="str">
        <f>IF(ISNUMBER(outYear),PTF37+PTF42+#REF!+#REF!,"")</f>
        <v/>
      </c>
      <c r="PTG57" s="82" t="str">
        <f>IF(ISNUMBER(outYear),PTG37+PTG42+#REF!+#REF!,"")</f>
        <v/>
      </c>
      <c r="PTH57" s="82" t="str">
        <f>IF(ISNUMBER(outYear),PTH37+PTH42+#REF!+#REF!,"")</f>
        <v/>
      </c>
      <c r="PTI57" s="82" t="str">
        <f>IF(ISNUMBER(outYear),PTI37+PTI42+#REF!+#REF!,"")</f>
        <v/>
      </c>
      <c r="PTJ57" s="82" t="str">
        <f>IF(ISNUMBER(outYear),PTJ37+PTJ42+#REF!+#REF!,"")</f>
        <v/>
      </c>
      <c r="PTK57" s="82" t="str">
        <f>IF(ISNUMBER(outYear),PTK37+PTK42+#REF!+#REF!,"")</f>
        <v/>
      </c>
      <c r="PTL57" s="82" t="str">
        <f>IF(ISNUMBER(outYear),PTL37+PTL42+#REF!+#REF!,"")</f>
        <v/>
      </c>
      <c r="PTM57" s="82" t="str">
        <f>IF(ISNUMBER(outYear),PTM37+PTM42+#REF!+#REF!,"")</f>
        <v/>
      </c>
      <c r="PTN57" s="82" t="str">
        <f>IF(ISNUMBER(outYear),PTN37+PTN42+#REF!+#REF!,"")</f>
        <v/>
      </c>
      <c r="PTO57" s="82" t="str">
        <f>IF(ISNUMBER(outYear),PTO37+PTO42+#REF!+#REF!,"")</f>
        <v/>
      </c>
      <c r="PTP57" s="82" t="str">
        <f>IF(ISNUMBER(outYear),PTP37+PTP42+#REF!+#REF!,"")</f>
        <v/>
      </c>
      <c r="PTQ57" s="82" t="str">
        <f>IF(ISNUMBER(outYear),PTQ37+PTQ42+#REF!+#REF!,"")</f>
        <v/>
      </c>
      <c r="PTR57" s="82" t="str">
        <f>IF(ISNUMBER(outYear),PTR37+PTR42+#REF!+#REF!,"")</f>
        <v/>
      </c>
      <c r="PTS57" s="82" t="str">
        <f>IF(ISNUMBER(outYear),PTS37+PTS42+#REF!+#REF!,"")</f>
        <v/>
      </c>
      <c r="PTT57" s="82" t="str">
        <f>IF(ISNUMBER(outYear),PTT37+PTT42+#REF!+#REF!,"")</f>
        <v/>
      </c>
      <c r="PTU57" s="82" t="str">
        <f>IF(ISNUMBER(outYear),PTU37+PTU42+#REF!+#REF!,"")</f>
        <v/>
      </c>
      <c r="PTV57" s="82" t="str">
        <f>IF(ISNUMBER(outYear),PTV37+PTV42+#REF!+#REF!,"")</f>
        <v/>
      </c>
      <c r="PTW57" s="82" t="str">
        <f>IF(ISNUMBER(outYear),PTW37+PTW42+#REF!+#REF!,"")</f>
        <v/>
      </c>
      <c r="PTX57" s="82" t="str">
        <f>IF(ISNUMBER(outYear),PTX37+PTX42+#REF!+#REF!,"")</f>
        <v/>
      </c>
      <c r="PTY57" s="82" t="str">
        <f>IF(ISNUMBER(outYear),PTY37+PTY42+#REF!+#REF!,"")</f>
        <v/>
      </c>
      <c r="PTZ57" s="82" t="str">
        <f>IF(ISNUMBER(outYear),PTZ37+PTZ42+#REF!+#REF!,"")</f>
        <v/>
      </c>
      <c r="PUA57" s="82" t="str">
        <f>IF(ISNUMBER(outYear),PUA37+PUA42+#REF!+#REF!,"")</f>
        <v/>
      </c>
      <c r="PUB57" s="82" t="str">
        <f>IF(ISNUMBER(outYear),PUB37+PUB42+#REF!+#REF!,"")</f>
        <v/>
      </c>
      <c r="PUC57" s="82" t="str">
        <f>IF(ISNUMBER(outYear),PUC37+PUC42+#REF!+#REF!,"")</f>
        <v/>
      </c>
      <c r="PUD57" s="82" t="str">
        <f>IF(ISNUMBER(outYear),PUD37+PUD42+#REF!+#REF!,"")</f>
        <v/>
      </c>
      <c r="PUE57" s="82" t="str">
        <f>IF(ISNUMBER(outYear),PUE37+PUE42+#REF!+#REF!,"")</f>
        <v/>
      </c>
      <c r="PUF57" s="82" t="str">
        <f>IF(ISNUMBER(outYear),PUF37+PUF42+#REF!+#REF!,"")</f>
        <v/>
      </c>
      <c r="PUG57" s="82" t="str">
        <f>IF(ISNUMBER(outYear),PUG37+PUG42+#REF!+#REF!,"")</f>
        <v/>
      </c>
      <c r="PUH57" s="82" t="str">
        <f>IF(ISNUMBER(outYear),PUH37+PUH42+#REF!+#REF!,"")</f>
        <v/>
      </c>
      <c r="PUI57" s="82" t="str">
        <f>IF(ISNUMBER(outYear),PUI37+PUI42+#REF!+#REF!,"")</f>
        <v/>
      </c>
      <c r="PUJ57" s="82" t="str">
        <f>IF(ISNUMBER(outYear),PUJ37+PUJ42+#REF!+#REF!,"")</f>
        <v/>
      </c>
      <c r="PUK57" s="82" t="str">
        <f>IF(ISNUMBER(outYear),PUK37+PUK42+#REF!+#REF!,"")</f>
        <v/>
      </c>
      <c r="PUL57" s="82" t="str">
        <f>IF(ISNUMBER(outYear),PUL37+PUL42+#REF!+#REF!,"")</f>
        <v/>
      </c>
      <c r="PUM57" s="82" t="str">
        <f>IF(ISNUMBER(outYear),PUM37+PUM42+#REF!+#REF!,"")</f>
        <v/>
      </c>
      <c r="PUN57" s="82" t="str">
        <f>IF(ISNUMBER(outYear),PUN37+PUN42+#REF!+#REF!,"")</f>
        <v/>
      </c>
      <c r="PUO57" s="82" t="str">
        <f>IF(ISNUMBER(outYear),PUO37+PUO42+#REF!+#REF!,"")</f>
        <v/>
      </c>
      <c r="PUP57" s="82" t="str">
        <f>IF(ISNUMBER(outYear),PUP37+PUP42+#REF!+#REF!,"")</f>
        <v/>
      </c>
      <c r="PUQ57" s="82" t="str">
        <f>IF(ISNUMBER(outYear),PUQ37+PUQ42+#REF!+#REF!,"")</f>
        <v/>
      </c>
      <c r="PUR57" s="82" t="str">
        <f>IF(ISNUMBER(outYear),PUR37+PUR42+#REF!+#REF!,"")</f>
        <v/>
      </c>
      <c r="PUS57" s="82" t="str">
        <f>IF(ISNUMBER(outYear),PUS37+PUS42+#REF!+#REF!,"")</f>
        <v/>
      </c>
      <c r="PUT57" s="82" t="str">
        <f>IF(ISNUMBER(outYear),PUT37+PUT42+#REF!+#REF!,"")</f>
        <v/>
      </c>
      <c r="PUU57" s="82" t="str">
        <f>IF(ISNUMBER(outYear),PUU37+PUU42+#REF!+#REF!,"")</f>
        <v/>
      </c>
      <c r="PUV57" s="82" t="str">
        <f>IF(ISNUMBER(outYear),PUV37+PUV42+#REF!+#REF!,"")</f>
        <v/>
      </c>
      <c r="PUW57" s="82" t="str">
        <f>IF(ISNUMBER(outYear),PUW37+PUW42+#REF!+#REF!,"")</f>
        <v/>
      </c>
      <c r="PUX57" s="82" t="str">
        <f>IF(ISNUMBER(outYear),PUX37+PUX42+#REF!+#REF!,"")</f>
        <v/>
      </c>
      <c r="PUY57" s="82" t="str">
        <f>IF(ISNUMBER(outYear),PUY37+PUY42+#REF!+#REF!,"")</f>
        <v/>
      </c>
      <c r="PUZ57" s="82" t="str">
        <f>IF(ISNUMBER(outYear),PUZ37+PUZ42+#REF!+#REF!,"")</f>
        <v/>
      </c>
      <c r="PVA57" s="82" t="str">
        <f>IF(ISNUMBER(outYear),PVA37+PVA42+#REF!+#REF!,"")</f>
        <v/>
      </c>
      <c r="PVB57" s="82" t="str">
        <f>IF(ISNUMBER(outYear),PVB37+PVB42+#REF!+#REF!,"")</f>
        <v/>
      </c>
      <c r="PVC57" s="82" t="str">
        <f>IF(ISNUMBER(outYear),PVC37+PVC42+#REF!+#REF!,"")</f>
        <v/>
      </c>
      <c r="PVD57" s="82" t="str">
        <f>IF(ISNUMBER(outYear),PVD37+PVD42+#REF!+#REF!,"")</f>
        <v/>
      </c>
      <c r="PVE57" s="82" t="str">
        <f>IF(ISNUMBER(outYear),PVE37+PVE42+#REF!+#REF!,"")</f>
        <v/>
      </c>
      <c r="PVF57" s="82" t="str">
        <f>IF(ISNUMBER(outYear),PVF37+PVF42+#REF!+#REF!,"")</f>
        <v/>
      </c>
      <c r="PVG57" s="82" t="str">
        <f>IF(ISNUMBER(outYear),PVG37+PVG42+#REF!+#REF!,"")</f>
        <v/>
      </c>
      <c r="PVH57" s="82" t="str">
        <f>IF(ISNUMBER(outYear),PVH37+PVH42+#REF!+#REF!,"")</f>
        <v/>
      </c>
      <c r="PVI57" s="82" t="str">
        <f>IF(ISNUMBER(outYear),PVI37+PVI42+#REF!+#REF!,"")</f>
        <v/>
      </c>
      <c r="PVJ57" s="82" t="str">
        <f>IF(ISNUMBER(outYear),PVJ37+PVJ42+#REF!+#REF!,"")</f>
        <v/>
      </c>
      <c r="PVK57" s="82" t="str">
        <f>IF(ISNUMBER(outYear),PVK37+PVK42+#REF!+#REF!,"")</f>
        <v/>
      </c>
      <c r="PVL57" s="82" t="str">
        <f>IF(ISNUMBER(outYear),PVL37+PVL42+#REF!+#REF!,"")</f>
        <v/>
      </c>
      <c r="PVM57" s="82" t="str">
        <f>IF(ISNUMBER(outYear),PVM37+PVM42+#REF!+#REF!,"")</f>
        <v/>
      </c>
      <c r="PVN57" s="82" t="str">
        <f>IF(ISNUMBER(outYear),PVN37+PVN42+#REF!+#REF!,"")</f>
        <v/>
      </c>
      <c r="PVO57" s="82" t="str">
        <f>IF(ISNUMBER(outYear),PVO37+PVO42+#REF!+#REF!,"")</f>
        <v/>
      </c>
      <c r="PVP57" s="82" t="str">
        <f>IF(ISNUMBER(outYear),PVP37+PVP42+#REF!+#REF!,"")</f>
        <v/>
      </c>
      <c r="PVQ57" s="82" t="str">
        <f>IF(ISNUMBER(outYear),PVQ37+PVQ42+#REF!+#REF!,"")</f>
        <v/>
      </c>
      <c r="PVR57" s="82" t="str">
        <f>IF(ISNUMBER(outYear),PVR37+PVR42+#REF!+#REF!,"")</f>
        <v/>
      </c>
      <c r="PVS57" s="82" t="str">
        <f>IF(ISNUMBER(outYear),PVS37+PVS42+#REF!+#REF!,"")</f>
        <v/>
      </c>
      <c r="PVT57" s="82" t="str">
        <f>IF(ISNUMBER(outYear),PVT37+PVT42+#REF!+#REF!,"")</f>
        <v/>
      </c>
      <c r="PVU57" s="82" t="str">
        <f>IF(ISNUMBER(outYear),PVU37+PVU42+#REF!+#REF!,"")</f>
        <v/>
      </c>
      <c r="PVV57" s="82" t="str">
        <f>IF(ISNUMBER(outYear),PVV37+PVV42+#REF!+#REF!,"")</f>
        <v/>
      </c>
      <c r="PVW57" s="82" t="str">
        <f>IF(ISNUMBER(outYear),PVW37+PVW42+#REF!+#REF!,"")</f>
        <v/>
      </c>
      <c r="PVX57" s="82" t="str">
        <f>IF(ISNUMBER(outYear),PVX37+PVX42+#REF!+#REF!,"")</f>
        <v/>
      </c>
      <c r="PVY57" s="82" t="str">
        <f>IF(ISNUMBER(outYear),PVY37+PVY42+#REF!+#REF!,"")</f>
        <v/>
      </c>
      <c r="PVZ57" s="82" t="str">
        <f>IF(ISNUMBER(outYear),PVZ37+PVZ42+#REF!+#REF!,"")</f>
        <v/>
      </c>
      <c r="PWA57" s="82" t="str">
        <f>IF(ISNUMBER(outYear),PWA37+PWA42+#REF!+#REF!,"")</f>
        <v/>
      </c>
      <c r="PWB57" s="82" t="str">
        <f>IF(ISNUMBER(outYear),PWB37+PWB42+#REF!+#REF!,"")</f>
        <v/>
      </c>
      <c r="PWC57" s="82" t="str">
        <f>IF(ISNUMBER(outYear),PWC37+PWC42+#REF!+#REF!,"")</f>
        <v/>
      </c>
      <c r="PWD57" s="82" t="str">
        <f>IF(ISNUMBER(outYear),PWD37+PWD42+#REF!+#REF!,"")</f>
        <v/>
      </c>
      <c r="PWE57" s="82" t="str">
        <f>IF(ISNUMBER(outYear),PWE37+PWE42+#REF!+#REF!,"")</f>
        <v/>
      </c>
      <c r="PWF57" s="82" t="str">
        <f>IF(ISNUMBER(outYear),PWF37+PWF42+#REF!+#REF!,"")</f>
        <v/>
      </c>
      <c r="PWG57" s="82" t="str">
        <f>IF(ISNUMBER(outYear),PWG37+PWG42+#REF!+#REF!,"")</f>
        <v/>
      </c>
      <c r="PWH57" s="82" t="str">
        <f>IF(ISNUMBER(outYear),PWH37+PWH42+#REF!+#REF!,"")</f>
        <v/>
      </c>
      <c r="PWI57" s="82" t="str">
        <f>IF(ISNUMBER(outYear),PWI37+PWI42+#REF!+#REF!,"")</f>
        <v/>
      </c>
      <c r="PWJ57" s="82" t="str">
        <f>IF(ISNUMBER(outYear),PWJ37+PWJ42+#REF!+#REF!,"")</f>
        <v/>
      </c>
      <c r="PWK57" s="82" t="str">
        <f>IF(ISNUMBER(outYear),PWK37+PWK42+#REF!+#REF!,"")</f>
        <v/>
      </c>
      <c r="PWL57" s="82" t="str">
        <f>IF(ISNUMBER(outYear),PWL37+PWL42+#REF!+#REF!,"")</f>
        <v/>
      </c>
      <c r="PWM57" s="82" t="str">
        <f>IF(ISNUMBER(outYear),PWM37+PWM42+#REF!+#REF!,"")</f>
        <v/>
      </c>
      <c r="PWN57" s="82" t="str">
        <f>IF(ISNUMBER(outYear),PWN37+PWN42+#REF!+#REF!,"")</f>
        <v/>
      </c>
      <c r="PWO57" s="82" t="str">
        <f>IF(ISNUMBER(outYear),PWO37+PWO42+#REF!+#REF!,"")</f>
        <v/>
      </c>
      <c r="PWP57" s="82" t="str">
        <f>IF(ISNUMBER(outYear),PWP37+PWP42+#REF!+#REF!,"")</f>
        <v/>
      </c>
      <c r="PWQ57" s="82" t="str">
        <f>IF(ISNUMBER(outYear),PWQ37+PWQ42+#REF!+#REF!,"")</f>
        <v/>
      </c>
      <c r="PWR57" s="82" t="str">
        <f>IF(ISNUMBER(outYear),PWR37+PWR42+#REF!+#REF!,"")</f>
        <v/>
      </c>
      <c r="PWS57" s="82" t="str">
        <f>IF(ISNUMBER(outYear),PWS37+PWS42+#REF!+#REF!,"")</f>
        <v/>
      </c>
      <c r="PWT57" s="82" t="str">
        <f>IF(ISNUMBER(outYear),PWT37+PWT42+#REF!+#REF!,"")</f>
        <v/>
      </c>
      <c r="PWU57" s="82" t="str">
        <f>IF(ISNUMBER(outYear),PWU37+PWU42+#REF!+#REF!,"")</f>
        <v/>
      </c>
      <c r="PWV57" s="82" t="str">
        <f>IF(ISNUMBER(outYear),PWV37+PWV42+#REF!+#REF!,"")</f>
        <v/>
      </c>
      <c r="PWW57" s="82" t="str">
        <f>IF(ISNUMBER(outYear),PWW37+PWW42+#REF!+#REF!,"")</f>
        <v/>
      </c>
      <c r="PWX57" s="82" t="str">
        <f>IF(ISNUMBER(outYear),PWX37+PWX42+#REF!+#REF!,"")</f>
        <v/>
      </c>
      <c r="PWY57" s="82" t="str">
        <f>IF(ISNUMBER(outYear),PWY37+PWY42+#REF!+#REF!,"")</f>
        <v/>
      </c>
      <c r="PWZ57" s="82" t="str">
        <f>IF(ISNUMBER(outYear),PWZ37+PWZ42+#REF!+#REF!,"")</f>
        <v/>
      </c>
      <c r="PXA57" s="82" t="str">
        <f>IF(ISNUMBER(outYear),PXA37+PXA42+#REF!+#REF!,"")</f>
        <v/>
      </c>
      <c r="PXB57" s="82" t="str">
        <f>IF(ISNUMBER(outYear),PXB37+PXB42+#REF!+#REF!,"")</f>
        <v/>
      </c>
      <c r="PXC57" s="82" t="str">
        <f>IF(ISNUMBER(outYear),PXC37+PXC42+#REF!+#REF!,"")</f>
        <v/>
      </c>
      <c r="PXD57" s="82" t="str">
        <f>IF(ISNUMBER(outYear),PXD37+PXD42+#REF!+#REF!,"")</f>
        <v/>
      </c>
      <c r="PXE57" s="82" t="str">
        <f>IF(ISNUMBER(outYear),PXE37+PXE42+#REF!+#REF!,"")</f>
        <v/>
      </c>
      <c r="PXF57" s="82" t="str">
        <f>IF(ISNUMBER(outYear),PXF37+PXF42+#REF!+#REF!,"")</f>
        <v/>
      </c>
      <c r="PXG57" s="82" t="str">
        <f>IF(ISNUMBER(outYear),PXG37+PXG42+#REF!+#REF!,"")</f>
        <v/>
      </c>
      <c r="PXH57" s="82" t="str">
        <f>IF(ISNUMBER(outYear),PXH37+PXH42+#REF!+#REF!,"")</f>
        <v/>
      </c>
      <c r="PXI57" s="82" t="str">
        <f>IF(ISNUMBER(outYear),PXI37+PXI42+#REF!+#REF!,"")</f>
        <v/>
      </c>
      <c r="PXJ57" s="82" t="str">
        <f>IF(ISNUMBER(outYear),PXJ37+PXJ42+#REF!+#REF!,"")</f>
        <v/>
      </c>
      <c r="PXK57" s="82" t="str">
        <f>IF(ISNUMBER(outYear),PXK37+PXK42+#REF!+#REF!,"")</f>
        <v/>
      </c>
      <c r="PXL57" s="82" t="str">
        <f>IF(ISNUMBER(outYear),PXL37+PXL42+#REF!+#REF!,"")</f>
        <v/>
      </c>
      <c r="PXM57" s="82" t="str">
        <f>IF(ISNUMBER(outYear),PXM37+PXM42+#REF!+#REF!,"")</f>
        <v/>
      </c>
      <c r="PXN57" s="82" t="str">
        <f>IF(ISNUMBER(outYear),PXN37+PXN42+#REF!+#REF!,"")</f>
        <v/>
      </c>
      <c r="PXO57" s="82" t="str">
        <f>IF(ISNUMBER(outYear),PXO37+PXO42+#REF!+#REF!,"")</f>
        <v/>
      </c>
      <c r="PXP57" s="82" t="str">
        <f>IF(ISNUMBER(outYear),PXP37+PXP42+#REF!+#REF!,"")</f>
        <v/>
      </c>
      <c r="PXQ57" s="82" t="str">
        <f>IF(ISNUMBER(outYear),PXQ37+PXQ42+#REF!+#REF!,"")</f>
        <v/>
      </c>
      <c r="PXR57" s="82" t="str">
        <f>IF(ISNUMBER(outYear),PXR37+PXR42+#REF!+#REF!,"")</f>
        <v/>
      </c>
      <c r="PXS57" s="82" t="str">
        <f>IF(ISNUMBER(outYear),PXS37+PXS42+#REF!+#REF!,"")</f>
        <v/>
      </c>
      <c r="PXT57" s="82" t="str">
        <f>IF(ISNUMBER(outYear),PXT37+PXT42+#REF!+#REF!,"")</f>
        <v/>
      </c>
      <c r="PXU57" s="82" t="str">
        <f>IF(ISNUMBER(outYear),PXU37+PXU42+#REF!+#REF!,"")</f>
        <v/>
      </c>
      <c r="PXV57" s="82" t="str">
        <f>IF(ISNUMBER(outYear),PXV37+PXV42+#REF!+#REF!,"")</f>
        <v/>
      </c>
      <c r="PXW57" s="82" t="str">
        <f>IF(ISNUMBER(outYear),PXW37+PXW42+#REF!+#REF!,"")</f>
        <v/>
      </c>
      <c r="PXX57" s="82" t="str">
        <f>IF(ISNUMBER(outYear),PXX37+PXX42+#REF!+#REF!,"")</f>
        <v/>
      </c>
      <c r="PXY57" s="82" t="str">
        <f>IF(ISNUMBER(outYear),PXY37+PXY42+#REF!+#REF!,"")</f>
        <v/>
      </c>
      <c r="PXZ57" s="82" t="str">
        <f>IF(ISNUMBER(outYear),PXZ37+PXZ42+#REF!+#REF!,"")</f>
        <v/>
      </c>
      <c r="PYA57" s="82" t="str">
        <f>IF(ISNUMBER(outYear),PYA37+PYA42+#REF!+#REF!,"")</f>
        <v/>
      </c>
      <c r="PYB57" s="82" t="str">
        <f>IF(ISNUMBER(outYear),PYB37+PYB42+#REF!+#REF!,"")</f>
        <v/>
      </c>
      <c r="PYC57" s="82" t="str">
        <f>IF(ISNUMBER(outYear),PYC37+PYC42+#REF!+#REF!,"")</f>
        <v/>
      </c>
      <c r="PYD57" s="82" t="str">
        <f>IF(ISNUMBER(outYear),PYD37+PYD42+#REF!+#REF!,"")</f>
        <v/>
      </c>
      <c r="PYE57" s="82" t="str">
        <f>IF(ISNUMBER(outYear),PYE37+PYE42+#REF!+#REF!,"")</f>
        <v/>
      </c>
      <c r="PYF57" s="82" t="str">
        <f>IF(ISNUMBER(outYear),PYF37+PYF42+#REF!+#REF!,"")</f>
        <v/>
      </c>
      <c r="PYG57" s="82" t="str">
        <f>IF(ISNUMBER(outYear),PYG37+PYG42+#REF!+#REF!,"")</f>
        <v/>
      </c>
      <c r="PYH57" s="82" t="str">
        <f>IF(ISNUMBER(outYear),PYH37+PYH42+#REF!+#REF!,"")</f>
        <v/>
      </c>
      <c r="PYI57" s="82" t="str">
        <f>IF(ISNUMBER(outYear),PYI37+PYI42+#REF!+#REF!,"")</f>
        <v/>
      </c>
      <c r="PYJ57" s="82" t="str">
        <f>IF(ISNUMBER(outYear),PYJ37+PYJ42+#REF!+#REF!,"")</f>
        <v/>
      </c>
      <c r="PYK57" s="82" t="str">
        <f>IF(ISNUMBER(outYear),PYK37+PYK42+#REF!+#REF!,"")</f>
        <v/>
      </c>
      <c r="PYL57" s="82" t="str">
        <f>IF(ISNUMBER(outYear),PYL37+PYL42+#REF!+#REF!,"")</f>
        <v/>
      </c>
      <c r="PYM57" s="82" t="str">
        <f>IF(ISNUMBER(outYear),PYM37+PYM42+#REF!+#REF!,"")</f>
        <v/>
      </c>
      <c r="PYN57" s="82" t="str">
        <f>IF(ISNUMBER(outYear),PYN37+PYN42+#REF!+#REF!,"")</f>
        <v/>
      </c>
      <c r="PYO57" s="82" t="str">
        <f>IF(ISNUMBER(outYear),PYO37+PYO42+#REF!+#REF!,"")</f>
        <v/>
      </c>
      <c r="PYP57" s="82" t="str">
        <f>IF(ISNUMBER(outYear),PYP37+PYP42+#REF!+#REF!,"")</f>
        <v/>
      </c>
      <c r="PYQ57" s="82" t="str">
        <f>IF(ISNUMBER(outYear),PYQ37+PYQ42+#REF!+#REF!,"")</f>
        <v/>
      </c>
      <c r="PYR57" s="82" t="str">
        <f>IF(ISNUMBER(outYear),PYR37+PYR42+#REF!+#REF!,"")</f>
        <v/>
      </c>
      <c r="PYS57" s="82" t="str">
        <f>IF(ISNUMBER(outYear),PYS37+PYS42+#REF!+#REF!,"")</f>
        <v/>
      </c>
      <c r="PYT57" s="82" t="str">
        <f>IF(ISNUMBER(outYear),PYT37+PYT42+#REF!+#REF!,"")</f>
        <v/>
      </c>
      <c r="PYU57" s="82" t="str">
        <f>IF(ISNUMBER(outYear),PYU37+PYU42+#REF!+#REF!,"")</f>
        <v/>
      </c>
      <c r="PYV57" s="82" t="str">
        <f>IF(ISNUMBER(outYear),PYV37+PYV42+#REF!+#REF!,"")</f>
        <v/>
      </c>
      <c r="PYW57" s="82" t="str">
        <f>IF(ISNUMBER(outYear),PYW37+PYW42+#REF!+#REF!,"")</f>
        <v/>
      </c>
      <c r="PYX57" s="82" t="str">
        <f>IF(ISNUMBER(outYear),PYX37+PYX42+#REF!+#REF!,"")</f>
        <v/>
      </c>
      <c r="PYY57" s="82" t="str">
        <f>IF(ISNUMBER(outYear),PYY37+PYY42+#REF!+#REF!,"")</f>
        <v/>
      </c>
      <c r="PYZ57" s="82" t="str">
        <f>IF(ISNUMBER(outYear),PYZ37+PYZ42+#REF!+#REF!,"")</f>
        <v/>
      </c>
      <c r="PZA57" s="82" t="str">
        <f>IF(ISNUMBER(outYear),PZA37+PZA42+#REF!+#REF!,"")</f>
        <v/>
      </c>
      <c r="PZB57" s="82" t="str">
        <f>IF(ISNUMBER(outYear),PZB37+PZB42+#REF!+#REF!,"")</f>
        <v/>
      </c>
      <c r="PZC57" s="82" t="str">
        <f>IF(ISNUMBER(outYear),PZC37+PZC42+#REF!+#REF!,"")</f>
        <v/>
      </c>
      <c r="PZD57" s="82" t="str">
        <f>IF(ISNUMBER(outYear),PZD37+PZD42+#REF!+#REF!,"")</f>
        <v/>
      </c>
      <c r="PZE57" s="82" t="str">
        <f>IF(ISNUMBER(outYear),PZE37+PZE42+#REF!+#REF!,"")</f>
        <v/>
      </c>
      <c r="PZF57" s="82" t="str">
        <f>IF(ISNUMBER(outYear),PZF37+PZF42+#REF!+#REF!,"")</f>
        <v/>
      </c>
      <c r="PZG57" s="82" t="str">
        <f>IF(ISNUMBER(outYear),PZG37+PZG42+#REF!+#REF!,"")</f>
        <v/>
      </c>
      <c r="PZH57" s="82" t="str">
        <f>IF(ISNUMBER(outYear),PZH37+PZH42+#REF!+#REF!,"")</f>
        <v/>
      </c>
      <c r="PZI57" s="82" t="str">
        <f>IF(ISNUMBER(outYear),PZI37+PZI42+#REF!+#REF!,"")</f>
        <v/>
      </c>
      <c r="PZJ57" s="82" t="str">
        <f>IF(ISNUMBER(outYear),PZJ37+PZJ42+#REF!+#REF!,"")</f>
        <v/>
      </c>
      <c r="PZK57" s="82" t="str">
        <f>IF(ISNUMBER(outYear),PZK37+PZK42+#REF!+#REF!,"")</f>
        <v/>
      </c>
      <c r="PZL57" s="82" t="str">
        <f>IF(ISNUMBER(outYear),PZL37+PZL42+#REF!+#REF!,"")</f>
        <v/>
      </c>
      <c r="PZM57" s="82" t="str">
        <f>IF(ISNUMBER(outYear),PZM37+PZM42+#REF!+#REF!,"")</f>
        <v/>
      </c>
      <c r="PZN57" s="82" t="str">
        <f>IF(ISNUMBER(outYear),PZN37+PZN42+#REF!+#REF!,"")</f>
        <v/>
      </c>
      <c r="PZO57" s="82" t="str">
        <f>IF(ISNUMBER(outYear),PZO37+PZO42+#REF!+#REF!,"")</f>
        <v/>
      </c>
      <c r="PZP57" s="82" t="str">
        <f>IF(ISNUMBER(outYear),PZP37+PZP42+#REF!+#REF!,"")</f>
        <v/>
      </c>
      <c r="PZQ57" s="82" t="str">
        <f>IF(ISNUMBER(outYear),PZQ37+PZQ42+#REF!+#REF!,"")</f>
        <v/>
      </c>
      <c r="PZR57" s="82" t="str">
        <f>IF(ISNUMBER(outYear),PZR37+PZR42+#REF!+#REF!,"")</f>
        <v/>
      </c>
      <c r="PZS57" s="82" t="str">
        <f>IF(ISNUMBER(outYear),PZS37+PZS42+#REF!+#REF!,"")</f>
        <v/>
      </c>
      <c r="PZT57" s="82" t="str">
        <f>IF(ISNUMBER(outYear),PZT37+PZT42+#REF!+#REF!,"")</f>
        <v/>
      </c>
      <c r="PZU57" s="82" t="str">
        <f>IF(ISNUMBER(outYear),PZU37+PZU42+#REF!+#REF!,"")</f>
        <v/>
      </c>
      <c r="PZV57" s="82" t="str">
        <f>IF(ISNUMBER(outYear),PZV37+PZV42+#REF!+#REF!,"")</f>
        <v/>
      </c>
      <c r="PZW57" s="82" t="str">
        <f>IF(ISNUMBER(outYear),PZW37+PZW42+#REF!+#REF!,"")</f>
        <v/>
      </c>
      <c r="PZX57" s="82" t="str">
        <f>IF(ISNUMBER(outYear),PZX37+PZX42+#REF!+#REF!,"")</f>
        <v/>
      </c>
      <c r="PZY57" s="82" t="str">
        <f>IF(ISNUMBER(outYear),PZY37+PZY42+#REF!+#REF!,"")</f>
        <v/>
      </c>
      <c r="PZZ57" s="82" t="str">
        <f>IF(ISNUMBER(outYear),PZZ37+PZZ42+#REF!+#REF!,"")</f>
        <v/>
      </c>
      <c r="QAA57" s="82" t="str">
        <f>IF(ISNUMBER(outYear),QAA37+QAA42+#REF!+#REF!,"")</f>
        <v/>
      </c>
      <c r="QAB57" s="82" t="str">
        <f>IF(ISNUMBER(outYear),QAB37+QAB42+#REF!+#REF!,"")</f>
        <v/>
      </c>
      <c r="QAC57" s="82" t="str">
        <f>IF(ISNUMBER(outYear),QAC37+QAC42+#REF!+#REF!,"")</f>
        <v/>
      </c>
      <c r="QAD57" s="82" t="str">
        <f>IF(ISNUMBER(outYear),QAD37+QAD42+#REF!+#REF!,"")</f>
        <v/>
      </c>
      <c r="QAE57" s="82" t="str">
        <f>IF(ISNUMBER(outYear),QAE37+QAE42+#REF!+#REF!,"")</f>
        <v/>
      </c>
      <c r="QAF57" s="82" t="str">
        <f>IF(ISNUMBER(outYear),QAF37+QAF42+#REF!+#REF!,"")</f>
        <v/>
      </c>
      <c r="QAG57" s="82" t="str">
        <f>IF(ISNUMBER(outYear),QAG37+QAG42+#REF!+#REF!,"")</f>
        <v/>
      </c>
      <c r="QAH57" s="82" t="str">
        <f>IF(ISNUMBER(outYear),QAH37+QAH42+#REF!+#REF!,"")</f>
        <v/>
      </c>
      <c r="QAI57" s="82" t="str">
        <f>IF(ISNUMBER(outYear),QAI37+QAI42+#REF!+#REF!,"")</f>
        <v/>
      </c>
      <c r="QAJ57" s="82" t="str">
        <f>IF(ISNUMBER(outYear),QAJ37+QAJ42+#REF!+#REF!,"")</f>
        <v/>
      </c>
      <c r="QAK57" s="82" t="str">
        <f>IF(ISNUMBER(outYear),QAK37+QAK42+#REF!+#REF!,"")</f>
        <v/>
      </c>
      <c r="QAL57" s="82" t="str">
        <f>IF(ISNUMBER(outYear),QAL37+QAL42+#REF!+#REF!,"")</f>
        <v/>
      </c>
      <c r="QAM57" s="82" t="str">
        <f>IF(ISNUMBER(outYear),QAM37+QAM42+#REF!+#REF!,"")</f>
        <v/>
      </c>
      <c r="QAN57" s="82" t="str">
        <f>IF(ISNUMBER(outYear),QAN37+QAN42+#REF!+#REF!,"")</f>
        <v/>
      </c>
      <c r="QAO57" s="82" t="str">
        <f>IF(ISNUMBER(outYear),QAO37+QAO42+#REF!+#REF!,"")</f>
        <v/>
      </c>
      <c r="QAP57" s="82" t="str">
        <f>IF(ISNUMBER(outYear),QAP37+QAP42+#REF!+#REF!,"")</f>
        <v/>
      </c>
      <c r="QAQ57" s="82" t="str">
        <f>IF(ISNUMBER(outYear),QAQ37+QAQ42+#REF!+#REF!,"")</f>
        <v/>
      </c>
      <c r="QAR57" s="82" t="str">
        <f>IF(ISNUMBER(outYear),QAR37+QAR42+#REF!+#REF!,"")</f>
        <v/>
      </c>
      <c r="QAS57" s="82" t="str">
        <f>IF(ISNUMBER(outYear),QAS37+QAS42+#REF!+#REF!,"")</f>
        <v/>
      </c>
      <c r="QAT57" s="82" t="str">
        <f>IF(ISNUMBER(outYear),QAT37+QAT42+#REF!+#REF!,"")</f>
        <v/>
      </c>
      <c r="QAU57" s="82" t="str">
        <f>IF(ISNUMBER(outYear),QAU37+QAU42+#REF!+#REF!,"")</f>
        <v/>
      </c>
      <c r="QAV57" s="82" t="str">
        <f>IF(ISNUMBER(outYear),QAV37+QAV42+#REF!+#REF!,"")</f>
        <v/>
      </c>
      <c r="QAW57" s="82" t="str">
        <f>IF(ISNUMBER(outYear),QAW37+QAW42+#REF!+#REF!,"")</f>
        <v/>
      </c>
      <c r="QAX57" s="82" t="str">
        <f>IF(ISNUMBER(outYear),QAX37+QAX42+#REF!+#REF!,"")</f>
        <v/>
      </c>
      <c r="QAY57" s="82" t="str">
        <f>IF(ISNUMBER(outYear),QAY37+QAY42+#REF!+#REF!,"")</f>
        <v/>
      </c>
      <c r="QAZ57" s="82" t="str">
        <f>IF(ISNUMBER(outYear),QAZ37+QAZ42+#REF!+#REF!,"")</f>
        <v/>
      </c>
      <c r="QBA57" s="82" t="str">
        <f>IF(ISNUMBER(outYear),QBA37+QBA42+#REF!+#REF!,"")</f>
        <v/>
      </c>
      <c r="QBB57" s="82" t="str">
        <f>IF(ISNUMBER(outYear),QBB37+QBB42+#REF!+#REF!,"")</f>
        <v/>
      </c>
      <c r="QBC57" s="82" t="str">
        <f>IF(ISNUMBER(outYear),QBC37+QBC42+#REF!+#REF!,"")</f>
        <v/>
      </c>
      <c r="QBD57" s="82" t="str">
        <f>IF(ISNUMBER(outYear),QBD37+QBD42+#REF!+#REF!,"")</f>
        <v/>
      </c>
      <c r="QBE57" s="82" t="str">
        <f>IF(ISNUMBER(outYear),QBE37+QBE42+#REF!+#REF!,"")</f>
        <v/>
      </c>
      <c r="QBF57" s="82" t="str">
        <f>IF(ISNUMBER(outYear),QBF37+QBF42+#REF!+#REF!,"")</f>
        <v/>
      </c>
      <c r="QBG57" s="82" t="str">
        <f>IF(ISNUMBER(outYear),QBG37+QBG42+#REF!+#REF!,"")</f>
        <v/>
      </c>
      <c r="QBH57" s="82" t="str">
        <f>IF(ISNUMBER(outYear),QBH37+QBH42+#REF!+#REF!,"")</f>
        <v/>
      </c>
      <c r="QBI57" s="82" t="str">
        <f>IF(ISNUMBER(outYear),QBI37+QBI42+#REF!+#REF!,"")</f>
        <v/>
      </c>
      <c r="QBJ57" s="82" t="str">
        <f>IF(ISNUMBER(outYear),QBJ37+QBJ42+#REF!+#REF!,"")</f>
        <v/>
      </c>
      <c r="QBK57" s="82" t="str">
        <f>IF(ISNUMBER(outYear),QBK37+QBK42+#REF!+#REF!,"")</f>
        <v/>
      </c>
      <c r="QBL57" s="82" t="str">
        <f>IF(ISNUMBER(outYear),QBL37+QBL42+#REF!+#REF!,"")</f>
        <v/>
      </c>
      <c r="QBM57" s="82" t="str">
        <f>IF(ISNUMBER(outYear),QBM37+QBM42+#REF!+#REF!,"")</f>
        <v/>
      </c>
      <c r="QBN57" s="82" t="str">
        <f>IF(ISNUMBER(outYear),QBN37+QBN42+#REF!+#REF!,"")</f>
        <v/>
      </c>
      <c r="QBO57" s="82" t="str">
        <f>IF(ISNUMBER(outYear),QBO37+QBO42+#REF!+#REF!,"")</f>
        <v/>
      </c>
      <c r="QBP57" s="82" t="str">
        <f>IF(ISNUMBER(outYear),QBP37+QBP42+#REF!+#REF!,"")</f>
        <v/>
      </c>
      <c r="QBQ57" s="82" t="str">
        <f>IF(ISNUMBER(outYear),QBQ37+QBQ42+#REF!+#REF!,"")</f>
        <v/>
      </c>
      <c r="QBR57" s="82" t="str">
        <f>IF(ISNUMBER(outYear),QBR37+QBR42+#REF!+#REF!,"")</f>
        <v/>
      </c>
      <c r="QBS57" s="82" t="str">
        <f>IF(ISNUMBER(outYear),QBS37+QBS42+#REF!+#REF!,"")</f>
        <v/>
      </c>
      <c r="QBT57" s="82" t="str">
        <f>IF(ISNUMBER(outYear),QBT37+QBT42+#REF!+#REF!,"")</f>
        <v/>
      </c>
      <c r="QBU57" s="82" t="str">
        <f>IF(ISNUMBER(outYear),QBU37+QBU42+#REF!+#REF!,"")</f>
        <v/>
      </c>
      <c r="QBV57" s="82" t="str">
        <f>IF(ISNUMBER(outYear),QBV37+QBV42+#REF!+#REF!,"")</f>
        <v/>
      </c>
      <c r="QBW57" s="82" t="str">
        <f>IF(ISNUMBER(outYear),QBW37+QBW42+#REF!+#REF!,"")</f>
        <v/>
      </c>
      <c r="QBX57" s="82" t="str">
        <f>IF(ISNUMBER(outYear),QBX37+QBX42+#REF!+#REF!,"")</f>
        <v/>
      </c>
      <c r="QBY57" s="82" t="str">
        <f>IF(ISNUMBER(outYear),QBY37+QBY42+#REF!+#REF!,"")</f>
        <v/>
      </c>
      <c r="QBZ57" s="82" t="str">
        <f>IF(ISNUMBER(outYear),QBZ37+QBZ42+#REF!+#REF!,"")</f>
        <v/>
      </c>
      <c r="QCA57" s="82" t="str">
        <f>IF(ISNUMBER(outYear),QCA37+QCA42+#REF!+#REF!,"")</f>
        <v/>
      </c>
      <c r="QCB57" s="82" t="str">
        <f>IF(ISNUMBER(outYear),QCB37+QCB42+#REF!+#REF!,"")</f>
        <v/>
      </c>
      <c r="QCC57" s="82" t="str">
        <f>IF(ISNUMBER(outYear),QCC37+QCC42+#REF!+#REF!,"")</f>
        <v/>
      </c>
      <c r="QCD57" s="82" t="str">
        <f>IF(ISNUMBER(outYear),QCD37+QCD42+#REF!+#REF!,"")</f>
        <v/>
      </c>
      <c r="QCE57" s="82" t="str">
        <f>IF(ISNUMBER(outYear),QCE37+QCE42+#REF!+#REF!,"")</f>
        <v/>
      </c>
      <c r="QCF57" s="82" t="str">
        <f>IF(ISNUMBER(outYear),QCF37+QCF42+#REF!+#REF!,"")</f>
        <v/>
      </c>
      <c r="QCG57" s="82" t="str">
        <f>IF(ISNUMBER(outYear),QCG37+QCG42+#REF!+#REF!,"")</f>
        <v/>
      </c>
      <c r="QCH57" s="82" t="str">
        <f>IF(ISNUMBER(outYear),QCH37+QCH42+#REF!+#REF!,"")</f>
        <v/>
      </c>
      <c r="QCI57" s="82" t="str">
        <f>IF(ISNUMBER(outYear),QCI37+QCI42+#REF!+#REF!,"")</f>
        <v/>
      </c>
      <c r="QCJ57" s="82" t="str">
        <f>IF(ISNUMBER(outYear),QCJ37+QCJ42+#REF!+#REF!,"")</f>
        <v/>
      </c>
      <c r="QCK57" s="82" t="str">
        <f>IF(ISNUMBER(outYear),QCK37+QCK42+#REF!+#REF!,"")</f>
        <v/>
      </c>
      <c r="QCL57" s="82" t="str">
        <f>IF(ISNUMBER(outYear),QCL37+QCL42+#REF!+#REF!,"")</f>
        <v/>
      </c>
      <c r="QCM57" s="82" t="str">
        <f>IF(ISNUMBER(outYear),QCM37+QCM42+#REF!+#REF!,"")</f>
        <v/>
      </c>
      <c r="QCN57" s="82" t="str">
        <f>IF(ISNUMBER(outYear),QCN37+QCN42+#REF!+#REF!,"")</f>
        <v/>
      </c>
      <c r="QCO57" s="82" t="str">
        <f>IF(ISNUMBER(outYear),QCO37+QCO42+#REF!+#REF!,"")</f>
        <v/>
      </c>
      <c r="QCP57" s="82" t="str">
        <f>IF(ISNUMBER(outYear),QCP37+QCP42+#REF!+#REF!,"")</f>
        <v/>
      </c>
      <c r="QCQ57" s="82" t="str">
        <f>IF(ISNUMBER(outYear),QCQ37+QCQ42+#REF!+#REF!,"")</f>
        <v/>
      </c>
      <c r="QCR57" s="82" t="str">
        <f>IF(ISNUMBER(outYear),QCR37+QCR42+#REF!+#REF!,"")</f>
        <v/>
      </c>
      <c r="QCS57" s="82" t="str">
        <f>IF(ISNUMBER(outYear),QCS37+QCS42+#REF!+#REF!,"")</f>
        <v/>
      </c>
      <c r="QCT57" s="82" t="str">
        <f>IF(ISNUMBER(outYear),QCT37+QCT42+#REF!+#REF!,"")</f>
        <v/>
      </c>
      <c r="QCU57" s="82" t="str">
        <f>IF(ISNUMBER(outYear),QCU37+QCU42+#REF!+#REF!,"")</f>
        <v/>
      </c>
      <c r="QCV57" s="82" t="str">
        <f>IF(ISNUMBER(outYear),QCV37+QCV42+#REF!+#REF!,"")</f>
        <v/>
      </c>
      <c r="QCW57" s="82" t="str">
        <f>IF(ISNUMBER(outYear),QCW37+QCW42+#REF!+#REF!,"")</f>
        <v/>
      </c>
      <c r="QCX57" s="82" t="str">
        <f>IF(ISNUMBER(outYear),QCX37+QCX42+#REF!+#REF!,"")</f>
        <v/>
      </c>
      <c r="QCY57" s="82" t="str">
        <f>IF(ISNUMBER(outYear),QCY37+QCY42+#REF!+#REF!,"")</f>
        <v/>
      </c>
      <c r="QCZ57" s="82" t="str">
        <f>IF(ISNUMBER(outYear),QCZ37+QCZ42+#REF!+#REF!,"")</f>
        <v/>
      </c>
      <c r="QDA57" s="82" t="str">
        <f>IF(ISNUMBER(outYear),QDA37+QDA42+#REF!+#REF!,"")</f>
        <v/>
      </c>
      <c r="QDB57" s="82" t="str">
        <f>IF(ISNUMBER(outYear),QDB37+QDB42+#REF!+#REF!,"")</f>
        <v/>
      </c>
      <c r="QDC57" s="82" t="str">
        <f>IF(ISNUMBER(outYear),QDC37+QDC42+#REF!+#REF!,"")</f>
        <v/>
      </c>
      <c r="QDD57" s="82" t="str">
        <f>IF(ISNUMBER(outYear),QDD37+QDD42+#REF!+#REF!,"")</f>
        <v/>
      </c>
      <c r="QDE57" s="82" t="str">
        <f>IF(ISNUMBER(outYear),QDE37+QDE42+#REF!+#REF!,"")</f>
        <v/>
      </c>
      <c r="QDF57" s="82" t="str">
        <f>IF(ISNUMBER(outYear),QDF37+QDF42+#REF!+#REF!,"")</f>
        <v/>
      </c>
      <c r="QDG57" s="82" t="str">
        <f>IF(ISNUMBER(outYear),QDG37+QDG42+#REF!+#REF!,"")</f>
        <v/>
      </c>
      <c r="QDH57" s="82" t="str">
        <f>IF(ISNUMBER(outYear),QDH37+QDH42+#REF!+#REF!,"")</f>
        <v/>
      </c>
      <c r="QDI57" s="82" t="str">
        <f>IF(ISNUMBER(outYear),QDI37+QDI42+#REF!+#REF!,"")</f>
        <v/>
      </c>
      <c r="QDJ57" s="82" t="str">
        <f>IF(ISNUMBER(outYear),QDJ37+QDJ42+#REF!+#REF!,"")</f>
        <v/>
      </c>
      <c r="QDK57" s="82" t="str">
        <f>IF(ISNUMBER(outYear),QDK37+QDK42+#REF!+#REF!,"")</f>
        <v/>
      </c>
      <c r="QDL57" s="82" t="str">
        <f>IF(ISNUMBER(outYear),QDL37+QDL42+#REF!+#REF!,"")</f>
        <v/>
      </c>
      <c r="QDM57" s="82" t="str">
        <f>IF(ISNUMBER(outYear),QDM37+QDM42+#REF!+#REF!,"")</f>
        <v/>
      </c>
      <c r="QDN57" s="82" t="str">
        <f>IF(ISNUMBER(outYear),QDN37+QDN42+#REF!+#REF!,"")</f>
        <v/>
      </c>
      <c r="QDO57" s="82" t="str">
        <f>IF(ISNUMBER(outYear),QDO37+QDO42+#REF!+#REF!,"")</f>
        <v/>
      </c>
      <c r="QDP57" s="82" t="str">
        <f>IF(ISNUMBER(outYear),QDP37+QDP42+#REF!+#REF!,"")</f>
        <v/>
      </c>
      <c r="QDQ57" s="82" t="str">
        <f>IF(ISNUMBER(outYear),QDQ37+QDQ42+#REF!+#REF!,"")</f>
        <v/>
      </c>
      <c r="QDR57" s="82" t="str">
        <f>IF(ISNUMBER(outYear),QDR37+QDR42+#REF!+#REF!,"")</f>
        <v/>
      </c>
      <c r="QDS57" s="82" t="str">
        <f>IF(ISNUMBER(outYear),QDS37+QDS42+#REF!+#REF!,"")</f>
        <v/>
      </c>
      <c r="QDT57" s="82" t="str">
        <f>IF(ISNUMBER(outYear),QDT37+QDT42+#REF!+#REF!,"")</f>
        <v/>
      </c>
      <c r="QDU57" s="82" t="str">
        <f>IF(ISNUMBER(outYear),QDU37+QDU42+#REF!+#REF!,"")</f>
        <v/>
      </c>
      <c r="QDV57" s="82" t="str">
        <f>IF(ISNUMBER(outYear),QDV37+QDV42+#REF!+#REF!,"")</f>
        <v/>
      </c>
      <c r="QDW57" s="82" t="str">
        <f>IF(ISNUMBER(outYear),QDW37+QDW42+#REF!+#REF!,"")</f>
        <v/>
      </c>
      <c r="QDX57" s="82" t="str">
        <f>IF(ISNUMBER(outYear),QDX37+QDX42+#REF!+#REF!,"")</f>
        <v/>
      </c>
      <c r="QDY57" s="82" t="str">
        <f>IF(ISNUMBER(outYear),QDY37+QDY42+#REF!+#REF!,"")</f>
        <v/>
      </c>
      <c r="QDZ57" s="82" t="str">
        <f>IF(ISNUMBER(outYear),QDZ37+QDZ42+#REF!+#REF!,"")</f>
        <v/>
      </c>
      <c r="QEA57" s="82" t="str">
        <f>IF(ISNUMBER(outYear),QEA37+QEA42+#REF!+#REF!,"")</f>
        <v/>
      </c>
      <c r="QEB57" s="82" t="str">
        <f>IF(ISNUMBER(outYear),QEB37+QEB42+#REF!+#REF!,"")</f>
        <v/>
      </c>
      <c r="QEC57" s="82" t="str">
        <f>IF(ISNUMBER(outYear),QEC37+QEC42+#REF!+#REF!,"")</f>
        <v/>
      </c>
      <c r="QED57" s="82" t="str">
        <f>IF(ISNUMBER(outYear),QED37+QED42+#REF!+#REF!,"")</f>
        <v/>
      </c>
      <c r="QEE57" s="82" t="str">
        <f>IF(ISNUMBER(outYear),QEE37+QEE42+#REF!+#REF!,"")</f>
        <v/>
      </c>
      <c r="QEF57" s="82" t="str">
        <f>IF(ISNUMBER(outYear),QEF37+QEF42+#REF!+#REF!,"")</f>
        <v/>
      </c>
      <c r="QEG57" s="82" t="str">
        <f>IF(ISNUMBER(outYear),QEG37+QEG42+#REF!+#REF!,"")</f>
        <v/>
      </c>
      <c r="QEH57" s="82" t="str">
        <f>IF(ISNUMBER(outYear),QEH37+QEH42+#REF!+#REF!,"")</f>
        <v/>
      </c>
      <c r="QEI57" s="82" t="str">
        <f>IF(ISNUMBER(outYear),QEI37+QEI42+#REF!+#REF!,"")</f>
        <v/>
      </c>
      <c r="QEJ57" s="82" t="str">
        <f>IF(ISNUMBER(outYear),QEJ37+QEJ42+#REF!+#REF!,"")</f>
        <v/>
      </c>
      <c r="QEK57" s="82" t="str">
        <f>IF(ISNUMBER(outYear),QEK37+QEK42+#REF!+#REF!,"")</f>
        <v/>
      </c>
      <c r="QEL57" s="82" t="str">
        <f>IF(ISNUMBER(outYear),QEL37+QEL42+#REF!+#REF!,"")</f>
        <v/>
      </c>
      <c r="QEM57" s="82" t="str">
        <f>IF(ISNUMBER(outYear),QEM37+QEM42+#REF!+#REF!,"")</f>
        <v/>
      </c>
      <c r="QEN57" s="82" t="str">
        <f>IF(ISNUMBER(outYear),QEN37+QEN42+#REF!+#REF!,"")</f>
        <v/>
      </c>
      <c r="QEO57" s="82" t="str">
        <f>IF(ISNUMBER(outYear),QEO37+QEO42+#REF!+#REF!,"")</f>
        <v/>
      </c>
      <c r="QEP57" s="82" t="str">
        <f>IF(ISNUMBER(outYear),QEP37+QEP42+#REF!+#REF!,"")</f>
        <v/>
      </c>
      <c r="QEQ57" s="82" t="str">
        <f>IF(ISNUMBER(outYear),QEQ37+QEQ42+#REF!+#REF!,"")</f>
        <v/>
      </c>
      <c r="QER57" s="82" t="str">
        <f>IF(ISNUMBER(outYear),QER37+QER42+#REF!+#REF!,"")</f>
        <v/>
      </c>
      <c r="QES57" s="82" t="str">
        <f>IF(ISNUMBER(outYear),QES37+QES42+#REF!+#REF!,"")</f>
        <v/>
      </c>
      <c r="QET57" s="82" t="str">
        <f>IF(ISNUMBER(outYear),QET37+QET42+#REF!+#REF!,"")</f>
        <v/>
      </c>
      <c r="QEU57" s="82" t="str">
        <f>IF(ISNUMBER(outYear),QEU37+QEU42+#REF!+#REF!,"")</f>
        <v/>
      </c>
      <c r="QEV57" s="82" t="str">
        <f>IF(ISNUMBER(outYear),QEV37+QEV42+#REF!+#REF!,"")</f>
        <v/>
      </c>
      <c r="QEW57" s="82" t="str">
        <f>IF(ISNUMBER(outYear),QEW37+QEW42+#REF!+#REF!,"")</f>
        <v/>
      </c>
      <c r="QEX57" s="82" t="str">
        <f>IF(ISNUMBER(outYear),QEX37+QEX42+#REF!+#REF!,"")</f>
        <v/>
      </c>
      <c r="QEY57" s="82" t="str">
        <f>IF(ISNUMBER(outYear),QEY37+QEY42+#REF!+#REF!,"")</f>
        <v/>
      </c>
      <c r="QEZ57" s="82" t="str">
        <f>IF(ISNUMBER(outYear),QEZ37+QEZ42+#REF!+#REF!,"")</f>
        <v/>
      </c>
      <c r="QFA57" s="82" t="str">
        <f>IF(ISNUMBER(outYear),QFA37+QFA42+#REF!+#REF!,"")</f>
        <v/>
      </c>
      <c r="QFB57" s="82" t="str">
        <f>IF(ISNUMBER(outYear),QFB37+QFB42+#REF!+#REF!,"")</f>
        <v/>
      </c>
      <c r="QFC57" s="82" t="str">
        <f>IF(ISNUMBER(outYear),QFC37+QFC42+#REF!+#REF!,"")</f>
        <v/>
      </c>
      <c r="QFD57" s="82" t="str">
        <f>IF(ISNUMBER(outYear),QFD37+QFD42+#REF!+#REF!,"")</f>
        <v/>
      </c>
      <c r="QFE57" s="82" t="str">
        <f>IF(ISNUMBER(outYear),QFE37+QFE42+#REF!+#REF!,"")</f>
        <v/>
      </c>
      <c r="QFF57" s="82" t="str">
        <f>IF(ISNUMBER(outYear),QFF37+QFF42+#REF!+#REF!,"")</f>
        <v/>
      </c>
      <c r="QFG57" s="82" t="str">
        <f>IF(ISNUMBER(outYear),QFG37+QFG42+#REF!+#REF!,"")</f>
        <v/>
      </c>
      <c r="QFH57" s="82" t="str">
        <f>IF(ISNUMBER(outYear),QFH37+QFH42+#REF!+#REF!,"")</f>
        <v/>
      </c>
      <c r="QFI57" s="82" t="str">
        <f>IF(ISNUMBER(outYear),QFI37+QFI42+#REF!+#REF!,"")</f>
        <v/>
      </c>
      <c r="QFJ57" s="82" t="str">
        <f>IF(ISNUMBER(outYear),QFJ37+QFJ42+#REF!+#REF!,"")</f>
        <v/>
      </c>
      <c r="QFK57" s="82" t="str">
        <f>IF(ISNUMBER(outYear),QFK37+QFK42+#REF!+#REF!,"")</f>
        <v/>
      </c>
      <c r="QFL57" s="82" t="str">
        <f>IF(ISNUMBER(outYear),QFL37+QFL42+#REF!+#REF!,"")</f>
        <v/>
      </c>
      <c r="QFM57" s="82" t="str">
        <f>IF(ISNUMBER(outYear),QFM37+QFM42+#REF!+#REF!,"")</f>
        <v/>
      </c>
      <c r="QFN57" s="82" t="str">
        <f>IF(ISNUMBER(outYear),QFN37+QFN42+#REF!+#REF!,"")</f>
        <v/>
      </c>
      <c r="QFO57" s="82" t="str">
        <f>IF(ISNUMBER(outYear),QFO37+QFO42+#REF!+#REF!,"")</f>
        <v/>
      </c>
      <c r="QFP57" s="82" t="str">
        <f>IF(ISNUMBER(outYear),QFP37+QFP42+#REF!+#REF!,"")</f>
        <v/>
      </c>
      <c r="QFQ57" s="82" t="str">
        <f>IF(ISNUMBER(outYear),QFQ37+QFQ42+#REF!+#REF!,"")</f>
        <v/>
      </c>
      <c r="QFR57" s="82" t="str">
        <f>IF(ISNUMBER(outYear),QFR37+QFR42+#REF!+#REF!,"")</f>
        <v/>
      </c>
      <c r="QFS57" s="82" t="str">
        <f>IF(ISNUMBER(outYear),QFS37+QFS42+#REF!+#REF!,"")</f>
        <v/>
      </c>
      <c r="QFT57" s="82" t="str">
        <f>IF(ISNUMBER(outYear),QFT37+QFT42+#REF!+#REF!,"")</f>
        <v/>
      </c>
      <c r="QFU57" s="82" t="str">
        <f>IF(ISNUMBER(outYear),QFU37+QFU42+#REF!+#REF!,"")</f>
        <v/>
      </c>
      <c r="QFV57" s="82" t="str">
        <f>IF(ISNUMBER(outYear),QFV37+QFV42+#REF!+#REF!,"")</f>
        <v/>
      </c>
      <c r="QFW57" s="82" t="str">
        <f>IF(ISNUMBER(outYear),QFW37+QFW42+#REF!+#REF!,"")</f>
        <v/>
      </c>
      <c r="QFX57" s="82" t="str">
        <f>IF(ISNUMBER(outYear),QFX37+QFX42+#REF!+#REF!,"")</f>
        <v/>
      </c>
      <c r="QFY57" s="82" t="str">
        <f>IF(ISNUMBER(outYear),QFY37+QFY42+#REF!+#REF!,"")</f>
        <v/>
      </c>
      <c r="QFZ57" s="82" t="str">
        <f>IF(ISNUMBER(outYear),QFZ37+QFZ42+#REF!+#REF!,"")</f>
        <v/>
      </c>
      <c r="QGA57" s="82" t="str">
        <f>IF(ISNUMBER(outYear),QGA37+QGA42+#REF!+#REF!,"")</f>
        <v/>
      </c>
      <c r="QGB57" s="82" t="str">
        <f>IF(ISNUMBER(outYear),QGB37+QGB42+#REF!+#REF!,"")</f>
        <v/>
      </c>
      <c r="QGC57" s="82" t="str">
        <f>IF(ISNUMBER(outYear),QGC37+QGC42+#REF!+#REF!,"")</f>
        <v/>
      </c>
      <c r="QGD57" s="82" t="str">
        <f>IF(ISNUMBER(outYear),QGD37+QGD42+#REF!+#REF!,"")</f>
        <v/>
      </c>
      <c r="QGE57" s="82" t="str">
        <f>IF(ISNUMBER(outYear),QGE37+QGE42+#REF!+#REF!,"")</f>
        <v/>
      </c>
      <c r="QGF57" s="82" t="str">
        <f>IF(ISNUMBER(outYear),QGF37+QGF42+#REF!+#REF!,"")</f>
        <v/>
      </c>
      <c r="QGG57" s="82" t="str">
        <f>IF(ISNUMBER(outYear),QGG37+QGG42+#REF!+#REF!,"")</f>
        <v/>
      </c>
      <c r="QGH57" s="82" t="str">
        <f>IF(ISNUMBER(outYear),QGH37+QGH42+#REF!+#REF!,"")</f>
        <v/>
      </c>
      <c r="QGI57" s="82" t="str">
        <f>IF(ISNUMBER(outYear),QGI37+QGI42+#REF!+#REF!,"")</f>
        <v/>
      </c>
      <c r="QGJ57" s="82" t="str">
        <f>IF(ISNUMBER(outYear),QGJ37+QGJ42+#REF!+#REF!,"")</f>
        <v/>
      </c>
      <c r="QGK57" s="82" t="str">
        <f>IF(ISNUMBER(outYear),QGK37+QGK42+#REF!+#REF!,"")</f>
        <v/>
      </c>
      <c r="QGL57" s="82" t="str">
        <f>IF(ISNUMBER(outYear),QGL37+QGL42+#REF!+#REF!,"")</f>
        <v/>
      </c>
      <c r="QGM57" s="82" t="str">
        <f>IF(ISNUMBER(outYear),QGM37+QGM42+#REF!+#REF!,"")</f>
        <v/>
      </c>
      <c r="QGN57" s="82" t="str">
        <f>IF(ISNUMBER(outYear),QGN37+QGN42+#REF!+#REF!,"")</f>
        <v/>
      </c>
      <c r="QGO57" s="82" t="str">
        <f>IF(ISNUMBER(outYear),QGO37+QGO42+#REF!+#REF!,"")</f>
        <v/>
      </c>
      <c r="QGP57" s="82" t="str">
        <f>IF(ISNUMBER(outYear),QGP37+QGP42+#REF!+#REF!,"")</f>
        <v/>
      </c>
      <c r="QGQ57" s="82" t="str">
        <f>IF(ISNUMBER(outYear),QGQ37+QGQ42+#REF!+#REF!,"")</f>
        <v/>
      </c>
      <c r="QGR57" s="82" t="str">
        <f>IF(ISNUMBER(outYear),QGR37+QGR42+#REF!+#REF!,"")</f>
        <v/>
      </c>
      <c r="QGS57" s="82" t="str">
        <f>IF(ISNUMBER(outYear),QGS37+QGS42+#REF!+#REF!,"")</f>
        <v/>
      </c>
      <c r="QGT57" s="82" t="str">
        <f>IF(ISNUMBER(outYear),QGT37+QGT42+#REF!+#REF!,"")</f>
        <v/>
      </c>
      <c r="QGU57" s="82" t="str">
        <f>IF(ISNUMBER(outYear),QGU37+QGU42+#REF!+#REF!,"")</f>
        <v/>
      </c>
      <c r="QGV57" s="82" t="str">
        <f>IF(ISNUMBER(outYear),QGV37+QGV42+#REF!+#REF!,"")</f>
        <v/>
      </c>
      <c r="QGW57" s="82" t="str">
        <f>IF(ISNUMBER(outYear),QGW37+QGW42+#REF!+#REF!,"")</f>
        <v/>
      </c>
      <c r="QGX57" s="82" t="str">
        <f>IF(ISNUMBER(outYear),QGX37+QGX42+#REF!+#REF!,"")</f>
        <v/>
      </c>
      <c r="QGY57" s="82" t="str">
        <f>IF(ISNUMBER(outYear),QGY37+QGY42+#REF!+#REF!,"")</f>
        <v/>
      </c>
      <c r="QGZ57" s="82" t="str">
        <f>IF(ISNUMBER(outYear),QGZ37+QGZ42+#REF!+#REF!,"")</f>
        <v/>
      </c>
      <c r="QHA57" s="82" t="str">
        <f>IF(ISNUMBER(outYear),QHA37+QHA42+#REF!+#REF!,"")</f>
        <v/>
      </c>
      <c r="QHB57" s="82" t="str">
        <f>IF(ISNUMBER(outYear),QHB37+QHB42+#REF!+#REF!,"")</f>
        <v/>
      </c>
      <c r="QHC57" s="82" t="str">
        <f>IF(ISNUMBER(outYear),QHC37+QHC42+#REF!+#REF!,"")</f>
        <v/>
      </c>
      <c r="QHD57" s="82" t="str">
        <f>IF(ISNUMBER(outYear),QHD37+QHD42+#REF!+#REF!,"")</f>
        <v/>
      </c>
      <c r="QHE57" s="82" t="str">
        <f>IF(ISNUMBER(outYear),QHE37+QHE42+#REF!+#REF!,"")</f>
        <v/>
      </c>
      <c r="QHF57" s="82" t="str">
        <f>IF(ISNUMBER(outYear),QHF37+QHF42+#REF!+#REF!,"")</f>
        <v/>
      </c>
      <c r="QHG57" s="82" t="str">
        <f>IF(ISNUMBER(outYear),QHG37+QHG42+#REF!+#REF!,"")</f>
        <v/>
      </c>
      <c r="QHH57" s="82" t="str">
        <f>IF(ISNUMBER(outYear),QHH37+QHH42+#REF!+#REF!,"")</f>
        <v/>
      </c>
      <c r="QHI57" s="82" t="str">
        <f>IF(ISNUMBER(outYear),QHI37+QHI42+#REF!+#REF!,"")</f>
        <v/>
      </c>
      <c r="QHJ57" s="82" t="str">
        <f>IF(ISNUMBER(outYear),QHJ37+QHJ42+#REF!+#REF!,"")</f>
        <v/>
      </c>
      <c r="QHK57" s="82" t="str">
        <f>IF(ISNUMBER(outYear),QHK37+QHK42+#REF!+#REF!,"")</f>
        <v/>
      </c>
      <c r="QHL57" s="82" t="str">
        <f>IF(ISNUMBER(outYear),QHL37+QHL42+#REF!+#REF!,"")</f>
        <v/>
      </c>
      <c r="QHM57" s="82" t="str">
        <f>IF(ISNUMBER(outYear),QHM37+QHM42+#REF!+#REF!,"")</f>
        <v/>
      </c>
      <c r="QHN57" s="82" t="str">
        <f>IF(ISNUMBER(outYear),QHN37+QHN42+#REF!+#REF!,"")</f>
        <v/>
      </c>
      <c r="QHO57" s="82" t="str">
        <f>IF(ISNUMBER(outYear),QHO37+QHO42+#REF!+#REF!,"")</f>
        <v/>
      </c>
      <c r="QHP57" s="82" t="str">
        <f>IF(ISNUMBER(outYear),QHP37+QHP42+#REF!+#REF!,"")</f>
        <v/>
      </c>
      <c r="QHQ57" s="82" t="str">
        <f>IF(ISNUMBER(outYear),QHQ37+QHQ42+#REF!+#REF!,"")</f>
        <v/>
      </c>
      <c r="QHR57" s="82" t="str">
        <f>IF(ISNUMBER(outYear),QHR37+QHR42+#REF!+#REF!,"")</f>
        <v/>
      </c>
      <c r="QHS57" s="82" t="str">
        <f>IF(ISNUMBER(outYear),QHS37+QHS42+#REF!+#REF!,"")</f>
        <v/>
      </c>
      <c r="QHT57" s="82" t="str">
        <f>IF(ISNUMBER(outYear),QHT37+QHT42+#REF!+#REF!,"")</f>
        <v/>
      </c>
      <c r="QHU57" s="82" t="str">
        <f>IF(ISNUMBER(outYear),QHU37+QHU42+#REF!+#REF!,"")</f>
        <v/>
      </c>
      <c r="QHV57" s="82" t="str">
        <f>IF(ISNUMBER(outYear),QHV37+QHV42+#REF!+#REF!,"")</f>
        <v/>
      </c>
      <c r="QHW57" s="82" t="str">
        <f>IF(ISNUMBER(outYear),QHW37+QHW42+#REF!+#REF!,"")</f>
        <v/>
      </c>
      <c r="QHX57" s="82" t="str">
        <f>IF(ISNUMBER(outYear),QHX37+QHX42+#REF!+#REF!,"")</f>
        <v/>
      </c>
      <c r="QHY57" s="82" t="str">
        <f>IF(ISNUMBER(outYear),QHY37+QHY42+#REF!+#REF!,"")</f>
        <v/>
      </c>
      <c r="QHZ57" s="82" t="str">
        <f>IF(ISNUMBER(outYear),QHZ37+QHZ42+#REF!+#REF!,"")</f>
        <v/>
      </c>
      <c r="QIA57" s="82" t="str">
        <f>IF(ISNUMBER(outYear),QIA37+QIA42+#REF!+#REF!,"")</f>
        <v/>
      </c>
      <c r="QIB57" s="82" t="str">
        <f>IF(ISNUMBER(outYear),QIB37+QIB42+#REF!+#REF!,"")</f>
        <v/>
      </c>
      <c r="QIC57" s="82" t="str">
        <f>IF(ISNUMBER(outYear),QIC37+QIC42+#REF!+#REF!,"")</f>
        <v/>
      </c>
      <c r="QID57" s="82" t="str">
        <f>IF(ISNUMBER(outYear),QID37+QID42+#REF!+#REF!,"")</f>
        <v/>
      </c>
      <c r="QIE57" s="82" t="str">
        <f>IF(ISNUMBER(outYear),QIE37+QIE42+#REF!+#REF!,"")</f>
        <v/>
      </c>
      <c r="QIF57" s="82" t="str">
        <f>IF(ISNUMBER(outYear),QIF37+QIF42+#REF!+#REF!,"")</f>
        <v/>
      </c>
      <c r="QIG57" s="82" t="str">
        <f>IF(ISNUMBER(outYear),QIG37+QIG42+#REF!+#REF!,"")</f>
        <v/>
      </c>
      <c r="QIH57" s="82" t="str">
        <f>IF(ISNUMBER(outYear),QIH37+QIH42+#REF!+#REF!,"")</f>
        <v/>
      </c>
      <c r="QII57" s="82" t="str">
        <f>IF(ISNUMBER(outYear),QII37+QII42+#REF!+#REF!,"")</f>
        <v/>
      </c>
      <c r="QIJ57" s="82" t="str">
        <f>IF(ISNUMBER(outYear),QIJ37+QIJ42+#REF!+#REF!,"")</f>
        <v/>
      </c>
      <c r="QIK57" s="82" t="str">
        <f>IF(ISNUMBER(outYear),QIK37+QIK42+#REF!+#REF!,"")</f>
        <v/>
      </c>
      <c r="QIL57" s="82" t="str">
        <f>IF(ISNUMBER(outYear),QIL37+QIL42+#REF!+#REF!,"")</f>
        <v/>
      </c>
      <c r="QIM57" s="82" t="str">
        <f>IF(ISNUMBER(outYear),QIM37+QIM42+#REF!+#REF!,"")</f>
        <v/>
      </c>
      <c r="QIN57" s="82" t="str">
        <f>IF(ISNUMBER(outYear),QIN37+QIN42+#REF!+#REF!,"")</f>
        <v/>
      </c>
      <c r="QIO57" s="82" t="str">
        <f>IF(ISNUMBER(outYear),QIO37+QIO42+#REF!+#REF!,"")</f>
        <v/>
      </c>
      <c r="QIP57" s="82" t="str">
        <f>IF(ISNUMBER(outYear),QIP37+QIP42+#REF!+#REF!,"")</f>
        <v/>
      </c>
      <c r="QIQ57" s="82" t="str">
        <f>IF(ISNUMBER(outYear),QIQ37+QIQ42+#REF!+#REF!,"")</f>
        <v/>
      </c>
      <c r="QIR57" s="82" t="str">
        <f>IF(ISNUMBER(outYear),QIR37+QIR42+#REF!+#REF!,"")</f>
        <v/>
      </c>
      <c r="QIS57" s="82" t="str">
        <f>IF(ISNUMBER(outYear),QIS37+QIS42+#REF!+#REF!,"")</f>
        <v/>
      </c>
      <c r="QIT57" s="82" t="str">
        <f>IF(ISNUMBER(outYear),QIT37+QIT42+#REF!+#REF!,"")</f>
        <v/>
      </c>
      <c r="QIU57" s="82" t="str">
        <f>IF(ISNUMBER(outYear),QIU37+QIU42+#REF!+#REF!,"")</f>
        <v/>
      </c>
      <c r="QIV57" s="82" t="str">
        <f>IF(ISNUMBER(outYear),QIV37+QIV42+#REF!+#REF!,"")</f>
        <v/>
      </c>
      <c r="QIW57" s="82" t="str">
        <f>IF(ISNUMBER(outYear),QIW37+QIW42+#REF!+#REF!,"")</f>
        <v/>
      </c>
      <c r="QIX57" s="82" t="str">
        <f>IF(ISNUMBER(outYear),QIX37+QIX42+#REF!+#REF!,"")</f>
        <v/>
      </c>
      <c r="QIY57" s="82" t="str">
        <f>IF(ISNUMBER(outYear),QIY37+QIY42+#REF!+#REF!,"")</f>
        <v/>
      </c>
      <c r="QIZ57" s="82" t="str">
        <f>IF(ISNUMBER(outYear),QIZ37+QIZ42+#REF!+#REF!,"")</f>
        <v/>
      </c>
      <c r="QJA57" s="82" t="str">
        <f>IF(ISNUMBER(outYear),QJA37+QJA42+#REF!+#REF!,"")</f>
        <v/>
      </c>
      <c r="QJB57" s="82" t="str">
        <f>IF(ISNUMBER(outYear),QJB37+QJB42+#REF!+#REF!,"")</f>
        <v/>
      </c>
      <c r="QJC57" s="82" t="str">
        <f>IF(ISNUMBER(outYear),QJC37+QJC42+#REF!+#REF!,"")</f>
        <v/>
      </c>
      <c r="QJD57" s="82" t="str">
        <f>IF(ISNUMBER(outYear),QJD37+QJD42+#REF!+#REF!,"")</f>
        <v/>
      </c>
      <c r="QJE57" s="82" t="str">
        <f>IF(ISNUMBER(outYear),QJE37+QJE42+#REF!+#REF!,"")</f>
        <v/>
      </c>
      <c r="QJF57" s="82" t="str">
        <f>IF(ISNUMBER(outYear),QJF37+QJF42+#REF!+#REF!,"")</f>
        <v/>
      </c>
      <c r="QJG57" s="82" t="str">
        <f>IF(ISNUMBER(outYear),QJG37+QJG42+#REF!+#REF!,"")</f>
        <v/>
      </c>
      <c r="QJH57" s="82" t="str">
        <f>IF(ISNUMBER(outYear),QJH37+QJH42+#REF!+#REF!,"")</f>
        <v/>
      </c>
      <c r="QJI57" s="82" t="str">
        <f>IF(ISNUMBER(outYear),QJI37+QJI42+#REF!+#REF!,"")</f>
        <v/>
      </c>
      <c r="QJJ57" s="82" t="str">
        <f>IF(ISNUMBER(outYear),QJJ37+QJJ42+#REF!+#REF!,"")</f>
        <v/>
      </c>
      <c r="QJK57" s="82" t="str">
        <f>IF(ISNUMBER(outYear),QJK37+QJK42+#REF!+#REF!,"")</f>
        <v/>
      </c>
      <c r="QJL57" s="82" t="str">
        <f>IF(ISNUMBER(outYear),QJL37+QJL42+#REF!+#REF!,"")</f>
        <v/>
      </c>
      <c r="QJM57" s="82" t="str">
        <f>IF(ISNUMBER(outYear),QJM37+QJM42+#REF!+#REF!,"")</f>
        <v/>
      </c>
      <c r="QJN57" s="82" t="str">
        <f>IF(ISNUMBER(outYear),QJN37+QJN42+#REF!+#REF!,"")</f>
        <v/>
      </c>
      <c r="QJO57" s="82" t="str">
        <f>IF(ISNUMBER(outYear),QJO37+QJO42+#REF!+#REF!,"")</f>
        <v/>
      </c>
      <c r="QJP57" s="82" t="str">
        <f>IF(ISNUMBER(outYear),QJP37+QJP42+#REF!+#REF!,"")</f>
        <v/>
      </c>
      <c r="QJQ57" s="82" t="str">
        <f>IF(ISNUMBER(outYear),QJQ37+QJQ42+#REF!+#REF!,"")</f>
        <v/>
      </c>
      <c r="QJR57" s="82" t="str">
        <f>IF(ISNUMBER(outYear),QJR37+QJR42+#REF!+#REF!,"")</f>
        <v/>
      </c>
      <c r="QJS57" s="82" t="str">
        <f>IF(ISNUMBER(outYear),QJS37+QJS42+#REF!+#REF!,"")</f>
        <v/>
      </c>
      <c r="QJT57" s="82" t="str">
        <f>IF(ISNUMBER(outYear),QJT37+QJT42+#REF!+#REF!,"")</f>
        <v/>
      </c>
      <c r="QJU57" s="82" t="str">
        <f>IF(ISNUMBER(outYear),QJU37+QJU42+#REF!+#REF!,"")</f>
        <v/>
      </c>
      <c r="QJV57" s="82" t="str">
        <f>IF(ISNUMBER(outYear),QJV37+QJV42+#REF!+#REF!,"")</f>
        <v/>
      </c>
      <c r="QJW57" s="82" t="str">
        <f>IF(ISNUMBER(outYear),QJW37+QJW42+#REF!+#REF!,"")</f>
        <v/>
      </c>
      <c r="QJX57" s="82" t="str">
        <f>IF(ISNUMBER(outYear),QJX37+QJX42+#REF!+#REF!,"")</f>
        <v/>
      </c>
      <c r="QJY57" s="82" t="str">
        <f>IF(ISNUMBER(outYear),QJY37+QJY42+#REF!+#REF!,"")</f>
        <v/>
      </c>
      <c r="QJZ57" s="82" t="str">
        <f>IF(ISNUMBER(outYear),QJZ37+QJZ42+#REF!+#REF!,"")</f>
        <v/>
      </c>
      <c r="QKA57" s="82" t="str">
        <f>IF(ISNUMBER(outYear),QKA37+QKA42+#REF!+#REF!,"")</f>
        <v/>
      </c>
      <c r="QKB57" s="82" t="str">
        <f>IF(ISNUMBER(outYear),QKB37+QKB42+#REF!+#REF!,"")</f>
        <v/>
      </c>
      <c r="QKC57" s="82" t="str">
        <f>IF(ISNUMBER(outYear),QKC37+QKC42+#REF!+#REF!,"")</f>
        <v/>
      </c>
      <c r="QKD57" s="82" t="str">
        <f>IF(ISNUMBER(outYear),QKD37+QKD42+#REF!+#REF!,"")</f>
        <v/>
      </c>
      <c r="QKE57" s="82" t="str">
        <f>IF(ISNUMBER(outYear),QKE37+QKE42+#REF!+#REF!,"")</f>
        <v/>
      </c>
      <c r="QKF57" s="82" t="str">
        <f>IF(ISNUMBER(outYear),QKF37+QKF42+#REF!+#REF!,"")</f>
        <v/>
      </c>
      <c r="QKG57" s="82" t="str">
        <f>IF(ISNUMBER(outYear),QKG37+QKG42+#REF!+#REF!,"")</f>
        <v/>
      </c>
      <c r="QKH57" s="82" t="str">
        <f>IF(ISNUMBER(outYear),QKH37+QKH42+#REF!+#REF!,"")</f>
        <v/>
      </c>
      <c r="QKI57" s="82" t="str">
        <f>IF(ISNUMBER(outYear),QKI37+QKI42+#REF!+#REF!,"")</f>
        <v/>
      </c>
      <c r="QKJ57" s="82" t="str">
        <f>IF(ISNUMBER(outYear),QKJ37+QKJ42+#REF!+#REF!,"")</f>
        <v/>
      </c>
      <c r="QKK57" s="82" t="str">
        <f>IF(ISNUMBER(outYear),QKK37+QKK42+#REF!+#REF!,"")</f>
        <v/>
      </c>
      <c r="QKL57" s="82" t="str">
        <f>IF(ISNUMBER(outYear),QKL37+QKL42+#REF!+#REF!,"")</f>
        <v/>
      </c>
      <c r="QKM57" s="82" t="str">
        <f>IF(ISNUMBER(outYear),QKM37+QKM42+#REF!+#REF!,"")</f>
        <v/>
      </c>
      <c r="QKN57" s="82" t="str">
        <f>IF(ISNUMBER(outYear),QKN37+QKN42+#REF!+#REF!,"")</f>
        <v/>
      </c>
      <c r="QKO57" s="82" t="str">
        <f>IF(ISNUMBER(outYear),QKO37+QKO42+#REF!+#REF!,"")</f>
        <v/>
      </c>
      <c r="QKP57" s="82" t="str">
        <f>IF(ISNUMBER(outYear),QKP37+QKP42+#REF!+#REF!,"")</f>
        <v/>
      </c>
      <c r="QKQ57" s="82" t="str">
        <f>IF(ISNUMBER(outYear),QKQ37+QKQ42+#REF!+#REF!,"")</f>
        <v/>
      </c>
      <c r="QKR57" s="82" t="str">
        <f>IF(ISNUMBER(outYear),QKR37+QKR42+#REF!+#REF!,"")</f>
        <v/>
      </c>
      <c r="QKS57" s="82" t="str">
        <f>IF(ISNUMBER(outYear),QKS37+QKS42+#REF!+#REF!,"")</f>
        <v/>
      </c>
      <c r="QKT57" s="82" t="str">
        <f>IF(ISNUMBER(outYear),QKT37+QKT42+#REF!+#REF!,"")</f>
        <v/>
      </c>
      <c r="QKU57" s="82" t="str">
        <f>IF(ISNUMBER(outYear),QKU37+QKU42+#REF!+#REF!,"")</f>
        <v/>
      </c>
      <c r="QKV57" s="82" t="str">
        <f>IF(ISNUMBER(outYear),QKV37+QKV42+#REF!+#REF!,"")</f>
        <v/>
      </c>
      <c r="QKW57" s="82" t="str">
        <f>IF(ISNUMBER(outYear),QKW37+QKW42+#REF!+#REF!,"")</f>
        <v/>
      </c>
      <c r="QKX57" s="82" t="str">
        <f>IF(ISNUMBER(outYear),QKX37+QKX42+#REF!+#REF!,"")</f>
        <v/>
      </c>
      <c r="QKY57" s="82" t="str">
        <f>IF(ISNUMBER(outYear),QKY37+QKY42+#REF!+#REF!,"")</f>
        <v/>
      </c>
      <c r="QKZ57" s="82" t="str">
        <f>IF(ISNUMBER(outYear),QKZ37+QKZ42+#REF!+#REF!,"")</f>
        <v/>
      </c>
      <c r="QLA57" s="82" t="str">
        <f>IF(ISNUMBER(outYear),QLA37+QLA42+#REF!+#REF!,"")</f>
        <v/>
      </c>
      <c r="QLB57" s="82" t="str">
        <f>IF(ISNUMBER(outYear),QLB37+QLB42+#REF!+#REF!,"")</f>
        <v/>
      </c>
      <c r="QLC57" s="82" t="str">
        <f>IF(ISNUMBER(outYear),QLC37+QLC42+#REF!+#REF!,"")</f>
        <v/>
      </c>
      <c r="QLD57" s="82" t="str">
        <f>IF(ISNUMBER(outYear),QLD37+QLD42+#REF!+#REF!,"")</f>
        <v/>
      </c>
      <c r="QLE57" s="82" t="str">
        <f>IF(ISNUMBER(outYear),QLE37+QLE42+#REF!+#REF!,"")</f>
        <v/>
      </c>
      <c r="QLF57" s="82" t="str">
        <f>IF(ISNUMBER(outYear),QLF37+QLF42+#REF!+#REF!,"")</f>
        <v/>
      </c>
      <c r="QLG57" s="82" t="str">
        <f>IF(ISNUMBER(outYear),QLG37+QLG42+#REF!+#REF!,"")</f>
        <v/>
      </c>
      <c r="QLH57" s="82" t="str">
        <f>IF(ISNUMBER(outYear),QLH37+QLH42+#REF!+#REF!,"")</f>
        <v/>
      </c>
      <c r="QLI57" s="82" t="str">
        <f>IF(ISNUMBER(outYear),QLI37+QLI42+#REF!+#REF!,"")</f>
        <v/>
      </c>
      <c r="QLJ57" s="82" t="str">
        <f>IF(ISNUMBER(outYear),QLJ37+QLJ42+#REF!+#REF!,"")</f>
        <v/>
      </c>
      <c r="QLK57" s="82" t="str">
        <f>IF(ISNUMBER(outYear),QLK37+QLK42+#REF!+#REF!,"")</f>
        <v/>
      </c>
      <c r="QLL57" s="82" t="str">
        <f>IF(ISNUMBER(outYear),QLL37+QLL42+#REF!+#REF!,"")</f>
        <v/>
      </c>
      <c r="QLM57" s="82" t="str">
        <f>IF(ISNUMBER(outYear),QLM37+QLM42+#REF!+#REF!,"")</f>
        <v/>
      </c>
      <c r="QLN57" s="82" t="str">
        <f>IF(ISNUMBER(outYear),QLN37+QLN42+#REF!+#REF!,"")</f>
        <v/>
      </c>
      <c r="QLO57" s="82" t="str">
        <f>IF(ISNUMBER(outYear),QLO37+QLO42+#REF!+#REF!,"")</f>
        <v/>
      </c>
      <c r="QLP57" s="82" t="str">
        <f>IF(ISNUMBER(outYear),QLP37+QLP42+#REF!+#REF!,"")</f>
        <v/>
      </c>
      <c r="QLQ57" s="82" t="str">
        <f>IF(ISNUMBER(outYear),QLQ37+QLQ42+#REF!+#REF!,"")</f>
        <v/>
      </c>
      <c r="QLR57" s="82" t="str">
        <f>IF(ISNUMBER(outYear),QLR37+QLR42+#REF!+#REF!,"")</f>
        <v/>
      </c>
      <c r="QLS57" s="82" t="str">
        <f>IF(ISNUMBER(outYear),QLS37+QLS42+#REF!+#REF!,"")</f>
        <v/>
      </c>
      <c r="QLT57" s="82" t="str">
        <f>IF(ISNUMBER(outYear),QLT37+QLT42+#REF!+#REF!,"")</f>
        <v/>
      </c>
      <c r="QLU57" s="82" t="str">
        <f>IF(ISNUMBER(outYear),QLU37+QLU42+#REF!+#REF!,"")</f>
        <v/>
      </c>
      <c r="QLV57" s="82" t="str">
        <f>IF(ISNUMBER(outYear),QLV37+QLV42+#REF!+#REF!,"")</f>
        <v/>
      </c>
      <c r="QLW57" s="82" t="str">
        <f>IF(ISNUMBER(outYear),QLW37+QLW42+#REF!+#REF!,"")</f>
        <v/>
      </c>
      <c r="QLX57" s="82" t="str">
        <f>IF(ISNUMBER(outYear),QLX37+QLX42+#REF!+#REF!,"")</f>
        <v/>
      </c>
      <c r="QLY57" s="82" t="str">
        <f>IF(ISNUMBER(outYear),QLY37+QLY42+#REF!+#REF!,"")</f>
        <v/>
      </c>
      <c r="QLZ57" s="82" t="str">
        <f>IF(ISNUMBER(outYear),QLZ37+QLZ42+#REF!+#REF!,"")</f>
        <v/>
      </c>
      <c r="QMA57" s="82" t="str">
        <f>IF(ISNUMBER(outYear),QMA37+QMA42+#REF!+#REF!,"")</f>
        <v/>
      </c>
      <c r="QMB57" s="82" t="str">
        <f>IF(ISNUMBER(outYear),QMB37+QMB42+#REF!+#REF!,"")</f>
        <v/>
      </c>
      <c r="QMC57" s="82" t="str">
        <f>IF(ISNUMBER(outYear),QMC37+QMC42+#REF!+#REF!,"")</f>
        <v/>
      </c>
      <c r="QMD57" s="82" t="str">
        <f>IF(ISNUMBER(outYear),QMD37+QMD42+#REF!+#REF!,"")</f>
        <v/>
      </c>
      <c r="QME57" s="82" t="str">
        <f>IF(ISNUMBER(outYear),QME37+QME42+#REF!+#REF!,"")</f>
        <v/>
      </c>
      <c r="QMF57" s="82" t="str">
        <f>IF(ISNUMBER(outYear),QMF37+QMF42+#REF!+#REF!,"")</f>
        <v/>
      </c>
      <c r="QMG57" s="82" t="str">
        <f>IF(ISNUMBER(outYear),QMG37+QMG42+#REF!+#REF!,"")</f>
        <v/>
      </c>
      <c r="QMH57" s="82" t="str">
        <f>IF(ISNUMBER(outYear),QMH37+QMH42+#REF!+#REF!,"")</f>
        <v/>
      </c>
      <c r="QMI57" s="82" t="str">
        <f>IF(ISNUMBER(outYear),QMI37+QMI42+#REF!+#REF!,"")</f>
        <v/>
      </c>
      <c r="QMJ57" s="82" t="str">
        <f>IF(ISNUMBER(outYear),QMJ37+QMJ42+#REF!+#REF!,"")</f>
        <v/>
      </c>
      <c r="QMK57" s="82" t="str">
        <f>IF(ISNUMBER(outYear),QMK37+QMK42+#REF!+#REF!,"")</f>
        <v/>
      </c>
      <c r="QML57" s="82" t="str">
        <f>IF(ISNUMBER(outYear),QML37+QML42+#REF!+#REF!,"")</f>
        <v/>
      </c>
      <c r="QMM57" s="82" t="str">
        <f>IF(ISNUMBER(outYear),QMM37+QMM42+#REF!+#REF!,"")</f>
        <v/>
      </c>
      <c r="QMN57" s="82" t="str">
        <f>IF(ISNUMBER(outYear),QMN37+QMN42+#REF!+#REF!,"")</f>
        <v/>
      </c>
      <c r="QMO57" s="82" t="str">
        <f>IF(ISNUMBER(outYear),QMO37+QMO42+#REF!+#REF!,"")</f>
        <v/>
      </c>
      <c r="QMP57" s="82" t="str">
        <f>IF(ISNUMBER(outYear),QMP37+QMP42+#REF!+#REF!,"")</f>
        <v/>
      </c>
      <c r="QMQ57" s="82" t="str">
        <f>IF(ISNUMBER(outYear),QMQ37+QMQ42+#REF!+#REF!,"")</f>
        <v/>
      </c>
      <c r="QMR57" s="82" t="str">
        <f>IF(ISNUMBER(outYear),QMR37+QMR42+#REF!+#REF!,"")</f>
        <v/>
      </c>
      <c r="QMS57" s="82" t="str">
        <f>IF(ISNUMBER(outYear),QMS37+QMS42+#REF!+#REF!,"")</f>
        <v/>
      </c>
      <c r="QMT57" s="82" t="str">
        <f>IF(ISNUMBER(outYear),QMT37+QMT42+#REF!+#REF!,"")</f>
        <v/>
      </c>
      <c r="QMU57" s="82" t="str">
        <f>IF(ISNUMBER(outYear),QMU37+QMU42+#REF!+#REF!,"")</f>
        <v/>
      </c>
      <c r="QMV57" s="82" t="str">
        <f>IF(ISNUMBER(outYear),QMV37+QMV42+#REF!+#REF!,"")</f>
        <v/>
      </c>
      <c r="QMW57" s="82" t="str">
        <f>IF(ISNUMBER(outYear),QMW37+QMW42+#REF!+#REF!,"")</f>
        <v/>
      </c>
      <c r="QMX57" s="82" t="str">
        <f>IF(ISNUMBER(outYear),QMX37+QMX42+#REF!+#REF!,"")</f>
        <v/>
      </c>
      <c r="QMY57" s="82" t="str">
        <f>IF(ISNUMBER(outYear),QMY37+QMY42+#REF!+#REF!,"")</f>
        <v/>
      </c>
      <c r="QMZ57" s="82" t="str">
        <f>IF(ISNUMBER(outYear),QMZ37+QMZ42+#REF!+#REF!,"")</f>
        <v/>
      </c>
      <c r="QNA57" s="82" t="str">
        <f>IF(ISNUMBER(outYear),QNA37+QNA42+#REF!+#REF!,"")</f>
        <v/>
      </c>
      <c r="QNB57" s="82" t="str">
        <f>IF(ISNUMBER(outYear),QNB37+QNB42+#REF!+#REF!,"")</f>
        <v/>
      </c>
      <c r="QNC57" s="82" t="str">
        <f>IF(ISNUMBER(outYear),QNC37+QNC42+#REF!+#REF!,"")</f>
        <v/>
      </c>
      <c r="QND57" s="82" t="str">
        <f>IF(ISNUMBER(outYear),QND37+QND42+#REF!+#REF!,"")</f>
        <v/>
      </c>
      <c r="QNE57" s="82" t="str">
        <f>IF(ISNUMBER(outYear),QNE37+QNE42+#REF!+#REF!,"")</f>
        <v/>
      </c>
      <c r="QNF57" s="82" t="str">
        <f>IF(ISNUMBER(outYear),QNF37+QNF42+#REF!+#REF!,"")</f>
        <v/>
      </c>
      <c r="QNG57" s="82" t="str">
        <f>IF(ISNUMBER(outYear),QNG37+QNG42+#REF!+#REF!,"")</f>
        <v/>
      </c>
      <c r="QNH57" s="82" t="str">
        <f>IF(ISNUMBER(outYear),QNH37+QNH42+#REF!+#REF!,"")</f>
        <v/>
      </c>
      <c r="QNI57" s="82" t="str">
        <f>IF(ISNUMBER(outYear),QNI37+QNI42+#REF!+#REF!,"")</f>
        <v/>
      </c>
      <c r="QNJ57" s="82" t="str">
        <f>IF(ISNUMBER(outYear),QNJ37+QNJ42+#REF!+#REF!,"")</f>
        <v/>
      </c>
      <c r="QNK57" s="82" t="str">
        <f>IF(ISNUMBER(outYear),QNK37+QNK42+#REF!+#REF!,"")</f>
        <v/>
      </c>
      <c r="QNL57" s="82" t="str">
        <f>IF(ISNUMBER(outYear),QNL37+QNL42+#REF!+#REF!,"")</f>
        <v/>
      </c>
      <c r="QNM57" s="82" t="str">
        <f>IF(ISNUMBER(outYear),QNM37+QNM42+#REF!+#REF!,"")</f>
        <v/>
      </c>
      <c r="QNN57" s="82" t="str">
        <f>IF(ISNUMBER(outYear),QNN37+QNN42+#REF!+#REF!,"")</f>
        <v/>
      </c>
      <c r="QNO57" s="82" t="str">
        <f>IF(ISNUMBER(outYear),QNO37+QNO42+#REF!+#REF!,"")</f>
        <v/>
      </c>
      <c r="QNP57" s="82" t="str">
        <f>IF(ISNUMBER(outYear),QNP37+QNP42+#REF!+#REF!,"")</f>
        <v/>
      </c>
      <c r="QNQ57" s="82" t="str">
        <f>IF(ISNUMBER(outYear),QNQ37+QNQ42+#REF!+#REF!,"")</f>
        <v/>
      </c>
      <c r="QNR57" s="82" t="str">
        <f>IF(ISNUMBER(outYear),QNR37+QNR42+#REF!+#REF!,"")</f>
        <v/>
      </c>
      <c r="QNS57" s="82" t="str">
        <f>IF(ISNUMBER(outYear),QNS37+QNS42+#REF!+#REF!,"")</f>
        <v/>
      </c>
      <c r="QNT57" s="82" t="str">
        <f>IF(ISNUMBER(outYear),QNT37+QNT42+#REF!+#REF!,"")</f>
        <v/>
      </c>
      <c r="QNU57" s="82" t="str">
        <f>IF(ISNUMBER(outYear),QNU37+QNU42+#REF!+#REF!,"")</f>
        <v/>
      </c>
      <c r="QNV57" s="82" t="str">
        <f>IF(ISNUMBER(outYear),QNV37+QNV42+#REF!+#REF!,"")</f>
        <v/>
      </c>
      <c r="QNW57" s="82" t="str">
        <f>IF(ISNUMBER(outYear),QNW37+QNW42+#REF!+#REF!,"")</f>
        <v/>
      </c>
      <c r="QNX57" s="82" t="str">
        <f>IF(ISNUMBER(outYear),QNX37+QNX42+#REF!+#REF!,"")</f>
        <v/>
      </c>
      <c r="QNY57" s="82" t="str">
        <f>IF(ISNUMBER(outYear),QNY37+QNY42+#REF!+#REF!,"")</f>
        <v/>
      </c>
      <c r="QNZ57" s="82" t="str">
        <f>IF(ISNUMBER(outYear),QNZ37+QNZ42+#REF!+#REF!,"")</f>
        <v/>
      </c>
      <c r="QOA57" s="82" t="str">
        <f>IF(ISNUMBER(outYear),QOA37+QOA42+#REF!+#REF!,"")</f>
        <v/>
      </c>
      <c r="QOB57" s="82" t="str">
        <f>IF(ISNUMBER(outYear),QOB37+QOB42+#REF!+#REF!,"")</f>
        <v/>
      </c>
      <c r="QOC57" s="82" t="str">
        <f>IF(ISNUMBER(outYear),QOC37+QOC42+#REF!+#REF!,"")</f>
        <v/>
      </c>
      <c r="QOD57" s="82" t="str">
        <f>IF(ISNUMBER(outYear),QOD37+QOD42+#REF!+#REF!,"")</f>
        <v/>
      </c>
      <c r="QOE57" s="82" t="str">
        <f>IF(ISNUMBER(outYear),QOE37+QOE42+#REF!+#REF!,"")</f>
        <v/>
      </c>
      <c r="QOF57" s="82" t="str">
        <f>IF(ISNUMBER(outYear),QOF37+QOF42+#REF!+#REF!,"")</f>
        <v/>
      </c>
      <c r="QOG57" s="82" t="str">
        <f>IF(ISNUMBER(outYear),QOG37+QOG42+#REF!+#REF!,"")</f>
        <v/>
      </c>
      <c r="QOH57" s="82" t="str">
        <f>IF(ISNUMBER(outYear),QOH37+QOH42+#REF!+#REF!,"")</f>
        <v/>
      </c>
      <c r="QOI57" s="82" t="str">
        <f>IF(ISNUMBER(outYear),QOI37+QOI42+#REF!+#REF!,"")</f>
        <v/>
      </c>
      <c r="QOJ57" s="82" t="str">
        <f>IF(ISNUMBER(outYear),QOJ37+QOJ42+#REF!+#REF!,"")</f>
        <v/>
      </c>
      <c r="QOK57" s="82" t="str">
        <f>IF(ISNUMBER(outYear),QOK37+QOK42+#REF!+#REF!,"")</f>
        <v/>
      </c>
      <c r="QOL57" s="82" t="str">
        <f>IF(ISNUMBER(outYear),QOL37+QOL42+#REF!+#REF!,"")</f>
        <v/>
      </c>
      <c r="QOM57" s="82" t="str">
        <f>IF(ISNUMBER(outYear),QOM37+QOM42+#REF!+#REF!,"")</f>
        <v/>
      </c>
      <c r="QON57" s="82" t="str">
        <f>IF(ISNUMBER(outYear),QON37+QON42+#REF!+#REF!,"")</f>
        <v/>
      </c>
      <c r="QOO57" s="82" t="str">
        <f>IF(ISNUMBER(outYear),QOO37+QOO42+#REF!+#REF!,"")</f>
        <v/>
      </c>
      <c r="QOP57" s="82" t="str">
        <f>IF(ISNUMBER(outYear),QOP37+QOP42+#REF!+#REF!,"")</f>
        <v/>
      </c>
      <c r="QOQ57" s="82" t="str">
        <f>IF(ISNUMBER(outYear),QOQ37+QOQ42+#REF!+#REF!,"")</f>
        <v/>
      </c>
      <c r="QOR57" s="82" t="str">
        <f>IF(ISNUMBER(outYear),QOR37+QOR42+#REF!+#REF!,"")</f>
        <v/>
      </c>
      <c r="QOS57" s="82" t="str">
        <f>IF(ISNUMBER(outYear),QOS37+QOS42+#REF!+#REF!,"")</f>
        <v/>
      </c>
      <c r="QOT57" s="82" t="str">
        <f>IF(ISNUMBER(outYear),QOT37+QOT42+#REF!+#REF!,"")</f>
        <v/>
      </c>
      <c r="QOU57" s="82" t="str">
        <f>IF(ISNUMBER(outYear),QOU37+QOU42+#REF!+#REF!,"")</f>
        <v/>
      </c>
      <c r="QOV57" s="82" t="str">
        <f>IF(ISNUMBER(outYear),QOV37+QOV42+#REF!+#REF!,"")</f>
        <v/>
      </c>
      <c r="QOW57" s="82" t="str">
        <f>IF(ISNUMBER(outYear),QOW37+QOW42+#REF!+#REF!,"")</f>
        <v/>
      </c>
      <c r="QOX57" s="82" t="str">
        <f>IF(ISNUMBER(outYear),QOX37+QOX42+#REF!+#REF!,"")</f>
        <v/>
      </c>
      <c r="QOY57" s="82" t="str">
        <f>IF(ISNUMBER(outYear),QOY37+QOY42+#REF!+#REF!,"")</f>
        <v/>
      </c>
      <c r="QOZ57" s="82" t="str">
        <f>IF(ISNUMBER(outYear),QOZ37+QOZ42+#REF!+#REF!,"")</f>
        <v/>
      </c>
      <c r="QPA57" s="82" t="str">
        <f>IF(ISNUMBER(outYear),QPA37+QPA42+#REF!+#REF!,"")</f>
        <v/>
      </c>
      <c r="QPB57" s="82" t="str">
        <f>IF(ISNUMBER(outYear),QPB37+QPB42+#REF!+#REF!,"")</f>
        <v/>
      </c>
      <c r="QPC57" s="82" t="str">
        <f>IF(ISNUMBER(outYear),QPC37+QPC42+#REF!+#REF!,"")</f>
        <v/>
      </c>
      <c r="QPD57" s="82" t="str">
        <f>IF(ISNUMBER(outYear),QPD37+QPD42+#REF!+#REF!,"")</f>
        <v/>
      </c>
      <c r="QPE57" s="82" t="str">
        <f>IF(ISNUMBER(outYear),QPE37+QPE42+#REF!+#REF!,"")</f>
        <v/>
      </c>
      <c r="QPF57" s="82" t="str">
        <f>IF(ISNUMBER(outYear),QPF37+QPF42+#REF!+#REF!,"")</f>
        <v/>
      </c>
      <c r="QPG57" s="82" t="str">
        <f>IF(ISNUMBER(outYear),QPG37+QPG42+#REF!+#REF!,"")</f>
        <v/>
      </c>
      <c r="QPH57" s="82" t="str">
        <f>IF(ISNUMBER(outYear),QPH37+QPH42+#REF!+#REF!,"")</f>
        <v/>
      </c>
      <c r="QPI57" s="82" t="str">
        <f>IF(ISNUMBER(outYear),QPI37+QPI42+#REF!+#REF!,"")</f>
        <v/>
      </c>
      <c r="QPJ57" s="82" t="str">
        <f>IF(ISNUMBER(outYear),QPJ37+QPJ42+#REF!+#REF!,"")</f>
        <v/>
      </c>
      <c r="QPK57" s="82" t="str">
        <f>IF(ISNUMBER(outYear),QPK37+QPK42+#REF!+#REF!,"")</f>
        <v/>
      </c>
      <c r="QPL57" s="82" t="str">
        <f>IF(ISNUMBER(outYear),QPL37+QPL42+#REF!+#REF!,"")</f>
        <v/>
      </c>
      <c r="QPM57" s="82" t="str">
        <f>IF(ISNUMBER(outYear),QPM37+QPM42+#REF!+#REF!,"")</f>
        <v/>
      </c>
      <c r="QPN57" s="82" t="str">
        <f>IF(ISNUMBER(outYear),QPN37+QPN42+#REF!+#REF!,"")</f>
        <v/>
      </c>
      <c r="QPO57" s="82" t="str">
        <f>IF(ISNUMBER(outYear),QPO37+QPO42+#REF!+#REF!,"")</f>
        <v/>
      </c>
      <c r="QPP57" s="82" t="str">
        <f>IF(ISNUMBER(outYear),QPP37+QPP42+#REF!+#REF!,"")</f>
        <v/>
      </c>
      <c r="QPQ57" s="82" t="str">
        <f>IF(ISNUMBER(outYear),QPQ37+QPQ42+#REF!+#REF!,"")</f>
        <v/>
      </c>
      <c r="QPR57" s="82" t="str">
        <f>IF(ISNUMBER(outYear),QPR37+QPR42+#REF!+#REF!,"")</f>
        <v/>
      </c>
      <c r="QPS57" s="82" t="str">
        <f>IF(ISNUMBER(outYear),QPS37+QPS42+#REF!+#REF!,"")</f>
        <v/>
      </c>
      <c r="QPT57" s="82" t="str">
        <f>IF(ISNUMBER(outYear),QPT37+QPT42+#REF!+#REF!,"")</f>
        <v/>
      </c>
      <c r="QPU57" s="82" t="str">
        <f>IF(ISNUMBER(outYear),QPU37+QPU42+#REF!+#REF!,"")</f>
        <v/>
      </c>
      <c r="QPV57" s="82" t="str">
        <f>IF(ISNUMBER(outYear),QPV37+QPV42+#REF!+#REF!,"")</f>
        <v/>
      </c>
      <c r="QPW57" s="82" t="str">
        <f>IF(ISNUMBER(outYear),QPW37+QPW42+#REF!+#REF!,"")</f>
        <v/>
      </c>
      <c r="QPX57" s="82" t="str">
        <f>IF(ISNUMBER(outYear),QPX37+QPX42+#REF!+#REF!,"")</f>
        <v/>
      </c>
      <c r="QPY57" s="82" t="str">
        <f>IF(ISNUMBER(outYear),QPY37+QPY42+#REF!+#REF!,"")</f>
        <v/>
      </c>
      <c r="QPZ57" s="82" t="str">
        <f>IF(ISNUMBER(outYear),QPZ37+QPZ42+#REF!+#REF!,"")</f>
        <v/>
      </c>
      <c r="QQA57" s="82" t="str">
        <f>IF(ISNUMBER(outYear),QQA37+QQA42+#REF!+#REF!,"")</f>
        <v/>
      </c>
      <c r="QQB57" s="82" t="str">
        <f>IF(ISNUMBER(outYear),QQB37+QQB42+#REF!+#REF!,"")</f>
        <v/>
      </c>
      <c r="QQC57" s="82" t="str">
        <f>IF(ISNUMBER(outYear),QQC37+QQC42+#REF!+#REF!,"")</f>
        <v/>
      </c>
      <c r="QQD57" s="82" t="str">
        <f>IF(ISNUMBER(outYear),QQD37+QQD42+#REF!+#REF!,"")</f>
        <v/>
      </c>
      <c r="QQE57" s="82" t="str">
        <f>IF(ISNUMBER(outYear),QQE37+QQE42+#REF!+#REF!,"")</f>
        <v/>
      </c>
      <c r="QQF57" s="82" t="str">
        <f>IF(ISNUMBER(outYear),QQF37+QQF42+#REF!+#REF!,"")</f>
        <v/>
      </c>
      <c r="QQG57" s="82" t="str">
        <f>IF(ISNUMBER(outYear),QQG37+QQG42+#REF!+#REF!,"")</f>
        <v/>
      </c>
      <c r="QQH57" s="82" t="str">
        <f>IF(ISNUMBER(outYear),QQH37+QQH42+#REF!+#REF!,"")</f>
        <v/>
      </c>
      <c r="QQI57" s="82" t="str">
        <f>IF(ISNUMBER(outYear),QQI37+QQI42+#REF!+#REF!,"")</f>
        <v/>
      </c>
      <c r="QQJ57" s="82" t="str">
        <f>IF(ISNUMBER(outYear),QQJ37+QQJ42+#REF!+#REF!,"")</f>
        <v/>
      </c>
      <c r="QQK57" s="82" t="str">
        <f>IF(ISNUMBER(outYear),QQK37+QQK42+#REF!+#REF!,"")</f>
        <v/>
      </c>
      <c r="QQL57" s="82" t="str">
        <f>IF(ISNUMBER(outYear),QQL37+QQL42+#REF!+#REF!,"")</f>
        <v/>
      </c>
      <c r="QQM57" s="82" t="str">
        <f>IF(ISNUMBER(outYear),QQM37+QQM42+#REF!+#REF!,"")</f>
        <v/>
      </c>
      <c r="QQN57" s="82" t="str">
        <f>IF(ISNUMBER(outYear),QQN37+QQN42+#REF!+#REF!,"")</f>
        <v/>
      </c>
      <c r="QQO57" s="82" t="str">
        <f>IF(ISNUMBER(outYear),QQO37+QQO42+#REF!+#REF!,"")</f>
        <v/>
      </c>
      <c r="QQP57" s="82" t="str">
        <f>IF(ISNUMBER(outYear),QQP37+QQP42+#REF!+#REF!,"")</f>
        <v/>
      </c>
      <c r="QQQ57" s="82" t="str">
        <f>IF(ISNUMBER(outYear),QQQ37+QQQ42+#REF!+#REF!,"")</f>
        <v/>
      </c>
      <c r="QQR57" s="82" t="str">
        <f>IF(ISNUMBER(outYear),QQR37+QQR42+#REF!+#REF!,"")</f>
        <v/>
      </c>
      <c r="QQS57" s="82" t="str">
        <f>IF(ISNUMBER(outYear),QQS37+QQS42+#REF!+#REF!,"")</f>
        <v/>
      </c>
      <c r="QQT57" s="82" t="str">
        <f>IF(ISNUMBER(outYear),QQT37+QQT42+#REF!+#REF!,"")</f>
        <v/>
      </c>
      <c r="QQU57" s="82" t="str">
        <f>IF(ISNUMBER(outYear),QQU37+QQU42+#REF!+#REF!,"")</f>
        <v/>
      </c>
      <c r="QQV57" s="82" t="str">
        <f>IF(ISNUMBER(outYear),QQV37+QQV42+#REF!+#REF!,"")</f>
        <v/>
      </c>
      <c r="QQW57" s="82" t="str">
        <f>IF(ISNUMBER(outYear),QQW37+QQW42+#REF!+#REF!,"")</f>
        <v/>
      </c>
      <c r="QQX57" s="82" t="str">
        <f>IF(ISNUMBER(outYear),QQX37+QQX42+#REF!+#REF!,"")</f>
        <v/>
      </c>
      <c r="QQY57" s="82" t="str">
        <f>IF(ISNUMBER(outYear),QQY37+QQY42+#REF!+#REF!,"")</f>
        <v/>
      </c>
      <c r="QQZ57" s="82" t="str">
        <f>IF(ISNUMBER(outYear),QQZ37+QQZ42+#REF!+#REF!,"")</f>
        <v/>
      </c>
      <c r="QRA57" s="82" t="str">
        <f>IF(ISNUMBER(outYear),QRA37+QRA42+#REF!+#REF!,"")</f>
        <v/>
      </c>
      <c r="QRB57" s="82" t="str">
        <f>IF(ISNUMBER(outYear),QRB37+QRB42+#REF!+#REF!,"")</f>
        <v/>
      </c>
      <c r="QRC57" s="82" t="str">
        <f>IF(ISNUMBER(outYear),QRC37+QRC42+#REF!+#REF!,"")</f>
        <v/>
      </c>
      <c r="QRD57" s="82" t="str">
        <f>IF(ISNUMBER(outYear),QRD37+QRD42+#REF!+#REF!,"")</f>
        <v/>
      </c>
      <c r="QRE57" s="82" t="str">
        <f>IF(ISNUMBER(outYear),QRE37+QRE42+#REF!+#REF!,"")</f>
        <v/>
      </c>
      <c r="QRF57" s="82" t="str">
        <f>IF(ISNUMBER(outYear),QRF37+QRF42+#REF!+#REF!,"")</f>
        <v/>
      </c>
      <c r="QRG57" s="82" t="str">
        <f>IF(ISNUMBER(outYear),QRG37+QRG42+#REF!+#REF!,"")</f>
        <v/>
      </c>
      <c r="QRH57" s="82" t="str">
        <f>IF(ISNUMBER(outYear),QRH37+QRH42+#REF!+#REF!,"")</f>
        <v/>
      </c>
      <c r="QRI57" s="82" t="str">
        <f>IF(ISNUMBER(outYear),QRI37+QRI42+#REF!+#REF!,"")</f>
        <v/>
      </c>
      <c r="QRJ57" s="82" t="str">
        <f>IF(ISNUMBER(outYear),QRJ37+QRJ42+#REF!+#REF!,"")</f>
        <v/>
      </c>
      <c r="QRK57" s="82" t="str">
        <f>IF(ISNUMBER(outYear),QRK37+QRK42+#REF!+#REF!,"")</f>
        <v/>
      </c>
      <c r="QRL57" s="82" t="str">
        <f>IF(ISNUMBER(outYear),QRL37+QRL42+#REF!+#REF!,"")</f>
        <v/>
      </c>
      <c r="QRM57" s="82" t="str">
        <f>IF(ISNUMBER(outYear),QRM37+QRM42+#REF!+#REF!,"")</f>
        <v/>
      </c>
      <c r="QRN57" s="82" t="str">
        <f>IF(ISNUMBER(outYear),QRN37+QRN42+#REF!+#REF!,"")</f>
        <v/>
      </c>
      <c r="QRO57" s="82" t="str">
        <f>IF(ISNUMBER(outYear),QRO37+QRO42+#REF!+#REF!,"")</f>
        <v/>
      </c>
      <c r="QRP57" s="82" t="str">
        <f>IF(ISNUMBER(outYear),QRP37+QRP42+#REF!+#REF!,"")</f>
        <v/>
      </c>
      <c r="QRQ57" s="82" t="str">
        <f>IF(ISNUMBER(outYear),QRQ37+QRQ42+#REF!+#REF!,"")</f>
        <v/>
      </c>
      <c r="QRR57" s="82" t="str">
        <f>IF(ISNUMBER(outYear),QRR37+QRR42+#REF!+#REF!,"")</f>
        <v/>
      </c>
      <c r="QRS57" s="82" t="str">
        <f>IF(ISNUMBER(outYear),QRS37+QRS42+#REF!+#REF!,"")</f>
        <v/>
      </c>
      <c r="QRT57" s="82" t="str">
        <f>IF(ISNUMBER(outYear),QRT37+QRT42+#REF!+#REF!,"")</f>
        <v/>
      </c>
      <c r="QRU57" s="82" t="str">
        <f>IF(ISNUMBER(outYear),QRU37+QRU42+#REF!+#REF!,"")</f>
        <v/>
      </c>
      <c r="QRV57" s="82" t="str">
        <f>IF(ISNUMBER(outYear),QRV37+QRV42+#REF!+#REF!,"")</f>
        <v/>
      </c>
      <c r="QRW57" s="82" t="str">
        <f>IF(ISNUMBER(outYear),QRW37+QRW42+#REF!+#REF!,"")</f>
        <v/>
      </c>
      <c r="QRX57" s="82" t="str">
        <f>IF(ISNUMBER(outYear),QRX37+QRX42+#REF!+#REF!,"")</f>
        <v/>
      </c>
      <c r="QRY57" s="82" t="str">
        <f>IF(ISNUMBER(outYear),QRY37+QRY42+#REF!+#REF!,"")</f>
        <v/>
      </c>
      <c r="QRZ57" s="82" t="str">
        <f>IF(ISNUMBER(outYear),QRZ37+QRZ42+#REF!+#REF!,"")</f>
        <v/>
      </c>
      <c r="QSA57" s="82" t="str">
        <f>IF(ISNUMBER(outYear),QSA37+QSA42+#REF!+#REF!,"")</f>
        <v/>
      </c>
      <c r="QSB57" s="82" t="str">
        <f>IF(ISNUMBER(outYear),QSB37+QSB42+#REF!+#REF!,"")</f>
        <v/>
      </c>
      <c r="QSC57" s="82" t="str">
        <f>IF(ISNUMBER(outYear),QSC37+QSC42+#REF!+#REF!,"")</f>
        <v/>
      </c>
      <c r="QSD57" s="82" t="str">
        <f>IF(ISNUMBER(outYear),QSD37+QSD42+#REF!+#REF!,"")</f>
        <v/>
      </c>
      <c r="QSE57" s="82" t="str">
        <f>IF(ISNUMBER(outYear),QSE37+QSE42+#REF!+#REF!,"")</f>
        <v/>
      </c>
      <c r="QSF57" s="82" t="str">
        <f>IF(ISNUMBER(outYear),QSF37+QSF42+#REF!+#REF!,"")</f>
        <v/>
      </c>
      <c r="QSG57" s="82" t="str">
        <f>IF(ISNUMBER(outYear),QSG37+QSG42+#REF!+#REF!,"")</f>
        <v/>
      </c>
      <c r="QSH57" s="82" t="str">
        <f>IF(ISNUMBER(outYear),QSH37+QSH42+#REF!+#REF!,"")</f>
        <v/>
      </c>
      <c r="QSI57" s="82" t="str">
        <f>IF(ISNUMBER(outYear),QSI37+QSI42+#REF!+#REF!,"")</f>
        <v/>
      </c>
      <c r="QSJ57" s="82" t="str">
        <f>IF(ISNUMBER(outYear),QSJ37+QSJ42+#REF!+#REF!,"")</f>
        <v/>
      </c>
      <c r="QSK57" s="82" t="str">
        <f>IF(ISNUMBER(outYear),QSK37+QSK42+#REF!+#REF!,"")</f>
        <v/>
      </c>
      <c r="QSL57" s="82" t="str">
        <f>IF(ISNUMBER(outYear),QSL37+QSL42+#REF!+#REF!,"")</f>
        <v/>
      </c>
      <c r="QSM57" s="82" t="str">
        <f>IF(ISNUMBER(outYear),QSM37+QSM42+#REF!+#REF!,"")</f>
        <v/>
      </c>
      <c r="QSN57" s="82" t="str">
        <f>IF(ISNUMBER(outYear),QSN37+QSN42+#REF!+#REF!,"")</f>
        <v/>
      </c>
      <c r="QSO57" s="82" t="str">
        <f>IF(ISNUMBER(outYear),QSO37+QSO42+#REF!+#REF!,"")</f>
        <v/>
      </c>
      <c r="QSP57" s="82" t="str">
        <f>IF(ISNUMBER(outYear),QSP37+QSP42+#REF!+#REF!,"")</f>
        <v/>
      </c>
      <c r="QSQ57" s="82" t="str">
        <f>IF(ISNUMBER(outYear),QSQ37+QSQ42+#REF!+#REF!,"")</f>
        <v/>
      </c>
      <c r="QSR57" s="82" t="str">
        <f>IF(ISNUMBER(outYear),QSR37+QSR42+#REF!+#REF!,"")</f>
        <v/>
      </c>
      <c r="QSS57" s="82" t="str">
        <f>IF(ISNUMBER(outYear),QSS37+QSS42+#REF!+#REF!,"")</f>
        <v/>
      </c>
      <c r="QST57" s="82" t="str">
        <f>IF(ISNUMBER(outYear),QST37+QST42+#REF!+#REF!,"")</f>
        <v/>
      </c>
      <c r="QSU57" s="82" t="str">
        <f>IF(ISNUMBER(outYear),QSU37+QSU42+#REF!+#REF!,"")</f>
        <v/>
      </c>
      <c r="QSV57" s="82" t="str">
        <f>IF(ISNUMBER(outYear),QSV37+QSV42+#REF!+#REF!,"")</f>
        <v/>
      </c>
      <c r="QSW57" s="82" t="str">
        <f>IF(ISNUMBER(outYear),QSW37+QSW42+#REF!+#REF!,"")</f>
        <v/>
      </c>
      <c r="QSX57" s="82" t="str">
        <f>IF(ISNUMBER(outYear),QSX37+QSX42+#REF!+#REF!,"")</f>
        <v/>
      </c>
      <c r="QSY57" s="82" t="str">
        <f>IF(ISNUMBER(outYear),QSY37+QSY42+#REF!+#REF!,"")</f>
        <v/>
      </c>
      <c r="QSZ57" s="82" t="str">
        <f>IF(ISNUMBER(outYear),QSZ37+QSZ42+#REF!+#REF!,"")</f>
        <v/>
      </c>
      <c r="QTA57" s="82" t="str">
        <f>IF(ISNUMBER(outYear),QTA37+QTA42+#REF!+#REF!,"")</f>
        <v/>
      </c>
      <c r="QTB57" s="82" t="str">
        <f>IF(ISNUMBER(outYear),QTB37+QTB42+#REF!+#REF!,"")</f>
        <v/>
      </c>
      <c r="QTC57" s="82" t="str">
        <f>IF(ISNUMBER(outYear),QTC37+QTC42+#REF!+#REF!,"")</f>
        <v/>
      </c>
      <c r="QTD57" s="82" t="str">
        <f>IF(ISNUMBER(outYear),QTD37+QTD42+#REF!+#REF!,"")</f>
        <v/>
      </c>
      <c r="QTE57" s="82" t="str">
        <f>IF(ISNUMBER(outYear),QTE37+QTE42+#REF!+#REF!,"")</f>
        <v/>
      </c>
      <c r="QTF57" s="82" t="str">
        <f>IF(ISNUMBER(outYear),QTF37+QTF42+#REF!+#REF!,"")</f>
        <v/>
      </c>
      <c r="QTG57" s="82" t="str">
        <f>IF(ISNUMBER(outYear),QTG37+QTG42+#REF!+#REF!,"")</f>
        <v/>
      </c>
      <c r="QTH57" s="82" t="str">
        <f>IF(ISNUMBER(outYear),QTH37+QTH42+#REF!+#REF!,"")</f>
        <v/>
      </c>
      <c r="QTI57" s="82" t="str">
        <f>IF(ISNUMBER(outYear),QTI37+QTI42+#REF!+#REF!,"")</f>
        <v/>
      </c>
      <c r="QTJ57" s="82" t="str">
        <f>IF(ISNUMBER(outYear),QTJ37+QTJ42+#REF!+#REF!,"")</f>
        <v/>
      </c>
      <c r="QTK57" s="82" t="str">
        <f>IF(ISNUMBER(outYear),QTK37+QTK42+#REF!+#REF!,"")</f>
        <v/>
      </c>
      <c r="QTL57" s="82" t="str">
        <f>IF(ISNUMBER(outYear),QTL37+QTL42+#REF!+#REF!,"")</f>
        <v/>
      </c>
      <c r="QTM57" s="82" t="str">
        <f>IF(ISNUMBER(outYear),QTM37+QTM42+#REF!+#REF!,"")</f>
        <v/>
      </c>
      <c r="QTN57" s="82" t="str">
        <f>IF(ISNUMBER(outYear),QTN37+QTN42+#REF!+#REF!,"")</f>
        <v/>
      </c>
      <c r="QTO57" s="82" t="str">
        <f>IF(ISNUMBER(outYear),QTO37+QTO42+#REF!+#REF!,"")</f>
        <v/>
      </c>
      <c r="QTP57" s="82" t="str">
        <f>IF(ISNUMBER(outYear),QTP37+QTP42+#REF!+#REF!,"")</f>
        <v/>
      </c>
      <c r="QTQ57" s="82" t="str">
        <f>IF(ISNUMBER(outYear),QTQ37+QTQ42+#REF!+#REF!,"")</f>
        <v/>
      </c>
      <c r="QTR57" s="82" t="str">
        <f>IF(ISNUMBER(outYear),QTR37+QTR42+#REF!+#REF!,"")</f>
        <v/>
      </c>
      <c r="QTS57" s="82" t="str">
        <f>IF(ISNUMBER(outYear),QTS37+QTS42+#REF!+#REF!,"")</f>
        <v/>
      </c>
      <c r="QTT57" s="82" t="str">
        <f>IF(ISNUMBER(outYear),QTT37+QTT42+#REF!+#REF!,"")</f>
        <v/>
      </c>
      <c r="QTU57" s="82" t="str">
        <f>IF(ISNUMBER(outYear),QTU37+QTU42+#REF!+#REF!,"")</f>
        <v/>
      </c>
      <c r="QTV57" s="82" t="str">
        <f>IF(ISNUMBER(outYear),QTV37+QTV42+#REF!+#REF!,"")</f>
        <v/>
      </c>
      <c r="QTW57" s="82" t="str">
        <f>IF(ISNUMBER(outYear),QTW37+QTW42+#REF!+#REF!,"")</f>
        <v/>
      </c>
      <c r="QTX57" s="82" t="str">
        <f>IF(ISNUMBER(outYear),QTX37+QTX42+#REF!+#REF!,"")</f>
        <v/>
      </c>
      <c r="QTY57" s="82" t="str">
        <f>IF(ISNUMBER(outYear),QTY37+QTY42+#REF!+#REF!,"")</f>
        <v/>
      </c>
      <c r="QTZ57" s="82" t="str">
        <f>IF(ISNUMBER(outYear),QTZ37+QTZ42+#REF!+#REF!,"")</f>
        <v/>
      </c>
      <c r="QUA57" s="82" t="str">
        <f>IF(ISNUMBER(outYear),QUA37+QUA42+#REF!+#REF!,"")</f>
        <v/>
      </c>
      <c r="QUB57" s="82" t="str">
        <f>IF(ISNUMBER(outYear),QUB37+QUB42+#REF!+#REF!,"")</f>
        <v/>
      </c>
      <c r="QUC57" s="82" t="str">
        <f>IF(ISNUMBER(outYear),QUC37+QUC42+#REF!+#REF!,"")</f>
        <v/>
      </c>
      <c r="QUD57" s="82" t="str">
        <f>IF(ISNUMBER(outYear),QUD37+QUD42+#REF!+#REF!,"")</f>
        <v/>
      </c>
      <c r="QUE57" s="82" t="str">
        <f>IF(ISNUMBER(outYear),QUE37+QUE42+#REF!+#REF!,"")</f>
        <v/>
      </c>
      <c r="QUF57" s="82" t="str">
        <f>IF(ISNUMBER(outYear),QUF37+QUF42+#REF!+#REF!,"")</f>
        <v/>
      </c>
      <c r="QUG57" s="82" t="str">
        <f>IF(ISNUMBER(outYear),QUG37+QUG42+#REF!+#REF!,"")</f>
        <v/>
      </c>
      <c r="QUH57" s="82" t="str">
        <f>IF(ISNUMBER(outYear),QUH37+QUH42+#REF!+#REF!,"")</f>
        <v/>
      </c>
      <c r="QUI57" s="82" t="str">
        <f>IF(ISNUMBER(outYear),QUI37+QUI42+#REF!+#REF!,"")</f>
        <v/>
      </c>
      <c r="QUJ57" s="82" t="str">
        <f>IF(ISNUMBER(outYear),QUJ37+QUJ42+#REF!+#REF!,"")</f>
        <v/>
      </c>
      <c r="QUK57" s="82" t="str">
        <f>IF(ISNUMBER(outYear),QUK37+QUK42+#REF!+#REF!,"")</f>
        <v/>
      </c>
      <c r="QUL57" s="82" t="str">
        <f>IF(ISNUMBER(outYear),QUL37+QUL42+#REF!+#REF!,"")</f>
        <v/>
      </c>
      <c r="QUM57" s="82" t="str">
        <f>IF(ISNUMBER(outYear),QUM37+QUM42+#REF!+#REF!,"")</f>
        <v/>
      </c>
      <c r="QUN57" s="82" t="str">
        <f>IF(ISNUMBER(outYear),QUN37+QUN42+#REF!+#REF!,"")</f>
        <v/>
      </c>
      <c r="QUO57" s="82" t="str">
        <f>IF(ISNUMBER(outYear),QUO37+QUO42+#REF!+#REF!,"")</f>
        <v/>
      </c>
      <c r="QUP57" s="82" t="str">
        <f>IF(ISNUMBER(outYear),QUP37+QUP42+#REF!+#REF!,"")</f>
        <v/>
      </c>
      <c r="QUQ57" s="82" t="str">
        <f>IF(ISNUMBER(outYear),QUQ37+QUQ42+#REF!+#REF!,"")</f>
        <v/>
      </c>
      <c r="QUR57" s="82" t="str">
        <f>IF(ISNUMBER(outYear),QUR37+QUR42+#REF!+#REF!,"")</f>
        <v/>
      </c>
      <c r="QUS57" s="82" t="str">
        <f>IF(ISNUMBER(outYear),QUS37+QUS42+#REF!+#REF!,"")</f>
        <v/>
      </c>
      <c r="QUT57" s="82" t="str">
        <f>IF(ISNUMBER(outYear),QUT37+QUT42+#REF!+#REF!,"")</f>
        <v/>
      </c>
      <c r="QUU57" s="82" t="str">
        <f>IF(ISNUMBER(outYear),QUU37+QUU42+#REF!+#REF!,"")</f>
        <v/>
      </c>
      <c r="QUV57" s="82" t="str">
        <f>IF(ISNUMBER(outYear),QUV37+QUV42+#REF!+#REF!,"")</f>
        <v/>
      </c>
      <c r="QUW57" s="82" t="str">
        <f>IF(ISNUMBER(outYear),QUW37+QUW42+#REF!+#REF!,"")</f>
        <v/>
      </c>
      <c r="QUX57" s="82" t="str">
        <f>IF(ISNUMBER(outYear),QUX37+QUX42+#REF!+#REF!,"")</f>
        <v/>
      </c>
      <c r="QUY57" s="82" t="str">
        <f>IF(ISNUMBER(outYear),QUY37+QUY42+#REF!+#REF!,"")</f>
        <v/>
      </c>
      <c r="QUZ57" s="82" t="str">
        <f>IF(ISNUMBER(outYear),QUZ37+QUZ42+#REF!+#REF!,"")</f>
        <v/>
      </c>
      <c r="QVA57" s="82" t="str">
        <f>IF(ISNUMBER(outYear),QVA37+QVA42+#REF!+#REF!,"")</f>
        <v/>
      </c>
      <c r="QVB57" s="82" t="str">
        <f>IF(ISNUMBER(outYear),QVB37+QVB42+#REF!+#REF!,"")</f>
        <v/>
      </c>
      <c r="QVC57" s="82" t="str">
        <f>IF(ISNUMBER(outYear),QVC37+QVC42+#REF!+#REF!,"")</f>
        <v/>
      </c>
      <c r="QVD57" s="82" t="str">
        <f>IF(ISNUMBER(outYear),QVD37+QVD42+#REF!+#REF!,"")</f>
        <v/>
      </c>
      <c r="QVE57" s="82" t="str">
        <f>IF(ISNUMBER(outYear),QVE37+QVE42+#REF!+#REF!,"")</f>
        <v/>
      </c>
      <c r="QVF57" s="82" t="str">
        <f>IF(ISNUMBER(outYear),QVF37+QVF42+#REF!+#REF!,"")</f>
        <v/>
      </c>
      <c r="QVG57" s="82" t="str">
        <f>IF(ISNUMBER(outYear),QVG37+QVG42+#REF!+#REF!,"")</f>
        <v/>
      </c>
      <c r="QVH57" s="82" t="str">
        <f>IF(ISNUMBER(outYear),QVH37+QVH42+#REF!+#REF!,"")</f>
        <v/>
      </c>
      <c r="QVI57" s="82" t="str">
        <f>IF(ISNUMBER(outYear),QVI37+QVI42+#REF!+#REF!,"")</f>
        <v/>
      </c>
      <c r="QVJ57" s="82" t="str">
        <f>IF(ISNUMBER(outYear),QVJ37+QVJ42+#REF!+#REF!,"")</f>
        <v/>
      </c>
      <c r="QVK57" s="82" t="str">
        <f>IF(ISNUMBER(outYear),QVK37+QVK42+#REF!+#REF!,"")</f>
        <v/>
      </c>
      <c r="QVL57" s="82" t="str">
        <f>IF(ISNUMBER(outYear),QVL37+QVL42+#REF!+#REF!,"")</f>
        <v/>
      </c>
      <c r="QVM57" s="82" t="str">
        <f>IF(ISNUMBER(outYear),QVM37+QVM42+#REF!+#REF!,"")</f>
        <v/>
      </c>
      <c r="QVN57" s="82" t="str">
        <f>IF(ISNUMBER(outYear),QVN37+QVN42+#REF!+#REF!,"")</f>
        <v/>
      </c>
      <c r="QVO57" s="82" t="str">
        <f>IF(ISNUMBER(outYear),QVO37+QVO42+#REF!+#REF!,"")</f>
        <v/>
      </c>
      <c r="QVP57" s="82" t="str">
        <f>IF(ISNUMBER(outYear),QVP37+QVP42+#REF!+#REF!,"")</f>
        <v/>
      </c>
      <c r="QVQ57" s="82" t="str">
        <f>IF(ISNUMBER(outYear),QVQ37+QVQ42+#REF!+#REF!,"")</f>
        <v/>
      </c>
      <c r="QVR57" s="82" t="str">
        <f>IF(ISNUMBER(outYear),QVR37+QVR42+#REF!+#REF!,"")</f>
        <v/>
      </c>
      <c r="QVS57" s="82" t="str">
        <f>IF(ISNUMBER(outYear),QVS37+QVS42+#REF!+#REF!,"")</f>
        <v/>
      </c>
      <c r="QVT57" s="82" t="str">
        <f>IF(ISNUMBER(outYear),QVT37+QVT42+#REF!+#REF!,"")</f>
        <v/>
      </c>
      <c r="QVU57" s="82" t="str">
        <f>IF(ISNUMBER(outYear),QVU37+QVU42+#REF!+#REF!,"")</f>
        <v/>
      </c>
      <c r="QVV57" s="82" t="str">
        <f>IF(ISNUMBER(outYear),QVV37+QVV42+#REF!+#REF!,"")</f>
        <v/>
      </c>
      <c r="QVW57" s="82" t="str">
        <f>IF(ISNUMBER(outYear),QVW37+QVW42+#REF!+#REF!,"")</f>
        <v/>
      </c>
      <c r="QVX57" s="82" t="str">
        <f>IF(ISNUMBER(outYear),QVX37+QVX42+#REF!+#REF!,"")</f>
        <v/>
      </c>
      <c r="QVY57" s="82" t="str">
        <f>IF(ISNUMBER(outYear),QVY37+QVY42+#REF!+#REF!,"")</f>
        <v/>
      </c>
      <c r="QVZ57" s="82" t="str">
        <f>IF(ISNUMBER(outYear),QVZ37+QVZ42+#REF!+#REF!,"")</f>
        <v/>
      </c>
      <c r="QWA57" s="82" t="str">
        <f>IF(ISNUMBER(outYear),QWA37+QWA42+#REF!+#REF!,"")</f>
        <v/>
      </c>
      <c r="QWB57" s="82" t="str">
        <f>IF(ISNUMBER(outYear),QWB37+QWB42+#REF!+#REF!,"")</f>
        <v/>
      </c>
      <c r="QWC57" s="82" t="str">
        <f>IF(ISNUMBER(outYear),QWC37+QWC42+#REF!+#REF!,"")</f>
        <v/>
      </c>
      <c r="QWD57" s="82" t="str">
        <f>IF(ISNUMBER(outYear),QWD37+QWD42+#REF!+#REF!,"")</f>
        <v/>
      </c>
      <c r="QWE57" s="82" t="str">
        <f>IF(ISNUMBER(outYear),QWE37+QWE42+#REF!+#REF!,"")</f>
        <v/>
      </c>
      <c r="QWF57" s="82" t="str">
        <f>IF(ISNUMBER(outYear),QWF37+QWF42+#REF!+#REF!,"")</f>
        <v/>
      </c>
      <c r="QWG57" s="82" t="str">
        <f>IF(ISNUMBER(outYear),QWG37+QWG42+#REF!+#REF!,"")</f>
        <v/>
      </c>
      <c r="QWH57" s="82" t="str">
        <f>IF(ISNUMBER(outYear),QWH37+QWH42+#REF!+#REF!,"")</f>
        <v/>
      </c>
      <c r="QWI57" s="82" t="str">
        <f>IF(ISNUMBER(outYear),QWI37+QWI42+#REF!+#REF!,"")</f>
        <v/>
      </c>
      <c r="QWJ57" s="82" t="str">
        <f>IF(ISNUMBER(outYear),QWJ37+QWJ42+#REF!+#REF!,"")</f>
        <v/>
      </c>
      <c r="QWK57" s="82" t="str">
        <f>IF(ISNUMBER(outYear),QWK37+QWK42+#REF!+#REF!,"")</f>
        <v/>
      </c>
      <c r="QWL57" s="82" t="str">
        <f>IF(ISNUMBER(outYear),QWL37+QWL42+#REF!+#REF!,"")</f>
        <v/>
      </c>
      <c r="QWM57" s="82" t="str">
        <f>IF(ISNUMBER(outYear),QWM37+QWM42+#REF!+#REF!,"")</f>
        <v/>
      </c>
      <c r="QWN57" s="82" t="str">
        <f>IF(ISNUMBER(outYear),QWN37+QWN42+#REF!+#REF!,"")</f>
        <v/>
      </c>
      <c r="QWO57" s="82" t="str">
        <f>IF(ISNUMBER(outYear),QWO37+QWO42+#REF!+#REF!,"")</f>
        <v/>
      </c>
      <c r="QWP57" s="82" t="str">
        <f>IF(ISNUMBER(outYear),QWP37+QWP42+#REF!+#REF!,"")</f>
        <v/>
      </c>
      <c r="QWQ57" s="82" t="str">
        <f>IF(ISNUMBER(outYear),QWQ37+QWQ42+#REF!+#REF!,"")</f>
        <v/>
      </c>
      <c r="QWR57" s="82" t="str">
        <f>IF(ISNUMBER(outYear),QWR37+QWR42+#REF!+#REF!,"")</f>
        <v/>
      </c>
      <c r="QWS57" s="82" t="str">
        <f>IF(ISNUMBER(outYear),QWS37+QWS42+#REF!+#REF!,"")</f>
        <v/>
      </c>
      <c r="QWT57" s="82" t="str">
        <f>IF(ISNUMBER(outYear),QWT37+QWT42+#REF!+#REF!,"")</f>
        <v/>
      </c>
      <c r="QWU57" s="82" t="str">
        <f>IF(ISNUMBER(outYear),QWU37+QWU42+#REF!+#REF!,"")</f>
        <v/>
      </c>
      <c r="QWV57" s="82" t="str">
        <f>IF(ISNUMBER(outYear),QWV37+QWV42+#REF!+#REF!,"")</f>
        <v/>
      </c>
      <c r="QWW57" s="82" t="str">
        <f>IF(ISNUMBER(outYear),QWW37+QWW42+#REF!+#REF!,"")</f>
        <v/>
      </c>
      <c r="QWX57" s="82" t="str">
        <f>IF(ISNUMBER(outYear),QWX37+QWX42+#REF!+#REF!,"")</f>
        <v/>
      </c>
      <c r="QWY57" s="82" t="str">
        <f>IF(ISNUMBER(outYear),QWY37+QWY42+#REF!+#REF!,"")</f>
        <v/>
      </c>
      <c r="QWZ57" s="82" t="str">
        <f>IF(ISNUMBER(outYear),QWZ37+QWZ42+#REF!+#REF!,"")</f>
        <v/>
      </c>
      <c r="QXA57" s="82" t="str">
        <f>IF(ISNUMBER(outYear),QXA37+QXA42+#REF!+#REF!,"")</f>
        <v/>
      </c>
      <c r="QXB57" s="82" t="str">
        <f>IF(ISNUMBER(outYear),QXB37+QXB42+#REF!+#REF!,"")</f>
        <v/>
      </c>
      <c r="QXC57" s="82" t="str">
        <f>IF(ISNUMBER(outYear),QXC37+QXC42+#REF!+#REF!,"")</f>
        <v/>
      </c>
      <c r="QXD57" s="82" t="str">
        <f>IF(ISNUMBER(outYear),QXD37+QXD42+#REF!+#REF!,"")</f>
        <v/>
      </c>
      <c r="QXE57" s="82" t="str">
        <f>IF(ISNUMBER(outYear),QXE37+QXE42+#REF!+#REF!,"")</f>
        <v/>
      </c>
      <c r="QXF57" s="82" t="str">
        <f>IF(ISNUMBER(outYear),QXF37+QXF42+#REF!+#REF!,"")</f>
        <v/>
      </c>
      <c r="QXG57" s="82" t="str">
        <f>IF(ISNUMBER(outYear),QXG37+QXG42+#REF!+#REF!,"")</f>
        <v/>
      </c>
      <c r="QXH57" s="82" t="str">
        <f>IF(ISNUMBER(outYear),QXH37+QXH42+#REF!+#REF!,"")</f>
        <v/>
      </c>
      <c r="QXI57" s="82" t="str">
        <f>IF(ISNUMBER(outYear),QXI37+QXI42+#REF!+#REF!,"")</f>
        <v/>
      </c>
      <c r="QXJ57" s="82" t="str">
        <f>IF(ISNUMBER(outYear),QXJ37+QXJ42+#REF!+#REF!,"")</f>
        <v/>
      </c>
      <c r="QXK57" s="82" t="str">
        <f>IF(ISNUMBER(outYear),QXK37+QXK42+#REF!+#REF!,"")</f>
        <v/>
      </c>
      <c r="QXL57" s="82" t="str">
        <f>IF(ISNUMBER(outYear),QXL37+QXL42+#REF!+#REF!,"")</f>
        <v/>
      </c>
      <c r="QXM57" s="82" t="str">
        <f>IF(ISNUMBER(outYear),QXM37+QXM42+#REF!+#REF!,"")</f>
        <v/>
      </c>
      <c r="QXN57" s="82" t="str">
        <f>IF(ISNUMBER(outYear),QXN37+QXN42+#REF!+#REF!,"")</f>
        <v/>
      </c>
      <c r="QXO57" s="82" t="str">
        <f>IF(ISNUMBER(outYear),QXO37+QXO42+#REF!+#REF!,"")</f>
        <v/>
      </c>
      <c r="QXP57" s="82" t="str">
        <f>IF(ISNUMBER(outYear),QXP37+QXP42+#REF!+#REF!,"")</f>
        <v/>
      </c>
      <c r="QXQ57" s="82" t="str">
        <f>IF(ISNUMBER(outYear),QXQ37+QXQ42+#REF!+#REF!,"")</f>
        <v/>
      </c>
      <c r="QXR57" s="82" t="str">
        <f>IF(ISNUMBER(outYear),QXR37+QXR42+#REF!+#REF!,"")</f>
        <v/>
      </c>
      <c r="QXS57" s="82" t="str">
        <f>IF(ISNUMBER(outYear),QXS37+QXS42+#REF!+#REF!,"")</f>
        <v/>
      </c>
      <c r="QXT57" s="82" t="str">
        <f>IF(ISNUMBER(outYear),QXT37+QXT42+#REF!+#REF!,"")</f>
        <v/>
      </c>
      <c r="QXU57" s="82" t="str">
        <f>IF(ISNUMBER(outYear),QXU37+QXU42+#REF!+#REF!,"")</f>
        <v/>
      </c>
      <c r="QXV57" s="82" t="str">
        <f>IF(ISNUMBER(outYear),QXV37+QXV42+#REF!+#REF!,"")</f>
        <v/>
      </c>
      <c r="QXW57" s="82" t="str">
        <f>IF(ISNUMBER(outYear),QXW37+QXW42+#REF!+#REF!,"")</f>
        <v/>
      </c>
      <c r="QXX57" s="82" t="str">
        <f>IF(ISNUMBER(outYear),QXX37+QXX42+#REF!+#REF!,"")</f>
        <v/>
      </c>
      <c r="QXY57" s="82" t="str">
        <f>IF(ISNUMBER(outYear),QXY37+QXY42+#REF!+#REF!,"")</f>
        <v/>
      </c>
      <c r="QXZ57" s="82" t="str">
        <f>IF(ISNUMBER(outYear),QXZ37+QXZ42+#REF!+#REF!,"")</f>
        <v/>
      </c>
      <c r="QYA57" s="82" t="str">
        <f>IF(ISNUMBER(outYear),QYA37+QYA42+#REF!+#REF!,"")</f>
        <v/>
      </c>
      <c r="QYB57" s="82" t="str">
        <f>IF(ISNUMBER(outYear),QYB37+QYB42+#REF!+#REF!,"")</f>
        <v/>
      </c>
      <c r="QYC57" s="82" t="str">
        <f>IF(ISNUMBER(outYear),QYC37+QYC42+#REF!+#REF!,"")</f>
        <v/>
      </c>
      <c r="QYD57" s="82" t="str">
        <f>IF(ISNUMBER(outYear),QYD37+QYD42+#REF!+#REF!,"")</f>
        <v/>
      </c>
      <c r="QYE57" s="82" t="str">
        <f>IF(ISNUMBER(outYear),QYE37+QYE42+#REF!+#REF!,"")</f>
        <v/>
      </c>
      <c r="QYF57" s="82" t="str">
        <f>IF(ISNUMBER(outYear),QYF37+QYF42+#REF!+#REF!,"")</f>
        <v/>
      </c>
      <c r="QYG57" s="82" t="str">
        <f>IF(ISNUMBER(outYear),QYG37+QYG42+#REF!+#REF!,"")</f>
        <v/>
      </c>
      <c r="QYH57" s="82" t="str">
        <f>IF(ISNUMBER(outYear),QYH37+QYH42+#REF!+#REF!,"")</f>
        <v/>
      </c>
      <c r="QYI57" s="82" t="str">
        <f>IF(ISNUMBER(outYear),QYI37+QYI42+#REF!+#REF!,"")</f>
        <v/>
      </c>
      <c r="QYJ57" s="82" t="str">
        <f>IF(ISNUMBER(outYear),QYJ37+QYJ42+#REF!+#REF!,"")</f>
        <v/>
      </c>
      <c r="QYK57" s="82" t="str">
        <f>IF(ISNUMBER(outYear),QYK37+QYK42+#REF!+#REF!,"")</f>
        <v/>
      </c>
      <c r="QYL57" s="82" t="str">
        <f>IF(ISNUMBER(outYear),QYL37+QYL42+#REF!+#REF!,"")</f>
        <v/>
      </c>
      <c r="QYM57" s="82" t="str">
        <f>IF(ISNUMBER(outYear),QYM37+QYM42+#REF!+#REF!,"")</f>
        <v/>
      </c>
      <c r="QYN57" s="82" t="str">
        <f>IF(ISNUMBER(outYear),QYN37+QYN42+#REF!+#REF!,"")</f>
        <v/>
      </c>
      <c r="QYO57" s="82" t="str">
        <f>IF(ISNUMBER(outYear),QYO37+QYO42+#REF!+#REF!,"")</f>
        <v/>
      </c>
      <c r="QYP57" s="82" t="str">
        <f>IF(ISNUMBER(outYear),QYP37+QYP42+#REF!+#REF!,"")</f>
        <v/>
      </c>
      <c r="QYQ57" s="82" t="str">
        <f>IF(ISNUMBER(outYear),QYQ37+QYQ42+#REF!+#REF!,"")</f>
        <v/>
      </c>
      <c r="QYR57" s="82" t="str">
        <f>IF(ISNUMBER(outYear),QYR37+QYR42+#REF!+#REF!,"")</f>
        <v/>
      </c>
      <c r="QYS57" s="82" t="str">
        <f>IF(ISNUMBER(outYear),QYS37+QYS42+#REF!+#REF!,"")</f>
        <v/>
      </c>
      <c r="QYT57" s="82" t="str">
        <f>IF(ISNUMBER(outYear),QYT37+QYT42+#REF!+#REF!,"")</f>
        <v/>
      </c>
      <c r="QYU57" s="82" t="str">
        <f>IF(ISNUMBER(outYear),QYU37+QYU42+#REF!+#REF!,"")</f>
        <v/>
      </c>
      <c r="QYV57" s="82" t="str">
        <f>IF(ISNUMBER(outYear),QYV37+QYV42+#REF!+#REF!,"")</f>
        <v/>
      </c>
      <c r="QYW57" s="82" t="str">
        <f>IF(ISNUMBER(outYear),QYW37+QYW42+#REF!+#REF!,"")</f>
        <v/>
      </c>
      <c r="QYX57" s="82" t="str">
        <f>IF(ISNUMBER(outYear),QYX37+QYX42+#REF!+#REF!,"")</f>
        <v/>
      </c>
      <c r="QYY57" s="82" t="str">
        <f>IF(ISNUMBER(outYear),QYY37+QYY42+#REF!+#REF!,"")</f>
        <v/>
      </c>
      <c r="QYZ57" s="82" t="str">
        <f>IF(ISNUMBER(outYear),QYZ37+QYZ42+#REF!+#REF!,"")</f>
        <v/>
      </c>
      <c r="QZA57" s="82" t="str">
        <f>IF(ISNUMBER(outYear),QZA37+QZA42+#REF!+#REF!,"")</f>
        <v/>
      </c>
      <c r="QZB57" s="82" t="str">
        <f>IF(ISNUMBER(outYear),QZB37+QZB42+#REF!+#REF!,"")</f>
        <v/>
      </c>
      <c r="QZC57" s="82" t="str">
        <f>IF(ISNUMBER(outYear),QZC37+QZC42+#REF!+#REF!,"")</f>
        <v/>
      </c>
      <c r="QZD57" s="82" t="str">
        <f>IF(ISNUMBER(outYear),QZD37+QZD42+#REF!+#REF!,"")</f>
        <v/>
      </c>
      <c r="QZE57" s="82" t="str">
        <f>IF(ISNUMBER(outYear),QZE37+QZE42+#REF!+#REF!,"")</f>
        <v/>
      </c>
      <c r="QZF57" s="82" t="str">
        <f>IF(ISNUMBER(outYear),QZF37+QZF42+#REF!+#REF!,"")</f>
        <v/>
      </c>
      <c r="QZG57" s="82" t="str">
        <f>IF(ISNUMBER(outYear),QZG37+QZG42+#REF!+#REF!,"")</f>
        <v/>
      </c>
      <c r="QZH57" s="82" t="str">
        <f>IF(ISNUMBER(outYear),QZH37+QZH42+#REF!+#REF!,"")</f>
        <v/>
      </c>
      <c r="QZI57" s="82" t="str">
        <f>IF(ISNUMBER(outYear),QZI37+QZI42+#REF!+#REF!,"")</f>
        <v/>
      </c>
      <c r="QZJ57" s="82" t="str">
        <f>IF(ISNUMBER(outYear),QZJ37+QZJ42+#REF!+#REF!,"")</f>
        <v/>
      </c>
      <c r="QZK57" s="82" t="str">
        <f>IF(ISNUMBER(outYear),QZK37+QZK42+#REF!+#REF!,"")</f>
        <v/>
      </c>
      <c r="QZL57" s="82" t="str">
        <f>IF(ISNUMBER(outYear),QZL37+QZL42+#REF!+#REF!,"")</f>
        <v/>
      </c>
      <c r="QZM57" s="82" t="str">
        <f>IF(ISNUMBER(outYear),QZM37+QZM42+#REF!+#REF!,"")</f>
        <v/>
      </c>
      <c r="QZN57" s="82" t="str">
        <f>IF(ISNUMBER(outYear),QZN37+QZN42+#REF!+#REF!,"")</f>
        <v/>
      </c>
      <c r="QZO57" s="82" t="str">
        <f>IF(ISNUMBER(outYear),QZO37+QZO42+#REF!+#REF!,"")</f>
        <v/>
      </c>
      <c r="QZP57" s="82" t="str">
        <f>IF(ISNUMBER(outYear),QZP37+QZP42+#REF!+#REF!,"")</f>
        <v/>
      </c>
      <c r="QZQ57" s="82" t="str">
        <f>IF(ISNUMBER(outYear),QZQ37+QZQ42+#REF!+#REF!,"")</f>
        <v/>
      </c>
      <c r="QZR57" s="82" t="str">
        <f>IF(ISNUMBER(outYear),QZR37+QZR42+#REF!+#REF!,"")</f>
        <v/>
      </c>
      <c r="QZS57" s="82" t="str">
        <f>IF(ISNUMBER(outYear),QZS37+QZS42+#REF!+#REF!,"")</f>
        <v/>
      </c>
      <c r="QZT57" s="82" t="str">
        <f>IF(ISNUMBER(outYear),QZT37+QZT42+#REF!+#REF!,"")</f>
        <v/>
      </c>
      <c r="QZU57" s="82" t="str">
        <f>IF(ISNUMBER(outYear),QZU37+QZU42+#REF!+#REF!,"")</f>
        <v/>
      </c>
      <c r="QZV57" s="82" t="str">
        <f>IF(ISNUMBER(outYear),QZV37+QZV42+#REF!+#REF!,"")</f>
        <v/>
      </c>
      <c r="QZW57" s="82" t="str">
        <f>IF(ISNUMBER(outYear),QZW37+QZW42+#REF!+#REF!,"")</f>
        <v/>
      </c>
      <c r="QZX57" s="82" t="str">
        <f>IF(ISNUMBER(outYear),QZX37+QZX42+#REF!+#REF!,"")</f>
        <v/>
      </c>
      <c r="QZY57" s="82" t="str">
        <f>IF(ISNUMBER(outYear),QZY37+QZY42+#REF!+#REF!,"")</f>
        <v/>
      </c>
      <c r="QZZ57" s="82" t="str">
        <f>IF(ISNUMBER(outYear),QZZ37+QZZ42+#REF!+#REF!,"")</f>
        <v/>
      </c>
      <c r="RAA57" s="82" t="str">
        <f>IF(ISNUMBER(outYear),RAA37+RAA42+#REF!+#REF!,"")</f>
        <v/>
      </c>
      <c r="RAB57" s="82" t="str">
        <f>IF(ISNUMBER(outYear),RAB37+RAB42+#REF!+#REF!,"")</f>
        <v/>
      </c>
      <c r="RAC57" s="82" t="str">
        <f>IF(ISNUMBER(outYear),RAC37+RAC42+#REF!+#REF!,"")</f>
        <v/>
      </c>
      <c r="RAD57" s="82" t="str">
        <f>IF(ISNUMBER(outYear),RAD37+RAD42+#REF!+#REF!,"")</f>
        <v/>
      </c>
      <c r="RAE57" s="82" t="str">
        <f>IF(ISNUMBER(outYear),RAE37+RAE42+#REF!+#REF!,"")</f>
        <v/>
      </c>
      <c r="RAF57" s="82" t="str">
        <f>IF(ISNUMBER(outYear),RAF37+RAF42+#REF!+#REF!,"")</f>
        <v/>
      </c>
      <c r="RAG57" s="82" t="str">
        <f>IF(ISNUMBER(outYear),RAG37+RAG42+#REF!+#REF!,"")</f>
        <v/>
      </c>
      <c r="RAH57" s="82" t="str">
        <f>IF(ISNUMBER(outYear),RAH37+RAH42+#REF!+#REF!,"")</f>
        <v/>
      </c>
      <c r="RAI57" s="82" t="str">
        <f>IF(ISNUMBER(outYear),RAI37+RAI42+#REF!+#REF!,"")</f>
        <v/>
      </c>
      <c r="RAJ57" s="82" t="str">
        <f>IF(ISNUMBER(outYear),RAJ37+RAJ42+#REF!+#REF!,"")</f>
        <v/>
      </c>
      <c r="RAK57" s="82" t="str">
        <f>IF(ISNUMBER(outYear),RAK37+RAK42+#REF!+#REF!,"")</f>
        <v/>
      </c>
      <c r="RAL57" s="82" t="str">
        <f>IF(ISNUMBER(outYear),RAL37+RAL42+#REF!+#REF!,"")</f>
        <v/>
      </c>
      <c r="RAM57" s="82" t="str">
        <f>IF(ISNUMBER(outYear),RAM37+RAM42+#REF!+#REF!,"")</f>
        <v/>
      </c>
      <c r="RAN57" s="82" t="str">
        <f>IF(ISNUMBER(outYear),RAN37+RAN42+#REF!+#REF!,"")</f>
        <v/>
      </c>
      <c r="RAO57" s="82" t="str">
        <f>IF(ISNUMBER(outYear),RAO37+RAO42+#REF!+#REF!,"")</f>
        <v/>
      </c>
      <c r="RAP57" s="82" t="str">
        <f>IF(ISNUMBER(outYear),RAP37+RAP42+#REF!+#REF!,"")</f>
        <v/>
      </c>
      <c r="RAQ57" s="82" t="str">
        <f>IF(ISNUMBER(outYear),RAQ37+RAQ42+#REF!+#REF!,"")</f>
        <v/>
      </c>
      <c r="RAR57" s="82" t="str">
        <f>IF(ISNUMBER(outYear),RAR37+RAR42+#REF!+#REF!,"")</f>
        <v/>
      </c>
      <c r="RAS57" s="82" t="str">
        <f>IF(ISNUMBER(outYear),RAS37+RAS42+#REF!+#REF!,"")</f>
        <v/>
      </c>
      <c r="RAT57" s="82" t="str">
        <f>IF(ISNUMBER(outYear),RAT37+RAT42+#REF!+#REF!,"")</f>
        <v/>
      </c>
      <c r="RAU57" s="82" t="str">
        <f>IF(ISNUMBER(outYear),RAU37+RAU42+#REF!+#REF!,"")</f>
        <v/>
      </c>
      <c r="RAV57" s="82" t="str">
        <f>IF(ISNUMBER(outYear),RAV37+RAV42+#REF!+#REF!,"")</f>
        <v/>
      </c>
      <c r="RAW57" s="82" t="str">
        <f>IF(ISNUMBER(outYear),RAW37+RAW42+#REF!+#REF!,"")</f>
        <v/>
      </c>
      <c r="RAX57" s="82" t="str">
        <f>IF(ISNUMBER(outYear),RAX37+RAX42+#REF!+#REF!,"")</f>
        <v/>
      </c>
      <c r="RAY57" s="82" t="str">
        <f>IF(ISNUMBER(outYear),RAY37+RAY42+#REF!+#REF!,"")</f>
        <v/>
      </c>
      <c r="RAZ57" s="82" t="str">
        <f>IF(ISNUMBER(outYear),RAZ37+RAZ42+#REF!+#REF!,"")</f>
        <v/>
      </c>
      <c r="RBA57" s="82" t="str">
        <f>IF(ISNUMBER(outYear),RBA37+RBA42+#REF!+#REF!,"")</f>
        <v/>
      </c>
      <c r="RBB57" s="82" t="str">
        <f>IF(ISNUMBER(outYear),RBB37+RBB42+#REF!+#REF!,"")</f>
        <v/>
      </c>
      <c r="RBC57" s="82" t="str">
        <f>IF(ISNUMBER(outYear),RBC37+RBC42+#REF!+#REF!,"")</f>
        <v/>
      </c>
      <c r="RBD57" s="82" t="str">
        <f>IF(ISNUMBER(outYear),RBD37+RBD42+#REF!+#REF!,"")</f>
        <v/>
      </c>
      <c r="RBE57" s="82" t="str">
        <f>IF(ISNUMBER(outYear),RBE37+RBE42+#REF!+#REF!,"")</f>
        <v/>
      </c>
      <c r="RBF57" s="82" t="str">
        <f>IF(ISNUMBER(outYear),RBF37+RBF42+#REF!+#REF!,"")</f>
        <v/>
      </c>
      <c r="RBG57" s="82" t="str">
        <f>IF(ISNUMBER(outYear),RBG37+RBG42+#REF!+#REF!,"")</f>
        <v/>
      </c>
      <c r="RBH57" s="82" t="str">
        <f>IF(ISNUMBER(outYear),RBH37+RBH42+#REF!+#REF!,"")</f>
        <v/>
      </c>
      <c r="RBI57" s="82" t="str">
        <f>IF(ISNUMBER(outYear),RBI37+RBI42+#REF!+#REF!,"")</f>
        <v/>
      </c>
      <c r="RBJ57" s="82" t="str">
        <f>IF(ISNUMBER(outYear),RBJ37+RBJ42+#REF!+#REF!,"")</f>
        <v/>
      </c>
      <c r="RBK57" s="82" t="str">
        <f>IF(ISNUMBER(outYear),RBK37+RBK42+#REF!+#REF!,"")</f>
        <v/>
      </c>
      <c r="RBL57" s="82" t="str">
        <f>IF(ISNUMBER(outYear),RBL37+RBL42+#REF!+#REF!,"")</f>
        <v/>
      </c>
      <c r="RBM57" s="82" t="str">
        <f>IF(ISNUMBER(outYear),RBM37+RBM42+#REF!+#REF!,"")</f>
        <v/>
      </c>
      <c r="RBN57" s="82" t="str">
        <f>IF(ISNUMBER(outYear),RBN37+RBN42+#REF!+#REF!,"")</f>
        <v/>
      </c>
      <c r="RBO57" s="82" t="str">
        <f>IF(ISNUMBER(outYear),RBO37+RBO42+#REF!+#REF!,"")</f>
        <v/>
      </c>
      <c r="RBP57" s="82" t="str">
        <f>IF(ISNUMBER(outYear),RBP37+RBP42+#REF!+#REF!,"")</f>
        <v/>
      </c>
      <c r="RBQ57" s="82" t="str">
        <f>IF(ISNUMBER(outYear),RBQ37+RBQ42+#REF!+#REF!,"")</f>
        <v/>
      </c>
      <c r="RBR57" s="82" t="str">
        <f>IF(ISNUMBER(outYear),RBR37+RBR42+#REF!+#REF!,"")</f>
        <v/>
      </c>
      <c r="RBS57" s="82" t="str">
        <f>IF(ISNUMBER(outYear),RBS37+RBS42+#REF!+#REF!,"")</f>
        <v/>
      </c>
      <c r="RBT57" s="82" t="str">
        <f>IF(ISNUMBER(outYear),RBT37+RBT42+#REF!+#REF!,"")</f>
        <v/>
      </c>
      <c r="RBU57" s="82" t="str">
        <f>IF(ISNUMBER(outYear),RBU37+RBU42+#REF!+#REF!,"")</f>
        <v/>
      </c>
      <c r="RBV57" s="82" t="str">
        <f>IF(ISNUMBER(outYear),RBV37+RBV42+#REF!+#REF!,"")</f>
        <v/>
      </c>
      <c r="RBW57" s="82" t="str">
        <f>IF(ISNUMBER(outYear),RBW37+RBW42+#REF!+#REF!,"")</f>
        <v/>
      </c>
      <c r="RBX57" s="82" t="str">
        <f>IF(ISNUMBER(outYear),RBX37+RBX42+#REF!+#REF!,"")</f>
        <v/>
      </c>
      <c r="RBY57" s="82" t="str">
        <f>IF(ISNUMBER(outYear),RBY37+RBY42+#REF!+#REF!,"")</f>
        <v/>
      </c>
      <c r="RBZ57" s="82" t="str">
        <f>IF(ISNUMBER(outYear),RBZ37+RBZ42+#REF!+#REF!,"")</f>
        <v/>
      </c>
      <c r="RCA57" s="82" t="str">
        <f>IF(ISNUMBER(outYear),RCA37+RCA42+#REF!+#REF!,"")</f>
        <v/>
      </c>
      <c r="RCB57" s="82" t="str">
        <f>IF(ISNUMBER(outYear),RCB37+RCB42+#REF!+#REF!,"")</f>
        <v/>
      </c>
      <c r="RCC57" s="82" t="str">
        <f>IF(ISNUMBER(outYear),RCC37+RCC42+#REF!+#REF!,"")</f>
        <v/>
      </c>
      <c r="RCD57" s="82" t="str">
        <f>IF(ISNUMBER(outYear),RCD37+RCD42+#REF!+#REF!,"")</f>
        <v/>
      </c>
      <c r="RCE57" s="82" t="str">
        <f>IF(ISNUMBER(outYear),RCE37+RCE42+#REF!+#REF!,"")</f>
        <v/>
      </c>
      <c r="RCF57" s="82" t="str">
        <f>IF(ISNUMBER(outYear),RCF37+RCF42+#REF!+#REF!,"")</f>
        <v/>
      </c>
      <c r="RCG57" s="82" t="str">
        <f>IF(ISNUMBER(outYear),RCG37+RCG42+#REF!+#REF!,"")</f>
        <v/>
      </c>
      <c r="RCH57" s="82" t="str">
        <f>IF(ISNUMBER(outYear),RCH37+RCH42+#REF!+#REF!,"")</f>
        <v/>
      </c>
      <c r="RCI57" s="82" t="str">
        <f>IF(ISNUMBER(outYear),RCI37+RCI42+#REF!+#REF!,"")</f>
        <v/>
      </c>
      <c r="RCJ57" s="82" t="str">
        <f>IF(ISNUMBER(outYear),RCJ37+RCJ42+#REF!+#REF!,"")</f>
        <v/>
      </c>
      <c r="RCK57" s="82" t="str">
        <f>IF(ISNUMBER(outYear),RCK37+RCK42+#REF!+#REF!,"")</f>
        <v/>
      </c>
      <c r="RCL57" s="82" t="str">
        <f>IF(ISNUMBER(outYear),RCL37+RCL42+#REF!+#REF!,"")</f>
        <v/>
      </c>
      <c r="RCM57" s="82" t="str">
        <f>IF(ISNUMBER(outYear),RCM37+RCM42+#REF!+#REF!,"")</f>
        <v/>
      </c>
      <c r="RCN57" s="82" t="str">
        <f>IF(ISNUMBER(outYear),RCN37+RCN42+#REF!+#REF!,"")</f>
        <v/>
      </c>
      <c r="RCO57" s="82" t="str">
        <f>IF(ISNUMBER(outYear),RCO37+RCO42+#REF!+#REF!,"")</f>
        <v/>
      </c>
      <c r="RCP57" s="82" t="str">
        <f>IF(ISNUMBER(outYear),RCP37+RCP42+#REF!+#REF!,"")</f>
        <v/>
      </c>
      <c r="RCQ57" s="82" t="str">
        <f>IF(ISNUMBER(outYear),RCQ37+RCQ42+#REF!+#REF!,"")</f>
        <v/>
      </c>
      <c r="RCR57" s="82" t="str">
        <f>IF(ISNUMBER(outYear),RCR37+RCR42+#REF!+#REF!,"")</f>
        <v/>
      </c>
      <c r="RCS57" s="82" t="str">
        <f>IF(ISNUMBER(outYear),RCS37+RCS42+#REF!+#REF!,"")</f>
        <v/>
      </c>
      <c r="RCT57" s="82" t="str">
        <f>IF(ISNUMBER(outYear),RCT37+RCT42+#REF!+#REF!,"")</f>
        <v/>
      </c>
      <c r="RCU57" s="82" t="str">
        <f>IF(ISNUMBER(outYear),RCU37+RCU42+#REF!+#REF!,"")</f>
        <v/>
      </c>
      <c r="RCV57" s="82" t="str">
        <f>IF(ISNUMBER(outYear),RCV37+RCV42+#REF!+#REF!,"")</f>
        <v/>
      </c>
      <c r="RCW57" s="82" t="str">
        <f>IF(ISNUMBER(outYear),RCW37+RCW42+#REF!+#REF!,"")</f>
        <v/>
      </c>
      <c r="RCX57" s="82" t="str">
        <f>IF(ISNUMBER(outYear),RCX37+RCX42+#REF!+#REF!,"")</f>
        <v/>
      </c>
      <c r="RCY57" s="82" t="str">
        <f>IF(ISNUMBER(outYear),RCY37+RCY42+#REF!+#REF!,"")</f>
        <v/>
      </c>
      <c r="RCZ57" s="82" t="str">
        <f>IF(ISNUMBER(outYear),RCZ37+RCZ42+#REF!+#REF!,"")</f>
        <v/>
      </c>
      <c r="RDA57" s="82" t="str">
        <f>IF(ISNUMBER(outYear),RDA37+RDA42+#REF!+#REF!,"")</f>
        <v/>
      </c>
      <c r="RDB57" s="82" t="str">
        <f>IF(ISNUMBER(outYear),RDB37+RDB42+#REF!+#REF!,"")</f>
        <v/>
      </c>
      <c r="RDC57" s="82" t="str">
        <f>IF(ISNUMBER(outYear),RDC37+RDC42+#REF!+#REF!,"")</f>
        <v/>
      </c>
      <c r="RDD57" s="82" t="str">
        <f>IF(ISNUMBER(outYear),RDD37+RDD42+#REF!+#REF!,"")</f>
        <v/>
      </c>
      <c r="RDE57" s="82" t="str">
        <f>IF(ISNUMBER(outYear),RDE37+RDE42+#REF!+#REF!,"")</f>
        <v/>
      </c>
      <c r="RDF57" s="82" t="str">
        <f>IF(ISNUMBER(outYear),RDF37+RDF42+#REF!+#REF!,"")</f>
        <v/>
      </c>
      <c r="RDG57" s="82" t="str">
        <f>IF(ISNUMBER(outYear),RDG37+RDG42+#REF!+#REF!,"")</f>
        <v/>
      </c>
      <c r="RDH57" s="82" t="str">
        <f>IF(ISNUMBER(outYear),RDH37+RDH42+#REF!+#REF!,"")</f>
        <v/>
      </c>
      <c r="RDI57" s="82" t="str">
        <f>IF(ISNUMBER(outYear),RDI37+RDI42+#REF!+#REF!,"")</f>
        <v/>
      </c>
      <c r="RDJ57" s="82" t="str">
        <f>IF(ISNUMBER(outYear),RDJ37+RDJ42+#REF!+#REF!,"")</f>
        <v/>
      </c>
      <c r="RDK57" s="82" t="str">
        <f>IF(ISNUMBER(outYear),RDK37+RDK42+#REF!+#REF!,"")</f>
        <v/>
      </c>
      <c r="RDL57" s="82" t="str">
        <f>IF(ISNUMBER(outYear),RDL37+RDL42+#REF!+#REF!,"")</f>
        <v/>
      </c>
      <c r="RDM57" s="82" t="str">
        <f>IF(ISNUMBER(outYear),RDM37+RDM42+#REF!+#REF!,"")</f>
        <v/>
      </c>
      <c r="RDN57" s="82" t="str">
        <f>IF(ISNUMBER(outYear),RDN37+RDN42+#REF!+#REF!,"")</f>
        <v/>
      </c>
      <c r="RDO57" s="82" t="str">
        <f>IF(ISNUMBER(outYear),RDO37+RDO42+#REF!+#REF!,"")</f>
        <v/>
      </c>
      <c r="RDP57" s="82" t="str">
        <f>IF(ISNUMBER(outYear),RDP37+RDP42+#REF!+#REF!,"")</f>
        <v/>
      </c>
      <c r="RDQ57" s="82" t="str">
        <f>IF(ISNUMBER(outYear),RDQ37+RDQ42+#REF!+#REF!,"")</f>
        <v/>
      </c>
      <c r="RDR57" s="82" t="str">
        <f>IF(ISNUMBER(outYear),RDR37+RDR42+#REF!+#REF!,"")</f>
        <v/>
      </c>
      <c r="RDS57" s="82" t="str">
        <f>IF(ISNUMBER(outYear),RDS37+RDS42+#REF!+#REF!,"")</f>
        <v/>
      </c>
      <c r="RDT57" s="82" t="str">
        <f>IF(ISNUMBER(outYear),RDT37+RDT42+#REF!+#REF!,"")</f>
        <v/>
      </c>
      <c r="RDU57" s="82" t="str">
        <f>IF(ISNUMBER(outYear),RDU37+RDU42+#REF!+#REF!,"")</f>
        <v/>
      </c>
      <c r="RDV57" s="82" t="str">
        <f>IF(ISNUMBER(outYear),RDV37+RDV42+#REF!+#REF!,"")</f>
        <v/>
      </c>
      <c r="RDW57" s="82" t="str">
        <f>IF(ISNUMBER(outYear),RDW37+RDW42+#REF!+#REF!,"")</f>
        <v/>
      </c>
      <c r="RDX57" s="82" t="str">
        <f>IF(ISNUMBER(outYear),RDX37+RDX42+#REF!+#REF!,"")</f>
        <v/>
      </c>
      <c r="RDY57" s="82" t="str">
        <f>IF(ISNUMBER(outYear),RDY37+RDY42+#REF!+#REF!,"")</f>
        <v/>
      </c>
      <c r="RDZ57" s="82" t="str">
        <f>IF(ISNUMBER(outYear),RDZ37+RDZ42+#REF!+#REF!,"")</f>
        <v/>
      </c>
      <c r="REA57" s="82" t="str">
        <f>IF(ISNUMBER(outYear),REA37+REA42+#REF!+#REF!,"")</f>
        <v/>
      </c>
      <c r="REB57" s="82" t="str">
        <f>IF(ISNUMBER(outYear),REB37+REB42+#REF!+#REF!,"")</f>
        <v/>
      </c>
      <c r="REC57" s="82" t="str">
        <f>IF(ISNUMBER(outYear),REC37+REC42+#REF!+#REF!,"")</f>
        <v/>
      </c>
      <c r="RED57" s="82" t="str">
        <f>IF(ISNUMBER(outYear),RED37+RED42+#REF!+#REF!,"")</f>
        <v/>
      </c>
      <c r="REE57" s="82" t="str">
        <f>IF(ISNUMBER(outYear),REE37+REE42+#REF!+#REF!,"")</f>
        <v/>
      </c>
      <c r="REF57" s="82" t="str">
        <f>IF(ISNUMBER(outYear),REF37+REF42+#REF!+#REF!,"")</f>
        <v/>
      </c>
      <c r="REG57" s="82" t="str">
        <f>IF(ISNUMBER(outYear),REG37+REG42+#REF!+#REF!,"")</f>
        <v/>
      </c>
      <c r="REH57" s="82" t="str">
        <f>IF(ISNUMBER(outYear),REH37+REH42+#REF!+#REF!,"")</f>
        <v/>
      </c>
      <c r="REI57" s="82" t="str">
        <f>IF(ISNUMBER(outYear),REI37+REI42+#REF!+#REF!,"")</f>
        <v/>
      </c>
      <c r="REJ57" s="82" t="str">
        <f>IF(ISNUMBER(outYear),REJ37+REJ42+#REF!+#REF!,"")</f>
        <v/>
      </c>
      <c r="REK57" s="82" t="str">
        <f>IF(ISNUMBER(outYear),REK37+REK42+#REF!+#REF!,"")</f>
        <v/>
      </c>
      <c r="REL57" s="82" t="str">
        <f>IF(ISNUMBER(outYear),REL37+REL42+#REF!+#REF!,"")</f>
        <v/>
      </c>
      <c r="REM57" s="82" t="str">
        <f>IF(ISNUMBER(outYear),REM37+REM42+#REF!+#REF!,"")</f>
        <v/>
      </c>
      <c r="REN57" s="82" t="str">
        <f>IF(ISNUMBER(outYear),REN37+REN42+#REF!+#REF!,"")</f>
        <v/>
      </c>
      <c r="REO57" s="82" t="str">
        <f>IF(ISNUMBER(outYear),REO37+REO42+#REF!+#REF!,"")</f>
        <v/>
      </c>
      <c r="REP57" s="82" t="str">
        <f>IF(ISNUMBER(outYear),REP37+REP42+#REF!+#REF!,"")</f>
        <v/>
      </c>
      <c r="REQ57" s="82" t="str">
        <f>IF(ISNUMBER(outYear),REQ37+REQ42+#REF!+#REF!,"")</f>
        <v/>
      </c>
      <c r="RER57" s="82" t="str">
        <f>IF(ISNUMBER(outYear),RER37+RER42+#REF!+#REF!,"")</f>
        <v/>
      </c>
      <c r="RES57" s="82" t="str">
        <f>IF(ISNUMBER(outYear),RES37+RES42+#REF!+#REF!,"")</f>
        <v/>
      </c>
      <c r="RET57" s="82" t="str">
        <f>IF(ISNUMBER(outYear),RET37+RET42+#REF!+#REF!,"")</f>
        <v/>
      </c>
      <c r="REU57" s="82" t="str">
        <f>IF(ISNUMBER(outYear),REU37+REU42+#REF!+#REF!,"")</f>
        <v/>
      </c>
      <c r="REV57" s="82" t="str">
        <f>IF(ISNUMBER(outYear),REV37+REV42+#REF!+#REF!,"")</f>
        <v/>
      </c>
      <c r="REW57" s="82" t="str">
        <f>IF(ISNUMBER(outYear),REW37+REW42+#REF!+#REF!,"")</f>
        <v/>
      </c>
      <c r="REX57" s="82" t="str">
        <f>IF(ISNUMBER(outYear),REX37+REX42+#REF!+#REF!,"")</f>
        <v/>
      </c>
      <c r="REY57" s="82" t="str">
        <f>IF(ISNUMBER(outYear),REY37+REY42+#REF!+#REF!,"")</f>
        <v/>
      </c>
      <c r="REZ57" s="82" t="str">
        <f>IF(ISNUMBER(outYear),REZ37+REZ42+#REF!+#REF!,"")</f>
        <v/>
      </c>
      <c r="RFA57" s="82" t="str">
        <f>IF(ISNUMBER(outYear),RFA37+RFA42+#REF!+#REF!,"")</f>
        <v/>
      </c>
      <c r="RFB57" s="82" t="str">
        <f>IF(ISNUMBER(outYear),RFB37+RFB42+#REF!+#REF!,"")</f>
        <v/>
      </c>
      <c r="RFC57" s="82" t="str">
        <f>IF(ISNUMBER(outYear),RFC37+RFC42+#REF!+#REF!,"")</f>
        <v/>
      </c>
      <c r="RFD57" s="82" t="str">
        <f>IF(ISNUMBER(outYear),RFD37+RFD42+#REF!+#REF!,"")</f>
        <v/>
      </c>
      <c r="RFE57" s="82" t="str">
        <f>IF(ISNUMBER(outYear),RFE37+RFE42+#REF!+#REF!,"")</f>
        <v/>
      </c>
      <c r="RFF57" s="82" t="str">
        <f>IF(ISNUMBER(outYear),RFF37+RFF42+#REF!+#REF!,"")</f>
        <v/>
      </c>
      <c r="RFG57" s="82" t="str">
        <f>IF(ISNUMBER(outYear),RFG37+RFG42+#REF!+#REF!,"")</f>
        <v/>
      </c>
      <c r="RFH57" s="82" t="str">
        <f>IF(ISNUMBER(outYear),RFH37+RFH42+#REF!+#REF!,"")</f>
        <v/>
      </c>
      <c r="RFI57" s="82" t="str">
        <f>IF(ISNUMBER(outYear),RFI37+RFI42+#REF!+#REF!,"")</f>
        <v/>
      </c>
      <c r="RFJ57" s="82" t="str">
        <f>IF(ISNUMBER(outYear),RFJ37+RFJ42+#REF!+#REF!,"")</f>
        <v/>
      </c>
      <c r="RFK57" s="82" t="str">
        <f>IF(ISNUMBER(outYear),RFK37+RFK42+#REF!+#REF!,"")</f>
        <v/>
      </c>
      <c r="RFL57" s="82" t="str">
        <f>IF(ISNUMBER(outYear),RFL37+RFL42+#REF!+#REF!,"")</f>
        <v/>
      </c>
      <c r="RFM57" s="82" t="str">
        <f>IF(ISNUMBER(outYear),RFM37+RFM42+#REF!+#REF!,"")</f>
        <v/>
      </c>
      <c r="RFN57" s="82" t="str">
        <f>IF(ISNUMBER(outYear),RFN37+RFN42+#REF!+#REF!,"")</f>
        <v/>
      </c>
      <c r="RFO57" s="82" t="str">
        <f>IF(ISNUMBER(outYear),RFO37+RFO42+#REF!+#REF!,"")</f>
        <v/>
      </c>
      <c r="RFP57" s="82" t="str">
        <f>IF(ISNUMBER(outYear),RFP37+RFP42+#REF!+#REF!,"")</f>
        <v/>
      </c>
      <c r="RFQ57" s="82" t="str">
        <f>IF(ISNUMBER(outYear),RFQ37+RFQ42+#REF!+#REF!,"")</f>
        <v/>
      </c>
      <c r="RFR57" s="82" t="str">
        <f>IF(ISNUMBER(outYear),RFR37+RFR42+#REF!+#REF!,"")</f>
        <v/>
      </c>
      <c r="RFS57" s="82" t="str">
        <f>IF(ISNUMBER(outYear),RFS37+RFS42+#REF!+#REF!,"")</f>
        <v/>
      </c>
      <c r="RFT57" s="82" t="str">
        <f>IF(ISNUMBER(outYear),RFT37+RFT42+#REF!+#REF!,"")</f>
        <v/>
      </c>
      <c r="RFU57" s="82" t="str">
        <f>IF(ISNUMBER(outYear),RFU37+RFU42+#REF!+#REF!,"")</f>
        <v/>
      </c>
      <c r="RFV57" s="82" t="str">
        <f>IF(ISNUMBER(outYear),RFV37+RFV42+#REF!+#REF!,"")</f>
        <v/>
      </c>
      <c r="RFW57" s="82" t="str">
        <f>IF(ISNUMBER(outYear),RFW37+RFW42+#REF!+#REF!,"")</f>
        <v/>
      </c>
      <c r="RFX57" s="82" t="str">
        <f>IF(ISNUMBER(outYear),RFX37+RFX42+#REF!+#REF!,"")</f>
        <v/>
      </c>
      <c r="RFY57" s="82" t="str">
        <f>IF(ISNUMBER(outYear),RFY37+RFY42+#REF!+#REF!,"")</f>
        <v/>
      </c>
      <c r="RFZ57" s="82" t="str">
        <f>IF(ISNUMBER(outYear),RFZ37+RFZ42+#REF!+#REF!,"")</f>
        <v/>
      </c>
      <c r="RGA57" s="82" t="str">
        <f>IF(ISNUMBER(outYear),RGA37+RGA42+#REF!+#REF!,"")</f>
        <v/>
      </c>
      <c r="RGB57" s="82" t="str">
        <f>IF(ISNUMBER(outYear),RGB37+RGB42+#REF!+#REF!,"")</f>
        <v/>
      </c>
      <c r="RGC57" s="82" t="str">
        <f>IF(ISNUMBER(outYear),RGC37+RGC42+#REF!+#REF!,"")</f>
        <v/>
      </c>
      <c r="RGD57" s="82" t="str">
        <f>IF(ISNUMBER(outYear),RGD37+RGD42+#REF!+#REF!,"")</f>
        <v/>
      </c>
      <c r="RGE57" s="82" t="str">
        <f>IF(ISNUMBER(outYear),RGE37+RGE42+#REF!+#REF!,"")</f>
        <v/>
      </c>
      <c r="RGF57" s="82" t="str">
        <f>IF(ISNUMBER(outYear),RGF37+RGF42+#REF!+#REF!,"")</f>
        <v/>
      </c>
      <c r="RGG57" s="82" t="str">
        <f>IF(ISNUMBER(outYear),RGG37+RGG42+#REF!+#REF!,"")</f>
        <v/>
      </c>
      <c r="RGH57" s="82" t="str">
        <f>IF(ISNUMBER(outYear),RGH37+RGH42+#REF!+#REF!,"")</f>
        <v/>
      </c>
      <c r="RGI57" s="82" t="str">
        <f>IF(ISNUMBER(outYear),RGI37+RGI42+#REF!+#REF!,"")</f>
        <v/>
      </c>
      <c r="RGJ57" s="82" t="str">
        <f>IF(ISNUMBER(outYear),RGJ37+RGJ42+#REF!+#REF!,"")</f>
        <v/>
      </c>
      <c r="RGK57" s="82" t="str">
        <f>IF(ISNUMBER(outYear),RGK37+RGK42+#REF!+#REF!,"")</f>
        <v/>
      </c>
      <c r="RGL57" s="82" t="str">
        <f>IF(ISNUMBER(outYear),RGL37+RGL42+#REF!+#REF!,"")</f>
        <v/>
      </c>
      <c r="RGM57" s="82" t="str">
        <f>IF(ISNUMBER(outYear),RGM37+RGM42+#REF!+#REF!,"")</f>
        <v/>
      </c>
      <c r="RGN57" s="82" t="str">
        <f>IF(ISNUMBER(outYear),RGN37+RGN42+#REF!+#REF!,"")</f>
        <v/>
      </c>
      <c r="RGO57" s="82" t="str">
        <f>IF(ISNUMBER(outYear),RGO37+RGO42+#REF!+#REF!,"")</f>
        <v/>
      </c>
      <c r="RGP57" s="82" t="str">
        <f>IF(ISNUMBER(outYear),RGP37+RGP42+#REF!+#REF!,"")</f>
        <v/>
      </c>
      <c r="RGQ57" s="82" t="str">
        <f>IF(ISNUMBER(outYear),RGQ37+RGQ42+#REF!+#REF!,"")</f>
        <v/>
      </c>
      <c r="RGR57" s="82" t="str">
        <f>IF(ISNUMBER(outYear),RGR37+RGR42+#REF!+#REF!,"")</f>
        <v/>
      </c>
      <c r="RGS57" s="82" t="str">
        <f>IF(ISNUMBER(outYear),RGS37+RGS42+#REF!+#REF!,"")</f>
        <v/>
      </c>
      <c r="RGT57" s="82" t="str">
        <f>IF(ISNUMBER(outYear),RGT37+RGT42+#REF!+#REF!,"")</f>
        <v/>
      </c>
      <c r="RGU57" s="82" t="str">
        <f>IF(ISNUMBER(outYear),RGU37+RGU42+#REF!+#REF!,"")</f>
        <v/>
      </c>
      <c r="RGV57" s="82" t="str">
        <f>IF(ISNUMBER(outYear),RGV37+RGV42+#REF!+#REF!,"")</f>
        <v/>
      </c>
      <c r="RGW57" s="82" t="str">
        <f>IF(ISNUMBER(outYear),RGW37+RGW42+#REF!+#REF!,"")</f>
        <v/>
      </c>
      <c r="RGX57" s="82" t="str">
        <f>IF(ISNUMBER(outYear),RGX37+RGX42+#REF!+#REF!,"")</f>
        <v/>
      </c>
      <c r="RGY57" s="82" t="str">
        <f>IF(ISNUMBER(outYear),RGY37+RGY42+#REF!+#REF!,"")</f>
        <v/>
      </c>
      <c r="RGZ57" s="82" t="str">
        <f>IF(ISNUMBER(outYear),RGZ37+RGZ42+#REF!+#REF!,"")</f>
        <v/>
      </c>
      <c r="RHA57" s="82" t="str">
        <f>IF(ISNUMBER(outYear),RHA37+RHA42+#REF!+#REF!,"")</f>
        <v/>
      </c>
      <c r="RHB57" s="82" t="str">
        <f>IF(ISNUMBER(outYear),RHB37+RHB42+#REF!+#REF!,"")</f>
        <v/>
      </c>
      <c r="RHC57" s="82" t="str">
        <f>IF(ISNUMBER(outYear),RHC37+RHC42+#REF!+#REF!,"")</f>
        <v/>
      </c>
      <c r="RHD57" s="82" t="str">
        <f>IF(ISNUMBER(outYear),RHD37+RHD42+#REF!+#REF!,"")</f>
        <v/>
      </c>
      <c r="RHE57" s="82" t="str">
        <f>IF(ISNUMBER(outYear),RHE37+RHE42+#REF!+#REF!,"")</f>
        <v/>
      </c>
      <c r="RHF57" s="82" t="str">
        <f>IF(ISNUMBER(outYear),RHF37+RHF42+#REF!+#REF!,"")</f>
        <v/>
      </c>
      <c r="RHG57" s="82" t="str">
        <f>IF(ISNUMBER(outYear),RHG37+RHG42+#REF!+#REF!,"")</f>
        <v/>
      </c>
      <c r="RHH57" s="82" t="str">
        <f>IF(ISNUMBER(outYear),RHH37+RHH42+#REF!+#REF!,"")</f>
        <v/>
      </c>
      <c r="RHI57" s="82" t="str">
        <f>IF(ISNUMBER(outYear),RHI37+RHI42+#REF!+#REF!,"")</f>
        <v/>
      </c>
      <c r="RHJ57" s="82" t="str">
        <f>IF(ISNUMBER(outYear),RHJ37+RHJ42+#REF!+#REF!,"")</f>
        <v/>
      </c>
      <c r="RHK57" s="82" t="str">
        <f>IF(ISNUMBER(outYear),RHK37+RHK42+#REF!+#REF!,"")</f>
        <v/>
      </c>
      <c r="RHL57" s="82" t="str">
        <f>IF(ISNUMBER(outYear),RHL37+RHL42+#REF!+#REF!,"")</f>
        <v/>
      </c>
      <c r="RHM57" s="82" t="str">
        <f>IF(ISNUMBER(outYear),RHM37+RHM42+#REF!+#REF!,"")</f>
        <v/>
      </c>
      <c r="RHN57" s="82" t="str">
        <f>IF(ISNUMBER(outYear),RHN37+RHN42+#REF!+#REF!,"")</f>
        <v/>
      </c>
      <c r="RHO57" s="82" t="str">
        <f>IF(ISNUMBER(outYear),RHO37+RHO42+#REF!+#REF!,"")</f>
        <v/>
      </c>
      <c r="RHP57" s="82" t="str">
        <f>IF(ISNUMBER(outYear),RHP37+RHP42+#REF!+#REF!,"")</f>
        <v/>
      </c>
      <c r="RHQ57" s="82" t="str">
        <f>IF(ISNUMBER(outYear),RHQ37+RHQ42+#REF!+#REF!,"")</f>
        <v/>
      </c>
      <c r="RHR57" s="82" t="str">
        <f>IF(ISNUMBER(outYear),RHR37+RHR42+#REF!+#REF!,"")</f>
        <v/>
      </c>
      <c r="RHS57" s="82" t="str">
        <f>IF(ISNUMBER(outYear),RHS37+RHS42+#REF!+#REF!,"")</f>
        <v/>
      </c>
      <c r="RHT57" s="82" t="str">
        <f>IF(ISNUMBER(outYear),RHT37+RHT42+#REF!+#REF!,"")</f>
        <v/>
      </c>
      <c r="RHU57" s="82" t="str">
        <f>IF(ISNUMBER(outYear),RHU37+RHU42+#REF!+#REF!,"")</f>
        <v/>
      </c>
      <c r="RHV57" s="82" t="str">
        <f>IF(ISNUMBER(outYear),RHV37+RHV42+#REF!+#REF!,"")</f>
        <v/>
      </c>
      <c r="RHW57" s="82" t="str">
        <f>IF(ISNUMBER(outYear),RHW37+RHW42+#REF!+#REF!,"")</f>
        <v/>
      </c>
      <c r="RHX57" s="82" t="str">
        <f>IF(ISNUMBER(outYear),RHX37+RHX42+#REF!+#REF!,"")</f>
        <v/>
      </c>
      <c r="RHY57" s="82" t="str">
        <f>IF(ISNUMBER(outYear),RHY37+RHY42+#REF!+#REF!,"")</f>
        <v/>
      </c>
      <c r="RHZ57" s="82" t="str">
        <f>IF(ISNUMBER(outYear),RHZ37+RHZ42+#REF!+#REF!,"")</f>
        <v/>
      </c>
      <c r="RIA57" s="82" t="str">
        <f>IF(ISNUMBER(outYear),RIA37+RIA42+#REF!+#REF!,"")</f>
        <v/>
      </c>
      <c r="RIB57" s="82" t="str">
        <f>IF(ISNUMBER(outYear),RIB37+RIB42+#REF!+#REF!,"")</f>
        <v/>
      </c>
      <c r="RIC57" s="82" t="str">
        <f>IF(ISNUMBER(outYear),RIC37+RIC42+#REF!+#REF!,"")</f>
        <v/>
      </c>
      <c r="RID57" s="82" t="str">
        <f>IF(ISNUMBER(outYear),RID37+RID42+#REF!+#REF!,"")</f>
        <v/>
      </c>
      <c r="RIE57" s="82" t="str">
        <f>IF(ISNUMBER(outYear),RIE37+RIE42+#REF!+#REF!,"")</f>
        <v/>
      </c>
      <c r="RIF57" s="82" t="str">
        <f>IF(ISNUMBER(outYear),RIF37+RIF42+#REF!+#REF!,"")</f>
        <v/>
      </c>
      <c r="RIG57" s="82" t="str">
        <f>IF(ISNUMBER(outYear),RIG37+RIG42+#REF!+#REF!,"")</f>
        <v/>
      </c>
      <c r="RIH57" s="82" t="str">
        <f>IF(ISNUMBER(outYear),RIH37+RIH42+#REF!+#REF!,"")</f>
        <v/>
      </c>
      <c r="RII57" s="82" t="str">
        <f>IF(ISNUMBER(outYear),RII37+RII42+#REF!+#REF!,"")</f>
        <v/>
      </c>
      <c r="RIJ57" s="82" t="str">
        <f>IF(ISNUMBER(outYear),RIJ37+RIJ42+#REF!+#REF!,"")</f>
        <v/>
      </c>
      <c r="RIK57" s="82" t="str">
        <f>IF(ISNUMBER(outYear),RIK37+RIK42+#REF!+#REF!,"")</f>
        <v/>
      </c>
      <c r="RIL57" s="82" t="str">
        <f>IF(ISNUMBER(outYear),RIL37+RIL42+#REF!+#REF!,"")</f>
        <v/>
      </c>
      <c r="RIM57" s="82" t="str">
        <f>IF(ISNUMBER(outYear),RIM37+RIM42+#REF!+#REF!,"")</f>
        <v/>
      </c>
      <c r="RIN57" s="82" t="str">
        <f>IF(ISNUMBER(outYear),RIN37+RIN42+#REF!+#REF!,"")</f>
        <v/>
      </c>
      <c r="RIO57" s="82" t="str">
        <f>IF(ISNUMBER(outYear),RIO37+RIO42+#REF!+#REF!,"")</f>
        <v/>
      </c>
      <c r="RIP57" s="82" t="str">
        <f>IF(ISNUMBER(outYear),RIP37+RIP42+#REF!+#REF!,"")</f>
        <v/>
      </c>
      <c r="RIQ57" s="82" t="str">
        <f>IF(ISNUMBER(outYear),RIQ37+RIQ42+#REF!+#REF!,"")</f>
        <v/>
      </c>
      <c r="RIR57" s="82" t="str">
        <f>IF(ISNUMBER(outYear),RIR37+RIR42+#REF!+#REF!,"")</f>
        <v/>
      </c>
      <c r="RIS57" s="82" t="str">
        <f>IF(ISNUMBER(outYear),RIS37+RIS42+#REF!+#REF!,"")</f>
        <v/>
      </c>
      <c r="RIT57" s="82" t="str">
        <f>IF(ISNUMBER(outYear),RIT37+RIT42+#REF!+#REF!,"")</f>
        <v/>
      </c>
      <c r="RIU57" s="82" t="str">
        <f>IF(ISNUMBER(outYear),RIU37+RIU42+#REF!+#REF!,"")</f>
        <v/>
      </c>
      <c r="RIV57" s="82" t="str">
        <f>IF(ISNUMBER(outYear),RIV37+RIV42+#REF!+#REF!,"")</f>
        <v/>
      </c>
      <c r="RIW57" s="82" t="str">
        <f>IF(ISNUMBER(outYear),RIW37+RIW42+#REF!+#REF!,"")</f>
        <v/>
      </c>
      <c r="RIX57" s="82" t="str">
        <f>IF(ISNUMBER(outYear),RIX37+RIX42+#REF!+#REF!,"")</f>
        <v/>
      </c>
      <c r="RIY57" s="82" t="str">
        <f>IF(ISNUMBER(outYear),RIY37+RIY42+#REF!+#REF!,"")</f>
        <v/>
      </c>
      <c r="RIZ57" s="82" t="str">
        <f>IF(ISNUMBER(outYear),RIZ37+RIZ42+#REF!+#REF!,"")</f>
        <v/>
      </c>
      <c r="RJA57" s="82" t="str">
        <f>IF(ISNUMBER(outYear),RJA37+RJA42+#REF!+#REF!,"")</f>
        <v/>
      </c>
      <c r="RJB57" s="82" t="str">
        <f>IF(ISNUMBER(outYear),RJB37+RJB42+#REF!+#REF!,"")</f>
        <v/>
      </c>
      <c r="RJC57" s="82" t="str">
        <f>IF(ISNUMBER(outYear),RJC37+RJC42+#REF!+#REF!,"")</f>
        <v/>
      </c>
      <c r="RJD57" s="82" t="str">
        <f>IF(ISNUMBER(outYear),RJD37+RJD42+#REF!+#REF!,"")</f>
        <v/>
      </c>
      <c r="RJE57" s="82" t="str">
        <f>IF(ISNUMBER(outYear),RJE37+RJE42+#REF!+#REF!,"")</f>
        <v/>
      </c>
      <c r="RJF57" s="82" t="str">
        <f>IF(ISNUMBER(outYear),RJF37+RJF42+#REF!+#REF!,"")</f>
        <v/>
      </c>
      <c r="RJG57" s="82" t="str">
        <f>IF(ISNUMBER(outYear),RJG37+RJG42+#REF!+#REF!,"")</f>
        <v/>
      </c>
      <c r="RJH57" s="82" t="str">
        <f>IF(ISNUMBER(outYear),RJH37+RJH42+#REF!+#REF!,"")</f>
        <v/>
      </c>
      <c r="RJI57" s="82" t="str">
        <f>IF(ISNUMBER(outYear),RJI37+RJI42+#REF!+#REF!,"")</f>
        <v/>
      </c>
      <c r="RJJ57" s="82" t="str">
        <f>IF(ISNUMBER(outYear),RJJ37+RJJ42+#REF!+#REF!,"")</f>
        <v/>
      </c>
      <c r="RJK57" s="82" t="str">
        <f>IF(ISNUMBER(outYear),RJK37+RJK42+#REF!+#REF!,"")</f>
        <v/>
      </c>
      <c r="RJL57" s="82" t="str">
        <f>IF(ISNUMBER(outYear),RJL37+RJL42+#REF!+#REF!,"")</f>
        <v/>
      </c>
      <c r="RJM57" s="82" t="str">
        <f>IF(ISNUMBER(outYear),RJM37+RJM42+#REF!+#REF!,"")</f>
        <v/>
      </c>
      <c r="RJN57" s="82" t="str">
        <f>IF(ISNUMBER(outYear),RJN37+RJN42+#REF!+#REF!,"")</f>
        <v/>
      </c>
      <c r="RJO57" s="82" t="str">
        <f>IF(ISNUMBER(outYear),RJO37+RJO42+#REF!+#REF!,"")</f>
        <v/>
      </c>
      <c r="RJP57" s="82" t="str">
        <f>IF(ISNUMBER(outYear),RJP37+RJP42+#REF!+#REF!,"")</f>
        <v/>
      </c>
      <c r="RJQ57" s="82" t="str">
        <f>IF(ISNUMBER(outYear),RJQ37+RJQ42+#REF!+#REF!,"")</f>
        <v/>
      </c>
      <c r="RJR57" s="82" t="str">
        <f>IF(ISNUMBER(outYear),RJR37+RJR42+#REF!+#REF!,"")</f>
        <v/>
      </c>
      <c r="RJS57" s="82" t="str">
        <f>IF(ISNUMBER(outYear),RJS37+RJS42+#REF!+#REF!,"")</f>
        <v/>
      </c>
      <c r="RJT57" s="82" t="str">
        <f>IF(ISNUMBER(outYear),RJT37+RJT42+#REF!+#REF!,"")</f>
        <v/>
      </c>
      <c r="RJU57" s="82" t="str">
        <f>IF(ISNUMBER(outYear),RJU37+RJU42+#REF!+#REF!,"")</f>
        <v/>
      </c>
      <c r="RJV57" s="82" t="str">
        <f>IF(ISNUMBER(outYear),RJV37+RJV42+#REF!+#REF!,"")</f>
        <v/>
      </c>
      <c r="RJW57" s="82" t="str">
        <f>IF(ISNUMBER(outYear),RJW37+RJW42+#REF!+#REF!,"")</f>
        <v/>
      </c>
      <c r="RJX57" s="82" t="str">
        <f>IF(ISNUMBER(outYear),RJX37+RJX42+#REF!+#REF!,"")</f>
        <v/>
      </c>
      <c r="RJY57" s="82" t="str">
        <f>IF(ISNUMBER(outYear),RJY37+RJY42+#REF!+#REF!,"")</f>
        <v/>
      </c>
      <c r="RJZ57" s="82" t="str">
        <f>IF(ISNUMBER(outYear),RJZ37+RJZ42+#REF!+#REF!,"")</f>
        <v/>
      </c>
      <c r="RKA57" s="82" t="str">
        <f>IF(ISNUMBER(outYear),RKA37+RKA42+#REF!+#REF!,"")</f>
        <v/>
      </c>
      <c r="RKB57" s="82" t="str">
        <f>IF(ISNUMBER(outYear),RKB37+RKB42+#REF!+#REF!,"")</f>
        <v/>
      </c>
      <c r="RKC57" s="82" t="str">
        <f>IF(ISNUMBER(outYear),RKC37+RKC42+#REF!+#REF!,"")</f>
        <v/>
      </c>
      <c r="RKD57" s="82" t="str">
        <f>IF(ISNUMBER(outYear),RKD37+RKD42+#REF!+#REF!,"")</f>
        <v/>
      </c>
      <c r="RKE57" s="82" t="str">
        <f>IF(ISNUMBER(outYear),RKE37+RKE42+#REF!+#REF!,"")</f>
        <v/>
      </c>
      <c r="RKF57" s="82" t="str">
        <f>IF(ISNUMBER(outYear),RKF37+RKF42+#REF!+#REF!,"")</f>
        <v/>
      </c>
      <c r="RKG57" s="82" t="str">
        <f>IF(ISNUMBER(outYear),RKG37+RKG42+#REF!+#REF!,"")</f>
        <v/>
      </c>
      <c r="RKH57" s="82" t="str">
        <f>IF(ISNUMBER(outYear),RKH37+RKH42+#REF!+#REF!,"")</f>
        <v/>
      </c>
      <c r="RKI57" s="82" t="str">
        <f>IF(ISNUMBER(outYear),RKI37+RKI42+#REF!+#REF!,"")</f>
        <v/>
      </c>
      <c r="RKJ57" s="82" t="str">
        <f>IF(ISNUMBER(outYear),RKJ37+RKJ42+#REF!+#REF!,"")</f>
        <v/>
      </c>
      <c r="RKK57" s="82" t="str">
        <f>IF(ISNUMBER(outYear),RKK37+RKK42+#REF!+#REF!,"")</f>
        <v/>
      </c>
      <c r="RKL57" s="82" t="str">
        <f>IF(ISNUMBER(outYear),RKL37+RKL42+#REF!+#REF!,"")</f>
        <v/>
      </c>
      <c r="RKM57" s="82" t="str">
        <f>IF(ISNUMBER(outYear),RKM37+RKM42+#REF!+#REF!,"")</f>
        <v/>
      </c>
      <c r="RKN57" s="82" t="str">
        <f>IF(ISNUMBER(outYear),RKN37+RKN42+#REF!+#REF!,"")</f>
        <v/>
      </c>
      <c r="RKO57" s="82" t="str">
        <f>IF(ISNUMBER(outYear),RKO37+RKO42+#REF!+#REF!,"")</f>
        <v/>
      </c>
      <c r="RKP57" s="82" t="str">
        <f>IF(ISNUMBER(outYear),RKP37+RKP42+#REF!+#REF!,"")</f>
        <v/>
      </c>
      <c r="RKQ57" s="82" t="str">
        <f>IF(ISNUMBER(outYear),RKQ37+RKQ42+#REF!+#REF!,"")</f>
        <v/>
      </c>
      <c r="RKR57" s="82" t="str">
        <f>IF(ISNUMBER(outYear),RKR37+RKR42+#REF!+#REF!,"")</f>
        <v/>
      </c>
      <c r="RKS57" s="82" t="str">
        <f>IF(ISNUMBER(outYear),RKS37+RKS42+#REF!+#REF!,"")</f>
        <v/>
      </c>
      <c r="RKT57" s="82" t="str">
        <f>IF(ISNUMBER(outYear),RKT37+RKT42+#REF!+#REF!,"")</f>
        <v/>
      </c>
      <c r="RKU57" s="82" t="str">
        <f>IF(ISNUMBER(outYear),RKU37+RKU42+#REF!+#REF!,"")</f>
        <v/>
      </c>
      <c r="RKV57" s="82" t="str">
        <f>IF(ISNUMBER(outYear),RKV37+RKV42+#REF!+#REF!,"")</f>
        <v/>
      </c>
      <c r="RKW57" s="82" t="str">
        <f>IF(ISNUMBER(outYear),RKW37+RKW42+#REF!+#REF!,"")</f>
        <v/>
      </c>
      <c r="RKX57" s="82" t="str">
        <f>IF(ISNUMBER(outYear),RKX37+RKX42+#REF!+#REF!,"")</f>
        <v/>
      </c>
      <c r="RKY57" s="82" t="str">
        <f>IF(ISNUMBER(outYear),RKY37+RKY42+#REF!+#REF!,"")</f>
        <v/>
      </c>
      <c r="RKZ57" s="82" t="str">
        <f>IF(ISNUMBER(outYear),RKZ37+RKZ42+#REF!+#REF!,"")</f>
        <v/>
      </c>
      <c r="RLA57" s="82" t="str">
        <f>IF(ISNUMBER(outYear),RLA37+RLA42+#REF!+#REF!,"")</f>
        <v/>
      </c>
      <c r="RLB57" s="82" t="str">
        <f>IF(ISNUMBER(outYear),RLB37+RLB42+#REF!+#REF!,"")</f>
        <v/>
      </c>
      <c r="RLC57" s="82" t="str">
        <f>IF(ISNUMBER(outYear),RLC37+RLC42+#REF!+#REF!,"")</f>
        <v/>
      </c>
      <c r="RLD57" s="82" t="str">
        <f>IF(ISNUMBER(outYear),RLD37+RLD42+#REF!+#REF!,"")</f>
        <v/>
      </c>
      <c r="RLE57" s="82" t="str">
        <f>IF(ISNUMBER(outYear),RLE37+RLE42+#REF!+#REF!,"")</f>
        <v/>
      </c>
      <c r="RLF57" s="82" t="str">
        <f>IF(ISNUMBER(outYear),RLF37+RLF42+#REF!+#REF!,"")</f>
        <v/>
      </c>
      <c r="RLG57" s="82" t="str">
        <f>IF(ISNUMBER(outYear),RLG37+RLG42+#REF!+#REF!,"")</f>
        <v/>
      </c>
      <c r="RLH57" s="82" t="str">
        <f>IF(ISNUMBER(outYear),RLH37+RLH42+#REF!+#REF!,"")</f>
        <v/>
      </c>
      <c r="RLI57" s="82" t="str">
        <f>IF(ISNUMBER(outYear),RLI37+RLI42+#REF!+#REF!,"")</f>
        <v/>
      </c>
      <c r="RLJ57" s="82" t="str">
        <f>IF(ISNUMBER(outYear),RLJ37+RLJ42+#REF!+#REF!,"")</f>
        <v/>
      </c>
      <c r="RLK57" s="82" t="str">
        <f>IF(ISNUMBER(outYear),RLK37+RLK42+#REF!+#REF!,"")</f>
        <v/>
      </c>
      <c r="RLL57" s="82" t="str">
        <f>IF(ISNUMBER(outYear),RLL37+RLL42+#REF!+#REF!,"")</f>
        <v/>
      </c>
      <c r="RLM57" s="82" t="str">
        <f>IF(ISNUMBER(outYear),RLM37+RLM42+#REF!+#REF!,"")</f>
        <v/>
      </c>
      <c r="RLN57" s="82" t="str">
        <f>IF(ISNUMBER(outYear),RLN37+RLN42+#REF!+#REF!,"")</f>
        <v/>
      </c>
      <c r="RLO57" s="82" t="str">
        <f>IF(ISNUMBER(outYear),RLO37+RLO42+#REF!+#REF!,"")</f>
        <v/>
      </c>
      <c r="RLP57" s="82" t="str">
        <f>IF(ISNUMBER(outYear),RLP37+RLP42+#REF!+#REF!,"")</f>
        <v/>
      </c>
      <c r="RLQ57" s="82" t="str">
        <f>IF(ISNUMBER(outYear),RLQ37+RLQ42+#REF!+#REF!,"")</f>
        <v/>
      </c>
      <c r="RLR57" s="82" t="str">
        <f>IF(ISNUMBER(outYear),RLR37+RLR42+#REF!+#REF!,"")</f>
        <v/>
      </c>
      <c r="RLS57" s="82" t="str">
        <f>IF(ISNUMBER(outYear),RLS37+RLS42+#REF!+#REF!,"")</f>
        <v/>
      </c>
      <c r="RLT57" s="82" t="str">
        <f>IF(ISNUMBER(outYear),RLT37+RLT42+#REF!+#REF!,"")</f>
        <v/>
      </c>
      <c r="RLU57" s="82" t="str">
        <f>IF(ISNUMBER(outYear),RLU37+RLU42+#REF!+#REF!,"")</f>
        <v/>
      </c>
      <c r="RLV57" s="82" t="str">
        <f>IF(ISNUMBER(outYear),RLV37+RLV42+#REF!+#REF!,"")</f>
        <v/>
      </c>
      <c r="RLW57" s="82" t="str">
        <f>IF(ISNUMBER(outYear),RLW37+RLW42+#REF!+#REF!,"")</f>
        <v/>
      </c>
      <c r="RLX57" s="82" t="str">
        <f>IF(ISNUMBER(outYear),RLX37+RLX42+#REF!+#REF!,"")</f>
        <v/>
      </c>
      <c r="RLY57" s="82" t="str">
        <f>IF(ISNUMBER(outYear),RLY37+RLY42+#REF!+#REF!,"")</f>
        <v/>
      </c>
      <c r="RLZ57" s="82" t="str">
        <f>IF(ISNUMBER(outYear),RLZ37+RLZ42+#REF!+#REF!,"")</f>
        <v/>
      </c>
      <c r="RMA57" s="82" t="str">
        <f>IF(ISNUMBER(outYear),RMA37+RMA42+#REF!+#REF!,"")</f>
        <v/>
      </c>
      <c r="RMB57" s="82" t="str">
        <f>IF(ISNUMBER(outYear),RMB37+RMB42+#REF!+#REF!,"")</f>
        <v/>
      </c>
      <c r="RMC57" s="82" t="str">
        <f>IF(ISNUMBER(outYear),RMC37+RMC42+#REF!+#REF!,"")</f>
        <v/>
      </c>
      <c r="RMD57" s="82" t="str">
        <f>IF(ISNUMBER(outYear),RMD37+RMD42+#REF!+#REF!,"")</f>
        <v/>
      </c>
      <c r="RME57" s="82" t="str">
        <f>IF(ISNUMBER(outYear),RME37+RME42+#REF!+#REF!,"")</f>
        <v/>
      </c>
      <c r="RMF57" s="82" t="str">
        <f>IF(ISNUMBER(outYear),RMF37+RMF42+#REF!+#REF!,"")</f>
        <v/>
      </c>
      <c r="RMG57" s="82" t="str">
        <f>IF(ISNUMBER(outYear),RMG37+RMG42+#REF!+#REF!,"")</f>
        <v/>
      </c>
      <c r="RMH57" s="82" t="str">
        <f>IF(ISNUMBER(outYear),RMH37+RMH42+#REF!+#REF!,"")</f>
        <v/>
      </c>
      <c r="RMI57" s="82" t="str">
        <f>IF(ISNUMBER(outYear),RMI37+RMI42+#REF!+#REF!,"")</f>
        <v/>
      </c>
      <c r="RMJ57" s="82" t="str">
        <f>IF(ISNUMBER(outYear),RMJ37+RMJ42+#REF!+#REF!,"")</f>
        <v/>
      </c>
      <c r="RMK57" s="82" t="str">
        <f>IF(ISNUMBER(outYear),RMK37+RMK42+#REF!+#REF!,"")</f>
        <v/>
      </c>
      <c r="RML57" s="82" t="str">
        <f>IF(ISNUMBER(outYear),RML37+RML42+#REF!+#REF!,"")</f>
        <v/>
      </c>
      <c r="RMM57" s="82" t="str">
        <f>IF(ISNUMBER(outYear),RMM37+RMM42+#REF!+#REF!,"")</f>
        <v/>
      </c>
      <c r="RMN57" s="82" t="str">
        <f>IF(ISNUMBER(outYear),RMN37+RMN42+#REF!+#REF!,"")</f>
        <v/>
      </c>
      <c r="RMO57" s="82" t="str">
        <f>IF(ISNUMBER(outYear),RMO37+RMO42+#REF!+#REF!,"")</f>
        <v/>
      </c>
      <c r="RMP57" s="82" t="str">
        <f>IF(ISNUMBER(outYear),RMP37+RMP42+#REF!+#REF!,"")</f>
        <v/>
      </c>
      <c r="RMQ57" s="82" t="str">
        <f>IF(ISNUMBER(outYear),RMQ37+RMQ42+#REF!+#REF!,"")</f>
        <v/>
      </c>
      <c r="RMR57" s="82" t="str">
        <f>IF(ISNUMBER(outYear),RMR37+RMR42+#REF!+#REF!,"")</f>
        <v/>
      </c>
      <c r="RMS57" s="82" t="str">
        <f>IF(ISNUMBER(outYear),RMS37+RMS42+#REF!+#REF!,"")</f>
        <v/>
      </c>
      <c r="RMT57" s="82" t="str">
        <f>IF(ISNUMBER(outYear),RMT37+RMT42+#REF!+#REF!,"")</f>
        <v/>
      </c>
      <c r="RMU57" s="82" t="str">
        <f>IF(ISNUMBER(outYear),RMU37+RMU42+#REF!+#REF!,"")</f>
        <v/>
      </c>
      <c r="RMV57" s="82" t="str">
        <f>IF(ISNUMBER(outYear),RMV37+RMV42+#REF!+#REF!,"")</f>
        <v/>
      </c>
      <c r="RMW57" s="82" t="str">
        <f>IF(ISNUMBER(outYear),RMW37+RMW42+#REF!+#REF!,"")</f>
        <v/>
      </c>
      <c r="RMX57" s="82" t="str">
        <f>IF(ISNUMBER(outYear),RMX37+RMX42+#REF!+#REF!,"")</f>
        <v/>
      </c>
      <c r="RMY57" s="82" t="str">
        <f>IF(ISNUMBER(outYear),RMY37+RMY42+#REF!+#REF!,"")</f>
        <v/>
      </c>
      <c r="RMZ57" s="82" t="str">
        <f>IF(ISNUMBER(outYear),RMZ37+RMZ42+#REF!+#REF!,"")</f>
        <v/>
      </c>
      <c r="RNA57" s="82" t="str">
        <f>IF(ISNUMBER(outYear),RNA37+RNA42+#REF!+#REF!,"")</f>
        <v/>
      </c>
      <c r="RNB57" s="82" t="str">
        <f>IF(ISNUMBER(outYear),RNB37+RNB42+#REF!+#REF!,"")</f>
        <v/>
      </c>
      <c r="RNC57" s="82" t="str">
        <f>IF(ISNUMBER(outYear),RNC37+RNC42+#REF!+#REF!,"")</f>
        <v/>
      </c>
      <c r="RND57" s="82" t="str">
        <f>IF(ISNUMBER(outYear),RND37+RND42+#REF!+#REF!,"")</f>
        <v/>
      </c>
      <c r="RNE57" s="82" t="str">
        <f>IF(ISNUMBER(outYear),RNE37+RNE42+#REF!+#REF!,"")</f>
        <v/>
      </c>
      <c r="RNF57" s="82" t="str">
        <f>IF(ISNUMBER(outYear),RNF37+RNF42+#REF!+#REF!,"")</f>
        <v/>
      </c>
      <c r="RNG57" s="82" t="str">
        <f>IF(ISNUMBER(outYear),RNG37+RNG42+#REF!+#REF!,"")</f>
        <v/>
      </c>
      <c r="RNH57" s="82" t="str">
        <f>IF(ISNUMBER(outYear),RNH37+RNH42+#REF!+#REF!,"")</f>
        <v/>
      </c>
      <c r="RNI57" s="82" t="str">
        <f>IF(ISNUMBER(outYear),RNI37+RNI42+#REF!+#REF!,"")</f>
        <v/>
      </c>
      <c r="RNJ57" s="82" t="str">
        <f>IF(ISNUMBER(outYear),RNJ37+RNJ42+#REF!+#REF!,"")</f>
        <v/>
      </c>
      <c r="RNK57" s="82" t="str">
        <f>IF(ISNUMBER(outYear),RNK37+RNK42+#REF!+#REF!,"")</f>
        <v/>
      </c>
      <c r="RNL57" s="82" t="str">
        <f>IF(ISNUMBER(outYear),RNL37+RNL42+#REF!+#REF!,"")</f>
        <v/>
      </c>
      <c r="RNM57" s="82" t="str">
        <f>IF(ISNUMBER(outYear),RNM37+RNM42+#REF!+#REF!,"")</f>
        <v/>
      </c>
      <c r="RNN57" s="82" t="str">
        <f>IF(ISNUMBER(outYear),RNN37+RNN42+#REF!+#REF!,"")</f>
        <v/>
      </c>
      <c r="RNO57" s="82" t="str">
        <f>IF(ISNUMBER(outYear),RNO37+RNO42+#REF!+#REF!,"")</f>
        <v/>
      </c>
      <c r="RNP57" s="82" t="str">
        <f>IF(ISNUMBER(outYear),RNP37+RNP42+#REF!+#REF!,"")</f>
        <v/>
      </c>
      <c r="RNQ57" s="82" t="str">
        <f>IF(ISNUMBER(outYear),RNQ37+RNQ42+#REF!+#REF!,"")</f>
        <v/>
      </c>
      <c r="RNR57" s="82" t="str">
        <f>IF(ISNUMBER(outYear),RNR37+RNR42+#REF!+#REF!,"")</f>
        <v/>
      </c>
      <c r="RNS57" s="82" t="str">
        <f>IF(ISNUMBER(outYear),RNS37+RNS42+#REF!+#REF!,"")</f>
        <v/>
      </c>
      <c r="RNT57" s="82" t="str">
        <f>IF(ISNUMBER(outYear),RNT37+RNT42+#REF!+#REF!,"")</f>
        <v/>
      </c>
      <c r="RNU57" s="82" t="str">
        <f>IF(ISNUMBER(outYear),RNU37+RNU42+#REF!+#REF!,"")</f>
        <v/>
      </c>
      <c r="RNV57" s="82" t="str">
        <f>IF(ISNUMBER(outYear),RNV37+RNV42+#REF!+#REF!,"")</f>
        <v/>
      </c>
      <c r="RNW57" s="82" t="str">
        <f>IF(ISNUMBER(outYear),RNW37+RNW42+#REF!+#REF!,"")</f>
        <v/>
      </c>
      <c r="RNX57" s="82" t="str">
        <f>IF(ISNUMBER(outYear),RNX37+RNX42+#REF!+#REF!,"")</f>
        <v/>
      </c>
      <c r="RNY57" s="82" t="str">
        <f>IF(ISNUMBER(outYear),RNY37+RNY42+#REF!+#REF!,"")</f>
        <v/>
      </c>
      <c r="RNZ57" s="82" t="str">
        <f>IF(ISNUMBER(outYear),RNZ37+RNZ42+#REF!+#REF!,"")</f>
        <v/>
      </c>
      <c r="ROA57" s="82" t="str">
        <f>IF(ISNUMBER(outYear),ROA37+ROA42+#REF!+#REF!,"")</f>
        <v/>
      </c>
      <c r="ROB57" s="82" t="str">
        <f>IF(ISNUMBER(outYear),ROB37+ROB42+#REF!+#REF!,"")</f>
        <v/>
      </c>
      <c r="ROC57" s="82" t="str">
        <f>IF(ISNUMBER(outYear),ROC37+ROC42+#REF!+#REF!,"")</f>
        <v/>
      </c>
      <c r="ROD57" s="82" t="str">
        <f>IF(ISNUMBER(outYear),ROD37+ROD42+#REF!+#REF!,"")</f>
        <v/>
      </c>
      <c r="ROE57" s="82" t="str">
        <f>IF(ISNUMBER(outYear),ROE37+ROE42+#REF!+#REF!,"")</f>
        <v/>
      </c>
      <c r="ROF57" s="82" t="str">
        <f>IF(ISNUMBER(outYear),ROF37+ROF42+#REF!+#REF!,"")</f>
        <v/>
      </c>
      <c r="ROG57" s="82" t="str">
        <f>IF(ISNUMBER(outYear),ROG37+ROG42+#REF!+#REF!,"")</f>
        <v/>
      </c>
      <c r="ROH57" s="82" t="str">
        <f>IF(ISNUMBER(outYear),ROH37+ROH42+#REF!+#REF!,"")</f>
        <v/>
      </c>
      <c r="ROI57" s="82" t="str">
        <f>IF(ISNUMBER(outYear),ROI37+ROI42+#REF!+#REF!,"")</f>
        <v/>
      </c>
      <c r="ROJ57" s="82" t="str">
        <f>IF(ISNUMBER(outYear),ROJ37+ROJ42+#REF!+#REF!,"")</f>
        <v/>
      </c>
      <c r="ROK57" s="82" t="str">
        <f>IF(ISNUMBER(outYear),ROK37+ROK42+#REF!+#REF!,"")</f>
        <v/>
      </c>
      <c r="ROL57" s="82" t="str">
        <f>IF(ISNUMBER(outYear),ROL37+ROL42+#REF!+#REF!,"")</f>
        <v/>
      </c>
      <c r="ROM57" s="82" t="str">
        <f>IF(ISNUMBER(outYear),ROM37+ROM42+#REF!+#REF!,"")</f>
        <v/>
      </c>
      <c r="RON57" s="82" t="str">
        <f>IF(ISNUMBER(outYear),RON37+RON42+#REF!+#REF!,"")</f>
        <v/>
      </c>
      <c r="ROO57" s="82" t="str">
        <f>IF(ISNUMBER(outYear),ROO37+ROO42+#REF!+#REF!,"")</f>
        <v/>
      </c>
      <c r="ROP57" s="82" t="str">
        <f>IF(ISNUMBER(outYear),ROP37+ROP42+#REF!+#REF!,"")</f>
        <v/>
      </c>
      <c r="ROQ57" s="82" t="str">
        <f>IF(ISNUMBER(outYear),ROQ37+ROQ42+#REF!+#REF!,"")</f>
        <v/>
      </c>
      <c r="ROR57" s="82" t="str">
        <f>IF(ISNUMBER(outYear),ROR37+ROR42+#REF!+#REF!,"")</f>
        <v/>
      </c>
      <c r="ROS57" s="82" t="str">
        <f>IF(ISNUMBER(outYear),ROS37+ROS42+#REF!+#REF!,"")</f>
        <v/>
      </c>
      <c r="ROT57" s="82" t="str">
        <f>IF(ISNUMBER(outYear),ROT37+ROT42+#REF!+#REF!,"")</f>
        <v/>
      </c>
      <c r="ROU57" s="82" t="str">
        <f>IF(ISNUMBER(outYear),ROU37+ROU42+#REF!+#REF!,"")</f>
        <v/>
      </c>
      <c r="ROV57" s="82" t="str">
        <f>IF(ISNUMBER(outYear),ROV37+ROV42+#REF!+#REF!,"")</f>
        <v/>
      </c>
      <c r="ROW57" s="82" t="str">
        <f>IF(ISNUMBER(outYear),ROW37+ROW42+#REF!+#REF!,"")</f>
        <v/>
      </c>
      <c r="ROX57" s="82" t="str">
        <f>IF(ISNUMBER(outYear),ROX37+ROX42+#REF!+#REF!,"")</f>
        <v/>
      </c>
      <c r="ROY57" s="82" t="str">
        <f>IF(ISNUMBER(outYear),ROY37+ROY42+#REF!+#REF!,"")</f>
        <v/>
      </c>
      <c r="ROZ57" s="82" t="str">
        <f>IF(ISNUMBER(outYear),ROZ37+ROZ42+#REF!+#REF!,"")</f>
        <v/>
      </c>
      <c r="RPA57" s="82" t="str">
        <f>IF(ISNUMBER(outYear),RPA37+RPA42+#REF!+#REF!,"")</f>
        <v/>
      </c>
      <c r="RPB57" s="82" t="str">
        <f>IF(ISNUMBER(outYear),RPB37+RPB42+#REF!+#REF!,"")</f>
        <v/>
      </c>
      <c r="RPC57" s="82" t="str">
        <f>IF(ISNUMBER(outYear),RPC37+RPC42+#REF!+#REF!,"")</f>
        <v/>
      </c>
      <c r="RPD57" s="82" t="str">
        <f>IF(ISNUMBER(outYear),RPD37+RPD42+#REF!+#REF!,"")</f>
        <v/>
      </c>
      <c r="RPE57" s="82" t="str">
        <f>IF(ISNUMBER(outYear),RPE37+RPE42+#REF!+#REF!,"")</f>
        <v/>
      </c>
      <c r="RPF57" s="82" t="str">
        <f>IF(ISNUMBER(outYear),RPF37+RPF42+#REF!+#REF!,"")</f>
        <v/>
      </c>
      <c r="RPG57" s="82" t="str">
        <f>IF(ISNUMBER(outYear),RPG37+RPG42+#REF!+#REF!,"")</f>
        <v/>
      </c>
      <c r="RPH57" s="82" t="str">
        <f>IF(ISNUMBER(outYear),RPH37+RPH42+#REF!+#REF!,"")</f>
        <v/>
      </c>
      <c r="RPI57" s="82" t="str">
        <f>IF(ISNUMBER(outYear),RPI37+RPI42+#REF!+#REF!,"")</f>
        <v/>
      </c>
      <c r="RPJ57" s="82" t="str">
        <f>IF(ISNUMBER(outYear),RPJ37+RPJ42+#REF!+#REF!,"")</f>
        <v/>
      </c>
      <c r="RPK57" s="82" t="str">
        <f>IF(ISNUMBER(outYear),RPK37+RPK42+#REF!+#REF!,"")</f>
        <v/>
      </c>
      <c r="RPL57" s="82" t="str">
        <f>IF(ISNUMBER(outYear),RPL37+RPL42+#REF!+#REF!,"")</f>
        <v/>
      </c>
      <c r="RPM57" s="82" t="str">
        <f>IF(ISNUMBER(outYear),RPM37+RPM42+#REF!+#REF!,"")</f>
        <v/>
      </c>
      <c r="RPN57" s="82" t="str">
        <f>IF(ISNUMBER(outYear),RPN37+RPN42+#REF!+#REF!,"")</f>
        <v/>
      </c>
      <c r="RPO57" s="82" t="str">
        <f>IF(ISNUMBER(outYear),RPO37+RPO42+#REF!+#REF!,"")</f>
        <v/>
      </c>
      <c r="RPP57" s="82" t="str">
        <f>IF(ISNUMBER(outYear),RPP37+RPP42+#REF!+#REF!,"")</f>
        <v/>
      </c>
      <c r="RPQ57" s="82" t="str">
        <f>IF(ISNUMBER(outYear),RPQ37+RPQ42+#REF!+#REF!,"")</f>
        <v/>
      </c>
      <c r="RPR57" s="82" t="str">
        <f>IF(ISNUMBER(outYear),RPR37+RPR42+#REF!+#REF!,"")</f>
        <v/>
      </c>
      <c r="RPS57" s="82" t="str">
        <f>IF(ISNUMBER(outYear),RPS37+RPS42+#REF!+#REF!,"")</f>
        <v/>
      </c>
      <c r="RPT57" s="82" t="str">
        <f>IF(ISNUMBER(outYear),RPT37+RPT42+#REF!+#REF!,"")</f>
        <v/>
      </c>
      <c r="RPU57" s="82" t="str">
        <f>IF(ISNUMBER(outYear),RPU37+RPU42+#REF!+#REF!,"")</f>
        <v/>
      </c>
      <c r="RPV57" s="82" t="str">
        <f>IF(ISNUMBER(outYear),RPV37+RPV42+#REF!+#REF!,"")</f>
        <v/>
      </c>
      <c r="RPW57" s="82" t="str">
        <f>IF(ISNUMBER(outYear),RPW37+RPW42+#REF!+#REF!,"")</f>
        <v/>
      </c>
      <c r="RPX57" s="82" t="str">
        <f>IF(ISNUMBER(outYear),RPX37+RPX42+#REF!+#REF!,"")</f>
        <v/>
      </c>
      <c r="RPY57" s="82" t="str">
        <f>IF(ISNUMBER(outYear),RPY37+RPY42+#REF!+#REF!,"")</f>
        <v/>
      </c>
      <c r="RPZ57" s="82" t="str">
        <f>IF(ISNUMBER(outYear),RPZ37+RPZ42+#REF!+#REF!,"")</f>
        <v/>
      </c>
      <c r="RQA57" s="82" t="str">
        <f>IF(ISNUMBER(outYear),RQA37+RQA42+#REF!+#REF!,"")</f>
        <v/>
      </c>
      <c r="RQB57" s="82" t="str">
        <f>IF(ISNUMBER(outYear),RQB37+RQB42+#REF!+#REF!,"")</f>
        <v/>
      </c>
      <c r="RQC57" s="82" t="str">
        <f>IF(ISNUMBER(outYear),RQC37+RQC42+#REF!+#REF!,"")</f>
        <v/>
      </c>
      <c r="RQD57" s="82" t="str">
        <f>IF(ISNUMBER(outYear),RQD37+RQD42+#REF!+#REF!,"")</f>
        <v/>
      </c>
      <c r="RQE57" s="82" t="str">
        <f>IF(ISNUMBER(outYear),RQE37+RQE42+#REF!+#REF!,"")</f>
        <v/>
      </c>
      <c r="RQF57" s="82" t="str">
        <f>IF(ISNUMBER(outYear),RQF37+RQF42+#REF!+#REF!,"")</f>
        <v/>
      </c>
      <c r="RQG57" s="82" t="str">
        <f>IF(ISNUMBER(outYear),RQG37+RQG42+#REF!+#REF!,"")</f>
        <v/>
      </c>
      <c r="RQH57" s="82" t="str">
        <f>IF(ISNUMBER(outYear),RQH37+RQH42+#REF!+#REF!,"")</f>
        <v/>
      </c>
      <c r="RQI57" s="82" t="str">
        <f>IF(ISNUMBER(outYear),RQI37+RQI42+#REF!+#REF!,"")</f>
        <v/>
      </c>
      <c r="RQJ57" s="82" t="str">
        <f>IF(ISNUMBER(outYear),RQJ37+RQJ42+#REF!+#REF!,"")</f>
        <v/>
      </c>
      <c r="RQK57" s="82" t="str">
        <f>IF(ISNUMBER(outYear),RQK37+RQK42+#REF!+#REF!,"")</f>
        <v/>
      </c>
      <c r="RQL57" s="82" t="str">
        <f>IF(ISNUMBER(outYear),RQL37+RQL42+#REF!+#REF!,"")</f>
        <v/>
      </c>
      <c r="RQM57" s="82" t="str">
        <f>IF(ISNUMBER(outYear),RQM37+RQM42+#REF!+#REF!,"")</f>
        <v/>
      </c>
      <c r="RQN57" s="82" t="str">
        <f>IF(ISNUMBER(outYear),RQN37+RQN42+#REF!+#REF!,"")</f>
        <v/>
      </c>
      <c r="RQO57" s="82" t="str">
        <f>IF(ISNUMBER(outYear),RQO37+RQO42+#REF!+#REF!,"")</f>
        <v/>
      </c>
      <c r="RQP57" s="82" t="str">
        <f>IF(ISNUMBER(outYear),RQP37+RQP42+#REF!+#REF!,"")</f>
        <v/>
      </c>
      <c r="RQQ57" s="82" t="str">
        <f>IF(ISNUMBER(outYear),RQQ37+RQQ42+#REF!+#REF!,"")</f>
        <v/>
      </c>
      <c r="RQR57" s="82" t="str">
        <f>IF(ISNUMBER(outYear),RQR37+RQR42+#REF!+#REF!,"")</f>
        <v/>
      </c>
      <c r="RQS57" s="82" t="str">
        <f>IF(ISNUMBER(outYear),RQS37+RQS42+#REF!+#REF!,"")</f>
        <v/>
      </c>
      <c r="RQT57" s="82" t="str">
        <f>IF(ISNUMBER(outYear),RQT37+RQT42+#REF!+#REF!,"")</f>
        <v/>
      </c>
      <c r="RQU57" s="82" t="str">
        <f>IF(ISNUMBER(outYear),RQU37+RQU42+#REF!+#REF!,"")</f>
        <v/>
      </c>
      <c r="RQV57" s="82" t="str">
        <f>IF(ISNUMBER(outYear),RQV37+RQV42+#REF!+#REF!,"")</f>
        <v/>
      </c>
      <c r="RQW57" s="82" t="str">
        <f>IF(ISNUMBER(outYear),RQW37+RQW42+#REF!+#REF!,"")</f>
        <v/>
      </c>
      <c r="RQX57" s="82" t="str">
        <f>IF(ISNUMBER(outYear),RQX37+RQX42+#REF!+#REF!,"")</f>
        <v/>
      </c>
      <c r="RQY57" s="82" t="str">
        <f>IF(ISNUMBER(outYear),RQY37+RQY42+#REF!+#REF!,"")</f>
        <v/>
      </c>
      <c r="RQZ57" s="82" t="str">
        <f>IF(ISNUMBER(outYear),RQZ37+RQZ42+#REF!+#REF!,"")</f>
        <v/>
      </c>
      <c r="RRA57" s="82" t="str">
        <f>IF(ISNUMBER(outYear),RRA37+RRA42+#REF!+#REF!,"")</f>
        <v/>
      </c>
      <c r="RRB57" s="82" t="str">
        <f>IF(ISNUMBER(outYear),RRB37+RRB42+#REF!+#REF!,"")</f>
        <v/>
      </c>
      <c r="RRC57" s="82" t="str">
        <f>IF(ISNUMBER(outYear),RRC37+RRC42+#REF!+#REF!,"")</f>
        <v/>
      </c>
      <c r="RRD57" s="82" t="str">
        <f>IF(ISNUMBER(outYear),RRD37+RRD42+#REF!+#REF!,"")</f>
        <v/>
      </c>
      <c r="RRE57" s="82" t="str">
        <f>IF(ISNUMBER(outYear),RRE37+RRE42+#REF!+#REF!,"")</f>
        <v/>
      </c>
      <c r="RRF57" s="82" t="str">
        <f>IF(ISNUMBER(outYear),RRF37+RRF42+#REF!+#REF!,"")</f>
        <v/>
      </c>
      <c r="RRG57" s="82" t="str">
        <f>IF(ISNUMBER(outYear),RRG37+RRG42+#REF!+#REF!,"")</f>
        <v/>
      </c>
      <c r="RRH57" s="82" t="str">
        <f>IF(ISNUMBER(outYear),RRH37+RRH42+#REF!+#REF!,"")</f>
        <v/>
      </c>
      <c r="RRI57" s="82" t="str">
        <f>IF(ISNUMBER(outYear),RRI37+RRI42+#REF!+#REF!,"")</f>
        <v/>
      </c>
      <c r="RRJ57" s="82" t="str">
        <f>IF(ISNUMBER(outYear),RRJ37+RRJ42+#REF!+#REF!,"")</f>
        <v/>
      </c>
      <c r="RRK57" s="82" t="str">
        <f>IF(ISNUMBER(outYear),RRK37+RRK42+#REF!+#REF!,"")</f>
        <v/>
      </c>
      <c r="RRL57" s="82" t="str">
        <f>IF(ISNUMBER(outYear),RRL37+RRL42+#REF!+#REF!,"")</f>
        <v/>
      </c>
      <c r="RRM57" s="82" t="str">
        <f>IF(ISNUMBER(outYear),RRM37+RRM42+#REF!+#REF!,"")</f>
        <v/>
      </c>
      <c r="RRN57" s="82" t="str">
        <f>IF(ISNUMBER(outYear),RRN37+RRN42+#REF!+#REF!,"")</f>
        <v/>
      </c>
      <c r="RRO57" s="82" t="str">
        <f>IF(ISNUMBER(outYear),RRO37+RRO42+#REF!+#REF!,"")</f>
        <v/>
      </c>
      <c r="RRP57" s="82" t="str">
        <f>IF(ISNUMBER(outYear),RRP37+RRP42+#REF!+#REF!,"")</f>
        <v/>
      </c>
      <c r="RRQ57" s="82" t="str">
        <f>IF(ISNUMBER(outYear),RRQ37+RRQ42+#REF!+#REF!,"")</f>
        <v/>
      </c>
      <c r="RRR57" s="82" t="str">
        <f>IF(ISNUMBER(outYear),RRR37+RRR42+#REF!+#REF!,"")</f>
        <v/>
      </c>
      <c r="RRS57" s="82" t="str">
        <f>IF(ISNUMBER(outYear),RRS37+RRS42+#REF!+#REF!,"")</f>
        <v/>
      </c>
      <c r="RRT57" s="82" t="str">
        <f>IF(ISNUMBER(outYear),RRT37+RRT42+#REF!+#REF!,"")</f>
        <v/>
      </c>
      <c r="RRU57" s="82" t="str">
        <f>IF(ISNUMBER(outYear),RRU37+RRU42+#REF!+#REF!,"")</f>
        <v/>
      </c>
      <c r="RRV57" s="82" t="str">
        <f>IF(ISNUMBER(outYear),RRV37+RRV42+#REF!+#REF!,"")</f>
        <v/>
      </c>
      <c r="RRW57" s="82" t="str">
        <f>IF(ISNUMBER(outYear),RRW37+RRW42+#REF!+#REF!,"")</f>
        <v/>
      </c>
      <c r="RRX57" s="82" t="str">
        <f>IF(ISNUMBER(outYear),RRX37+RRX42+#REF!+#REF!,"")</f>
        <v/>
      </c>
      <c r="RRY57" s="82" t="str">
        <f>IF(ISNUMBER(outYear),RRY37+RRY42+#REF!+#REF!,"")</f>
        <v/>
      </c>
      <c r="RRZ57" s="82" t="str">
        <f>IF(ISNUMBER(outYear),RRZ37+RRZ42+#REF!+#REF!,"")</f>
        <v/>
      </c>
      <c r="RSA57" s="82" t="str">
        <f>IF(ISNUMBER(outYear),RSA37+RSA42+#REF!+#REF!,"")</f>
        <v/>
      </c>
      <c r="RSB57" s="82" t="str">
        <f>IF(ISNUMBER(outYear),RSB37+RSB42+#REF!+#REF!,"")</f>
        <v/>
      </c>
      <c r="RSC57" s="82" t="str">
        <f>IF(ISNUMBER(outYear),RSC37+RSC42+#REF!+#REF!,"")</f>
        <v/>
      </c>
      <c r="RSD57" s="82" t="str">
        <f>IF(ISNUMBER(outYear),RSD37+RSD42+#REF!+#REF!,"")</f>
        <v/>
      </c>
      <c r="RSE57" s="82" t="str">
        <f>IF(ISNUMBER(outYear),RSE37+RSE42+#REF!+#REF!,"")</f>
        <v/>
      </c>
      <c r="RSF57" s="82" t="str">
        <f>IF(ISNUMBER(outYear),RSF37+RSF42+#REF!+#REF!,"")</f>
        <v/>
      </c>
      <c r="RSG57" s="82" t="str">
        <f>IF(ISNUMBER(outYear),RSG37+RSG42+#REF!+#REF!,"")</f>
        <v/>
      </c>
      <c r="RSH57" s="82" t="str">
        <f>IF(ISNUMBER(outYear),RSH37+RSH42+#REF!+#REF!,"")</f>
        <v/>
      </c>
      <c r="RSI57" s="82" t="str">
        <f>IF(ISNUMBER(outYear),RSI37+RSI42+#REF!+#REF!,"")</f>
        <v/>
      </c>
      <c r="RSJ57" s="82" t="str">
        <f>IF(ISNUMBER(outYear),RSJ37+RSJ42+#REF!+#REF!,"")</f>
        <v/>
      </c>
      <c r="RSK57" s="82" t="str">
        <f>IF(ISNUMBER(outYear),RSK37+RSK42+#REF!+#REF!,"")</f>
        <v/>
      </c>
      <c r="RSL57" s="82" t="str">
        <f>IF(ISNUMBER(outYear),RSL37+RSL42+#REF!+#REF!,"")</f>
        <v/>
      </c>
      <c r="RSM57" s="82" t="str">
        <f>IF(ISNUMBER(outYear),RSM37+RSM42+#REF!+#REF!,"")</f>
        <v/>
      </c>
      <c r="RSN57" s="82" t="str">
        <f>IF(ISNUMBER(outYear),RSN37+RSN42+#REF!+#REF!,"")</f>
        <v/>
      </c>
      <c r="RSO57" s="82" t="str">
        <f>IF(ISNUMBER(outYear),RSO37+RSO42+#REF!+#REF!,"")</f>
        <v/>
      </c>
      <c r="RSP57" s="82" t="str">
        <f>IF(ISNUMBER(outYear),RSP37+RSP42+#REF!+#REF!,"")</f>
        <v/>
      </c>
      <c r="RSQ57" s="82" t="str">
        <f>IF(ISNUMBER(outYear),RSQ37+RSQ42+#REF!+#REF!,"")</f>
        <v/>
      </c>
      <c r="RSR57" s="82" t="str">
        <f>IF(ISNUMBER(outYear),RSR37+RSR42+#REF!+#REF!,"")</f>
        <v/>
      </c>
      <c r="RSS57" s="82" t="str">
        <f>IF(ISNUMBER(outYear),RSS37+RSS42+#REF!+#REF!,"")</f>
        <v/>
      </c>
      <c r="RST57" s="82" t="str">
        <f>IF(ISNUMBER(outYear),RST37+RST42+#REF!+#REF!,"")</f>
        <v/>
      </c>
      <c r="RSU57" s="82" t="str">
        <f>IF(ISNUMBER(outYear),RSU37+RSU42+#REF!+#REF!,"")</f>
        <v/>
      </c>
      <c r="RSV57" s="82" t="str">
        <f>IF(ISNUMBER(outYear),RSV37+RSV42+#REF!+#REF!,"")</f>
        <v/>
      </c>
      <c r="RSW57" s="82" t="str">
        <f>IF(ISNUMBER(outYear),RSW37+RSW42+#REF!+#REF!,"")</f>
        <v/>
      </c>
      <c r="RSX57" s="82" t="str">
        <f>IF(ISNUMBER(outYear),RSX37+RSX42+#REF!+#REF!,"")</f>
        <v/>
      </c>
      <c r="RSY57" s="82" t="str">
        <f>IF(ISNUMBER(outYear),RSY37+RSY42+#REF!+#REF!,"")</f>
        <v/>
      </c>
      <c r="RSZ57" s="82" t="str">
        <f>IF(ISNUMBER(outYear),RSZ37+RSZ42+#REF!+#REF!,"")</f>
        <v/>
      </c>
      <c r="RTA57" s="82" t="str">
        <f>IF(ISNUMBER(outYear),RTA37+RTA42+#REF!+#REF!,"")</f>
        <v/>
      </c>
      <c r="RTB57" s="82" t="str">
        <f>IF(ISNUMBER(outYear),RTB37+RTB42+#REF!+#REF!,"")</f>
        <v/>
      </c>
      <c r="RTC57" s="82" t="str">
        <f>IF(ISNUMBER(outYear),RTC37+RTC42+#REF!+#REF!,"")</f>
        <v/>
      </c>
      <c r="RTD57" s="82" t="str">
        <f>IF(ISNUMBER(outYear),RTD37+RTD42+#REF!+#REF!,"")</f>
        <v/>
      </c>
      <c r="RTE57" s="82" t="str">
        <f>IF(ISNUMBER(outYear),RTE37+RTE42+#REF!+#REF!,"")</f>
        <v/>
      </c>
      <c r="RTF57" s="82" t="str">
        <f>IF(ISNUMBER(outYear),RTF37+RTF42+#REF!+#REF!,"")</f>
        <v/>
      </c>
      <c r="RTG57" s="82" t="str">
        <f>IF(ISNUMBER(outYear),RTG37+RTG42+#REF!+#REF!,"")</f>
        <v/>
      </c>
      <c r="RTH57" s="82" t="str">
        <f>IF(ISNUMBER(outYear),RTH37+RTH42+#REF!+#REF!,"")</f>
        <v/>
      </c>
      <c r="RTI57" s="82" t="str">
        <f>IF(ISNUMBER(outYear),RTI37+RTI42+#REF!+#REF!,"")</f>
        <v/>
      </c>
      <c r="RTJ57" s="82" t="str">
        <f>IF(ISNUMBER(outYear),RTJ37+RTJ42+#REF!+#REF!,"")</f>
        <v/>
      </c>
      <c r="RTK57" s="82" t="str">
        <f>IF(ISNUMBER(outYear),RTK37+RTK42+#REF!+#REF!,"")</f>
        <v/>
      </c>
      <c r="RTL57" s="82" t="str">
        <f>IF(ISNUMBER(outYear),RTL37+RTL42+#REF!+#REF!,"")</f>
        <v/>
      </c>
      <c r="RTM57" s="82" t="str">
        <f>IF(ISNUMBER(outYear),RTM37+RTM42+#REF!+#REF!,"")</f>
        <v/>
      </c>
      <c r="RTN57" s="82" t="str">
        <f>IF(ISNUMBER(outYear),RTN37+RTN42+#REF!+#REF!,"")</f>
        <v/>
      </c>
      <c r="RTO57" s="82" t="str">
        <f>IF(ISNUMBER(outYear),RTO37+RTO42+#REF!+#REF!,"")</f>
        <v/>
      </c>
      <c r="RTP57" s="82" t="str">
        <f>IF(ISNUMBER(outYear),RTP37+RTP42+#REF!+#REF!,"")</f>
        <v/>
      </c>
      <c r="RTQ57" s="82" t="str">
        <f>IF(ISNUMBER(outYear),RTQ37+RTQ42+#REF!+#REF!,"")</f>
        <v/>
      </c>
      <c r="RTR57" s="82" t="str">
        <f>IF(ISNUMBER(outYear),RTR37+RTR42+#REF!+#REF!,"")</f>
        <v/>
      </c>
      <c r="RTS57" s="82" t="str">
        <f>IF(ISNUMBER(outYear),RTS37+RTS42+#REF!+#REF!,"")</f>
        <v/>
      </c>
      <c r="RTT57" s="82" t="str">
        <f>IF(ISNUMBER(outYear),RTT37+RTT42+#REF!+#REF!,"")</f>
        <v/>
      </c>
      <c r="RTU57" s="82" t="str">
        <f>IF(ISNUMBER(outYear),RTU37+RTU42+#REF!+#REF!,"")</f>
        <v/>
      </c>
      <c r="RTV57" s="82" t="str">
        <f>IF(ISNUMBER(outYear),RTV37+RTV42+#REF!+#REF!,"")</f>
        <v/>
      </c>
      <c r="RTW57" s="82" t="str">
        <f>IF(ISNUMBER(outYear),RTW37+RTW42+#REF!+#REF!,"")</f>
        <v/>
      </c>
      <c r="RTX57" s="82" t="str">
        <f>IF(ISNUMBER(outYear),RTX37+RTX42+#REF!+#REF!,"")</f>
        <v/>
      </c>
      <c r="RTY57" s="82" t="str">
        <f>IF(ISNUMBER(outYear),RTY37+RTY42+#REF!+#REF!,"")</f>
        <v/>
      </c>
      <c r="RTZ57" s="82" t="str">
        <f>IF(ISNUMBER(outYear),RTZ37+RTZ42+#REF!+#REF!,"")</f>
        <v/>
      </c>
      <c r="RUA57" s="82" t="str">
        <f>IF(ISNUMBER(outYear),RUA37+RUA42+#REF!+#REF!,"")</f>
        <v/>
      </c>
      <c r="RUB57" s="82" t="str">
        <f>IF(ISNUMBER(outYear),RUB37+RUB42+#REF!+#REF!,"")</f>
        <v/>
      </c>
      <c r="RUC57" s="82" t="str">
        <f>IF(ISNUMBER(outYear),RUC37+RUC42+#REF!+#REF!,"")</f>
        <v/>
      </c>
      <c r="RUD57" s="82" t="str">
        <f>IF(ISNUMBER(outYear),RUD37+RUD42+#REF!+#REF!,"")</f>
        <v/>
      </c>
      <c r="RUE57" s="82" t="str">
        <f>IF(ISNUMBER(outYear),RUE37+RUE42+#REF!+#REF!,"")</f>
        <v/>
      </c>
      <c r="RUF57" s="82" t="str">
        <f>IF(ISNUMBER(outYear),RUF37+RUF42+#REF!+#REF!,"")</f>
        <v/>
      </c>
      <c r="RUG57" s="82" t="str">
        <f>IF(ISNUMBER(outYear),RUG37+RUG42+#REF!+#REF!,"")</f>
        <v/>
      </c>
      <c r="RUH57" s="82" t="str">
        <f>IF(ISNUMBER(outYear),RUH37+RUH42+#REF!+#REF!,"")</f>
        <v/>
      </c>
      <c r="RUI57" s="82" t="str">
        <f>IF(ISNUMBER(outYear),RUI37+RUI42+#REF!+#REF!,"")</f>
        <v/>
      </c>
      <c r="RUJ57" s="82" t="str">
        <f>IF(ISNUMBER(outYear),RUJ37+RUJ42+#REF!+#REF!,"")</f>
        <v/>
      </c>
      <c r="RUK57" s="82" t="str">
        <f>IF(ISNUMBER(outYear),RUK37+RUK42+#REF!+#REF!,"")</f>
        <v/>
      </c>
      <c r="RUL57" s="82" t="str">
        <f>IF(ISNUMBER(outYear),RUL37+RUL42+#REF!+#REF!,"")</f>
        <v/>
      </c>
      <c r="RUM57" s="82" t="str">
        <f>IF(ISNUMBER(outYear),RUM37+RUM42+#REF!+#REF!,"")</f>
        <v/>
      </c>
      <c r="RUN57" s="82" t="str">
        <f>IF(ISNUMBER(outYear),RUN37+RUN42+#REF!+#REF!,"")</f>
        <v/>
      </c>
      <c r="RUO57" s="82" t="str">
        <f>IF(ISNUMBER(outYear),RUO37+RUO42+#REF!+#REF!,"")</f>
        <v/>
      </c>
      <c r="RUP57" s="82" t="str">
        <f>IF(ISNUMBER(outYear),RUP37+RUP42+#REF!+#REF!,"")</f>
        <v/>
      </c>
      <c r="RUQ57" s="82" t="str">
        <f>IF(ISNUMBER(outYear),RUQ37+RUQ42+#REF!+#REF!,"")</f>
        <v/>
      </c>
      <c r="RUR57" s="82" t="str">
        <f>IF(ISNUMBER(outYear),RUR37+RUR42+#REF!+#REF!,"")</f>
        <v/>
      </c>
      <c r="RUS57" s="82" t="str">
        <f>IF(ISNUMBER(outYear),RUS37+RUS42+#REF!+#REF!,"")</f>
        <v/>
      </c>
      <c r="RUT57" s="82" t="str">
        <f>IF(ISNUMBER(outYear),RUT37+RUT42+#REF!+#REF!,"")</f>
        <v/>
      </c>
      <c r="RUU57" s="82" t="str">
        <f>IF(ISNUMBER(outYear),RUU37+RUU42+#REF!+#REF!,"")</f>
        <v/>
      </c>
      <c r="RUV57" s="82" t="str">
        <f>IF(ISNUMBER(outYear),RUV37+RUV42+#REF!+#REF!,"")</f>
        <v/>
      </c>
      <c r="RUW57" s="82" t="str">
        <f>IF(ISNUMBER(outYear),RUW37+RUW42+#REF!+#REF!,"")</f>
        <v/>
      </c>
      <c r="RUX57" s="82" t="str">
        <f>IF(ISNUMBER(outYear),RUX37+RUX42+#REF!+#REF!,"")</f>
        <v/>
      </c>
      <c r="RUY57" s="82" t="str">
        <f>IF(ISNUMBER(outYear),RUY37+RUY42+#REF!+#REF!,"")</f>
        <v/>
      </c>
      <c r="RUZ57" s="82" t="str">
        <f>IF(ISNUMBER(outYear),RUZ37+RUZ42+#REF!+#REF!,"")</f>
        <v/>
      </c>
      <c r="RVA57" s="82" t="str">
        <f>IF(ISNUMBER(outYear),RVA37+RVA42+#REF!+#REF!,"")</f>
        <v/>
      </c>
      <c r="RVB57" s="82" t="str">
        <f>IF(ISNUMBER(outYear),RVB37+RVB42+#REF!+#REF!,"")</f>
        <v/>
      </c>
      <c r="RVC57" s="82" t="str">
        <f>IF(ISNUMBER(outYear),RVC37+RVC42+#REF!+#REF!,"")</f>
        <v/>
      </c>
      <c r="RVD57" s="82" t="str">
        <f>IF(ISNUMBER(outYear),RVD37+RVD42+#REF!+#REF!,"")</f>
        <v/>
      </c>
      <c r="RVE57" s="82" t="str">
        <f>IF(ISNUMBER(outYear),RVE37+RVE42+#REF!+#REF!,"")</f>
        <v/>
      </c>
      <c r="RVF57" s="82" t="str">
        <f>IF(ISNUMBER(outYear),RVF37+RVF42+#REF!+#REF!,"")</f>
        <v/>
      </c>
      <c r="RVG57" s="82" t="str">
        <f>IF(ISNUMBER(outYear),RVG37+RVG42+#REF!+#REF!,"")</f>
        <v/>
      </c>
      <c r="RVH57" s="82" t="str">
        <f>IF(ISNUMBER(outYear),RVH37+RVH42+#REF!+#REF!,"")</f>
        <v/>
      </c>
      <c r="RVI57" s="82" t="str">
        <f>IF(ISNUMBER(outYear),RVI37+RVI42+#REF!+#REF!,"")</f>
        <v/>
      </c>
      <c r="RVJ57" s="82" t="str">
        <f>IF(ISNUMBER(outYear),RVJ37+RVJ42+#REF!+#REF!,"")</f>
        <v/>
      </c>
      <c r="RVK57" s="82" t="str">
        <f>IF(ISNUMBER(outYear),RVK37+RVK42+#REF!+#REF!,"")</f>
        <v/>
      </c>
      <c r="RVL57" s="82" t="str">
        <f>IF(ISNUMBER(outYear),RVL37+RVL42+#REF!+#REF!,"")</f>
        <v/>
      </c>
      <c r="RVM57" s="82" t="str">
        <f>IF(ISNUMBER(outYear),RVM37+RVM42+#REF!+#REF!,"")</f>
        <v/>
      </c>
      <c r="RVN57" s="82" t="str">
        <f>IF(ISNUMBER(outYear),RVN37+RVN42+#REF!+#REF!,"")</f>
        <v/>
      </c>
      <c r="RVO57" s="82" t="str">
        <f>IF(ISNUMBER(outYear),RVO37+RVO42+#REF!+#REF!,"")</f>
        <v/>
      </c>
      <c r="RVP57" s="82" t="str">
        <f>IF(ISNUMBER(outYear),RVP37+RVP42+#REF!+#REF!,"")</f>
        <v/>
      </c>
      <c r="RVQ57" s="82" t="str">
        <f>IF(ISNUMBER(outYear),RVQ37+RVQ42+#REF!+#REF!,"")</f>
        <v/>
      </c>
      <c r="RVR57" s="82" t="str">
        <f>IF(ISNUMBER(outYear),RVR37+RVR42+#REF!+#REF!,"")</f>
        <v/>
      </c>
      <c r="RVS57" s="82" t="str">
        <f>IF(ISNUMBER(outYear),RVS37+RVS42+#REF!+#REF!,"")</f>
        <v/>
      </c>
      <c r="RVT57" s="82" t="str">
        <f>IF(ISNUMBER(outYear),RVT37+RVT42+#REF!+#REF!,"")</f>
        <v/>
      </c>
      <c r="RVU57" s="82" t="str">
        <f>IF(ISNUMBER(outYear),RVU37+RVU42+#REF!+#REF!,"")</f>
        <v/>
      </c>
      <c r="RVV57" s="82" t="str">
        <f>IF(ISNUMBER(outYear),RVV37+RVV42+#REF!+#REF!,"")</f>
        <v/>
      </c>
      <c r="RVW57" s="82" t="str">
        <f>IF(ISNUMBER(outYear),RVW37+RVW42+#REF!+#REF!,"")</f>
        <v/>
      </c>
      <c r="RVX57" s="82" t="str">
        <f>IF(ISNUMBER(outYear),RVX37+RVX42+#REF!+#REF!,"")</f>
        <v/>
      </c>
      <c r="RVY57" s="82" t="str">
        <f>IF(ISNUMBER(outYear),RVY37+RVY42+#REF!+#REF!,"")</f>
        <v/>
      </c>
      <c r="RVZ57" s="82" t="str">
        <f>IF(ISNUMBER(outYear),RVZ37+RVZ42+#REF!+#REF!,"")</f>
        <v/>
      </c>
      <c r="RWA57" s="82" t="str">
        <f>IF(ISNUMBER(outYear),RWA37+RWA42+#REF!+#REF!,"")</f>
        <v/>
      </c>
      <c r="RWB57" s="82" t="str">
        <f>IF(ISNUMBER(outYear),RWB37+RWB42+#REF!+#REF!,"")</f>
        <v/>
      </c>
      <c r="RWC57" s="82" t="str">
        <f>IF(ISNUMBER(outYear),RWC37+RWC42+#REF!+#REF!,"")</f>
        <v/>
      </c>
      <c r="RWD57" s="82" t="str">
        <f>IF(ISNUMBER(outYear),RWD37+RWD42+#REF!+#REF!,"")</f>
        <v/>
      </c>
      <c r="RWE57" s="82" t="str">
        <f>IF(ISNUMBER(outYear),RWE37+RWE42+#REF!+#REF!,"")</f>
        <v/>
      </c>
      <c r="RWF57" s="82" t="str">
        <f>IF(ISNUMBER(outYear),RWF37+RWF42+#REF!+#REF!,"")</f>
        <v/>
      </c>
      <c r="RWG57" s="82" t="str">
        <f>IF(ISNUMBER(outYear),RWG37+RWG42+#REF!+#REF!,"")</f>
        <v/>
      </c>
      <c r="RWH57" s="82" t="str">
        <f>IF(ISNUMBER(outYear),RWH37+RWH42+#REF!+#REF!,"")</f>
        <v/>
      </c>
      <c r="RWI57" s="82" t="str">
        <f>IF(ISNUMBER(outYear),RWI37+RWI42+#REF!+#REF!,"")</f>
        <v/>
      </c>
      <c r="RWJ57" s="82" t="str">
        <f>IF(ISNUMBER(outYear),RWJ37+RWJ42+#REF!+#REF!,"")</f>
        <v/>
      </c>
      <c r="RWK57" s="82" t="str">
        <f>IF(ISNUMBER(outYear),RWK37+RWK42+#REF!+#REF!,"")</f>
        <v/>
      </c>
      <c r="RWL57" s="82" t="str">
        <f>IF(ISNUMBER(outYear),RWL37+RWL42+#REF!+#REF!,"")</f>
        <v/>
      </c>
      <c r="RWM57" s="82" t="str">
        <f>IF(ISNUMBER(outYear),RWM37+RWM42+#REF!+#REF!,"")</f>
        <v/>
      </c>
      <c r="RWN57" s="82" t="str">
        <f>IF(ISNUMBER(outYear),RWN37+RWN42+#REF!+#REF!,"")</f>
        <v/>
      </c>
      <c r="RWO57" s="82" t="str">
        <f>IF(ISNUMBER(outYear),RWO37+RWO42+#REF!+#REF!,"")</f>
        <v/>
      </c>
      <c r="RWP57" s="82" t="str">
        <f>IF(ISNUMBER(outYear),RWP37+RWP42+#REF!+#REF!,"")</f>
        <v/>
      </c>
      <c r="RWQ57" s="82" t="str">
        <f>IF(ISNUMBER(outYear),RWQ37+RWQ42+#REF!+#REF!,"")</f>
        <v/>
      </c>
      <c r="RWR57" s="82" t="str">
        <f>IF(ISNUMBER(outYear),RWR37+RWR42+#REF!+#REF!,"")</f>
        <v/>
      </c>
      <c r="RWS57" s="82" t="str">
        <f>IF(ISNUMBER(outYear),RWS37+RWS42+#REF!+#REF!,"")</f>
        <v/>
      </c>
      <c r="RWT57" s="82" t="str">
        <f>IF(ISNUMBER(outYear),RWT37+RWT42+#REF!+#REF!,"")</f>
        <v/>
      </c>
      <c r="RWU57" s="82" t="str">
        <f>IF(ISNUMBER(outYear),RWU37+RWU42+#REF!+#REF!,"")</f>
        <v/>
      </c>
      <c r="RWV57" s="82" t="str">
        <f>IF(ISNUMBER(outYear),RWV37+RWV42+#REF!+#REF!,"")</f>
        <v/>
      </c>
      <c r="RWW57" s="82" t="str">
        <f>IF(ISNUMBER(outYear),RWW37+RWW42+#REF!+#REF!,"")</f>
        <v/>
      </c>
      <c r="RWX57" s="82" t="str">
        <f>IF(ISNUMBER(outYear),RWX37+RWX42+#REF!+#REF!,"")</f>
        <v/>
      </c>
      <c r="RWY57" s="82" t="str">
        <f>IF(ISNUMBER(outYear),RWY37+RWY42+#REF!+#REF!,"")</f>
        <v/>
      </c>
      <c r="RWZ57" s="82" t="str">
        <f>IF(ISNUMBER(outYear),RWZ37+RWZ42+#REF!+#REF!,"")</f>
        <v/>
      </c>
      <c r="RXA57" s="82" t="str">
        <f>IF(ISNUMBER(outYear),RXA37+RXA42+#REF!+#REF!,"")</f>
        <v/>
      </c>
      <c r="RXB57" s="82" t="str">
        <f>IF(ISNUMBER(outYear),RXB37+RXB42+#REF!+#REF!,"")</f>
        <v/>
      </c>
      <c r="RXC57" s="82" t="str">
        <f>IF(ISNUMBER(outYear),RXC37+RXC42+#REF!+#REF!,"")</f>
        <v/>
      </c>
      <c r="RXD57" s="82" t="str">
        <f>IF(ISNUMBER(outYear),RXD37+RXD42+#REF!+#REF!,"")</f>
        <v/>
      </c>
      <c r="RXE57" s="82" t="str">
        <f>IF(ISNUMBER(outYear),RXE37+RXE42+#REF!+#REF!,"")</f>
        <v/>
      </c>
      <c r="RXF57" s="82" t="str">
        <f>IF(ISNUMBER(outYear),RXF37+RXF42+#REF!+#REF!,"")</f>
        <v/>
      </c>
      <c r="RXG57" s="82" t="str">
        <f>IF(ISNUMBER(outYear),RXG37+RXG42+#REF!+#REF!,"")</f>
        <v/>
      </c>
      <c r="RXH57" s="82" t="str">
        <f>IF(ISNUMBER(outYear),RXH37+RXH42+#REF!+#REF!,"")</f>
        <v/>
      </c>
      <c r="RXI57" s="82" t="str">
        <f>IF(ISNUMBER(outYear),RXI37+RXI42+#REF!+#REF!,"")</f>
        <v/>
      </c>
      <c r="RXJ57" s="82" t="str">
        <f>IF(ISNUMBER(outYear),RXJ37+RXJ42+#REF!+#REF!,"")</f>
        <v/>
      </c>
      <c r="RXK57" s="82" t="str">
        <f>IF(ISNUMBER(outYear),RXK37+RXK42+#REF!+#REF!,"")</f>
        <v/>
      </c>
      <c r="RXL57" s="82" t="str">
        <f>IF(ISNUMBER(outYear),RXL37+RXL42+#REF!+#REF!,"")</f>
        <v/>
      </c>
      <c r="RXM57" s="82" t="str">
        <f>IF(ISNUMBER(outYear),RXM37+RXM42+#REF!+#REF!,"")</f>
        <v/>
      </c>
      <c r="RXN57" s="82" t="str">
        <f>IF(ISNUMBER(outYear),RXN37+RXN42+#REF!+#REF!,"")</f>
        <v/>
      </c>
      <c r="RXO57" s="82" t="str">
        <f>IF(ISNUMBER(outYear),RXO37+RXO42+#REF!+#REF!,"")</f>
        <v/>
      </c>
      <c r="RXP57" s="82" t="str">
        <f>IF(ISNUMBER(outYear),RXP37+RXP42+#REF!+#REF!,"")</f>
        <v/>
      </c>
      <c r="RXQ57" s="82" t="str">
        <f>IF(ISNUMBER(outYear),RXQ37+RXQ42+#REF!+#REF!,"")</f>
        <v/>
      </c>
      <c r="RXR57" s="82" t="str">
        <f>IF(ISNUMBER(outYear),RXR37+RXR42+#REF!+#REF!,"")</f>
        <v/>
      </c>
      <c r="RXS57" s="82" t="str">
        <f>IF(ISNUMBER(outYear),RXS37+RXS42+#REF!+#REF!,"")</f>
        <v/>
      </c>
      <c r="RXT57" s="82" t="str">
        <f>IF(ISNUMBER(outYear),RXT37+RXT42+#REF!+#REF!,"")</f>
        <v/>
      </c>
      <c r="RXU57" s="82" t="str">
        <f>IF(ISNUMBER(outYear),RXU37+RXU42+#REF!+#REF!,"")</f>
        <v/>
      </c>
      <c r="RXV57" s="82" t="str">
        <f>IF(ISNUMBER(outYear),RXV37+RXV42+#REF!+#REF!,"")</f>
        <v/>
      </c>
      <c r="RXW57" s="82" t="str">
        <f>IF(ISNUMBER(outYear),RXW37+RXW42+#REF!+#REF!,"")</f>
        <v/>
      </c>
      <c r="RXX57" s="82" t="str">
        <f>IF(ISNUMBER(outYear),RXX37+RXX42+#REF!+#REF!,"")</f>
        <v/>
      </c>
      <c r="RXY57" s="82" t="str">
        <f>IF(ISNUMBER(outYear),RXY37+RXY42+#REF!+#REF!,"")</f>
        <v/>
      </c>
      <c r="RXZ57" s="82" t="str">
        <f>IF(ISNUMBER(outYear),RXZ37+RXZ42+#REF!+#REF!,"")</f>
        <v/>
      </c>
      <c r="RYA57" s="82" t="str">
        <f>IF(ISNUMBER(outYear),RYA37+RYA42+#REF!+#REF!,"")</f>
        <v/>
      </c>
      <c r="RYB57" s="82" t="str">
        <f>IF(ISNUMBER(outYear),RYB37+RYB42+#REF!+#REF!,"")</f>
        <v/>
      </c>
      <c r="RYC57" s="82" t="str">
        <f>IF(ISNUMBER(outYear),RYC37+RYC42+#REF!+#REF!,"")</f>
        <v/>
      </c>
      <c r="RYD57" s="82" t="str">
        <f>IF(ISNUMBER(outYear),RYD37+RYD42+#REF!+#REF!,"")</f>
        <v/>
      </c>
      <c r="RYE57" s="82" t="str">
        <f>IF(ISNUMBER(outYear),RYE37+RYE42+#REF!+#REF!,"")</f>
        <v/>
      </c>
      <c r="RYF57" s="82" t="str">
        <f>IF(ISNUMBER(outYear),RYF37+RYF42+#REF!+#REF!,"")</f>
        <v/>
      </c>
      <c r="RYG57" s="82" t="str">
        <f>IF(ISNUMBER(outYear),RYG37+RYG42+#REF!+#REF!,"")</f>
        <v/>
      </c>
      <c r="RYH57" s="82" t="str">
        <f>IF(ISNUMBER(outYear),RYH37+RYH42+#REF!+#REF!,"")</f>
        <v/>
      </c>
      <c r="RYI57" s="82" t="str">
        <f>IF(ISNUMBER(outYear),RYI37+RYI42+#REF!+#REF!,"")</f>
        <v/>
      </c>
      <c r="RYJ57" s="82" t="str">
        <f>IF(ISNUMBER(outYear),RYJ37+RYJ42+#REF!+#REF!,"")</f>
        <v/>
      </c>
      <c r="RYK57" s="82" t="str">
        <f>IF(ISNUMBER(outYear),RYK37+RYK42+#REF!+#REF!,"")</f>
        <v/>
      </c>
      <c r="RYL57" s="82" t="str">
        <f>IF(ISNUMBER(outYear),RYL37+RYL42+#REF!+#REF!,"")</f>
        <v/>
      </c>
      <c r="RYM57" s="82" t="str">
        <f>IF(ISNUMBER(outYear),RYM37+RYM42+#REF!+#REF!,"")</f>
        <v/>
      </c>
      <c r="RYN57" s="82" t="str">
        <f>IF(ISNUMBER(outYear),RYN37+RYN42+#REF!+#REF!,"")</f>
        <v/>
      </c>
      <c r="RYO57" s="82" t="str">
        <f>IF(ISNUMBER(outYear),RYO37+RYO42+#REF!+#REF!,"")</f>
        <v/>
      </c>
      <c r="RYP57" s="82" t="str">
        <f>IF(ISNUMBER(outYear),RYP37+RYP42+#REF!+#REF!,"")</f>
        <v/>
      </c>
      <c r="RYQ57" s="82" t="str">
        <f>IF(ISNUMBER(outYear),RYQ37+RYQ42+#REF!+#REF!,"")</f>
        <v/>
      </c>
      <c r="RYR57" s="82" t="str">
        <f>IF(ISNUMBER(outYear),RYR37+RYR42+#REF!+#REF!,"")</f>
        <v/>
      </c>
      <c r="RYS57" s="82" t="str">
        <f>IF(ISNUMBER(outYear),RYS37+RYS42+#REF!+#REF!,"")</f>
        <v/>
      </c>
      <c r="RYT57" s="82" t="str">
        <f>IF(ISNUMBER(outYear),RYT37+RYT42+#REF!+#REF!,"")</f>
        <v/>
      </c>
      <c r="RYU57" s="82" t="str">
        <f>IF(ISNUMBER(outYear),RYU37+RYU42+#REF!+#REF!,"")</f>
        <v/>
      </c>
      <c r="RYV57" s="82" t="str">
        <f>IF(ISNUMBER(outYear),RYV37+RYV42+#REF!+#REF!,"")</f>
        <v/>
      </c>
      <c r="RYW57" s="82" t="str">
        <f>IF(ISNUMBER(outYear),RYW37+RYW42+#REF!+#REF!,"")</f>
        <v/>
      </c>
      <c r="RYX57" s="82" t="str">
        <f>IF(ISNUMBER(outYear),RYX37+RYX42+#REF!+#REF!,"")</f>
        <v/>
      </c>
      <c r="RYY57" s="82" t="str">
        <f>IF(ISNUMBER(outYear),RYY37+RYY42+#REF!+#REF!,"")</f>
        <v/>
      </c>
      <c r="RYZ57" s="82" t="str">
        <f>IF(ISNUMBER(outYear),RYZ37+RYZ42+#REF!+#REF!,"")</f>
        <v/>
      </c>
      <c r="RZA57" s="82" t="str">
        <f>IF(ISNUMBER(outYear),RZA37+RZA42+#REF!+#REF!,"")</f>
        <v/>
      </c>
      <c r="RZB57" s="82" t="str">
        <f>IF(ISNUMBER(outYear),RZB37+RZB42+#REF!+#REF!,"")</f>
        <v/>
      </c>
      <c r="RZC57" s="82" t="str">
        <f>IF(ISNUMBER(outYear),RZC37+RZC42+#REF!+#REF!,"")</f>
        <v/>
      </c>
      <c r="RZD57" s="82" t="str">
        <f>IF(ISNUMBER(outYear),RZD37+RZD42+#REF!+#REF!,"")</f>
        <v/>
      </c>
      <c r="RZE57" s="82" t="str">
        <f>IF(ISNUMBER(outYear),RZE37+RZE42+#REF!+#REF!,"")</f>
        <v/>
      </c>
      <c r="RZF57" s="82" t="str">
        <f>IF(ISNUMBER(outYear),RZF37+RZF42+#REF!+#REF!,"")</f>
        <v/>
      </c>
      <c r="RZG57" s="82" t="str">
        <f>IF(ISNUMBER(outYear),RZG37+RZG42+#REF!+#REF!,"")</f>
        <v/>
      </c>
      <c r="RZH57" s="82" t="str">
        <f>IF(ISNUMBER(outYear),RZH37+RZH42+#REF!+#REF!,"")</f>
        <v/>
      </c>
      <c r="RZI57" s="82" t="str">
        <f>IF(ISNUMBER(outYear),RZI37+RZI42+#REF!+#REF!,"")</f>
        <v/>
      </c>
      <c r="RZJ57" s="82" t="str">
        <f>IF(ISNUMBER(outYear),RZJ37+RZJ42+#REF!+#REF!,"")</f>
        <v/>
      </c>
      <c r="RZK57" s="82" t="str">
        <f>IF(ISNUMBER(outYear),RZK37+RZK42+#REF!+#REF!,"")</f>
        <v/>
      </c>
      <c r="RZL57" s="82" t="str">
        <f>IF(ISNUMBER(outYear),RZL37+RZL42+#REF!+#REF!,"")</f>
        <v/>
      </c>
      <c r="RZM57" s="82" t="str">
        <f>IF(ISNUMBER(outYear),RZM37+RZM42+#REF!+#REF!,"")</f>
        <v/>
      </c>
      <c r="RZN57" s="82" t="str">
        <f>IF(ISNUMBER(outYear),RZN37+RZN42+#REF!+#REF!,"")</f>
        <v/>
      </c>
      <c r="RZO57" s="82" t="str">
        <f>IF(ISNUMBER(outYear),RZO37+RZO42+#REF!+#REF!,"")</f>
        <v/>
      </c>
      <c r="RZP57" s="82" t="str">
        <f>IF(ISNUMBER(outYear),RZP37+RZP42+#REF!+#REF!,"")</f>
        <v/>
      </c>
      <c r="RZQ57" s="82" t="str">
        <f>IF(ISNUMBER(outYear),RZQ37+RZQ42+#REF!+#REF!,"")</f>
        <v/>
      </c>
      <c r="RZR57" s="82" t="str">
        <f>IF(ISNUMBER(outYear),RZR37+RZR42+#REF!+#REF!,"")</f>
        <v/>
      </c>
      <c r="RZS57" s="82" t="str">
        <f>IF(ISNUMBER(outYear),RZS37+RZS42+#REF!+#REF!,"")</f>
        <v/>
      </c>
      <c r="RZT57" s="82" t="str">
        <f>IF(ISNUMBER(outYear),RZT37+RZT42+#REF!+#REF!,"")</f>
        <v/>
      </c>
      <c r="RZU57" s="82" t="str">
        <f>IF(ISNUMBER(outYear),RZU37+RZU42+#REF!+#REF!,"")</f>
        <v/>
      </c>
      <c r="RZV57" s="82" t="str">
        <f>IF(ISNUMBER(outYear),RZV37+RZV42+#REF!+#REF!,"")</f>
        <v/>
      </c>
      <c r="RZW57" s="82" t="str">
        <f>IF(ISNUMBER(outYear),RZW37+RZW42+#REF!+#REF!,"")</f>
        <v/>
      </c>
      <c r="RZX57" s="82" t="str">
        <f>IF(ISNUMBER(outYear),RZX37+RZX42+#REF!+#REF!,"")</f>
        <v/>
      </c>
      <c r="RZY57" s="82" t="str">
        <f>IF(ISNUMBER(outYear),RZY37+RZY42+#REF!+#REF!,"")</f>
        <v/>
      </c>
      <c r="RZZ57" s="82" t="str">
        <f>IF(ISNUMBER(outYear),RZZ37+RZZ42+#REF!+#REF!,"")</f>
        <v/>
      </c>
      <c r="SAA57" s="82" t="str">
        <f>IF(ISNUMBER(outYear),SAA37+SAA42+#REF!+#REF!,"")</f>
        <v/>
      </c>
      <c r="SAB57" s="82" t="str">
        <f>IF(ISNUMBER(outYear),SAB37+SAB42+#REF!+#REF!,"")</f>
        <v/>
      </c>
      <c r="SAC57" s="82" t="str">
        <f>IF(ISNUMBER(outYear),SAC37+SAC42+#REF!+#REF!,"")</f>
        <v/>
      </c>
      <c r="SAD57" s="82" t="str">
        <f>IF(ISNUMBER(outYear),SAD37+SAD42+#REF!+#REF!,"")</f>
        <v/>
      </c>
      <c r="SAE57" s="82" t="str">
        <f>IF(ISNUMBER(outYear),SAE37+SAE42+#REF!+#REF!,"")</f>
        <v/>
      </c>
      <c r="SAF57" s="82" t="str">
        <f>IF(ISNUMBER(outYear),SAF37+SAF42+#REF!+#REF!,"")</f>
        <v/>
      </c>
      <c r="SAG57" s="82" t="str">
        <f>IF(ISNUMBER(outYear),SAG37+SAG42+#REF!+#REF!,"")</f>
        <v/>
      </c>
      <c r="SAH57" s="82" t="str">
        <f>IF(ISNUMBER(outYear),SAH37+SAH42+#REF!+#REF!,"")</f>
        <v/>
      </c>
      <c r="SAI57" s="82" t="str">
        <f>IF(ISNUMBER(outYear),SAI37+SAI42+#REF!+#REF!,"")</f>
        <v/>
      </c>
      <c r="SAJ57" s="82" t="str">
        <f>IF(ISNUMBER(outYear),SAJ37+SAJ42+#REF!+#REF!,"")</f>
        <v/>
      </c>
      <c r="SAK57" s="82" t="str">
        <f>IF(ISNUMBER(outYear),SAK37+SAK42+#REF!+#REF!,"")</f>
        <v/>
      </c>
      <c r="SAL57" s="82" t="str">
        <f>IF(ISNUMBER(outYear),SAL37+SAL42+#REF!+#REF!,"")</f>
        <v/>
      </c>
      <c r="SAM57" s="82" t="str">
        <f>IF(ISNUMBER(outYear),SAM37+SAM42+#REF!+#REF!,"")</f>
        <v/>
      </c>
      <c r="SAN57" s="82" t="str">
        <f>IF(ISNUMBER(outYear),SAN37+SAN42+#REF!+#REF!,"")</f>
        <v/>
      </c>
      <c r="SAO57" s="82" t="str">
        <f>IF(ISNUMBER(outYear),SAO37+SAO42+#REF!+#REF!,"")</f>
        <v/>
      </c>
      <c r="SAP57" s="82" t="str">
        <f>IF(ISNUMBER(outYear),SAP37+SAP42+#REF!+#REF!,"")</f>
        <v/>
      </c>
      <c r="SAQ57" s="82" t="str">
        <f>IF(ISNUMBER(outYear),SAQ37+SAQ42+#REF!+#REF!,"")</f>
        <v/>
      </c>
      <c r="SAR57" s="82" t="str">
        <f>IF(ISNUMBER(outYear),SAR37+SAR42+#REF!+#REF!,"")</f>
        <v/>
      </c>
      <c r="SAS57" s="82" t="str">
        <f>IF(ISNUMBER(outYear),SAS37+SAS42+#REF!+#REF!,"")</f>
        <v/>
      </c>
      <c r="SAT57" s="82" t="str">
        <f>IF(ISNUMBER(outYear),SAT37+SAT42+#REF!+#REF!,"")</f>
        <v/>
      </c>
      <c r="SAU57" s="82" t="str">
        <f>IF(ISNUMBER(outYear),SAU37+SAU42+#REF!+#REF!,"")</f>
        <v/>
      </c>
      <c r="SAV57" s="82" t="str">
        <f>IF(ISNUMBER(outYear),SAV37+SAV42+#REF!+#REF!,"")</f>
        <v/>
      </c>
      <c r="SAW57" s="82" t="str">
        <f>IF(ISNUMBER(outYear),SAW37+SAW42+#REF!+#REF!,"")</f>
        <v/>
      </c>
      <c r="SAX57" s="82" t="str">
        <f>IF(ISNUMBER(outYear),SAX37+SAX42+#REF!+#REF!,"")</f>
        <v/>
      </c>
      <c r="SAY57" s="82" t="str">
        <f>IF(ISNUMBER(outYear),SAY37+SAY42+#REF!+#REF!,"")</f>
        <v/>
      </c>
      <c r="SAZ57" s="82" t="str">
        <f>IF(ISNUMBER(outYear),SAZ37+SAZ42+#REF!+#REF!,"")</f>
        <v/>
      </c>
      <c r="SBA57" s="82" t="str">
        <f>IF(ISNUMBER(outYear),SBA37+SBA42+#REF!+#REF!,"")</f>
        <v/>
      </c>
      <c r="SBB57" s="82" t="str">
        <f>IF(ISNUMBER(outYear),SBB37+SBB42+#REF!+#REF!,"")</f>
        <v/>
      </c>
      <c r="SBC57" s="82" t="str">
        <f>IF(ISNUMBER(outYear),SBC37+SBC42+#REF!+#REF!,"")</f>
        <v/>
      </c>
      <c r="SBD57" s="82" t="str">
        <f>IF(ISNUMBER(outYear),SBD37+SBD42+#REF!+#REF!,"")</f>
        <v/>
      </c>
      <c r="SBE57" s="82" t="str">
        <f>IF(ISNUMBER(outYear),SBE37+SBE42+#REF!+#REF!,"")</f>
        <v/>
      </c>
      <c r="SBF57" s="82" t="str">
        <f>IF(ISNUMBER(outYear),SBF37+SBF42+#REF!+#REF!,"")</f>
        <v/>
      </c>
      <c r="SBG57" s="82" t="str">
        <f>IF(ISNUMBER(outYear),SBG37+SBG42+#REF!+#REF!,"")</f>
        <v/>
      </c>
      <c r="SBH57" s="82" t="str">
        <f>IF(ISNUMBER(outYear),SBH37+SBH42+#REF!+#REF!,"")</f>
        <v/>
      </c>
      <c r="SBI57" s="82" t="str">
        <f>IF(ISNUMBER(outYear),SBI37+SBI42+#REF!+#REF!,"")</f>
        <v/>
      </c>
      <c r="SBJ57" s="82" t="str">
        <f>IF(ISNUMBER(outYear),SBJ37+SBJ42+#REF!+#REF!,"")</f>
        <v/>
      </c>
      <c r="SBK57" s="82" t="str">
        <f>IF(ISNUMBER(outYear),SBK37+SBK42+#REF!+#REF!,"")</f>
        <v/>
      </c>
      <c r="SBL57" s="82" t="str">
        <f>IF(ISNUMBER(outYear),SBL37+SBL42+#REF!+#REF!,"")</f>
        <v/>
      </c>
      <c r="SBM57" s="82" t="str">
        <f>IF(ISNUMBER(outYear),SBM37+SBM42+#REF!+#REF!,"")</f>
        <v/>
      </c>
      <c r="SBN57" s="82" t="str">
        <f>IF(ISNUMBER(outYear),SBN37+SBN42+#REF!+#REF!,"")</f>
        <v/>
      </c>
      <c r="SBO57" s="82" t="str">
        <f>IF(ISNUMBER(outYear),SBO37+SBO42+#REF!+#REF!,"")</f>
        <v/>
      </c>
      <c r="SBP57" s="82" t="str">
        <f>IF(ISNUMBER(outYear),SBP37+SBP42+#REF!+#REF!,"")</f>
        <v/>
      </c>
      <c r="SBQ57" s="82" t="str">
        <f>IF(ISNUMBER(outYear),SBQ37+SBQ42+#REF!+#REF!,"")</f>
        <v/>
      </c>
      <c r="SBR57" s="82" t="str">
        <f>IF(ISNUMBER(outYear),SBR37+SBR42+#REF!+#REF!,"")</f>
        <v/>
      </c>
      <c r="SBS57" s="82" t="str">
        <f>IF(ISNUMBER(outYear),SBS37+SBS42+#REF!+#REF!,"")</f>
        <v/>
      </c>
      <c r="SBT57" s="82" t="str">
        <f>IF(ISNUMBER(outYear),SBT37+SBT42+#REF!+#REF!,"")</f>
        <v/>
      </c>
      <c r="SBU57" s="82" t="str">
        <f>IF(ISNUMBER(outYear),SBU37+SBU42+#REF!+#REF!,"")</f>
        <v/>
      </c>
      <c r="SBV57" s="82" t="str">
        <f>IF(ISNUMBER(outYear),SBV37+SBV42+#REF!+#REF!,"")</f>
        <v/>
      </c>
      <c r="SBW57" s="82" t="str">
        <f>IF(ISNUMBER(outYear),SBW37+SBW42+#REF!+#REF!,"")</f>
        <v/>
      </c>
      <c r="SBX57" s="82" t="str">
        <f>IF(ISNUMBER(outYear),SBX37+SBX42+#REF!+#REF!,"")</f>
        <v/>
      </c>
      <c r="SBY57" s="82" t="str">
        <f>IF(ISNUMBER(outYear),SBY37+SBY42+#REF!+#REF!,"")</f>
        <v/>
      </c>
      <c r="SBZ57" s="82" t="str">
        <f>IF(ISNUMBER(outYear),SBZ37+SBZ42+#REF!+#REF!,"")</f>
        <v/>
      </c>
      <c r="SCA57" s="82" t="str">
        <f>IF(ISNUMBER(outYear),SCA37+SCA42+#REF!+#REF!,"")</f>
        <v/>
      </c>
      <c r="SCB57" s="82" t="str">
        <f>IF(ISNUMBER(outYear),SCB37+SCB42+#REF!+#REF!,"")</f>
        <v/>
      </c>
      <c r="SCC57" s="82" t="str">
        <f>IF(ISNUMBER(outYear),SCC37+SCC42+#REF!+#REF!,"")</f>
        <v/>
      </c>
      <c r="SCD57" s="82" t="str">
        <f>IF(ISNUMBER(outYear),SCD37+SCD42+#REF!+#REF!,"")</f>
        <v/>
      </c>
      <c r="SCE57" s="82" t="str">
        <f>IF(ISNUMBER(outYear),SCE37+SCE42+#REF!+#REF!,"")</f>
        <v/>
      </c>
      <c r="SCF57" s="82" t="str">
        <f>IF(ISNUMBER(outYear),SCF37+SCF42+#REF!+#REF!,"")</f>
        <v/>
      </c>
      <c r="SCG57" s="82" t="str">
        <f>IF(ISNUMBER(outYear),SCG37+SCG42+#REF!+#REF!,"")</f>
        <v/>
      </c>
      <c r="SCH57" s="82" t="str">
        <f>IF(ISNUMBER(outYear),SCH37+SCH42+#REF!+#REF!,"")</f>
        <v/>
      </c>
      <c r="SCI57" s="82" t="str">
        <f>IF(ISNUMBER(outYear),SCI37+SCI42+#REF!+#REF!,"")</f>
        <v/>
      </c>
      <c r="SCJ57" s="82" t="str">
        <f>IF(ISNUMBER(outYear),SCJ37+SCJ42+#REF!+#REF!,"")</f>
        <v/>
      </c>
      <c r="SCK57" s="82" t="str">
        <f>IF(ISNUMBER(outYear),SCK37+SCK42+#REF!+#REF!,"")</f>
        <v/>
      </c>
      <c r="SCL57" s="82" t="str">
        <f>IF(ISNUMBER(outYear),SCL37+SCL42+#REF!+#REF!,"")</f>
        <v/>
      </c>
      <c r="SCM57" s="82" t="str">
        <f>IF(ISNUMBER(outYear),SCM37+SCM42+#REF!+#REF!,"")</f>
        <v/>
      </c>
      <c r="SCN57" s="82" t="str">
        <f>IF(ISNUMBER(outYear),SCN37+SCN42+#REF!+#REF!,"")</f>
        <v/>
      </c>
      <c r="SCO57" s="82" t="str">
        <f>IF(ISNUMBER(outYear),SCO37+SCO42+#REF!+#REF!,"")</f>
        <v/>
      </c>
      <c r="SCP57" s="82" t="str">
        <f>IF(ISNUMBER(outYear),SCP37+SCP42+#REF!+#REF!,"")</f>
        <v/>
      </c>
      <c r="SCQ57" s="82" t="str">
        <f>IF(ISNUMBER(outYear),SCQ37+SCQ42+#REF!+#REF!,"")</f>
        <v/>
      </c>
      <c r="SCR57" s="82" t="str">
        <f>IF(ISNUMBER(outYear),SCR37+SCR42+#REF!+#REF!,"")</f>
        <v/>
      </c>
      <c r="SCS57" s="82" t="str">
        <f>IF(ISNUMBER(outYear),SCS37+SCS42+#REF!+#REF!,"")</f>
        <v/>
      </c>
      <c r="SCT57" s="82" t="str">
        <f>IF(ISNUMBER(outYear),SCT37+SCT42+#REF!+#REF!,"")</f>
        <v/>
      </c>
      <c r="SCU57" s="82" t="str">
        <f>IF(ISNUMBER(outYear),SCU37+SCU42+#REF!+#REF!,"")</f>
        <v/>
      </c>
      <c r="SCV57" s="82" t="str">
        <f>IF(ISNUMBER(outYear),SCV37+SCV42+#REF!+#REF!,"")</f>
        <v/>
      </c>
      <c r="SCW57" s="82" t="str">
        <f>IF(ISNUMBER(outYear),SCW37+SCW42+#REF!+#REF!,"")</f>
        <v/>
      </c>
      <c r="SCX57" s="82" t="str">
        <f>IF(ISNUMBER(outYear),SCX37+SCX42+#REF!+#REF!,"")</f>
        <v/>
      </c>
      <c r="SCY57" s="82" t="str">
        <f>IF(ISNUMBER(outYear),SCY37+SCY42+#REF!+#REF!,"")</f>
        <v/>
      </c>
      <c r="SCZ57" s="82" t="str">
        <f>IF(ISNUMBER(outYear),SCZ37+SCZ42+#REF!+#REF!,"")</f>
        <v/>
      </c>
      <c r="SDA57" s="82" t="str">
        <f>IF(ISNUMBER(outYear),SDA37+SDA42+#REF!+#REF!,"")</f>
        <v/>
      </c>
      <c r="SDB57" s="82" t="str">
        <f>IF(ISNUMBER(outYear),SDB37+SDB42+#REF!+#REF!,"")</f>
        <v/>
      </c>
      <c r="SDC57" s="82" t="str">
        <f>IF(ISNUMBER(outYear),SDC37+SDC42+#REF!+#REF!,"")</f>
        <v/>
      </c>
      <c r="SDD57" s="82" t="str">
        <f>IF(ISNUMBER(outYear),SDD37+SDD42+#REF!+#REF!,"")</f>
        <v/>
      </c>
      <c r="SDE57" s="82" t="str">
        <f>IF(ISNUMBER(outYear),SDE37+SDE42+#REF!+#REF!,"")</f>
        <v/>
      </c>
      <c r="SDF57" s="82" t="str">
        <f>IF(ISNUMBER(outYear),SDF37+SDF42+#REF!+#REF!,"")</f>
        <v/>
      </c>
      <c r="SDG57" s="82" t="str">
        <f>IF(ISNUMBER(outYear),SDG37+SDG42+#REF!+#REF!,"")</f>
        <v/>
      </c>
      <c r="SDH57" s="82" t="str">
        <f>IF(ISNUMBER(outYear),SDH37+SDH42+#REF!+#REF!,"")</f>
        <v/>
      </c>
      <c r="SDI57" s="82" t="str">
        <f>IF(ISNUMBER(outYear),SDI37+SDI42+#REF!+#REF!,"")</f>
        <v/>
      </c>
      <c r="SDJ57" s="82" t="str">
        <f>IF(ISNUMBER(outYear),SDJ37+SDJ42+#REF!+#REF!,"")</f>
        <v/>
      </c>
      <c r="SDK57" s="82" t="str">
        <f>IF(ISNUMBER(outYear),SDK37+SDK42+#REF!+#REF!,"")</f>
        <v/>
      </c>
      <c r="SDL57" s="82" t="str">
        <f>IF(ISNUMBER(outYear),SDL37+SDL42+#REF!+#REF!,"")</f>
        <v/>
      </c>
      <c r="SDM57" s="82" t="str">
        <f>IF(ISNUMBER(outYear),SDM37+SDM42+#REF!+#REF!,"")</f>
        <v/>
      </c>
      <c r="SDN57" s="82" t="str">
        <f>IF(ISNUMBER(outYear),SDN37+SDN42+#REF!+#REF!,"")</f>
        <v/>
      </c>
      <c r="SDO57" s="82" t="str">
        <f>IF(ISNUMBER(outYear),SDO37+SDO42+#REF!+#REF!,"")</f>
        <v/>
      </c>
      <c r="SDP57" s="82" t="str">
        <f>IF(ISNUMBER(outYear),SDP37+SDP42+#REF!+#REF!,"")</f>
        <v/>
      </c>
      <c r="SDQ57" s="82" t="str">
        <f>IF(ISNUMBER(outYear),SDQ37+SDQ42+#REF!+#REF!,"")</f>
        <v/>
      </c>
      <c r="SDR57" s="82" t="str">
        <f>IF(ISNUMBER(outYear),SDR37+SDR42+#REF!+#REF!,"")</f>
        <v/>
      </c>
      <c r="SDS57" s="82" t="str">
        <f>IF(ISNUMBER(outYear),SDS37+SDS42+#REF!+#REF!,"")</f>
        <v/>
      </c>
      <c r="SDT57" s="82" t="str">
        <f>IF(ISNUMBER(outYear),SDT37+SDT42+#REF!+#REF!,"")</f>
        <v/>
      </c>
      <c r="SDU57" s="82" t="str">
        <f>IF(ISNUMBER(outYear),SDU37+SDU42+#REF!+#REF!,"")</f>
        <v/>
      </c>
      <c r="SDV57" s="82" t="str">
        <f>IF(ISNUMBER(outYear),SDV37+SDV42+#REF!+#REF!,"")</f>
        <v/>
      </c>
      <c r="SDW57" s="82" t="str">
        <f>IF(ISNUMBER(outYear),SDW37+SDW42+#REF!+#REF!,"")</f>
        <v/>
      </c>
      <c r="SDX57" s="82" t="str">
        <f>IF(ISNUMBER(outYear),SDX37+SDX42+#REF!+#REF!,"")</f>
        <v/>
      </c>
      <c r="SDY57" s="82" t="str">
        <f>IF(ISNUMBER(outYear),SDY37+SDY42+#REF!+#REF!,"")</f>
        <v/>
      </c>
      <c r="SDZ57" s="82" t="str">
        <f>IF(ISNUMBER(outYear),SDZ37+SDZ42+#REF!+#REF!,"")</f>
        <v/>
      </c>
      <c r="SEA57" s="82" t="str">
        <f>IF(ISNUMBER(outYear),SEA37+SEA42+#REF!+#REF!,"")</f>
        <v/>
      </c>
      <c r="SEB57" s="82" t="str">
        <f>IF(ISNUMBER(outYear),SEB37+SEB42+#REF!+#REF!,"")</f>
        <v/>
      </c>
      <c r="SEC57" s="82" t="str">
        <f>IF(ISNUMBER(outYear),SEC37+SEC42+#REF!+#REF!,"")</f>
        <v/>
      </c>
      <c r="SED57" s="82" t="str">
        <f>IF(ISNUMBER(outYear),SED37+SED42+#REF!+#REF!,"")</f>
        <v/>
      </c>
      <c r="SEE57" s="82" t="str">
        <f>IF(ISNUMBER(outYear),SEE37+SEE42+#REF!+#REF!,"")</f>
        <v/>
      </c>
      <c r="SEF57" s="82" t="str">
        <f>IF(ISNUMBER(outYear),SEF37+SEF42+#REF!+#REF!,"")</f>
        <v/>
      </c>
      <c r="SEG57" s="82" t="str">
        <f>IF(ISNUMBER(outYear),SEG37+SEG42+#REF!+#REF!,"")</f>
        <v/>
      </c>
      <c r="SEH57" s="82" t="str">
        <f>IF(ISNUMBER(outYear),SEH37+SEH42+#REF!+#REF!,"")</f>
        <v/>
      </c>
      <c r="SEI57" s="82" t="str">
        <f>IF(ISNUMBER(outYear),SEI37+SEI42+#REF!+#REF!,"")</f>
        <v/>
      </c>
      <c r="SEJ57" s="82" t="str">
        <f>IF(ISNUMBER(outYear),SEJ37+SEJ42+#REF!+#REF!,"")</f>
        <v/>
      </c>
      <c r="SEK57" s="82" t="str">
        <f>IF(ISNUMBER(outYear),SEK37+SEK42+#REF!+#REF!,"")</f>
        <v/>
      </c>
      <c r="SEL57" s="82" t="str">
        <f>IF(ISNUMBER(outYear),SEL37+SEL42+#REF!+#REF!,"")</f>
        <v/>
      </c>
      <c r="SEM57" s="82" t="str">
        <f>IF(ISNUMBER(outYear),SEM37+SEM42+#REF!+#REF!,"")</f>
        <v/>
      </c>
      <c r="SEN57" s="82" t="str">
        <f>IF(ISNUMBER(outYear),SEN37+SEN42+#REF!+#REF!,"")</f>
        <v/>
      </c>
      <c r="SEO57" s="82" t="str">
        <f>IF(ISNUMBER(outYear),SEO37+SEO42+#REF!+#REF!,"")</f>
        <v/>
      </c>
      <c r="SEP57" s="82" t="str">
        <f>IF(ISNUMBER(outYear),SEP37+SEP42+#REF!+#REF!,"")</f>
        <v/>
      </c>
      <c r="SEQ57" s="82" t="str">
        <f>IF(ISNUMBER(outYear),SEQ37+SEQ42+#REF!+#REF!,"")</f>
        <v/>
      </c>
      <c r="SER57" s="82" t="str">
        <f>IF(ISNUMBER(outYear),SER37+SER42+#REF!+#REF!,"")</f>
        <v/>
      </c>
      <c r="SES57" s="82" t="str">
        <f>IF(ISNUMBER(outYear),SES37+SES42+#REF!+#REF!,"")</f>
        <v/>
      </c>
      <c r="SET57" s="82" t="str">
        <f>IF(ISNUMBER(outYear),SET37+SET42+#REF!+#REF!,"")</f>
        <v/>
      </c>
      <c r="SEU57" s="82" t="str">
        <f>IF(ISNUMBER(outYear),SEU37+SEU42+#REF!+#REF!,"")</f>
        <v/>
      </c>
      <c r="SEV57" s="82" t="str">
        <f>IF(ISNUMBER(outYear),SEV37+SEV42+#REF!+#REF!,"")</f>
        <v/>
      </c>
      <c r="SEW57" s="82" t="str">
        <f>IF(ISNUMBER(outYear),SEW37+SEW42+#REF!+#REF!,"")</f>
        <v/>
      </c>
      <c r="SEX57" s="82" t="str">
        <f>IF(ISNUMBER(outYear),SEX37+SEX42+#REF!+#REF!,"")</f>
        <v/>
      </c>
      <c r="SEY57" s="82" t="str">
        <f>IF(ISNUMBER(outYear),SEY37+SEY42+#REF!+#REF!,"")</f>
        <v/>
      </c>
      <c r="SEZ57" s="82" t="str">
        <f>IF(ISNUMBER(outYear),SEZ37+SEZ42+#REF!+#REF!,"")</f>
        <v/>
      </c>
      <c r="SFA57" s="82" t="str">
        <f>IF(ISNUMBER(outYear),SFA37+SFA42+#REF!+#REF!,"")</f>
        <v/>
      </c>
      <c r="SFB57" s="82" t="str">
        <f>IF(ISNUMBER(outYear),SFB37+SFB42+#REF!+#REF!,"")</f>
        <v/>
      </c>
      <c r="SFC57" s="82" t="str">
        <f>IF(ISNUMBER(outYear),SFC37+SFC42+#REF!+#REF!,"")</f>
        <v/>
      </c>
      <c r="SFD57" s="82" t="str">
        <f>IF(ISNUMBER(outYear),SFD37+SFD42+#REF!+#REF!,"")</f>
        <v/>
      </c>
      <c r="SFE57" s="82" t="str">
        <f>IF(ISNUMBER(outYear),SFE37+SFE42+#REF!+#REF!,"")</f>
        <v/>
      </c>
      <c r="SFF57" s="82" t="str">
        <f>IF(ISNUMBER(outYear),SFF37+SFF42+#REF!+#REF!,"")</f>
        <v/>
      </c>
      <c r="SFG57" s="82" t="str">
        <f>IF(ISNUMBER(outYear),SFG37+SFG42+#REF!+#REF!,"")</f>
        <v/>
      </c>
      <c r="SFH57" s="82" t="str">
        <f>IF(ISNUMBER(outYear),SFH37+SFH42+#REF!+#REF!,"")</f>
        <v/>
      </c>
      <c r="SFI57" s="82" t="str">
        <f>IF(ISNUMBER(outYear),SFI37+SFI42+#REF!+#REF!,"")</f>
        <v/>
      </c>
      <c r="SFJ57" s="82" t="str">
        <f>IF(ISNUMBER(outYear),SFJ37+SFJ42+#REF!+#REF!,"")</f>
        <v/>
      </c>
      <c r="SFK57" s="82" t="str">
        <f>IF(ISNUMBER(outYear),SFK37+SFK42+#REF!+#REF!,"")</f>
        <v/>
      </c>
      <c r="SFL57" s="82" t="str">
        <f>IF(ISNUMBER(outYear),SFL37+SFL42+#REF!+#REF!,"")</f>
        <v/>
      </c>
      <c r="SFM57" s="82" t="str">
        <f>IF(ISNUMBER(outYear),SFM37+SFM42+#REF!+#REF!,"")</f>
        <v/>
      </c>
      <c r="SFN57" s="82" t="str">
        <f>IF(ISNUMBER(outYear),SFN37+SFN42+#REF!+#REF!,"")</f>
        <v/>
      </c>
      <c r="SFO57" s="82" t="str">
        <f>IF(ISNUMBER(outYear),SFO37+SFO42+#REF!+#REF!,"")</f>
        <v/>
      </c>
      <c r="SFP57" s="82" t="str">
        <f>IF(ISNUMBER(outYear),SFP37+SFP42+#REF!+#REF!,"")</f>
        <v/>
      </c>
      <c r="SFQ57" s="82" t="str">
        <f>IF(ISNUMBER(outYear),SFQ37+SFQ42+#REF!+#REF!,"")</f>
        <v/>
      </c>
      <c r="SFR57" s="82" t="str">
        <f>IF(ISNUMBER(outYear),SFR37+SFR42+#REF!+#REF!,"")</f>
        <v/>
      </c>
      <c r="SFS57" s="82" t="str">
        <f>IF(ISNUMBER(outYear),SFS37+SFS42+#REF!+#REF!,"")</f>
        <v/>
      </c>
      <c r="SFT57" s="82" t="str">
        <f>IF(ISNUMBER(outYear),SFT37+SFT42+#REF!+#REF!,"")</f>
        <v/>
      </c>
      <c r="SFU57" s="82" t="str">
        <f>IF(ISNUMBER(outYear),SFU37+SFU42+#REF!+#REF!,"")</f>
        <v/>
      </c>
      <c r="SFV57" s="82" t="str">
        <f>IF(ISNUMBER(outYear),SFV37+SFV42+#REF!+#REF!,"")</f>
        <v/>
      </c>
      <c r="SFW57" s="82" t="str">
        <f>IF(ISNUMBER(outYear),SFW37+SFW42+#REF!+#REF!,"")</f>
        <v/>
      </c>
      <c r="SFX57" s="82" t="str">
        <f>IF(ISNUMBER(outYear),SFX37+SFX42+#REF!+#REF!,"")</f>
        <v/>
      </c>
      <c r="SFY57" s="82" t="str">
        <f>IF(ISNUMBER(outYear),SFY37+SFY42+#REF!+#REF!,"")</f>
        <v/>
      </c>
      <c r="SFZ57" s="82" t="str">
        <f>IF(ISNUMBER(outYear),SFZ37+SFZ42+#REF!+#REF!,"")</f>
        <v/>
      </c>
      <c r="SGA57" s="82" t="str">
        <f>IF(ISNUMBER(outYear),SGA37+SGA42+#REF!+#REF!,"")</f>
        <v/>
      </c>
      <c r="SGB57" s="82" t="str">
        <f>IF(ISNUMBER(outYear),SGB37+SGB42+#REF!+#REF!,"")</f>
        <v/>
      </c>
      <c r="SGC57" s="82" t="str">
        <f>IF(ISNUMBER(outYear),SGC37+SGC42+#REF!+#REF!,"")</f>
        <v/>
      </c>
      <c r="SGD57" s="82" t="str">
        <f>IF(ISNUMBER(outYear),SGD37+SGD42+#REF!+#REF!,"")</f>
        <v/>
      </c>
      <c r="SGE57" s="82" t="str">
        <f>IF(ISNUMBER(outYear),SGE37+SGE42+#REF!+#REF!,"")</f>
        <v/>
      </c>
      <c r="SGF57" s="82" t="str">
        <f>IF(ISNUMBER(outYear),SGF37+SGF42+#REF!+#REF!,"")</f>
        <v/>
      </c>
      <c r="SGG57" s="82" t="str">
        <f>IF(ISNUMBER(outYear),SGG37+SGG42+#REF!+#REF!,"")</f>
        <v/>
      </c>
      <c r="SGH57" s="82" t="str">
        <f>IF(ISNUMBER(outYear),SGH37+SGH42+#REF!+#REF!,"")</f>
        <v/>
      </c>
      <c r="SGI57" s="82" t="str">
        <f>IF(ISNUMBER(outYear),SGI37+SGI42+#REF!+#REF!,"")</f>
        <v/>
      </c>
      <c r="SGJ57" s="82" t="str">
        <f>IF(ISNUMBER(outYear),SGJ37+SGJ42+#REF!+#REF!,"")</f>
        <v/>
      </c>
      <c r="SGK57" s="82" t="str">
        <f>IF(ISNUMBER(outYear),SGK37+SGK42+#REF!+#REF!,"")</f>
        <v/>
      </c>
      <c r="SGL57" s="82" t="str">
        <f>IF(ISNUMBER(outYear),SGL37+SGL42+#REF!+#REF!,"")</f>
        <v/>
      </c>
      <c r="SGM57" s="82" t="str">
        <f>IF(ISNUMBER(outYear),SGM37+SGM42+#REF!+#REF!,"")</f>
        <v/>
      </c>
      <c r="SGN57" s="82" t="str">
        <f>IF(ISNUMBER(outYear),SGN37+SGN42+#REF!+#REF!,"")</f>
        <v/>
      </c>
      <c r="SGO57" s="82" t="str">
        <f>IF(ISNUMBER(outYear),SGO37+SGO42+#REF!+#REF!,"")</f>
        <v/>
      </c>
      <c r="SGP57" s="82" t="str">
        <f>IF(ISNUMBER(outYear),SGP37+SGP42+#REF!+#REF!,"")</f>
        <v/>
      </c>
      <c r="SGQ57" s="82" t="str">
        <f>IF(ISNUMBER(outYear),SGQ37+SGQ42+#REF!+#REF!,"")</f>
        <v/>
      </c>
      <c r="SGR57" s="82" t="str">
        <f>IF(ISNUMBER(outYear),SGR37+SGR42+#REF!+#REF!,"")</f>
        <v/>
      </c>
      <c r="SGS57" s="82" t="str">
        <f>IF(ISNUMBER(outYear),SGS37+SGS42+#REF!+#REF!,"")</f>
        <v/>
      </c>
      <c r="SGT57" s="82" t="str">
        <f>IF(ISNUMBER(outYear),SGT37+SGT42+#REF!+#REF!,"")</f>
        <v/>
      </c>
      <c r="SGU57" s="82" t="str">
        <f>IF(ISNUMBER(outYear),SGU37+SGU42+#REF!+#REF!,"")</f>
        <v/>
      </c>
      <c r="SGV57" s="82" t="str">
        <f>IF(ISNUMBER(outYear),SGV37+SGV42+#REF!+#REF!,"")</f>
        <v/>
      </c>
      <c r="SGW57" s="82" t="str">
        <f>IF(ISNUMBER(outYear),SGW37+SGW42+#REF!+#REF!,"")</f>
        <v/>
      </c>
      <c r="SGX57" s="82" t="str">
        <f>IF(ISNUMBER(outYear),SGX37+SGX42+#REF!+#REF!,"")</f>
        <v/>
      </c>
      <c r="SGY57" s="82" t="str">
        <f>IF(ISNUMBER(outYear),SGY37+SGY42+#REF!+#REF!,"")</f>
        <v/>
      </c>
      <c r="SGZ57" s="82" t="str">
        <f>IF(ISNUMBER(outYear),SGZ37+SGZ42+#REF!+#REF!,"")</f>
        <v/>
      </c>
      <c r="SHA57" s="82" t="str">
        <f>IF(ISNUMBER(outYear),SHA37+SHA42+#REF!+#REF!,"")</f>
        <v/>
      </c>
      <c r="SHB57" s="82" t="str">
        <f>IF(ISNUMBER(outYear),SHB37+SHB42+#REF!+#REF!,"")</f>
        <v/>
      </c>
      <c r="SHC57" s="82" t="str">
        <f>IF(ISNUMBER(outYear),SHC37+SHC42+#REF!+#REF!,"")</f>
        <v/>
      </c>
      <c r="SHD57" s="82" t="str">
        <f>IF(ISNUMBER(outYear),SHD37+SHD42+#REF!+#REF!,"")</f>
        <v/>
      </c>
      <c r="SHE57" s="82" t="str">
        <f>IF(ISNUMBER(outYear),SHE37+SHE42+#REF!+#REF!,"")</f>
        <v/>
      </c>
      <c r="SHF57" s="82" t="str">
        <f>IF(ISNUMBER(outYear),SHF37+SHF42+#REF!+#REF!,"")</f>
        <v/>
      </c>
      <c r="SHG57" s="82" t="str">
        <f>IF(ISNUMBER(outYear),SHG37+SHG42+#REF!+#REF!,"")</f>
        <v/>
      </c>
      <c r="SHH57" s="82" t="str">
        <f>IF(ISNUMBER(outYear),SHH37+SHH42+#REF!+#REF!,"")</f>
        <v/>
      </c>
      <c r="SHI57" s="82" t="str">
        <f>IF(ISNUMBER(outYear),SHI37+SHI42+#REF!+#REF!,"")</f>
        <v/>
      </c>
      <c r="SHJ57" s="82" t="str">
        <f>IF(ISNUMBER(outYear),SHJ37+SHJ42+#REF!+#REF!,"")</f>
        <v/>
      </c>
      <c r="SHK57" s="82" t="str">
        <f>IF(ISNUMBER(outYear),SHK37+SHK42+#REF!+#REF!,"")</f>
        <v/>
      </c>
      <c r="SHL57" s="82" t="str">
        <f>IF(ISNUMBER(outYear),SHL37+SHL42+#REF!+#REF!,"")</f>
        <v/>
      </c>
      <c r="SHM57" s="82" t="str">
        <f>IF(ISNUMBER(outYear),SHM37+SHM42+#REF!+#REF!,"")</f>
        <v/>
      </c>
      <c r="SHN57" s="82" t="str">
        <f>IF(ISNUMBER(outYear),SHN37+SHN42+#REF!+#REF!,"")</f>
        <v/>
      </c>
      <c r="SHO57" s="82" t="str">
        <f>IF(ISNUMBER(outYear),SHO37+SHO42+#REF!+#REF!,"")</f>
        <v/>
      </c>
      <c r="SHP57" s="82" t="str">
        <f>IF(ISNUMBER(outYear),SHP37+SHP42+#REF!+#REF!,"")</f>
        <v/>
      </c>
      <c r="SHQ57" s="82" t="str">
        <f>IF(ISNUMBER(outYear),SHQ37+SHQ42+#REF!+#REF!,"")</f>
        <v/>
      </c>
      <c r="SHR57" s="82" t="str">
        <f>IF(ISNUMBER(outYear),SHR37+SHR42+#REF!+#REF!,"")</f>
        <v/>
      </c>
      <c r="SHS57" s="82" t="str">
        <f>IF(ISNUMBER(outYear),SHS37+SHS42+#REF!+#REF!,"")</f>
        <v/>
      </c>
      <c r="SHT57" s="82" t="str">
        <f>IF(ISNUMBER(outYear),SHT37+SHT42+#REF!+#REF!,"")</f>
        <v/>
      </c>
      <c r="SHU57" s="82" t="str">
        <f>IF(ISNUMBER(outYear),SHU37+SHU42+#REF!+#REF!,"")</f>
        <v/>
      </c>
      <c r="SHV57" s="82" t="str">
        <f>IF(ISNUMBER(outYear),SHV37+SHV42+#REF!+#REF!,"")</f>
        <v/>
      </c>
      <c r="SHW57" s="82" t="str">
        <f>IF(ISNUMBER(outYear),SHW37+SHW42+#REF!+#REF!,"")</f>
        <v/>
      </c>
      <c r="SHX57" s="82" t="str">
        <f>IF(ISNUMBER(outYear),SHX37+SHX42+#REF!+#REF!,"")</f>
        <v/>
      </c>
      <c r="SHY57" s="82" t="str">
        <f>IF(ISNUMBER(outYear),SHY37+SHY42+#REF!+#REF!,"")</f>
        <v/>
      </c>
      <c r="SHZ57" s="82" t="str">
        <f>IF(ISNUMBER(outYear),SHZ37+SHZ42+#REF!+#REF!,"")</f>
        <v/>
      </c>
      <c r="SIA57" s="82" t="str">
        <f>IF(ISNUMBER(outYear),SIA37+SIA42+#REF!+#REF!,"")</f>
        <v/>
      </c>
      <c r="SIB57" s="82" t="str">
        <f>IF(ISNUMBER(outYear),SIB37+SIB42+#REF!+#REF!,"")</f>
        <v/>
      </c>
      <c r="SIC57" s="82" t="str">
        <f>IF(ISNUMBER(outYear),SIC37+SIC42+#REF!+#REF!,"")</f>
        <v/>
      </c>
      <c r="SID57" s="82" t="str">
        <f>IF(ISNUMBER(outYear),SID37+SID42+#REF!+#REF!,"")</f>
        <v/>
      </c>
      <c r="SIE57" s="82" t="str">
        <f>IF(ISNUMBER(outYear),SIE37+SIE42+#REF!+#REF!,"")</f>
        <v/>
      </c>
      <c r="SIF57" s="82" t="str">
        <f>IF(ISNUMBER(outYear),SIF37+SIF42+#REF!+#REF!,"")</f>
        <v/>
      </c>
      <c r="SIG57" s="82" t="str">
        <f>IF(ISNUMBER(outYear),SIG37+SIG42+#REF!+#REF!,"")</f>
        <v/>
      </c>
      <c r="SIH57" s="82" t="str">
        <f>IF(ISNUMBER(outYear),SIH37+SIH42+#REF!+#REF!,"")</f>
        <v/>
      </c>
      <c r="SII57" s="82" t="str">
        <f>IF(ISNUMBER(outYear),SII37+SII42+#REF!+#REF!,"")</f>
        <v/>
      </c>
      <c r="SIJ57" s="82" t="str">
        <f>IF(ISNUMBER(outYear),SIJ37+SIJ42+#REF!+#REF!,"")</f>
        <v/>
      </c>
      <c r="SIK57" s="82" t="str">
        <f>IF(ISNUMBER(outYear),SIK37+SIK42+#REF!+#REF!,"")</f>
        <v/>
      </c>
      <c r="SIL57" s="82" t="str">
        <f>IF(ISNUMBER(outYear),SIL37+SIL42+#REF!+#REF!,"")</f>
        <v/>
      </c>
      <c r="SIM57" s="82" t="str">
        <f>IF(ISNUMBER(outYear),SIM37+SIM42+#REF!+#REF!,"")</f>
        <v/>
      </c>
      <c r="SIN57" s="82" t="str">
        <f>IF(ISNUMBER(outYear),SIN37+SIN42+#REF!+#REF!,"")</f>
        <v/>
      </c>
      <c r="SIO57" s="82" t="str">
        <f>IF(ISNUMBER(outYear),SIO37+SIO42+#REF!+#REF!,"")</f>
        <v/>
      </c>
      <c r="SIP57" s="82" t="str">
        <f>IF(ISNUMBER(outYear),SIP37+SIP42+#REF!+#REF!,"")</f>
        <v/>
      </c>
      <c r="SIQ57" s="82" t="str">
        <f>IF(ISNUMBER(outYear),SIQ37+SIQ42+#REF!+#REF!,"")</f>
        <v/>
      </c>
      <c r="SIR57" s="82" t="str">
        <f>IF(ISNUMBER(outYear),SIR37+SIR42+#REF!+#REF!,"")</f>
        <v/>
      </c>
      <c r="SIS57" s="82" t="str">
        <f>IF(ISNUMBER(outYear),SIS37+SIS42+#REF!+#REF!,"")</f>
        <v/>
      </c>
      <c r="SIT57" s="82" t="str">
        <f>IF(ISNUMBER(outYear),SIT37+SIT42+#REF!+#REF!,"")</f>
        <v/>
      </c>
      <c r="SIU57" s="82" t="str">
        <f>IF(ISNUMBER(outYear),SIU37+SIU42+#REF!+#REF!,"")</f>
        <v/>
      </c>
      <c r="SIV57" s="82" t="str">
        <f>IF(ISNUMBER(outYear),SIV37+SIV42+#REF!+#REF!,"")</f>
        <v/>
      </c>
      <c r="SIW57" s="82" t="str">
        <f>IF(ISNUMBER(outYear),SIW37+SIW42+#REF!+#REF!,"")</f>
        <v/>
      </c>
      <c r="SIX57" s="82" t="str">
        <f>IF(ISNUMBER(outYear),SIX37+SIX42+#REF!+#REF!,"")</f>
        <v/>
      </c>
      <c r="SIY57" s="82" t="str">
        <f>IF(ISNUMBER(outYear),SIY37+SIY42+#REF!+#REF!,"")</f>
        <v/>
      </c>
      <c r="SIZ57" s="82" t="str">
        <f>IF(ISNUMBER(outYear),SIZ37+SIZ42+#REF!+#REF!,"")</f>
        <v/>
      </c>
      <c r="SJA57" s="82" t="str">
        <f>IF(ISNUMBER(outYear),SJA37+SJA42+#REF!+#REF!,"")</f>
        <v/>
      </c>
      <c r="SJB57" s="82" t="str">
        <f>IF(ISNUMBER(outYear),SJB37+SJB42+#REF!+#REF!,"")</f>
        <v/>
      </c>
      <c r="SJC57" s="82" t="str">
        <f>IF(ISNUMBER(outYear),SJC37+SJC42+#REF!+#REF!,"")</f>
        <v/>
      </c>
      <c r="SJD57" s="82" t="str">
        <f>IF(ISNUMBER(outYear),SJD37+SJD42+#REF!+#REF!,"")</f>
        <v/>
      </c>
      <c r="SJE57" s="82" t="str">
        <f>IF(ISNUMBER(outYear),SJE37+SJE42+#REF!+#REF!,"")</f>
        <v/>
      </c>
      <c r="SJF57" s="82" t="str">
        <f>IF(ISNUMBER(outYear),SJF37+SJF42+#REF!+#REF!,"")</f>
        <v/>
      </c>
      <c r="SJG57" s="82" t="str">
        <f>IF(ISNUMBER(outYear),SJG37+SJG42+#REF!+#REF!,"")</f>
        <v/>
      </c>
      <c r="SJH57" s="82" t="str">
        <f>IF(ISNUMBER(outYear),SJH37+SJH42+#REF!+#REF!,"")</f>
        <v/>
      </c>
      <c r="SJI57" s="82" t="str">
        <f>IF(ISNUMBER(outYear),SJI37+SJI42+#REF!+#REF!,"")</f>
        <v/>
      </c>
      <c r="SJJ57" s="82" t="str">
        <f>IF(ISNUMBER(outYear),SJJ37+SJJ42+#REF!+#REF!,"")</f>
        <v/>
      </c>
      <c r="SJK57" s="82" t="str">
        <f>IF(ISNUMBER(outYear),SJK37+SJK42+#REF!+#REF!,"")</f>
        <v/>
      </c>
      <c r="SJL57" s="82" t="str">
        <f>IF(ISNUMBER(outYear),SJL37+SJL42+#REF!+#REF!,"")</f>
        <v/>
      </c>
      <c r="SJM57" s="82" t="str">
        <f>IF(ISNUMBER(outYear),SJM37+SJM42+#REF!+#REF!,"")</f>
        <v/>
      </c>
      <c r="SJN57" s="82" t="str">
        <f>IF(ISNUMBER(outYear),SJN37+SJN42+#REF!+#REF!,"")</f>
        <v/>
      </c>
      <c r="SJO57" s="82" t="str">
        <f>IF(ISNUMBER(outYear),SJO37+SJO42+#REF!+#REF!,"")</f>
        <v/>
      </c>
      <c r="SJP57" s="82" t="str">
        <f>IF(ISNUMBER(outYear),SJP37+SJP42+#REF!+#REF!,"")</f>
        <v/>
      </c>
      <c r="SJQ57" s="82" t="str">
        <f>IF(ISNUMBER(outYear),SJQ37+SJQ42+#REF!+#REF!,"")</f>
        <v/>
      </c>
      <c r="SJR57" s="82" t="str">
        <f>IF(ISNUMBER(outYear),SJR37+SJR42+#REF!+#REF!,"")</f>
        <v/>
      </c>
      <c r="SJS57" s="82" t="str">
        <f>IF(ISNUMBER(outYear),SJS37+SJS42+#REF!+#REF!,"")</f>
        <v/>
      </c>
      <c r="SJT57" s="82" t="str">
        <f>IF(ISNUMBER(outYear),SJT37+SJT42+#REF!+#REF!,"")</f>
        <v/>
      </c>
      <c r="SJU57" s="82" t="str">
        <f>IF(ISNUMBER(outYear),SJU37+SJU42+#REF!+#REF!,"")</f>
        <v/>
      </c>
      <c r="SJV57" s="82" t="str">
        <f>IF(ISNUMBER(outYear),SJV37+SJV42+#REF!+#REF!,"")</f>
        <v/>
      </c>
      <c r="SJW57" s="82" t="str">
        <f>IF(ISNUMBER(outYear),SJW37+SJW42+#REF!+#REF!,"")</f>
        <v/>
      </c>
      <c r="SJX57" s="82" t="str">
        <f>IF(ISNUMBER(outYear),SJX37+SJX42+#REF!+#REF!,"")</f>
        <v/>
      </c>
      <c r="SJY57" s="82" t="str">
        <f>IF(ISNUMBER(outYear),SJY37+SJY42+#REF!+#REF!,"")</f>
        <v/>
      </c>
      <c r="SJZ57" s="82" t="str">
        <f>IF(ISNUMBER(outYear),SJZ37+SJZ42+#REF!+#REF!,"")</f>
        <v/>
      </c>
      <c r="SKA57" s="82" t="str">
        <f>IF(ISNUMBER(outYear),SKA37+SKA42+#REF!+#REF!,"")</f>
        <v/>
      </c>
      <c r="SKB57" s="82" t="str">
        <f>IF(ISNUMBER(outYear),SKB37+SKB42+#REF!+#REF!,"")</f>
        <v/>
      </c>
      <c r="SKC57" s="82" t="str">
        <f>IF(ISNUMBER(outYear),SKC37+SKC42+#REF!+#REF!,"")</f>
        <v/>
      </c>
      <c r="SKD57" s="82" t="str">
        <f>IF(ISNUMBER(outYear),SKD37+SKD42+#REF!+#REF!,"")</f>
        <v/>
      </c>
      <c r="SKE57" s="82" t="str">
        <f>IF(ISNUMBER(outYear),SKE37+SKE42+#REF!+#REF!,"")</f>
        <v/>
      </c>
      <c r="SKF57" s="82" t="str">
        <f>IF(ISNUMBER(outYear),SKF37+SKF42+#REF!+#REF!,"")</f>
        <v/>
      </c>
      <c r="SKG57" s="82" t="str">
        <f>IF(ISNUMBER(outYear),SKG37+SKG42+#REF!+#REF!,"")</f>
        <v/>
      </c>
      <c r="SKH57" s="82" t="str">
        <f>IF(ISNUMBER(outYear),SKH37+SKH42+#REF!+#REF!,"")</f>
        <v/>
      </c>
      <c r="SKI57" s="82" t="str">
        <f>IF(ISNUMBER(outYear),SKI37+SKI42+#REF!+#REF!,"")</f>
        <v/>
      </c>
      <c r="SKJ57" s="82" t="str">
        <f>IF(ISNUMBER(outYear),SKJ37+SKJ42+#REF!+#REF!,"")</f>
        <v/>
      </c>
      <c r="SKK57" s="82" t="str">
        <f>IF(ISNUMBER(outYear),SKK37+SKK42+#REF!+#REF!,"")</f>
        <v/>
      </c>
      <c r="SKL57" s="82" t="str">
        <f>IF(ISNUMBER(outYear),SKL37+SKL42+#REF!+#REF!,"")</f>
        <v/>
      </c>
      <c r="SKM57" s="82" t="str">
        <f>IF(ISNUMBER(outYear),SKM37+SKM42+#REF!+#REF!,"")</f>
        <v/>
      </c>
      <c r="SKN57" s="82" t="str">
        <f>IF(ISNUMBER(outYear),SKN37+SKN42+#REF!+#REF!,"")</f>
        <v/>
      </c>
      <c r="SKO57" s="82" t="str">
        <f>IF(ISNUMBER(outYear),SKO37+SKO42+#REF!+#REF!,"")</f>
        <v/>
      </c>
      <c r="SKP57" s="82" t="str">
        <f>IF(ISNUMBER(outYear),SKP37+SKP42+#REF!+#REF!,"")</f>
        <v/>
      </c>
      <c r="SKQ57" s="82" t="str">
        <f>IF(ISNUMBER(outYear),SKQ37+SKQ42+#REF!+#REF!,"")</f>
        <v/>
      </c>
      <c r="SKR57" s="82" t="str">
        <f>IF(ISNUMBER(outYear),SKR37+SKR42+#REF!+#REF!,"")</f>
        <v/>
      </c>
      <c r="SKS57" s="82" t="str">
        <f>IF(ISNUMBER(outYear),SKS37+SKS42+#REF!+#REF!,"")</f>
        <v/>
      </c>
      <c r="SKT57" s="82" t="str">
        <f>IF(ISNUMBER(outYear),SKT37+SKT42+#REF!+#REF!,"")</f>
        <v/>
      </c>
      <c r="SKU57" s="82" t="str">
        <f>IF(ISNUMBER(outYear),SKU37+SKU42+#REF!+#REF!,"")</f>
        <v/>
      </c>
      <c r="SKV57" s="82" t="str">
        <f>IF(ISNUMBER(outYear),SKV37+SKV42+#REF!+#REF!,"")</f>
        <v/>
      </c>
      <c r="SKW57" s="82" t="str">
        <f>IF(ISNUMBER(outYear),SKW37+SKW42+#REF!+#REF!,"")</f>
        <v/>
      </c>
      <c r="SKX57" s="82" t="str">
        <f>IF(ISNUMBER(outYear),SKX37+SKX42+#REF!+#REF!,"")</f>
        <v/>
      </c>
      <c r="SKY57" s="82" t="str">
        <f>IF(ISNUMBER(outYear),SKY37+SKY42+#REF!+#REF!,"")</f>
        <v/>
      </c>
      <c r="SKZ57" s="82" t="str">
        <f>IF(ISNUMBER(outYear),SKZ37+SKZ42+#REF!+#REF!,"")</f>
        <v/>
      </c>
      <c r="SLA57" s="82" t="str">
        <f>IF(ISNUMBER(outYear),SLA37+SLA42+#REF!+#REF!,"")</f>
        <v/>
      </c>
      <c r="SLB57" s="82" t="str">
        <f>IF(ISNUMBER(outYear),SLB37+SLB42+#REF!+#REF!,"")</f>
        <v/>
      </c>
      <c r="SLC57" s="82" t="str">
        <f>IF(ISNUMBER(outYear),SLC37+SLC42+#REF!+#REF!,"")</f>
        <v/>
      </c>
      <c r="SLD57" s="82" t="str">
        <f>IF(ISNUMBER(outYear),SLD37+SLD42+#REF!+#REF!,"")</f>
        <v/>
      </c>
      <c r="SLE57" s="82" t="str">
        <f>IF(ISNUMBER(outYear),SLE37+SLE42+#REF!+#REF!,"")</f>
        <v/>
      </c>
      <c r="SLF57" s="82" t="str">
        <f>IF(ISNUMBER(outYear),SLF37+SLF42+#REF!+#REF!,"")</f>
        <v/>
      </c>
      <c r="SLG57" s="82" t="str">
        <f>IF(ISNUMBER(outYear),SLG37+SLG42+#REF!+#REF!,"")</f>
        <v/>
      </c>
      <c r="SLH57" s="82" t="str">
        <f>IF(ISNUMBER(outYear),SLH37+SLH42+#REF!+#REF!,"")</f>
        <v/>
      </c>
      <c r="SLI57" s="82" t="str">
        <f>IF(ISNUMBER(outYear),SLI37+SLI42+#REF!+#REF!,"")</f>
        <v/>
      </c>
      <c r="SLJ57" s="82" t="str">
        <f>IF(ISNUMBER(outYear),SLJ37+SLJ42+#REF!+#REF!,"")</f>
        <v/>
      </c>
      <c r="SLK57" s="82" t="str">
        <f>IF(ISNUMBER(outYear),SLK37+SLK42+#REF!+#REF!,"")</f>
        <v/>
      </c>
      <c r="SLL57" s="82" t="str">
        <f>IF(ISNUMBER(outYear),SLL37+SLL42+#REF!+#REF!,"")</f>
        <v/>
      </c>
      <c r="SLM57" s="82" t="str">
        <f>IF(ISNUMBER(outYear),SLM37+SLM42+#REF!+#REF!,"")</f>
        <v/>
      </c>
      <c r="SLN57" s="82" t="str">
        <f>IF(ISNUMBER(outYear),SLN37+SLN42+#REF!+#REF!,"")</f>
        <v/>
      </c>
      <c r="SLO57" s="82" t="str">
        <f>IF(ISNUMBER(outYear),SLO37+SLO42+#REF!+#REF!,"")</f>
        <v/>
      </c>
      <c r="SLP57" s="82" t="str">
        <f>IF(ISNUMBER(outYear),SLP37+SLP42+#REF!+#REF!,"")</f>
        <v/>
      </c>
      <c r="SLQ57" s="82" t="str">
        <f>IF(ISNUMBER(outYear),SLQ37+SLQ42+#REF!+#REF!,"")</f>
        <v/>
      </c>
      <c r="SLR57" s="82" t="str">
        <f>IF(ISNUMBER(outYear),SLR37+SLR42+#REF!+#REF!,"")</f>
        <v/>
      </c>
      <c r="SLS57" s="82" t="str">
        <f>IF(ISNUMBER(outYear),SLS37+SLS42+#REF!+#REF!,"")</f>
        <v/>
      </c>
      <c r="SLT57" s="82" t="str">
        <f>IF(ISNUMBER(outYear),SLT37+SLT42+#REF!+#REF!,"")</f>
        <v/>
      </c>
      <c r="SLU57" s="82" t="str">
        <f>IF(ISNUMBER(outYear),SLU37+SLU42+#REF!+#REF!,"")</f>
        <v/>
      </c>
      <c r="SLV57" s="82" t="str">
        <f>IF(ISNUMBER(outYear),SLV37+SLV42+#REF!+#REF!,"")</f>
        <v/>
      </c>
      <c r="SLW57" s="82" t="str">
        <f>IF(ISNUMBER(outYear),SLW37+SLW42+#REF!+#REF!,"")</f>
        <v/>
      </c>
      <c r="SLX57" s="82" t="str">
        <f>IF(ISNUMBER(outYear),SLX37+SLX42+#REF!+#REF!,"")</f>
        <v/>
      </c>
      <c r="SLY57" s="82" t="str">
        <f>IF(ISNUMBER(outYear),SLY37+SLY42+#REF!+#REF!,"")</f>
        <v/>
      </c>
      <c r="SLZ57" s="82" t="str">
        <f>IF(ISNUMBER(outYear),SLZ37+SLZ42+#REF!+#REF!,"")</f>
        <v/>
      </c>
      <c r="SMA57" s="82" t="str">
        <f>IF(ISNUMBER(outYear),SMA37+SMA42+#REF!+#REF!,"")</f>
        <v/>
      </c>
      <c r="SMB57" s="82" t="str">
        <f>IF(ISNUMBER(outYear),SMB37+SMB42+#REF!+#REF!,"")</f>
        <v/>
      </c>
      <c r="SMC57" s="82" t="str">
        <f>IF(ISNUMBER(outYear),SMC37+SMC42+#REF!+#REF!,"")</f>
        <v/>
      </c>
      <c r="SMD57" s="82" t="str">
        <f>IF(ISNUMBER(outYear),SMD37+SMD42+#REF!+#REF!,"")</f>
        <v/>
      </c>
      <c r="SME57" s="82" t="str">
        <f>IF(ISNUMBER(outYear),SME37+SME42+#REF!+#REF!,"")</f>
        <v/>
      </c>
      <c r="SMF57" s="82" t="str">
        <f>IF(ISNUMBER(outYear),SMF37+SMF42+#REF!+#REF!,"")</f>
        <v/>
      </c>
      <c r="SMG57" s="82" t="str">
        <f>IF(ISNUMBER(outYear),SMG37+SMG42+#REF!+#REF!,"")</f>
        <v/>
      </c>
      <c r="SMH57" s="82" t="str">
        <f>IF(ISNUMBER(outYear),SMH37+SMH42+#REF!+#REF!,"")</f>
        <v/>
      </c>
      <c r="SMI57" s="82" t="str">
        <f>IF(ISNUMBER(outYear),SMI37+SMI42+#REF!+#REF!,"")</f>
        <v/>
      </c>
      <c r="SMJ57" s="82" t="str">
        <f>IF(ISNUMBER(outYear),SMJ37+SMJ42+#REF!+#REF!,"")</f>
        <v/>
      </c>
      <c r="SMK57" s="82" t="str">
        <f>IF(ISNUMBER(outYear),SMK37+SMK42+#REF!+#REF!,"")</f>
        <v/>
      </c>
      <c r="SML57" s="82" t="str">
        <f>IF(ISNUMBER(outYear),SML37+SML42+#REF!+#REF!,"")</f>
        <v/>
      </c>
      <c r="SMM57" s="82" t="str">
        <f>IF(ISNUMBER(outYear),SMM37+SMM42+#REF!+#REF!,"")</f>
        <v/>
      </c>
      <c r="SMN57" s="82" t="str">
        <f>IF(ISNUMBER(outYear),SMN37+SMN42+#REF!+#REF!,"")</f>
        <v/>
      </c>
      <c r="SMO57" s="82" t="str">
        <f>IF(ISNUMBER(outYear),SMO37+SMO42+#REF!+#REF!,"")</f>
        <v/>
      </c>
      <c r="SMP57" s="82" t="str">
        <f>IF(ISNUMBER(outYear),SMP37+SMP42+#REF!+#REF!,"")</f>
        <v/>
      </c>
      <c r="SMQ57" s="82" t="str">
        <f>IF(ISNUMBER(outYear),SMQ37+SMQ42+#REF!+#REF!,"")</f>
        <v/>
      </c>
      <c r="SMR57" s="82" t="str">
        <f>IF(ISNUMBER(outYear),SMR37+SMR42+#REF!+#REF!,"")</f>
        <v/>
      </c>
      <c r="SMS57" s="82" t="str">
        <f>IF(ISNUMBER(outYear),SMS37+SMS42+#REF!+#REF!,"")</f>
        <v/>
      </c>
      <c r="SMT57" s="82" t="str">
        <f>IF(ISNUMBER(outYear),SMT37+SMT42+#REF!+#REF!,"")</f>
        <v/>
      </c>
      <c r="SMU57" s="82" t="str">
        <f>IF(ISNUMBER(outYear),SMU37+SMU42+#REF!+#REF!,"")</f>
        <v/>
      </c>
      <c r="SMV57" s="82" t="str">
        <f>IF(ISNUMBER(outYear),SMV37+SMV42+#REF!+#REF!,"")</f>
        <v/>
      </c>
      <c r="SMW57" s="82" t="str">
        <f>IF(ISNUMBER(outYear),SMW37+SMW42+#REF!+#REF!,"")</f>
        <v/>
      </c>
      <c r="SMX57" s="82" t="str">
        <f>IF(ISNUMBER(outYear),SMX37+SMX42+#REF!+#REF!,"")</f>
        <v/>
      </c>
      <c r="SMY57" s="82" t="str">
        <f>IF(ISNUMBER(outYear),SMY37+SMY42+#REF!+#REF!,"")</f>
        <v/>
      </c>
      <c r="SMZ57" s="82" t="str">
        <f>IF(ISNUMBER(outYear),SMZ37+SMZ42+#REF!+#REF!,"")</f>
        <v/>
      </c>
      <c r="SNA57" s="82" t="str">
        <f>IF(ISNUMBER(outYear),SNA37+SNA42+#REF!+#REF!,"")</f>
        <v/>
      </c>
      <c r="SNB57" s="82" t="str">
        <f>IF(ISNUMBER(outYear),SNB37+SNB42+#REF!+#REF!,"")</f>
        <v/>
      </c>
      <c r="SNC57" s="82" t="str">
        <f>IF(ISNUMBER(outYear),SNC37+SNC42+#REF!+#REF!,"")</f>
        <v/>
      </c>
      <c r="SND57" s="82" t="str">
        <f>IF(ISNUMBER(outYear),SND37+SND42+#REF!+#REF!,"")</f>
        <v/>
      </c>
      <c r="SNE57" s="82" t="str">
        <f>IF(ISNUMBER(outYear),SNE37+SNE42+#REF!+#REF!,"")</f>
        <v/>
      </c>
      <c r="SNF57" s="82" t="str">
        <f>IF(ISNUMBER(outYear),SNF37+SNF42+#REF!+#REF!,"")</f>
        <v/>
      </c>
      <c r="SNG57" s="82" t="str">
        <f>IF(ISNUMBER(outYear),SNG37+SNG42+#REF!+#REF!,"")</f>
        <v/>
      </c>
      <c r="SNH57" s="82" t="str">
        <f>IF(ISNUMBER(outYear),SNH37+SNH42+#REF!+#REF!,"")</f>
        <v/>
      </c>
      <c r="SNI57" s="82" t="str">
        <f>IF(ISNUMBER(outYear),SNI37+SNI42+#REF!+#REF!,"")</f>
        <v/>
      </c>
      <c r="SNJ57" s="82" t="str">
        <f>IF(ISNUMBER(outYear),SNJ37+SNJ42+#REF!+#REF!,"")</f>
        <v/>
      </c>
      <c r="SNK57" s="82" t="str">
        <f>IF(ISNUMBER(outYear),SNK37+SNK42+#REF!+#REF!,"")</f>
        <v/>
      </c>
      <c r="SNL57" s="82" t="str">
        <f>IF(ISNUMBER(outYear),SNL37+SNL42+#REF!+#REF!,"")</f>
        <v/>
      </c>
      <c r="SNM57" s="82" t="str">
        <f>IF(ISNUMBER(outYear),SNM37+SNM42+#REF!+#REF!,"")</f>
        <v/>
      </c>
      <c r="SNN57" s="82" t="str">
        <f>IF(ISNUMBER(outYear),SNN37+SNN42+#REF!+#REF!,"")</f>
        <v/>
      </c>
      <c r="SNO57" s="82" t="str">
        <f>IF(ISNUMBER(outYear),SNO37+SNO42+#REF!+#REF!,"")</f>
        <v/>
      </c>
      <c r="SNP57" s="82" t="str">
        <f>IF(ISNUMBER(outYear),SNP37+SNP42+#REF!+#REF!,"")</f>
        <v/>
      </c>
      <c r="SNQ57" s="82" t="str">
        <f>IF(ISNUMBER(outYear),SNQ37+SNQ42+#REF!+#REF!,"")</f>
        <v/>
      </c>
      <c r="SNR57" s="82" t="str">
        <f>IF(ISNUMBER(outYear),SNR37+SNR42+#REF!+#REF!,"")</f>
        <v/>
      </c>
      <c r="SNS57" s="82" t="str">
        <f>IF(ISNUMBER(outYear),SNS37+SNS42+#REF!+#REF!,"")</f>
        <v/>
      </c>
      <c r="SNT57" s="82" t="str">
        <f>IF(ISNUMBER(outYear),SNT37+SNT42+#REF!+#REF!,"")</f>
        <v/>
      </c>
      <c r="SNU57" s="82" t="str">
        <f>IF(ISNUMBER(outYear),SNU37+SNU42+#REF!+#REF!,"")</f>
        <v/>
      </c>
      <c r="SNV57" s="82" t="str">
        <f>IF(ISNUMBER(outYear),SNV37+SNV42+#REF!+#REF!,"")</f>
        <v/>
      </c>
      <c r="SNW57" s="82" t="str">
        <f>IF(ISNUMBER(outYear),SNW37+SNW42+#REF!+#REF!,"")</f>
        <v/>
      </c>
      <c r="SNX57" s="82" t="str">
        <f>IF(ISNUMBER(outYear),SNX37+SNX42+#REF!+#REF!,"")</f>
        <v/>
      </c>
      <c r="SNY57" s="82" t="str">
        <f>IF(ISNUMBER(outYear),SNY37+SNY42+#REF!+#REF!,"")</f>
        <v/>
      </c>
      <c r="SNZ57" s="82" t="str">
        <f>IF(ISNUMBER(outYear),SNZ37+SNZ42+#REF!+#REF!,"")</f>
        <v/>
      </c>
      <c r="SOA57" s="82" t="str">
        <f>IF(ISNUMBER(outYear),SOA37+SOA42+#REF!+#REF!,"")</f>
        <v/>
      </c>
      <c r="SOB57" s="82" t="str">
        <f>IF(ISNUMBER(outYear),SOB37+SOB42+#REF!+#REF!,"")</f>
        <v/>
      </c>
      <c r="SOC57" s="82" t="str">
        <f>IF(ISNUMBER(outYear),SOC37+SOC42+#REF!+#REF!,"")</f>
        <v/>
      </c>
      <c r="SOD57" s="82" t="str">
        <f>IF(ISNUMBER(outYear),SOD37+SOD42+#REF!+#REF!,"")</f>
        <v/>
      </c>
      <c r="SOE57" s="82" t="str">
        <f>IF(ISNUMBER(outYear),SOE37+SOE42+#REF!+#REF!,"")</f>
        <v/>
      </c>
      <c r="SOF57" s="82" t="str">
        <f>IF(ISNUMBER(outYear),SOF37+SOF42+#REF!+#REF!,"")</f>
        <v/>
      </c>
      <c r="SOG57" s="82" t="str">
        <f>IF(ISNUMBER(outYear),SOG37+SOG42+#REF!+#REF!,"")</f>
        <v/>
      </c>
      <c r="SOH57" s="82" t="str">
        <f>IF(ISNUMBER(outYear),SOH37+SOH42+#REF!+#REF!,"")</f>
        <v/>
      </c>
      <c r="SOI57" s="82" t="str">
        <f>IF(ISNUMBER(outYear),SOI37+SOI42+#REF!+#REF!,"")</f>
        <v/>
      </c>
      <c r="SOJ57" s="82" t="str">
        <f>IF(ISNUMBER(outYear),SOJ37+SOJ42+#REF!+#REF!,"")</f>
        <v/>
      </c>
      <c r="SOK57" s="82" t="str">
        <f>IF(ISNUMBER(outYear),SOK37+SOK42+#REF!+#REF!,"")</f>
        <v/>
      </c>
      <c r="SOL57" s="82" t="str">
        <f>IF(ISNUMBER(outYear),SOL37+SOL42+#REF!+#REF!,"")</f>
        <v/>
      </c>
      <c r="SOM57" s="82" t="str">
        <f>IF(ISNUMBER(outYear),SOM37+SOM42+#REF!+#REF!,"")</f>
        <v/>
      </c>
      <c r="SON57" s="82" t="str">
        <f>IF(ISNUMBER(outYear),SON37+SON42+#REF!+#REF!,"")</f>
        <v/>
      </c>
      <c r="SOO57" s="82" t="str">
        <f>IF(ISNUMBER(outYear),SOO37+SOO42+#REF!+#REF!,"")</f>
        <v/>
      </c>
      <c r="SOP57" s="82" t="str">
        <f>IF(ISNUMBER(outYear),SOP37+SOP42+#REF!+#REF!,"")</f>
        <v/>
      </c>
      <c r="SOQ57" s="82" t="str">
        <f>IF(ISNUMBER(outYear),SOQ37+SOQ42+#REF!+#REF!,"")</f>
        <v/>
      </c>
      <c r="SOR57" s="82" t="str">
        <f>IF(ISNUMBER(outYear),SOR37+SOR42+#REF!+#REF!,"")</f>
        <v/>
      </c>
      <c r="SOS57" s="82" t="str">
        <f>IF(ISNUMBER(outYear),SOS37+SOS42+#REF!+#REF!,"")</f>
        <v/>
      </c>
      <c r="SOT57" s="82" t="str">
        <f>IF(ISNUMBER(outYear),SOT37+SOT42+#REF!+#REF!,"")</f>
        <v/>
      </c>
      <c r="SOU57" s="82" t="str">
        <f>IF(ISNUMBER(outYear),SOU37+SOU42+#REF!+#REF!,"")</f>
        <v/>
      </c>
      <c r="SOV57" s="82" t="str">
        <f>IF(ISNUMBER(outYear),SOV37+SOV42+#REF!+#REF!,"")</f>
        <v/>
      </c>
      <c r="SOW57" s="82" t="str">
        <f>IF(ISNUMBER(outYear),SOW37+SOW42+#REF!+#REF!,"")</f>
        <v/>
      </c>
      <c r="SOX57" s="82" t="str">
        <f>IF(ISNUMBER(outYear),SOX37+SOX42+#REF!+#REF!,"")</f>
        <v/>
      </c>
      <c r="SOY57" s="82" t="str">
        <f>IF(ISNUMBER(outYear),SOY37+SOY42+#REF!+#REF!,"")</f>
        <v/>
      </c>
      <c r="SOZ57" s="82" t="str">
        <f>IF(ISNUMBER(outYear),SOZ37+SOZ42+#REF!+#REF!,"")</f>
        <v/>
      </c>
      <c r="SPA57" s="82" t="str">
        <f>IF(ISNUMBER(outYear),SPA37+SPA42+#REF!+#REF!,"")</f>
        <v/>
      </c>
      <c r="SPB57" s="82" t="str">
        <f>IF(ISNUMBER(outYear),SPB37+SPB42+#REF!+#REF!,"")</f>
        <v/>
      </c>
      <c r="SPC57" s="82" t="str">
        <f>IF(ISNUMBER(outYear),SPC37+SPC42+#REF!+#REF!,"")</f>
        <v/>
      </c>
      <c r="SPD57" s="82" t="str">
        <f>IF(ISNUMBER(outYear),SPD37+SPD42+#REF!+#REF!,"")</f>
        <v/>
      </c>
      <c r="SPE57" s="82" t="str">
        <f>IF(ISNUMBER(outYear),SPE37+SPE42+#REF!+#REF!,"")</f>
        <v/>
      </c>
      <c r="SPF57" s="82" t="str">
        <f>IF(ISNUMBER(outYear),SPF37+SPF42+#REF!+#REF!,"")</f>
        <v/>
      </c>
      <c r="SPG57" s="82" t="str">
        <f>IF(ISNUMBER(outYear),SPG37+SPG42+#REF!+#REF!,"")</f>
        <v/>
      </c>
      <c r="SPH57" s="82" t="str">
        <f>IF(ISNUMBER(outYear),SPH37+SPH42+#REF!+#REF!,"")</f>
        <v/>
      </c>
      <c r="SPI57" s="82" t="str">
        <f>IF(ISNUMBER(outYear),SPI37+SPI42+#REF!+#REF!,"")</f>
        <v/>
      </c>
      <c r="SPJ57" s="82" t="str">
        <f>IF(ISNUMBER(outYear),SPJ37+SPJ42+#REF!+#REF!,"")</f>
        <v/>
      </c>
      <c r="SPK57" s="82" t="str">
        <f>IF(ISNUMBER(outYear),SPK37+SPK42+#REF!+#REF!,"")</f>
        <v/>
      </c>
      <c r="SPL57" s="82" t="str">
        <f>IF(ISNUMBER(outYear),SPL37+SPL42+#REF!+#REF!,"")</f>
        <v/>
      </c>
      <c r="SPM57" s="82" t="str">
        <f>IF(ISNUMBER(outYear),SPM37+SPM42+#REF!+#REF!,"")</f>
        <v/>
      </c>
      <c r="SPN57" s="82" t="str">
        <f>IF(ISNUMBER(outYear),SPN37+SPN42+#REF!+#REF!,"")</f>
        <v/>
      </c>
      <c r="SPO57" s="82" t="str">
        <f>IF(ISNUMBER(outYear),SPO37+SPO42+#REF!+#REF!,"")</f>
        <v/>
      </c>
      <c r="SPP57" s="82" t="str">
        <f>IF(ISNUMBER(outYear),SPP37+SPP42+#REF!+#REF!,"")</f>
        <v/>
      </c>
      <c r="SPQ57" s="82" t="str">
        <f>IF(ISNUMBER(outYear),SPQ37+SPQ42+#REF!+#REF!,"")</f>
        <v/>
      </c>
      <c r="SPR57" s="82" t="str">
        <f>IF(ISNUMBER(outYear),SPR37+SPR42+#REF!+#REF!,"")</f>
        <v/>
      </c>
      <c r="SPS57" s="82" t="str">
        <f>IF(ISNUMBER(outYear),SPS37+SPS42+#REF!+#REF!,"")</f>
        <v/>
      </c>
      <c r="SPT57" s="82" t="str">
        <f>IF(ISNUMBER(outYear),SPT37+SPT42+#REF!+#REF!,"")</f>
        <v/>
      </c>
      <c r="SPU57" s="82" t="str">
        <f>IF(ISNUMBER(outYear),SPU37+SPU42+#REF!+#REF!,"")</f>
        <v/>
      </c>
      <c r="SPV57" s="82" t="str">
        <f>IF(ISNUMBER(outYear),SPV37+SPV42+#REF!+#REF!,"")</f>
        <v/>
      </c>
      <c r="SPW57" s="82" t="str">
        <f>IF(ISNUMBER(outYear),SPW37+SPW42+#REF!+#REF!,"")</f>
        <v/>
      </c>
      <c r="SPX57" s="82" t="str">
        <f>IF(ISNUMBER(outYear),SPX37+SPX42+#REF!+#REF!,"")</f>
        <v/>
      </c>
      <c r="SPY57" s="82" t="str">
        <f>IF(ISNUMBER(outYear),SPY37+SPY42+#REF!+#REF!,"")</f>
        <v/>
      </c>
      <c r="SPZ57" s="82" t="str">
        <f>IF(ISNUMBER(outYear),SPZ37+SPZ42+#REF!+#REF!,"")</f>
        <v/>
      </c>
      <c r="SQA57" s="82" t="str">
        <f>IF(ISNUMBER(outYear),SQA37+SQA42+#REF!+#REF!,"")</f>
        <v/>
      </c>
      <c r="SQB57" s="82" t="str">
        <f>IF(ISNUMBER(outYear),SQB37+SQB42+#REF!+#REF!,"")</f>
        <v/>
      </c>
      <c r="SQC57" s="82" t="str">
        <f>IF(ISNUMBER(outYear),SQC37+SQC42+#REF!+#REF!,"")</f>
        <v/>
      </c>
      <c r="SQD57" s="82" t="str">
        <f>IF(ISNUMBER(outYear),SQD37+SQD42+#REF!+#REF!,"")</f>
        <v/>
      </c>
      <c r="SQE57" s="82" t="str">
        <f>IF(ISNUMBER(outYear),SQE37+SQE42+#REF!+#REF!,"")</f>
        <v/>
      </c>
      <c r="SQF57" s="82" t="str">
        <f>IF(ISNUMBER(outYear),SQF37+SQF42+#REF!+#REF!,"")</f>
        <v/>
      </c>
      <c r="SQG57" s="82" t="str">
        <f>IF(ISNUMBER(outYear),SQG37+SQG42+#REF!+#REF!,"")</f>
        <v/>
      </c>
      <c r="SQH57" s="82" t="str">
        <f>IF(ISNUMBER(outYear),SQH37+SQH42+#REF!+#REF!,"")</f>
        <v/>
      </c>
      <c r="SQI57" s="82" t="str">
        <f>IF(ISNUMBER(outYear),SQI37+SQI42+#REF!+#REF!,"")</f>
        <v/>
      </c>
      <c r="SQJ57" s="82" t="str">
        <f>IF(ISNUMBER(outYear),SQJ37+SQJ42+#REF!+#REF!,"")</f>
        <v/>
      </c>
      <c r="SQK57" s="82" t="str">
        <f>IF(ISNUMBER(outYear),SQK37+SQK42+#REF!+#REF!,"")</f>
        <v/>
      </c>
      <c r="SQL57" s="82" t="str">
        <f>IF(ISNUMBER(outYear),SQL37+SQL42+#REF!+#REF!,"")</f>
        <v/>
      </c>
      <c r="SQM57" s="82" t="str">
        <f>IF(ISNUMBER(outYear),SQM37+SQM42+#REF!+#REF!,"")</f>
        <v/>
      </c>
      <c r="SQN57" s="82" t="str">
        <f>IF(ISNUMBER(outYear),SQN37+SQN42+#REF!+#REF!,"")</f>
        <v/>
      </c>
      <c r="SQO57" s="82" t="str">
        <f>IF(ISNUMBER(outYear),SQO37+SQO42+#REF!+#REF!,"")</f>
        <v/>
      </c>
      <c r="SQP57" s="82" t="str">
        <f>IF(ISNUMBER(outYear),SQP37+SQP42+#REF!+#REF!,"")</f>
        <v/>
      </c>
      <c r="SQQ57" s="82" t="str">
        <f>IF(ISNUMBER(outYear),SQQ37+SQQ42+#REF!+#REF!,"")</f>
        <v/>
      </c>
      <c r="SQR57" s="82" t="str">
        <f>IF(ISNUMBER(outYear),SQR37+SQR42+#REF!+#REF!,"")</f>
        <v/>
      </c>
      <c r="SQS57" s="82" t="str">
        <f>IF(ISNUMBER(outYear),SQS37+SQS42+#REF!+#REF!,"")</f>
        <v/>
      </c>
      <c r="SQT57" s="82" t="str">
        <f>IF(ISNUMBER(outYear),SQT37+SQT42+#REF!+#REF!,"")</f>
        <v/>
      </c>
      <c r="SQU57" s="82" t="str">
        <f>IF(ISNUMBER(outYear),SQU37+SQU42+#REF!+#REF!,"")</f>
        <v/>
      </c>
      <c r="SQV57" s="82" t="str">
        <f>IF(ISNUMBER(outYear),SQV37+SQV42+#REF!+#REF!,"")</f>
        <v/>
      </c>
      <c r="SQW57" s="82" t="str">
        <f>IF(ISNUMBER(outYear),SQW37+SQW42+#REF!+#REF!,"")</f>
        <v/>
      </c>
      <c r="SQX57" s="82" t="str">
        <f>IF(ISNUMBER(outYear),SQX37+SQX42+#REF!+#REF!,"")</f>
        <v/>
      </c>
      <c r="SQY57" s="82" t="str">
        <f>IF(ISNUMBER(outYear),SQY37+SQY42+#REF!+#REF!,"")</f>
        <v/>
      </c>
      <c r="SQZ57" s="82" t="str">
        <f>IF(ISNUMBER(outYear),SQZ37+SQZ42+#REF!+#REF!,"")</f>
        <v/>
      </c>
      <c r="SRA57" s="82" t="str">
        <f>IF(ISNUMBER(outYear),SRA37+SRA42+#REF!+#REF!,"")</f>
        <v/>
      </c>
      <c r="SRB57" s="82" t="str">
        <f>IF(ISNUMBER(outYear),SRB37+SRB42+#REF!+#REF!,"")</f>
        <v/>
      </c>
      <c r="SRC57" s="82" t="str">
        <f>IF(ISNUMBER(outYear),SRC37+SRC42+#REF!+#REF!,"")</f>
        <v/>
      </c>
      <c r="SRD57" s="82" t="str">
        <f>IF(ISNUMBER(outYear),SRD37+SRD42+#REF!+#REF!,"")</f>
        <v/>
      </c>
      <c r="SRE57" s="82" t="str">
        <f>IF(ISNUMBER(outYear),SRE37+SRE42+#REF!+#REF!,"")</f>
        <v/>
      </c>
      <c r="SRF57" s="82" t="str">
        <f>IF(ISNUMBER(outYear),SRF37+SRF42+#REF!+#REF!,"")</f>
        <v/>
      </c>
      <c r="SRG57" s="82" t="str">
        <f>IF(ISNUMBER(outYear),SRG37+SRG42+#REF!+#REF!,"")</f>
        <v/>
      </c>
      <c r="SRH57" s="82" t="str">
        <f>IF(ISNUMBER(outYear),SRH37+SRH42+#REF!+#REF!,"")</f>
        <v/>
      </c>
      <c r="SRI57" s="82" t="str">
        <f>IF(ISNUMBER(outYear),SRI37+SRI42+#REF!+#REF!,"")</f>
        <v/>
      </c>
      <c r="SRJ57" s="82" t="str">
        <f>IF(ISNUMBER(outYear),SRJ37+SRJ42+#REF!+#REF!,"")</f>
        <v/>
      </c>
      <c r="SRK57" s="82" t="str">
        <f>IF(ISNUMBER(outYear),SRK37+SRK42+#REF!+#REF!,"")</f>
        <v/>
      </c>
      <c r="SRL57" s="82" t="str">
        <f>IF(ISNUMBER(outYear),SRL37+SRL42+#REF!+#REF!,"")</f>
        <v/>
      </c>
      <c r="SRM57" s="82" t="str">
        <f>IF(ISNUMBER(outYear),SRM37+SRM42+#REF!+#REF!,"")</f>
        <v/>
      </c>
      <c r="SRN57" s="82" t="str">
        <f>IF(ISNUMBER(outYear),SRN37+SRN42+#REF!+#REF!,"")</f>
        <v/>
      </c>
      <c r="SRO57" s="82" t="str">
        <f>IF(ISNUMBER(outYear),SRO37+SRO42+#REF!+#REF!,"")</f>
        <v/>
      </c>
      <c r="SRP57" s="82" t="str">
        <f>IF(ISNUMBER(outYear),SRP37+SRP42+#REF!+#REF!,"")</f>
        <v/>
      </c>
      <c r="SRQ57" s="82" t="str">
        <f>IF(ISNUMBER(outYear),SRQ37+SRQ42+#REF!+#REF!,"")</f>
        <v/>
      </c>
      <c r="SRR57" s="82" t="str">
        <f>IF(ISNUMBER(outYear),SRR37+SRR42+#REF!+#REF!,"")</f>
        <v/>
      </c>
      <c r="SRS57" s="82" t="str">
        <f>IF(ISNUMBER(outYear),SRS37+SRS42+#REF!+#REF!,"")</f>
        <v/>
      </c>
      <c r="SRT57" s="82" t="str">
        <f>IF(ISNUMBER(outYear),SRT37+SRT42+#REF!+#REF!,"")</f>
        <v/>
      </c>
      <c r="SRU57" s="82" t="str">
        <f>IF(ISNUMBER(outYear),SRU37+SRU42+#REF!+#REF!,"")</f>
        <v/>
      </c>
      <c r="SRV57" s="82" t="str">
        <f>IF(ISNUMBER(outYear),SRV37+SRV42+#REF!+#REF!,"")</f>
        <v/>
      </c>
      <c r="SRW57" s="82" t="str">
        <f>IF(ISNUMBER(outYear),SRW37+SRW42+#REF!+#REF!,"")</f>
        <v/>
      </c>
      <c r="SRX57" s="82" t="str">
        <f>IF(ISNUMBER(outYear),SRX37+SRX42+#REF!+#REF!,"")</f>
        <v/>
      </c>
      <c r="SRY57" s="82" t="str">
        <f>IF(ISNUMBER(outYear),SRY37+SRY42+#REF!+#REF!,"")</f>
        <v/>
      </c>
      <c r="SRZ57" s="82" t="str">
        <f>IF(ISNUMBER(outYear),SRZ37+SRZ42+#REF!+#REF!,"")</f>
        <v/>
      </c>
      <c r="SSA57" s="82" t="str">
        <f>IF(ISNUMBER(outYear),SSA37+SSA42+#REF!+#REF!,"")</f>
        <v/>
      </c>
      <c r="SSB57" s="82" t="str">
        <f>IF(ISNUMBER(outYear),SSB37+SSB42+#REF!+#REF!,"")</f>
        <v/>
      </c>
      <c r="SSC57" s="82" t="str">
        <f>IF(ISNUMBER(outYear),SSC37+SSC42+#REF!+#REF!,"")</f>
        <v/>
      </c>
      <c r="SSD57" s="82" t="str">
        <f>IF(ISNUMBER(outYear),SSD37+SSD42+#REF!+#REF!,"")</f>
        <v/>
      </c>
      <c r="SSE57" s="82" t="str">
        <f>IF(ISNUMBER(outYear),SSE37+SSE42+#REF!+#REF!,"")</f>
        <v/>
      </c>
      <c r="SSF57" s="82" t="str">
        <f>IF(ISNUMBER(outYear),SSF37+SSF42+#REF!+#REF!,"")</f>
        <v/>
      </c>
      <c r="SSG57" s="82" t="str">
        <f>IF(ISNUMBER(outYear),SSG37+SSG42+#REF!+#REF!,"")</f>
        <v/>
      </c>
      <c r="SSH57" s="82" t="str">
        <f>IF(ISNUMBER(outYear),SSH37+SSH42+#REF!+#REF!,"")</f>
        <v/>
      </c>
      <c r="SSI57" s="82" t="str">
        <f>IF(ISNUMBER(outYear),SSI37+SSI42+#REF!+#REF!,"")</f>
        <v/>
      </c>
      <c r="SSJ57" s="82" t="str">
        <f>IF(ISNUMBER(outYear),SSJ37+SSJ42+#REF!+#REF!,"")</f>
        <v/>
      </c>
      <c r="SSK57" s="82" t="str">
        <f>IF(ISNUMBER(outYear),SSK37+SSK42+#REF!+#REF!,"")</f>
        <v/>
      </c>
      <c r="SSL57" s="82" t="str">
        <f>IF(ISNUMBER(outYear),SSL37+SSL42+#REF!+#REF!,"")</f>
        <v/>
      </c>
      <c r="SSM57" s="82" t="str">
        <f>IF(ISNUMBER(outYear),SSM37+SSM42+#REF!+#REF!,"")</f>
        <v/>
      </c>
      <c r="SSN57" s="82" t="str">
        <f>IF(ISNUMBER(outYear),SSN37+SSN42+#REF!+#REF!,"")</f>
        <v/>
      </c>
      <c r="SSO57" s="82" t="str">
        <f>IF(ISNUMBER(outYear),SSO37+SSO42+#REF!+#REF!,"")</f>
        <v/>
      </c>
      <c r="SSP57" s="82" t="str">
        <f>IF(ISNUMBER(outYear),SSP37+SSP42+#REF!+#REF!,"")</f>
        <v/>
      </c>
      <c r="SSQ57" s="82" t="str">
        <f>IF(ISNUMBER(outYear),SSQ37+SSQ42+#REF!+#REF!,"")</f>
        <v/>
      </c>
      <c r="SSR57" s="82" t="str">
        <f>IF(ISNUMBER(outYear),SSR37+SSR42+#REF!+#REF!,"")</f>
        <v/>
      </c>
      <c r="SSS57" s="82" t="str">
        <f>IF(ISNUMBER(outYear),SSS37+SSS42+#REF!+#REF!,"")</f>
        <v/>
      </c>
      <c r="SST57" s="82" t="str">
        <f>IF(ISNUMBER(outYear),SST37+SST42+#REF!+#REF!,"")</f>
        <v/>
      </c>
      <c r="SSU57" s="82" t="str">
        <f>IF(ISNUMBER(outYear),SSU37+SSU42+#REF!+#REF!,"")</f>
        <v/>
      </c>
      <c r="SSV57" s="82" t="str">
        <f>IF(ISNUMBER(outYear),SSV37+SSV42+#REF!+#REF!,"")</f>
        <v/>
      </c>
      <c r="SSW57" s="82" t="str">
        <f>IF(ISNUMBER(outYear),SSW37+SSW42+#REF!+#REF!,"")</f>
        <v/>
      </c>
      <c r="SSX57" s="82" t="str">
        <f>IF(ISNUMBER(outYear),SSX37+SSX42+#REF!+#REF!,"")</f>
        <v/>
      </c>
      <c r="SSY57" s="82" t="str">
        <f>IF(ISNUMBER(outYear),SSY37+SSY42+#REF!+#REF!,"")</f>
        <v/>
      </c>
      <c r="SSZ57" s="82" t="str">
        <f>IF(ISNUMBER(outYear),SSZ37+SSZ42+#REF!+#REF!,"")</f>
        <v/>
      </c>
      <c r="STA57" s="82" t="str">
        <f>IF(ISNUMBER(outYear),STA37+STA42+#REF!+#REF!,"")</f>
        <v/>
      </c>
      <c r="STB57" s="82" t="str">
        <f>IF(ISNUMBER(outYear),STB37+STB42+#REF!+#REF!,"")</f>
        <v/>
      </c>
      <c r="STC57" s="82" t="str">
        <f>IF(ISNUMBER(outYear),STC37+STC42+#REF!+#REF!,"")</f>
        <v/>
      </c>
      <c r="STD57" s="82" t="str">
        <f>IF(ISNUMBER(outYear),STD37+STD42+#REF!+#REF!,"")</f>
        <v/>
      </c>
      <c r="STE57" s="82" t="str">
        <f>IF(ISNUMBER(outYear),STE37+STE42+#REF!+#REF!,"")</f>
        <v/>
      </c>
      <c r="STF57" s="82" t="str">
        <f>IF(ISNUMBER(outYear),STF37+STF42+#REF!+#REF!,"")</f>
        <v/>
      </c>
      <c r="STG57" s="82" t="str">
        <f>IF(ISNUMBER(outYear),STG37+STG42+#REF!+#REF!,"")</f>
        <v/>
      </c>
      <c r="STH57" s="82" t="str">
        <f>IF(ISNUMBER(outYear),STH37+STH42+#REF!+#REF!,"")</f>
        <v/>
      </c>
      <c r="STI57" s="82" t="str">
        <f>IF(ISNUMBER(outYear),STI37+STI42+#REF!+#REF!,"")</f>
        <v/>
      </c>
      <c r="STJ57" s="82" t="str">
        <f>IF(ISNUMBER(outYear),STJ37+STJ42+#REF!+#REF!,"")</f>
        <v/>
      </c>
      <c r="STK57" s="82" t="str">
        <f>IF(ISNUMBER(outYear),STK37+STK42+#REF!+#REF!,"")</f>
        <v/>
      </c>
      <c r="STL57" s="82" t="str">
        <f>IF(ISNUMBER(outYear),STL37+STL42+#REF!+#REF!,"")</f>
        <v/>
      </c>
      <c r="STM57" s="82" t="str">
        <f>IF(ISNUMBER(outYear),STM37+STM42+#REF!+#REF!,"")</f>
        <v/>
      </c>
      <c r="STN57" s="82" t="str">
        <f>IF(ISNUMBER(outYear),STN37+STN42+#REF!+#REF!,"")</f>
        <v/>
      </c>
      <c r="STO57" s="82" t="str">
        <f>IF(ISNUMBER(outYear),STO37+STO42+#REF!+#REF!,"")</f>
        <v/>
      </c>
      <c r="STP57" s="82" t="str">
        <f>IF(ISNUMBER(outYear),STP37+STP42+#REF!+#REF!,"")</f>
        <v/>
      </c>
      <c r="STQ57" s="82" t="str">
        <f>IF(ISNUMBER(outYear),STQ37+STQ42+#REF!+#REF!,"")</f>
        <v/>
      </c>
      <c r="STR57" s="82" t="str">
        <f>IF(ISNUMBER(outYear),STR37+STR42+#REF!+#REF!,"")</f>
        <v/>
      </c>
      <c r="STS57" s="82" t="str">
        <f>IF(ISNUMBER(outYear),STS37+STS42+#REF!+#REF!,"")</f>
        <v/>
      </c>
      <c r="STT57" s="82" t="str">
        <f>IF(ISNUMBER(outYear),STT37+STT42+#REF!+#REF!,"")</f>
        <v/>
      </c>
      <c r="STU57" s="82" t="str">
        <f>IF(ISNUMBER(outYear),STU37+STU42+#REF!+#REF!,"")</f>
        <v/>
      </c>
      <c r="STV57" s="82" t="str">
        <f>IF(ISNUMBER(outYear),STV37+STV42+#REF!+#REF!,"")</f>
        <v/>
      </c>
      <c r="STW57" s="82" t="str">
        <f>IF(ISNUMBER(outYear),STW37+STW42+#REF!+#REF!,"")</f>
        <v/>
      </c>
      <c r="STX57" s="82" t="str">
        <f>IF(ISNUMBER(outYear),STX37+STX42+#REF!+#REF!,"")</f>
        <v/>
      </c>
      <c r="STY57" s="82" t="str">
        <f>IF(ISNUMBER(outYear),STY37+STY42+#REF!+#REF!,"")</f>
        <v/>
      </c>
      <c r="STZ57" s="82" t="str">
        <f>IF(ISNUMBER(outYear),STZ37+STZ42+#REF!+#REF!,"")</f>
        <v/>
      </c>
      <c r="SUA57" s="82" t="str">
        <f>IF(ISNUMBER(outYear),SUA37+SUA42+#REF!+#REF!,"")</f>
        <v/>
      </c>
      <c r="SUB57" s="82" t="str">
        <f>IF(ISNUMBER(outYear),SUB37+SUB42+#REF!+#REF!,"")</f>
        <v/>
      </c>
      <c r="SUC57" s="82" t="str">
        <f>IF(ISNUMBER(outYear),SUC37+SUC42+#REF!+#REF!,"")</f>
        <v/>
      </c>
      <c r="SUD57" s="82" t="str">
        <f>IF(ISNUMBER(outYear),SUD37+SUD42+#REF!+#REF!,"")</f>
        <v/>
      </c>
      <c r="SUE57" s="82" t="str">
        <f>IF(ISNUMBER(outYear),SUE37+SUE42+#REF!+#REF!,"")</f>
        <v/>
      </c>
      <c r="SUF57" s="82" t="str">
        <f>IF(ISNUMBER(outYear),SUF37+SUF42+#REF!+#REF!,"")</f>
        <v/>
      </c>
      <c r="SUG57" s="82" t="str">
        <f>IF(ISNUMBER(outYear),SUG37+SUG42+#REF!+#REF!,"")</f>
        <v/>
      </c>
      <c r="SUH57" s="82" t="str">
        <f>IF(ISNUMBER(outYear),SUH37+SUH42+#REF!+#REF!,"")</f>
        <v/>
      </c>
      <c r="SUI57" s="82" t="str">
        <f>IF(ISNUMBER(outYear),SUI37+SUI42+#REF!+#REF!,"")</f>
        <v/>
      </c>
      <c r="SUJ57" s="82" t="str">
        <f>IF(ISNUMBER(outYear),SUJ37+SUJ42+#REF!+#REF!,"")</f>
        <v/>
      </c>
      <c r="SUK57" s="82" t="str">
        <f>IF(ISNUMBER(outYear),SUK37+SUK42+#REF!+#REF!,"")</f>
        <v/>
      </c>
      <c r="SUL57" s="82" t="str">
        <f>IF(ISNUMBER(outYear),SUL37+SUL42+#REF!+#REF!,"")</f>
        <v/>
      </c>
      <c r="SUM57" s="82" t="str">
        <f>IF(ISNUMBER(outYear),SUM37+SUM42+#REF!+#REF!,"")</f>
        <v/>
      </c>
      <c r="SUN57" s="82" t="str">
        <f>IF(ISNUMBER(outYear),SUN37+SUN42+#REF!+#REF!,"")</f>
        <v/>
      </c>
      <c r="SUO57" s="82" t="str">
        <f>IF(ISNUMBER(outYear),SUO37+SUO42+#REF!+#REF!,"")</f>
        <v/>
      </c>
      <c r="SUP57" s="82" t="str">
        <f>IF(ISNUMBER(outYear),SUP37+SUP42+#REF!+#REF!,"")</f>
        <v/>
      </c>
      <c r="SUQ57" s="82" t="str">
        <f>IF(ISNUMBER(outYear),SUQ37+SUQ42+#REF!+#REF!,"")</f>
        <v/>
      </c>
      <c r="SUR57" s="82" t="str">
        <f>IF(ISNUMBER(outYear),SUR37+SUR42+#REF!+#REF!,"")</f>
        <v/>
      </c>
      <c r="SUS57" s="82" t="str">
        <f>IF(ISNUMBER(outYear),SUS37+SUS42+#REF!+#REF!,"")</f>
        <v/>
      </c>
      <c r="SUT57" s="82" t="str">
        <f>IF(ISNUMBER(outYear),SUT37+SUT42+#REF!+#REF!,"")</f>
        <v/>
      </c>
      <c r="SUU57" s="82" t="str">
        <f>IF(ISNUMBER(outYear),SUU37+SUU42+#REF!+#REF!,"")</f>
        <v/>
      </c>
      <c r="SUV57" s="82" t="str">
        <f>IF(ISNUMBER(outYear),SUV37+SUV42+#REF!+#REF!,"")</f>
        <v/>
      </c>
      <c r="SUW57" s="82" t="str">
        <f>IF(ISNUMBER(outYear),SUW37+SUW42+#REF!+#REF!,"")</f>
        <v/>
      </c>
      <c r="SUX57" s="82" t="str">
        <f>IF(ISNUMBER(outYear),SUX37+SUX42+#REF!+#REF!,"")</f>
        <v/>
      </c>
      <c r="SUY57" s="82" t="str">
        <f>IF(ISNUMBER(outYear),SUY37+SUY42+#REF!+#REF!,"")</f>
        <v/>
      </c>
      <c r="SUZ57" s="82" t="str">
        <f>IF(ISNUMBER(outYear),SUZ37+SUZ42+#REF!+#REF!,"")</f>
        <v/>
      </c>
      <c r="SVA57" s="82" t="str">
        <f>IF(ISNUMBER(outYear),SVA37+SVA42+#REF!+#REF!,"")</f>
        <v/>
      </c>
      <c r="SVB57" s="82" t="str">
        <f>IF(ISNUMBER(outYear),SVB37+SVB42+#REF!+#REF!,"")</f>
        <v/>
      </c>
      <c r="SVC57" s="82" t="str">
        <f>IF(ISNUMBER(outYear),SVC37+SVC42+#REF!+#REF!,"")</f>
        <v/>
      </c>
      <c r="SVD57" s="82" t="str">
        <f>IF(ISNUMBER(outYear),SVD37+SVD42+#REF!+#REF!,"")</f>
        <v/>
      </c>
      <c r="SVE57" s="82" t="str">
        <f>IF(ISNUMBER(outYear),SVE37+SVE42+#REF!+#REF!,"")</f>
        <v/>
      </c>
      <c r="SVF57" s="82" t="str">
        <f>IF(ISNUMBER(outYear),SVF37+SVF42+#REF!+#REF!,"")</f>
        <v/>
      </c>
      <c r="SVG57" s="82" t="str">
        <f>IF(ISNUMBER(outYear),SVG37+SVG42+#REF!+#REF!,"")</f>
        <v/>
      </c>
      <c r="SVH57" s="82" t="str">
        <f>IF(ISNUMBER(outYear),SVH37+SVH42+#REF!+#REF!,"")</f>
        <v/>
      </c>
      <c r="SVI57" s="82" t="str">
        <f>IF(ISNUMBER(outYear),SVI37+SVI42+#REF!+#REF!,"")</f>
        <v/>
      </c>
      <c r="SVJ57" s="82" t="str">
        <f>IF(ISNUMBER(outYear),SVJ37+SVJ42+#REF!+#REF!,"")</f>
        <v/>
      </c>
      <c r="SVK57" s="82" t="str">
        <f>IF(ISNUMBER(outYear),SVK37+SVK42+#REF!+#REF!,"")</f>
        <v/>
      </c>
      <c r="SVL57" s="82" t="str">
        <f>IF(ISNUMBER(outYear),SVL37+SVL42+#REF!+#REF!,"")</f>
        <v/>
      </c>
      <c r="SVM57" s="82" t="str">
        <f>IF(ISNUMBER(outYear),SVM37+SVM42+#REF!+#REF!,"")</f>
        <v/>
      </c>
      <c r="SVN57" s="82" t="str">
        <f>IF(ISNUMBER(outYear),SVN37+SVN42+#REF!+#REF!,"")</f>
        <v/>
      </c>
      <c r="SVO57" s="82" t="str">
        <f>IF(ISNUMBER(outYear),SVO37+SVO42+#REF!+#REF!,"")</f>
        <v/>
      </c>
      <c r="SVP57" s="82" t="str">
        <f>IF(ISNUMBER(outYear),SVP37+SVP42+#REF!+#REF!,"")</f>
        <v/>
      </c>
      <c r="SVQ57" s="82" t="str">
        <f>IF(ISNUMBER(outYear),SVQ37+SVQ42+#REF!+#REF!,"")</f>
        <v/>
      </c>
      <c r="SVR57" s="82" t="str">
        <f>IF(ISNUMBER(outYear),SVR37+SVR42+#REF!+#REF!,"")</f>
        <v/>
      </c>
      <c r="SVS57" s="82" t="str">
        <f>IF(ISNUMBER(outYear),SVS37+SVS42+#REF!+#REF!,"")</f>
        <v/>
      </c>
      <c r="SVT57" s="82" t="str">
        <f>IF(ISNUMBER(outYear),SVT37+SVT42+#REF!+#REF!,"")</f>
        <v/>
      </c>
      <c r="SVU57" s="82" t="str">
        <f>IF(ISNUMBER(outYear),SVU37+SVU42+#REF!+#REF!,"")</f>
        <v/>
      </c>
      <c r="SVV57" s="82" t="str">
        <f>IF(ISNUMBER(outYear),SVV37+SVV42+#REF!+#REF!,"")</f>
        <v/>
      </c>
      <c r="SVW57" s="82" t="str">
        <f>IF(ISNUMBER(outYear),SVW37+SVW42+#REF!+#REF!,"")</f>
        <v/>
      </c>
      <c r="SVX57" s="82" t="str">
        <f>IF(ISNUMBER(outYear),SVX37+SVX42+#REF!+#REF!,"")</f>
        <v/>
      </c>
      <c r="SVY57" s="82" t="str">
        <f>IF(ISNUMBER(outYear),SVY37+SVY42+#REF!+#REF!,"")</f>
        <v/>
      </c>
      <c r="SVZ57" s="82" t="str">
        <f>IF(ISNUMBER(outYear),SVZ37+SVZ42+#REF!+#REF!,"")</f>
        <v/>
      </c>
      <c r="SWA57" s="82" t="str">
        <f>IF(ISNUMBER(outYear),SWA37+SWA42+#REF!+#REF!,"")</f>
        <v/>
      </c>
      <c r="SWB57" s="82" t="str">
        <f>IF(ISNUMBER(outYear),SWB37+SWB42+#REF!+#REF!,"")</f>
        <v/>
      </c>
      <c r="SWC57" s="82" t="str">
        <f>IF(ISNUMBER(outYear),SWC37+SWC42+#REF!+#REF!,"")</f>
        <v/>
      </c>
      <c r="SWD57" s="82" t="str">
        <f>IF(ISNUMBER(outYear),SWD37+SWD42+#REF!+#REF!,"")</f>
        <v/>
      </c>
      <c r="SWE57" s="82" t="str">
        <f>IF(ISNUMBER(outYear),SWE37+SWE42+#REF!+#REF!,"")</f>
        <v/>
      </c>
      <c r="SWF57" s="82" t="str">
        <f>IF(ISNUMBER(outYear),SWF37+SWF42+#REF!+#REF!,"")</f>
        <v/>
      </c>
      <c r="SWG57" s="82" t="str">
        <f>IF(ISNUMBER(outYear),SWG37+SWG42+#REF!+#REF!,"")</f>
        <v/>
      </c>
      <c r="SWH57" s="82" t="str">
        <f>IF(ISNUMBER(outYear),SWH37+SWH42+#REF!+#REF!,"")</f>
        <v/>
      </c>
      <c r="SWI57" s="82" t="str">
        <f>IF(ISNUMBER(outYear),SWI37+SWI42+#REF!+#REF!,"")</f>
        <v/>
      </c>
      <c r="SWJ57" s="82" t="str">
        <f>IF(ISNUMBER(outYear),SWJ37+SWJ42+#REF!+#REF!,"")</f>
        <v/>
      </c>
      <c r="SWK57" s="82" t="str">
        <f>IF(ISNUMBER(outYear),SWK37+SWK42+#REF!+#REF!,"")</f>
        <v/>
      </c>
      <c r="SWL57" s="82" t="str">
        <f>IF(ISNUMBER(outYear),SWL37+SWL42+#REF!+#REF!,"")</f>
        <v/>
      </c>
      <c r="SWM57" s="82" t="str">
        <f>IF(ISNUMBER(outYear),SWM37+SWM42+#REF!+#REF!,"")</f>
        <v/>
      </c>
      <c r="SWN57" s="82" t="str">
        <f>IF(ISNUMBER(outYear),SWN37+SWN42+#REF!+#REF!,"")</f>
        <v/>
      </c>
      <c r="SWO57" s="82" t="str">
        <f>IF(ISNUMBER(outYear),SWO37+SWO42+#REF!+#REF!,"")</f>
        <v/>
      </c>
      <c r="SWP57" s="82" t="str">
        <f>IF(ISNUMBER(outYear),SWP37+SWP42+#REF!+#REF!,"")</f>
        <v/>
      </c>
      <c r="SWQ57" s="82" t="str">
        <f>IF(ISNUMBER(outYear),SWQ37+SWQ42+#REF!+#REF!,"")</f>
        <v/>
      </c>
      <c r="SWR57" s="82" t="str">
        <f>IF(ISNUMBER(outYear),SWR37+SWR42+#REF!+#REF!,"")</f>
        <v/>
      </c>
      <c r="SWS57" s="82" t="str">
        <f>IF(ISNUMBER(outYear),SWS37+SWS42+#REF!+#REF!,"")</f>
        <v/>
      </c>
      <c r="SWT57" s="82" t="str">
        <f>IF(ISNUMBER(outYear),SWT37+SWT42+#REF!+#REF!,"")</f>
        <v/>
      </c>
      <c r="SWU57" s="82" t="str">
        <f>IF(ISNUMBER(outYear),SWU37+SWU42+#REF!+#REF!,"")</f>
        <v/>
      </c>
      <c r="SWV57" s="82" t="str">
        <f>IF(ISNUMBER(outYear),SWV37+SWV42+#REF!+#REF!,"")</f>
        <v/>
      </c>
      <c r="SWW57" s="82" t="str">
        <f>IF(ISNUMBER(outYear),SWW37+SWW42+#REF!+#REF!,"")</f>
        <v/>
      </c>
      <c r="SWX57" s="82" t="str">
        <f>IF(ISNUMBER(outYear),SWX37+SWX42+#REF!+#REF!,"")</f>
        <v/>
      </c>
      <c r="SWY57" s="82" t="str">
        <f>IF(ISNUMBER(outYear),SWY37+SWY42+#REF!+#REF!,"")</f>
        <v/>
      </c>
      <c r="SWZ57" s="82" t="str">
        <f>IF(ISNUMBER(outYear),SWZ37+SWZ42+#REF!+#REF!,"")</f>
        <v/>
      </c>
      <c r="SXA57" s="82" t="str">
        <f>IF(ISNUMBER(outYear),SXA37+SXA42+#REF!+#REF!,"")</f>
        <v/>
      </c>
      <c r="SXB57" s="82" t="str">
        <f>IF(ISNUMBER(outYear),SXB37+SXB42+#REF!+#REF!,"")</f>
        <v/>
      </c>
      <c r="SXC57" s="82" t="str">
        <f>IF(ISNUMBER(outYear),SXC37+SXC42+#REF!+#REF!,"")</f>
        <v/>
      </c>
      <c r="SXD57" s="82" t="str">
        <f>IF(ISNUMBER(outYear),SXD37+SXD42+#REF!+#REF!,"")</f>
        <v/>
      </c>
      <c r="SXE57" s="82" t="str">
        <f>IF(ISNUMBER(outYear),SXE37+SXE42+#REF!+#REF!,"")</f>
        <v/>
      </c>
      <c r="SXF57" s="82" t="str">
        <f>IF(ISNUMBER(outYear),SXF37+SXF42+#REF!+#REF!,"")</f>
        <v/>
      </c>
      <c r="SXG57" s="82" t="str">
        <f>IF(ISNUMBER(outYear),SXG37+SXG42+#REF!+#REF!,"")</f>
        <v/>
      </c>
      <c r="SXH57" s="82" t="str">
        <f>IF(ISNUMBER(outYear),SXH37+SXH42+#REF!+#REF!,"")</f>
        <v/>
      </c>
      <c r="SXI57" s="82" t="str">
        <f>IF(ISNUMBER(outYear),SXI37+SXI42+#REF!+#REF!,"")</f>
        <v/>
      </c>
      <c r="SXJ57" s="82" t="str">
        <f>IF(ISNUMBER(outYear),SXJ37+SXJ42+#REF!+#REF!,"")</f>
        <v/>
      </c>
      <c r="SXK57" s="82" t="str">
        <f>IF(ISNUMBER(outYear),SXK37+SXK42+#REF!+#REF!,"")</f>
        <v/>
      </c>
      <c r="SXL57" s="82" t="str">
        <f>IF(ISNUMBER(outYear),SXL37+SXL42+#REF!+#REF!,"")</f>
        <v/>
      </c>
      <c r="SXM57" s="82" t="str">
        <f>IF(ISNUMBER(outYear),SXM37+SXM42+#REF!+#REF!,"")</f>
        <v/>
      </c>
      <c r="SXN57" s="82" t="str">
        <f>IF(ISNUMBER(outYear),SXN37+SXN42+#REF!+#REF!,"")</f>
        <v/>
      </c>
      <c r="SXO57" s="82" t="str">
        <f>IF(ISNUMBER(outYear),SXO37+SXO42+#REF!+#REF!,"")</f>
        <v/>
      </c>
      <c r="SXP57" s="82" t="str">
        <f>IF(ISNUMBER(outYear),SXP37+SXP42+#REF!+#REF!,"")</f>
        <v/>
      </c>
      <c r="SXQ57" s="82" t="str">
        <f>IF(ISNUMBER(outYear),SXQ37+SXQ42+#REF!+#REF!,"")</f>
        <v/>
      </c>
      <c r="SXR57" s="82" t="str">
        <f>IF(ISNUMBER(outYear),SXR37+SXR42+#REF!+#REF!,"")</f>
        <v/>
      </c>
      <c r="SXS57" s="82" t="str">
        <f>IF(ISNUMBER(outYear),SXS37+SXS42+#REF!+#REF!,"")</f>
        <v/>
      </c>
      <c r="SXT57" s="82" t="str">
        <f>IF(ISNUMBER(outYear),SXT37+SXT42+#REF!+#REF!,"")</f>
        <v/>
      </c>
      <c r="SXU57" s="82" t="str">
        <f>IF(ISNUMBER(outYear),SXU37+SXU42+#REF!+#REF!,"")</f>
        <v/>
      </c>
      <c r="SXV57" s="82" t="str">
        <f>IF(ISNUMBER(outYear),SXV37+SXV42+#REF!+#REF!,"")</f>
        <v/>
      </c>
      <c r="SXW57" s="82" t="str">
        <f>IF(ISNUMBER(outYear),SXW37+SXW42+#REF!+#REF!,"")</f>
        <v/>
      </c>
      <c r="SXX57" s="82" t="str">
        <f>IF(ISNUMBER(outYear),SXX37+SXX42+#REF!+#REF!,"")</f>
        <v/>
      </c>
      <c r="SXY57" s="82" t="str">
        <f>IF(ISNUMBER(outYear),SXY37+SXY42+#REF!+#REF!,"")</f>
        <v/>
      </c>
      <c r="SXZ57" s="82" t="str">
        <f>IF(ISNUMBER(outYear),SXZ37+SXZ42+#REF!+#REF!,"")</f>
        <v/>
      </c>
      <c r="SYA57" s="82" t="str">
        <f>IF(ISNUMBER(outYear),SYA37+SYA42+#REF!+#REF!,"")</f>
        <v/>
      </c>
      <c r="SYB57" s="82" t="str">
        <f>IF(ISNUMBER(outYear),SYB37+SYB42+#REF!+#REF!,"")</f>
        <v/>
      </c>
      <c r="SYC57" s="82" t="str">
        <f>IF(ISNUMBER(outYear),SYC37+SYC42+#REF!+#REF!,"")</f>
        <v/>
      </c>
      <c r="SYD57" s="82" t="str">
        <f>IF(ISNUMBER(outYear),SYD37+SYD42+#REF!+#REF!,"")</f>
        <v/>
      </c>
      <c r="SYE57" s="82" t="str">
        <f>IF(ISNUMBER(outYear),SYE37+SYE42+#REF!+#REF!,"")</f>
        <v/>
      </c>
      <c r="SYF57" s="82" t="str">
        <f>IF(ISNUMBER(outYear),SYF37+SYF42+#REF!+#REF!,"")</f>
        <v/>
      </c>
      <c r="SYG57" s="82" t="str">
        <f>IF(ISNUMBER(outYear),SYG37+SYG42+#REF!+#REF!,"")</f>
        <v/>
      </c>
      <c r="SYH57" s="82" t="str">
        <f>IF(ISNUMBER(outYear),SYH37+SYH42+#REF!+#REF!,"")</f>
        <v/>
      </c>
      <c r="SYI57" s="82" t="str">
        <f>IF(ISNUMBER(outYear),SYI37+SYI42+#REF!+#REF!,"")</f>
        <v/>
      </c>
      <c r="SYJ57" s="82" t="str">
        <f>IF(ISNUMBER(outYear),SYJ37+SYJ42+#REF!+#REF!,"")</f>
        <v/>
      </c>
      <c r="SYK57" s="82" t="str">
        <f>IF(ISNUMBER(outYear),SYK37+SYK42+#REF!+#REF!,"")</f>
        <v/>
      </c>
      <c r="SYL57" s="82" t="str">
        <f>IF(ISNUMBER(outYear),SYL37+SYL42+#REF!+#REF!,"")</f>
        <v/>
      </c>
      <c r="SYM57" s="82" t="str">
        <f>IF(ISNUMBER(outYear),SYM37+SYM42+#REF!+#REF!,"")</f>
        <v/>
      </c>
      <c r="SYN57" s="82" t="str">
        <f>IF(ISNUMBER(outYear),SYN37+SYN42+#REF!+#REF!,"")</f>
        <v/>
      </c>
      <c r="SYO57" s="82" t="str">
        <f>IF(ISNUMBER(outYear),SYO37+SYO42+#REF!+#REF!,"")</f>
        <v/>
      </c>
      <c r="SYP57" s="82" t="str">
        <f>IF(ISNUMBER(outYear),SYP37+SYP42+#REF!+#REF!,"")</f>
        <v/>
      </c>
      <c r="SYQ57" s="82" t="str">
        <f>IF(ISNUMBER(outYear),SYQ37+SYQ42+#REF!+#REF!,"")</f>
        <v/>
      </c>
      <c r="SYR57" s="82" t="str">
        <f>IF(ISNUMBER(outYear),SYR37+SYR42+#REF!+#REF!,"")</f>
        <v/>
      </c>
      <c r="SYS57" s="82" t="str">
        <f>IF(ISNUMBER(outYear),SYS37+SYS42+#REF!+#REF!,"")</f>
        <v/>
      </c>
      <c r="SYT57" s="82" t="str">
        <f>IF(ISNUMBER(outYear),SYT37+SYT42+#REF!+#REF!,"")</f>
        <v/>
      </c>
      <c r="SYU57" s="82" t="str">
        <f>IF(ISNUMBER(outYear),SYU37+SYU42+#REF!+#REF!,"")</f>
        <v/>
      </c>
      <c r="SYV57" s="82" t="str">
        <f>IF(ISNUMBER(outYear),SYV37+SYV42+#REF!+#REF!,"")</f>
        <v/>
      </c>
      <c r="SYW57" s="82" t="str">
        <f>IF(ISNUMBER(outYear),SYW37+SYW42+#REF!+#REF!,"")</f>
        <v/>
      </c>
      <c r="SYX57" s="82" t="str">
        <f>IF(ISNUMBER(outYear),SYX37+SYX42+#REF!+#REF!,"")</f>
        <v/>
      </c>
      <c r="SYY57" s="82" t="str">
        <f>IF(ISNUMBER(outYear),SYY37+SYY42+#REF!+#REF!,"")</f>
        <v/>
      </c>
      <c r="SYZ57" s="82" t="str">
        <f>IF(ISNUMBER(outYear),SYZ37+SYZ42+#REF!+#REF!,"")</f>
        <v/>
      </c>
      <c r="SZA57" s="82" t="str">
        <f>IF(ISNUMBER(outYear),SZA37+SZA42+#REF!+#REF!,"")</f>
        <v/>
      </c>
      <c r="SZB57" s="82" t="str">
        <f>IF(ISNUMBER(outYear),SZB37+SZB42+#REF!+#REF!,"")</f>
        <v/>
      </c>
      <c r="SZC57" s="82" t="str">
        <f>IF(ISNUMBER(outYear),SZC37+SZC42+#REF!+#REF!,"")</f>
        <v/>
      </c>
      <c r="SZD57" s="82" t="str">
        <f>IF(ISNUMBER(outYear),SZD37+SZD42+#REF!+#REF!,"")</f>
        <v/>
      </c>
      <c r="SZE57" s="82" t="str">
        <f>IF(ISNUMBER(outYear),SZE37+SZE42+#REF!+#REF!,"")</f>
        <v/>
      </c>
      <c r="SZF57" s="82" t="str">
        <f>IF(ISNUMBER(outYear),SZF37+SZF42+#REF!+#REF!,"")</f>
        <v/>
      </c>
      <c r="SZG57" s="82" t="str">
        <f>IF(ISNUMBER(outYear),SZG37+SZG42+#REF!+#REF!,"")</f>
        <v/>
      </c>
      <c r="SZH57" s="82" t="str">
        <f>IF(ISNUMBER(outYear),SZH37+SZH42+#REF!+#REF!,"")</f>
        <v/>
      </c>
      <c r="SZI57" s="82" t="str">
        <f>IF(ISNUMBER(outYear),SZI37+SZI42+#REF!+#REF!,"")</f>
        <v/>
      </c>
      <c r="SZJ57" s="82" t="str">
        <f>IF(ISNUMBER(outYear),SZJ37+SZJ42+#REF!+#REF!,"")</f>
        <v/>
      </c>
      <c r="SZK57" s="82" t="str">
        <f>IF(ISNUMBER(outYear),SZK37+SZK42+#REF!+#REF!,"")</f>
        <v/>
      </c>
      <c r="SZL57" s="82" t="str">
        <f>IF(ISNUMBER(outYear),SZL37+SZL42+#REF!+#REF!,"")</f>
        <v/>
      </c>
      <c r="SZM57" s="82" t="str">
        <f>IF(ISNUMBER(outYear),SZM37+SZM42+#REF!+#REF!,"")</f>
        <v/>
      </c>
      <c r="SZN57" s="82" t="str">
        <f>IF(ISNUMBER(outYear),SZN37+SZN42+#REF!+#REF!,"")</f>
        <v/>
      </c>
      <c r="SZO57" s="82" t="str">
        <f>IF(ISNUMBER(outYear),SZO37+SZO42+#REF!+#REF!,"")</f>
        <v/>
      </c>
      <c r="SZP57" s="82" t="str">
        <f>IF(ISNUMBER(outYear),SZP37+SZP42+#REF!+#REF!,"")</f>
        <v/>
      </c>
      <c r="SZQ57" s="82" t="str">
        <f>IF(ISNUMBER(outYear),SZQ37+SZQ42+#REF!+#REF!,"")</f>
        <v/>
      </c>
      <c r="SZR57" s="82" t="str">
        <f>IF(ISNUMBER(outYear),SZR37+SZR42+#REF!+#REF!,"")</f>
        <v/>
      </c>
      <c r="SZS57" s="82" t="str">
        <f>IF(ISNUMBER(outYear),SZS37+SZS42+#REF!+#REF!,"")</f>
        <v/>
      </c>
      <c r="SZT57" s="82" t="str">
        <f>IF(ISNUMBER(outYear),SZT37+SZT42+#REF!+#REF!,"")</f>
        <v/>
      </c>
      <c r="SZU57" s="82" t="str">
        <f>IF(ISNUMBER(outYear),SZU37+SZU42+#REF!+#REF!,"")</f>
        <v/>
      </c>
      <c r="SZV57" s="82" t="str">
        <f>IF(ISNUMBER(outYear),SZV37+SZV42+#REF!+#REF!,"")</f>
        <v/>
      </c>
      <c r="SZW57" s="82" t="str">
        <f>IF(ISNUMBER(outYear),SZW37+SZW42+#REF!+#REF!,"")</f>
        <v/>
      </c>
      <c r="SZX57" s="82" t="str">
        <f>IF(ISNUMBER(outYear),SZX37+SZX42+#REF!+#REF!,"")</f>
        <v/>
      </c>
      <c r="SZY57" s="82" t="str">
        <f>IF(ISNUMBER(outYear),SZY37+SZY42+#REF!+#REF!,"")</f>
        <v/>
      </c>
      <c r="SZZ57" s="82" t="str">
        <f>IF(ISNUMBER(outYear),SZZ37+SZZ42+#REF!+#REF!,"")</f>
        <v/>
      </c>
      <c r="TAA57" s="82" t="str">
        <f>IF(ISNUMBER(outYear),TAA37+TAA42+#REF!+#REF!,"")</f>
        <v/>
      </c>
      <c r="TAB57" s="82" t="str">
        <f>IF(ISNUMBER(outYear),TAB37+TAB42+#REF!+#REF!,"")</f>
        <v/>
      </c>
      <c r="TAC57" s="82" t="str">
        <f>IF(ISNUMBER(outYear),TAC37+TAC42+#REF!+#REF!,"")</f>
        <v/>
      </c>
      <c r="TAD57" s="82" t="str">
        <f>IF(ISNUMBER(outYear),TAD37+TAD42+#REF!+#REF!,"")</f>
        <v/>
      </c>
      <c r="TAE57" s="82" t="str">
        <f>IF(ISNUMBER(outYear),TAE37+TAE42+#REF!+#REF!,"")</f>
        <v/>
      </c>
      <c r="TAF57" s="82" t="str">
        <f>IF(ISNUMBER(outYear),TAF37+TAF42+#REF!+#REF!,"")</f>
        <v/>
      </c>
      <c r="TAG57" s="82" t="str">
        <f>IF(ISNUMBER(outYear),TAG37+TAG42+#REF!+#REF!,"")</f>
        <v/>
      </c>
      <c r="TAH57" s="82" t="str">
        <f>IF(ISNUMBER(outYear),TAH37+TAH42+#REF!+#REF!,"")</f>
        <v/>
      </c>
      <c r="TAI57" s="82" t="str">
        <f>IF(ISNUMBER(outYear),TAI37+TAI42+#REF!+#REF!,"")</f>
        <v/>
      </c>
      <c r="TAJ57" s="82" t="str">
        <f>IF(ISNUMBER(outYear),TAJ37+TAJ42+#REF!+#REF!,"")</f>
        <v/>
      </c>
      <c r="TAK57" s="82" t="str">
        <f>IF(ISNUMBER(outYear),TAK37+TAK42+#REF!+#REF!,"")</f>
        <v/>
      </c>
      <c r="TAL57" s="82" t="str">
        <f>IF(ISNUMBER(outYear),TAL37+TAL42+#REF!+#REF!,"")</f>
        <v/>
      </c>
      <c r="TAM57" s="82" t="str">
        <f>IF(ISNUMBER(outYear),TAM37+TAM42+#REF!+#REF!,"")</f>
        <v/>
      </c>
      <c r="TAN57" s="82" t="str">
        <f>IF(ISNUMBER(outYear),TAN37+TAN42+#REF!+#REF!,"")</f>
        <v/>
      </c>
      <c r="TAO57" s="82" t="str">
        <f>IF(ISNUMBER(outYear),TAO37+TAO42+#REF!+#REF!,"")</f>
        <v/>
      </c>
      <c r="TAP57" s="82" t="str">
        <f>IF(ISNUMBER(outYear),TAP37+TAP42+#REF!+#REF!,"")</f>
        <v/>
      </c>
      <c r="TAQ57" s="82" t="str">
        <f>IF(ISNUMBER(outYear),TAQ37+TAQ42+#REF!+#REF!,"")</f>
        <v/>
      </c>
      <c r="TAR57" s="82" t="str">
        <f>IF(ISNUMBER(outYear),TAR37+TAR42+#REF!+#REF!,"")</f>
        <v/>
      </c>
      <c r="TAS57" s="82" t="str">
        <f>IF(ISNUMBER(outYear),TAS37+TAS42+#REF!+#REF!,"")</f>
        <v/>
      </c>
      <c r="TAT57" s="82" t="str">
        <f>IF(ISNUMBER(outYear),TAT37+TAT42+#REF!+#REF!,"")</f>
        <v/>
      </c>
      <c r="TAU57" s="82" t="str">
        <f>IF(ISNUMBER(outYear),TAU37+TAU42+#REF!+#REF!,"")</f>
        <v/>
      </c>
      <c r="TAV57" s="82" t="str">
        <f>IF(ISNUMBER(outYear),TAV37+TAV42+#REF!+#REF!,"")</f>
        <v/>
      </c>
      <c r="TAW57" s="82" t="str">
        <f>IF(ISNUMBER(outYear),TAW37+TAW42+#REF!+#REF!,"")</f>
        <v/>
      </c>
      <c r="TAX57" s="82" t="str">
        <f>IF(ISNUMBER(outYear),TAX37+TAX42+#REF!+#REF!,"")</f>
        <v/>
      </c>
      <c r="TAY57" s="82" t="str">
        <f>IF(ISNUMBER(outYear),TAY37+TAY42+#REF!+#REF!,"")</f>
        <v/>
      </c>
      <c r="TAZ57" s="82" t="str">
        <f>IF(ISNUMBER(outYear),TAZ37+TAZ42+#REF!+#REF!,"")</f>
        <v/>
      </c>
      <c r="TBA57" s="82" t="str">
        <f>IF(ISNUMBER(outYear),TBA37+TBA42+#REF!+#REF!,"")</f>
        <v/>
      </c>
      <c r="TBB57" s="82" t="str">
        <f>IF(ISNUMBER(outYear),TBB37+TBB42+#REF!+#REF!,"")</f>
        <v/>
      </c>
      <c r="TBC57" s="82" t="str">
        <f>IF(ISNUMBER(outYear),TBC37+TBC42+#REF!+#REF!,"")</f>
        <v/>
      </c>
      <c r="TBD57" s="82" t="str">
        <f>IF(ISNUMBER(outYear),TBD37+TBD42+#REF!+#REF!,"")</f>
        <v/>
      </c>
      <c r="TBE57" s="82" t="str">
        <f>IF(ISNUMBER(outYear),TBE37+TBE42+#REF!+#REF!,"")</f>
        <v/>
      </c>
      <c r="TBF57" s="82" t="str">
        <f>IF(ISNUMBER(outYear),TBF37+TBF42+#REF!+#REF!,"")</f>
        <v/>
      </c>
      <c r="TBG57" s="82" t="str">
        <f>IF(ISNUMBER(outYear),TBG37+TBG42+#REF!+#REF!,"")</f>
        <v/>
      </c>
      <c r="TBH57" s="82" t="str">
        <f>IF(ISNUMBER(outYear),TBH37+TBH42+#REF!+#REF!,"")</f>
        <v/>
      </c>
      <c r="TBI57" s="82" t="str">
        <f>IF(ISNUMBER(outYear),TBI37+TBI42+#REF!+#REF!,"")</f>
        <v/>
      </c>
      <c r="TBJ57" s="82" t="str">
        <f>IF(ISNUMBER(outYear),TBJ37+TBJ42+#REF!+#REF!,"")</f>
        <v/>
      </c>
      <c r="TBK57" s="82" t="str">
        <f>IF(ISNUMBER(outYear),TBK37+TBK42+#REF!+#REF!,"")</f>
        <v/>
      </c>
      <c r="TBL57" s="82" t="str">
        <f>IF(ISNUMBER(outYear),TBL37+TBL42+#REF!+#REF!,"")</f>
        <v/>
      </c>
      <c r="TBM57" s="82" t="str">
        <f>IF(ISNUMBER(outYear),TBM37+TBM42+#REF!+#REF!,"")</f>
        <v/>
      </c>
      <c r="TBN57" s="82" t="str">
        <f>IF(ISNUMBER(outYear),TBN37+TBN42+#REF!+#REF!,"")</f>
        <v/>
      </c>
      <c r="TBO57" s="82" t="str">
        <f>IF(ISNUMBER(outYear),TBO37+TBO42+#REF!+#REF!,"")</f>
        <v/>
      </c>
      <c r="TBP57" s="82" t="str">
        <f>IF(ISNUMBER(outYear),TBP37+TBP42+#REF!+#REF!,"")</f>
        <v/>
      </c>
      <c r="TBQ57" s="82" t="str">
        <f>IF(ISNUMBER(outYear),TBQ37+TBQ42+#REF!+#REF!,"")</f>
        <v/>
      </c>
      <c r="TBR57" s="82" t="str">
        <f>IF(ISNUMBER(outYear),TBR37+TBR42+#REF!+#REF!,"")</f>
        <v/>
      </c>
      <c r="TBS57" s="82" t="str">
        <f>IF(ISNUMBER(outYear),TBS37+TBS42+#REF!+#REF!,"")</f>
        <v/>
      </c>
      <c r="TBT57" s="82" t="str">
        <f>IF(ISNUMBER(outYear),TBT37+TBT42+#REF!+#REF!,"")</f>
        <v/>
      </c>
      <c r="TBU57" s="82" t="str">
        <f>IF(ISNUMBER(outYear),TBU37+TBU42+#REF!+#REF!,"")</f>
        <v/>
      </c>
      <c r="TBV57" s="82" t="str">
        <f>IF(ISNUMBER(outYear),TBV37+TBV42+#REF!+#REF!,"")</f>
        <v/>
      </c>
      <c r="TBW57" s="82" t="str">
        <f>IF(ISNUMBER(outYear),TBW37+TBW42+#REF!+#REF!,"")</f>
        <v/>
      </c>
      <c r="TBX57" s="82" t="str">
        <f>IF(ISNUMBER(outYear),TBX37+TBX42+#REF!+#REF!,"")</f>
        <v/>
      </c>
      <c r="TBY57" s="82" t="str">
        <f>IF(ISNUMBER(outYear),TBY37+TBY42+#REF!+#REF!,"")</f>
        <v/>
      </c>
      <c r="TBZ57" s="82" t="str">
        <f>IF(ISNUMBER(outYear),TBZ37+TBZ42+#REF!+#REF!,"")</f>
        <v/>
      </c>
      <c r="TCA57" s="82" t="str">
        <f>IF(ISNUMBER(outYear),TCA37+TCA42+#REF!+#REF!,"")</f>
        <v/>
      </c>
      <c r="TCB57" s="82" t="str">
        <f>IF(ISNUMBER(outYear),TCB37+TCB42+#REF!+#REF!,"")</f>
        <v/>
      </c>
      <c r="TCC57" s="82" t="str">
        <f>IF(ISNUMBER(outYear),TCC37+TCC42+#REF!+#REF!,"")</f>
        <v/>
      </c>
      <c r="TCD57" s="82" t="str">
        <f>IF(ISNUMBER(outYear),TCD37+TCD42+#REF!+#REF!,"")</f>
        <v/>
      </c>
      <c r="TCE57" s="82" t="str">
        <f>IF(ISNUMBER(outYear),TCE37+TCE42+#REF!+#REF!,"")</f>
        <v/>
      </c>
      <c r="TCF57" s="82" t="str">
        <f>IF(ISNUMBER(outYear),TCF37+TCF42+#REF!+#REF!,"")</f>
        <v/>
      </c>
      <c r="TCG57" s="82" t="str">
        <f>IF(ISNUMBER(outYear),TCG37+TCG42+#REF!+#REF!,"")</f>
        <v/>
      </c>
      <c r="TCH57" s="82" t="str">
        <f>IF(ISNUMBER(outYear),TCH37+TCH42+#REF!+#REF!,"")</f>
        <v/>
      </c>
      <c r="TCI57" s="82" t="str">
        <f>IF(ISNUMBER(outYear),TCI37+TCI42+#REF!+#REF!,"")</f>
        <v/>
      </c>
      <c r="TCJ57" s="82" t="str">
        <f>IF(ISNUMBER(outYear),TCJ37+TCJ42+#REF!+#REF!,"")</f>
        <v/>
      </c>
      <c r="TCK57" s="82" t="str">
        <f>IF(ISNUMBER(outYear),TCK37+TCK42+#REF!+#REF!,"")</f>
        <v/>
      </c>
      <c r="TCL57" s="82" t="str">
        <f>IF(ISNUMBER(outYear),TCL37+TCL42+#REF!+#REF!,"")</f>
        <v/>
      </c>
      <c r="TCM57" s="82" t="str">
        <f>IF(ISNUMBER(outYear),TCM37+TCM42+#REF!+#REF!,"")</f>
        <v/>
      </c>
      <c r="TCN57" s="82" t="str">
        <f>IF(ISNUMBER(outYear),TCN37+TCN42+#REF!+#REF!,"")</f>
        <v/>
      </c>
      <c r="TCO57" s="82" t="str">
        <f>IF(ISNUMBER(outYear),TCO37+TCO42+#REF!+#REF!,"")</f>
        <v/>
      </c>
      <c r="TCP57" s="82" t="str">
        <f>IF(ISNUMBER(outYear),TCP37+TCP42+#REF!+#REF!,"")</f>
        <v/>
      </c>
      <c r="TCQ57" s="82" t="str">
        <f>IF(ISNUMBER(outYear),TCQ37+TCQ42+#REF!+#REF!,"")</f>
        <v/>
      </c>
      <c r="TCR57" s="82" t="str">
        <f>IF(ISNUMBER(outYear),TCR37+TCR42+#REF!+#REF!,"")</f>
        <v/>
      </c>
      <c r="TCS57" s="82" t="str">
        <f>IF(ISNUMBER(outYear),TCS37+TCS42+#REF!+#REF!,"")</f>
        <v/>
      </c>
      <c r="TCT57" s="82" t="str">
        <f>IF(ISNUMBER(outYear),TCT37+TCT42+#REF!+#REF!,"")</f>
        <v/>
      </c>
      <c r="TCU57" s="82" t="str">
        <f>IF(ISNUMBER(outYear),TCU37+TCU42+#REF!+#REF!,"")</f>
        <v/>
      </c>
      <c r="TCV57" s="82" t="str">
        <f>IF(ISNUMBER(outYear),TCV37+TCV42+#REF!+#REF!,"")</f>
        <v/>
      </c>
      <c r="TCW57" s="82" t="str">
        <f>IF(ISNUMBER(outYear),TCW37+TCW42+#REF!+#REF!,"")</f>
        <v/>
      </c>
      <c r="TCX57" s="82" t="str">
        <f>IF(ISNUMBER(outYear),TCX37+TCX42+#REF!+#REF!,"")</f>
        <v/>
      </c>
      <c r="TCY57" s="82" t="str">
        <f>IF(ISNUMBER(outYear),TCY37+TCY42+#REF!+#REF!,"")</f>
        <v/>
      </c>
      <c r="TCZ57" s="82" t="str">
        <f>IF(ISNUMBER(outYear),TCZ37+TCZ42+#REF!+#REF!,"")</f>
        <v/>
      </c>
      <c r="TDA57" s="82" t="str">
        <f>IF(ISNUMBER(outYear),TDA37+TDA42+#REF!+#REF!,"")</f>
        <v/>
      </c>
      <c r="TDB57" s="82" t="str">
        <f>IF(ISNUMBER(outYear),TDB37+TDB42+#REF!+#REF!,"")</f>
        <v/>
      </c>
      <c r="TDC57" s="82" t="str">
        <f>IF(ISNUMBER(outYear),TDC37+TDC42+#REF!+#REF!,"")</f>
        <v/>
      </c>
      <c r="TDD57" s="82" t="str">
        <f>IF(ISNUMBER(outYear),TDD37+TDD42+#REF!+#REF!,"")</f>
        <v/>
      </c>
      <c r="TDE57" s="82" t="str">
        <f>IF(ISNUMBER(outYear),TDE37+TDE42+#REF!+#REF!,"")</f>
        <v/>
      </c>
      <c r="TDF57" s="82" t="str">
        <f>IF(ISNUMBER(outYear),TDF37+TDF42+#REF!+#REF!,"")</f>
        <v/>
      </c>
      <c r="TDG57" s="82" t="str">
        <f>IF(ISNUMBER(outYear),TDG37+TDG42+#REF!+#REF!,"")</f>
        <v/>
      </c>
      <c r="TDH57" s="82" t="str">
        <f>IF(ISNUMBER(outYear),TDH37+TDH42+#REF!+#REF!,"")</f>
        <v/>
      </c>
      <c r="TDI57" s="82" t="str">
        <f>IF(ISNUMBER(outYear),TDI37+TDI42+#REF!+#REF!,"")</f>
        <v/>
      </c>
      <c r="TDJ57" s="82" t="str">
        <f>IF(ISNUMBER(outYear),TDJ37+TDJ42+#REF!+#REF!,"")</f>
        <v/>
      </c>
      <c r="TDK57" s="82" t="str">
        <f>IF(ISNUMBER(outYear),TDK37+TDK42+#REF!+#REF!,"")</f>
        <v/>
      </c>
      <c r="TDL57" s="82" t="str">
        <f>IF(ISNUMBER(outYear),TDL37+TDL42+#REF!+#REF!,"")</f>
        <v/>
      </c>
      <c r="TDM57" s="82" t="str">
        <f>IF(ISNUMBER(outYear),TDM37+TDM42+#REF!+#REF!,"")</f>
        <v/>
      </c>
      <c r="TDN57" s="82" t="str">
        <f>IF(ISNUMBER(outYear),TDN37+TDN42+#REF!+#REF!,"")</f>
        <v/>
      </c>
      <c r="TDO57" s="82" t="str">
        <f>IF(ISNUMBER(outYear),TDO37+TDO42+#REF!+#REF!,"")</f>
        <v/>
      </c>
      <c r="TDP57" s="82" t="str">
        <f>IF(ISNUMBER(outYear),TDP37+TDP42+#REF!+#REF!,"")</f>
        <v/>
      </c>
      <c r="TDQ57" s="82" t="str">
        <f>IF(ISNUMBER(outYear),TDQ37+TDQ42+#REF!+#REF!,"")</f>
        <v/>
      </c>
      <c r="TDR57" s="82" t="str">
        <f>IF(ISNUMBER(outYear),TDR37+TDR42+#REF!+#REF!,"")</f>
        <v/>
      </c>
      <c r="TDS57" s="82" t="str">
        <f>IF(ISNUMBER(outYear),TDS37+TDS42+#REF!+#REF!,"")</f>
        <v/>
      </c>
      <c r="TDT57" s="82" t="str">
        <f>IF(ISNUMBER(outYear),TDT37+TDT42+#REF!+#REF!,"")</f>
        <v/>
      </c>
      <c r="TDU57" s="82" t="str">
        <f>IF(ISNUMBER(outYear),TDU37+TDU42+#REF!+#REF!,"")</f>
        <v/>
      </c>
      <c r="TDV57" s="82" t="str">
        <f>IF(ISNUMBER(outYear),TDV37+TDV42+#REF!+#REF!,"")</f>
        <v/>
      </c>
      <c r="TDW57" s="82" t="str">
        <f>IF(ISNUMBER(outYear),TDW37+TDW42+#REF!+#REF!,"")</f>
        <v/>
      </c>
      <c r="TDX57" s="82" t="str">
        <f>IF(ISNUMBER(outYear),TDX37+TDX42+#REF!+#REF!,"")</f>
        <v/>
      </c>
      <c r="TDY57" s="82" t="str">
        <f>IF(ISNUMBER(outYear),TDY37+TDY42+#REF!+#REF!,"")</f>
        <v/>
      </c>
      <c r="TDZ57" s="82" t="str">
        <f>IF(ISNUMBER(outYear),TDZ37+TDZ42+#REF!+#REF!,"")</f>
        <v/>
      </c>
      <c r="TEA57" s="82" t="str">
        <f>IF(ISNUMBER(outYear),TEA37+TEA42+#REF!+#REF!,"")</f>
        <v/>
      </c>
      <c r="TEB57" s="82" t="str">
        <f>IF(ISNUMBER(outYear),TEB37+TEB42+#REF!+#REF!,"")</f>
        <v/>
      </c>
      <c r="TEC57" s="82" t="str">
        <f>IF(ISNUMBER(outYear),TEC37+TEC42+#REF!+#REF!,"")</f>
        <v/>
      </c>
      <c r="TED57" s="82" t="str">
        <f>IF(ISNUMBER(outYear),TED37+TED42+#REF!+#REF!,"")</f>
        <v/>
      </c>
      <c r="TEE57" s="82" t="str">
        <f>IF(ISNUMBER(outYear),TEE37+TEE42+#REF!+#REF!,"")</f>
        <v/>
      </c>
      <c r="TEF57" s="82" t="str">
        <f>IF(ISNUMBER(outYear),TEF37+TEF42+#REF!+#REF!,"")</f>
        <v/>
      </c>
      <c r="TEG57" s="82" t="str">
        <f>IF(ISNUMBER(outYear),TEG37+TEG42+#REF!+#REF!,"")</f>
        <v/>
      </c>
      <c r="TEH57" s="82" t="str">
        <f>IF(ISNUMBER(outYear),TEH37+TEH42+#REF!+#REF!,"")</f>
        <v/>
      </c>
      <c r="TEI57" s="82" t="str">
        <f>IF(ISNUMBER(outYear),TEI37+TEI42+#REF!+#REF!,"")</f>
        <v/>
      </c>
      <c r="TEJ57" s="82" t="str">
        <f>IF(ISNUMBER(outYear),TEJ37+TEJ42+#REF!+#REF!,"")</f>
        <v/>
      </c>
      <c r="TEK57" s="82" t="str">
        <f>IF(ISNUMBER(outYear),TEK37+TEK42+#REF!+#REF!,"")</f>
        <v/>
      </c>
      <c r="TEL57" s="82" t="str">
        <f>IF(ISNUMBER(outYear),TEL37+TEL42+#REF!+#REF!,"")</f>
        <v/>
      </c>
      <c r="TEM57" s="82" t="str">
        <f>IF(ISNUMBER(outYear),TEM37+TEM42+#REF!+#REF!,"")</f>
        <v/>
      </c>
      <c r="TEN57" s="82" t="str">
        <f>IF(ISNUMBER(outYear),TEN37+TEN42+#REF!+#REF!,"")</f>
        <v/>
      </c>
      <c r="TEO57" s="82" t="str">
        <f>IF(ISNUMBER(outYear),TEO37+TEO42+#REF!+#REF!,"")</f>
        <v/>
      </c>
      <c r="TEP57" s="82" t="str">
        <f>IF(ISNUMBER(outYear),TEP37+TEP42+#REF!+#REF!,"")</f>
        <v/>
      </c>
      <c r="TEQ57" s="82" t="str">
        <f>IF(ISNUMBER(outYear),TEQ37+TEQ42+#REF!+#REF!,"")</f>
        <v/>
      </c>
      <c r="TER57" s="82" t="str">
        <f>IF(ISNUMBER(outYear),TER37+TER42+#REF!+#REF!,"")</f>
        <v/>
      </c>
      <c r="TES57" s="82" t="str">
        <f>IF(ISNUMBER(outYear),TES37+TES42+#REF!+#REF!,"")</f>
        <v/>
      </c>
      <c r="TET57" s="82" t="str">
        <f>IF(ISNUMBER(outYear),TET37+TET42+#REF!+#REF!,"")</f>
        <v/>
      </c>
      <c r="TEU57" s="82" t="str">
        <f>IF(ISNUMBER(outYear),TEU37+TEU42+#REF!+#REF!,"")</f>
        <v/>
      </c>
      <c r="TEV57" s="82" t="str">
        <f>IF(ISNUMBER(outYear),TEV37+TEV42+#REF!+#REF!,"")</f>
        <v/>
      </c>
      <c r="TEW57" s="82" t="str">
        <f>IF(ISNUMBER(outYear),TEW37+TEW42+#REF!+#REF!,"")</f>
        <v/>
      </c>
      <c r="TEX57" s="82" t="str">
        <f>IF(ISNUMBER(outYear),TEX37+TEX42+#REF!+#REF!,"")</f>
        <v/>
      </c>
      <c r="TEY57" s="82" t="str">
        <f>IF(ISNUMBER(outYear),TEY37+TEY42+#REF!+#REF!,"")</f>
        <v/>
      </c>
      <c r="TEZ57" s="82" t="str">
        <f>IF(ISNUMBER(outYear),TEZ37+TEZ42+#REF!+#REF!,"")</f>
        <v/>
      </c>
      <c r="TFA57" s="82" t="str">
        <f>IF(ISNUMBER(outYear),TFA37+TFA42+#REF!+#REF!,"")</f>
        <v/>
      </c>
      <c r="TFB57" s="82" t="str">
        <f>IF(ISNUMBER(outYear),TFB37+TFB42+#REF!+#REF!,"")</f>
        <v/>
      </c>
      <c r="TFC57" s="82" t="str">
        <f>IF(ISNUMBER(outYear),TFC37+TFC42+#REF!+#REF!,"")</f>
        <v/>
      </c>
      <c r="TFD57" s="82" t="str">
        <f>IF(ISNUMBER(outYear),TFD37+TFD42+#REF!+#REF!,"")</f>
        <v/>
      </c>
      <c r="TFE57" s="82" t="str">
        <f>IF(ISNUMBER(outYear),TFE37+TFE42+#REF!+#REF!,"")</f>
        <v/>
      </c>
      <c r="TFF57" s="82" t="str">
        <f>IF(ISNUMBER(outYear),TFF37+TFF42+#REF!+#REF!,"")</f>
        <v/>
      </c>
      <c r="TFG57" s="82" t="str">
        <f>IF(ISNUMBER(outYear),TFG37+TFG42+#REF!+#REF!,"")</f>
        <v/>
      </c>
      <c r="TFH57" s="82" t="str">
        <f>IF(ISNUMBER(outYear),TFH37+TFH42+#REF!+#REF!,"")</f>
        <v/>
      </c>
      <c r="TFI57" s="82" t="str">
        <f>IF(ISNUMBER(outYear),TFI37+TFI42+#REF!+#REF!,"")</f>
        <v/>
      </c>
      <c r="TFJ57" s="82" t="str">
        <f>IF(ISNUMBER(outYear),TFJ37+TFJ42+#REF!+#REF!,"")</f>
        <v/>
      </c>
      <c r="TFK57" s="82" t="str">
        <f>IF(ISNUMBER(outYear),TFK37+TFK42+#REF!+#REF!,"")</f>
        <v/>
      </c>
      <c r="TFL57" s="82" t="str">
        <f>IF(ISNUMBER(outYear),TFL37+TFL42+#REF!+#REF!,"")</f>
        <v/>
      </c>
      <c r="TFM57" s="82" t="str">
        <f>IF(ISNUMBER(outYear),TFM37+TFM42+#REF!+#REF!,"")</f>
        <v/>
      </c>
      <c r="TFN57" s="82" t="str">
        <f>IF(ISNUMBER(outYear),TFN37+TFN42+#REF!+#REF!,"")</f>
        <v/>
      </c>
      <c r="TFO57" s="82" t="str">
        <f>IF(ISNUMBER(outYear),TFO37+TFO42+#REF!+#REF!,"")</f>
        <v/>
      </c>
      <c r="TFP57" s="82" t="str">
        <f>IF(ISNUMBER(outYear),TFP37+TFP42+#REF!+#REF!,"")</f>
        <v/>
      </c>
      <c r="TFQ57" s="82" t="str">
        <f>IF(ISNUMBER(outYear),TFQ37+TFQ42+#REF!+#REF!,"")</f>
        <v/>
      </c>
      <c r="TFR57" s="82" t="str">
        <f>IF(ISNUMBER(outYear),TFR37+TFR42+#REF!+#REF!,"")</f>
        <v/>
      </c>
      <c r="TFS57" s="82" t="str">
        <f>IF(ISNUMBER(outYear),TFS37+TFS42+#REF!+#REF!,"")</f>
        <v/>
      </c>
      <c r="TFT57" s="82" t="str">
        <f>IF(ISNUMBER(outYear),TFT37+TFT42+#REF!+#REF!,"")</f>
        <v/>
      </c>
      <c r="TFU57" s="82" t="str">
        <f>IF(ISNUMBER(outYear),TFU37+TFU42+#REF!+#REF!,"")</f>
        <v/>
      </c>
      <c r="TFV57" s="82" t="str">
        <f>IF(ISNUMBER(outYear),TFV37+TFV42+#REF!+#REF!,"")</f>
        <v/>
      </c>
      <c r="TFW57" s="82" t="str">
        <f>IF(ISNUMBER(outYear),TFW37+TFW42+#REF!+#REF!,"")</f>
        <v/>
      </c>
      <c r="TFX57" s="82" t="str">
        <f>IF(ISNUMBER(outYear),TFX37+TFX42+#REF!+#REF!,"")</f>
        <v/>
      </c>
      <c r="TFY57" s="82" t="str">
        <f>IF(ISNUMBER(outYear),TFY37+TFY42+#REF!+#REF!,"")</f>
        <v/>
      </c>
      <c r="TFZ57" s="82" t="str">
        <f>IF(ISNUMBER(outYear),TFZ37+TFZ42+#REF!+#REF!,"")</f>
        <v/>
      </c>
      <c r="TGA57" s="82" t="str">
        <f>IF(ISNUMBER(outYear),TGA37+TGA42+#REF!+#REF!,"")</f>
        <v/>
      </c>
      <c r="TGB57" s="82" t="str">
        <f>IF(ISNUMBER(outYear),TGB37+TGB42+#REF!+#REF!,"")</f>
        <v/>
      </c>
      <c r="TGC57" s="82" t="str">
        <f>IF(ISNUMBER(outYear),TGC37+TGC42+#REF!+#REF!,"")</f>
        <v/>
      </c>
      <c r="TGD57" s="82" t="str">
        <f>IF(ISNUMBER(outYear),TGD37+TGD42+#REF!+#REF!,"")</f>
        <v/>
      </c>
      <c r="TGE57" s="82" t="str">
        <f>IF(ISNUMBER(outYear),TGE37+TGE42+#REF!+#REF!,"")</f>
        <v/>
      </c>
      <c r="TGF57" s="82" t="str">
        <f>IF(ISNUMBER(outYear),TGF37+TGF42+#REF!+#REF!,"")</f>
        <v/>
      </c>
      <c r="TGG57" s="82" t="str">
        <f>IF(ISNUMBER(outYear),TGG37+TGG42+#REF!+#REF!,"")</f>
        <v/>
      </c>
      <c r="TGH57" s="82" t="str">
        <f>IF(ISNUMBER(outYear),TGH37+TGH42+#REF!+#REF!,"")</f>
        <v/>
      </c>
      <c r="TGI57" s="82" t="str">
        <f>IF(ISNUMBER(outYear),TGI37+TGI42+#REF!+#REF!,"")</f>
        <v/>
      </c>
      <c r="TGJ57" s="82" t="str">
        <f>IF(ISNUMBER(outYear),TGJ37+TGJ42+#REF!+#REF!,"")</f>
        <v/>
      </c>
      <c r="TGK57" s="82" t="str">
        <f>IF(ISNUMBER(outYear),TGK37+TGK42+#REF!+#REF!,"")</f>
        <v/>
      </c>
      <c r="TGL57" s="82" t="str">
        <f>IF(ISNUMBER(outYear),TGL37+TGL42+#REF!+#REF!,"")</f>
        <v/>
      </c>
      <c r="TGM57" s="82" t="str">
        <f>IF(ISNUMBER(outYear),TGM37+TGM42+#REF!+#REF!,"")</f>
        <v/>
      </c>
      <c r="TGN57" s="82" t="str">
        <f>IF(ISNUMBER(outYear),TGN37+TGN42+#REF!+#REF!,"")</f>
        <v/>
      </c>
      <c r="TGO57" s="82" t="str">
        <f>IF(ISNUMBER(outYear),TGO37+TGO42+#REF!+#REF!,"")</f>
        <v/>
      </c>
      <c r="TGP57" s="82" t="str">
        <f>IF(ISNUMBER(outYear),TGP37+TGP42+#REF!+#REF!,"")</f>
        <v/>
      </c>
      <c r="TGQ57" s="82" t="str">
        <f>IF(ISNUMBER(outYear),TGQ37+TGQ42+#REF!+#REF!,"")</f>
        <v/>
      </c>
      <c r="TGR57" s="82" t="str">
        <f>IF(ISNUMBER(outYear),TGR37+TGR42+#REF!+#REF!,"")</f>
        <v/>
      </c>
      <c r="TGS57" s="82" t="str">
        <f>IF(ISNUMBER(outYear),TGS37+TGS42+#REF!+#REF!,"")</f>
        <v/>
      </c>
      <c r="TGT57" s="82" t="str">
        <f>IF(ISNUMBER(outYear),TGT37+TGT42+#REF!+#REF!,"")</f>
        <v/>
      </c>
      <c r="TGU57" s="82" t="str">
        <f>IF(ISNUMBER(outYear),TGU37+TGU42+#REF!+#REF!,"")</f>
        <v/>
      </c>
      <c r="TGV57" s="82" t="str">
        <f>IF(ISNUMBER(outYear),TGV37+TGV42+#REF!+#REF!,"")</f>
        <v/>
      </c>
      <c r="TGW57" s="82" t="str">
        <f>IF(ISNUMBER(outYear),TGW37+TGW42+#REF!+#REF!,"")</f>
        <v/>
      </c>
      <c r="TGX57" s="82" t="str">
        <f>IF(ISNUMBER(outYear),TGX37+TGX42+#REF!+#REF!,"")</f>
        <v/>
      </c>
      <c r="TGY57" s="82" t="str">
        <f>IF(ISNUMBER(outYear),TGY37+TGY42+#REF!+#REF!,"")</f>
        <v/>
      </c>
      <c r="TGZ57" s="82" t="str">
        <f>IF(ISNUMBER(outYear),TGZ37+TGZ42+#REF!+#REF!,"")</f>
        <v/>
      </c>
      <c r="THA57" s="82" t="str">
        <f>IF(ISNUMBER(outYear),THA37+THA42+#REF!+#REF!,"")</f>
        <v/>
      </c>
      <c r="THB57" s="82" t="str">
        <f>IF(ISNUMBER(outYear),THB37+THB42+#REF!+#REF!,"")</f>
        <v/>
      </c>
      <c r="THC57" s="82" t="str">
        <f>IF(ISNUMBER(outYear),THC37+THC42+#REF!+#REF!,"")</f>
        <v/>
      </c>
      <c r="THD57" s="82" t="str">
        <f>IF(ISNUMBER(outYear),THD37+THD42+#REF!+#REF!,"")</f>
        <v/>
      </c>
      <c r="THE57" s="82" t="str">
        <f>IF(ISNUMBER(outYear),THE37+THE42+#REF!+#REF!,"")</f>
        <v/>
      </c>
      <c r="THF57" s="82" t="str">
        <f>IF(ISNUMBER(outYear),THF37+THF42+#REF!+#REF!,"")</f>
        <v/>
      </c>
      <c r="THG57" s="82" t="str">
        <f>IF(ISNUMBER(outYear),THG37+THG42+#REF!+#REF!,"")</f>
        <v/>
      </c>
      <c r="THH57" s="82" t="str">
        <f>IF(ISNUMBER(outYear),THH37+THH42+#REF!+#REF!,"")</f>
        <v/>
      </c>
      <c r="THI57" s="82" t="str">
        <f>IF(ISNUMBER(outYear),THI37+THI42+#REF!+#REF!,"")</f>
        <v/>
      </c>
      <c r="THJ57" s="82" t="str">
        <f>IF(ISNUMBER(outYear),THJ37+THJ42+#REF!+#REF!,"")</f>
        <v/>
      </c>
      <c r="THK57" s="82" t="str">
        <f>IF(ISNUMBER(outYear),THK37+THK42+#REF!+#REF!,"")</f>
        <v/>
      </c>
      <c r="THL57" s="82" t="str">
        <f>IF(ISNUMBER(outYear),THL37+THL42+#REF!+#REF!,"")</f>
        <v/>
      </c>
      <c r="THM57" s="82" t="str">
        <f>IF(ISNUMBER(outYear),THM37+THM42+#REF!+#REF!,"")</f>
        <v/>
      </c>
      <c r="THN57" s="82" t="str">
        <f>IF(ISNUMBER(outYear),THN37+THN42+#REF!+#REF!,"")</f>
        <v/>
      </c>
      <c r="THO57" s="82" t="str">
        <f>IF(ISNUMBER(outYear),THO37+THO42+#REF!+#REF!,"")</f>
        <v/>
      </c>
      <c r="THP57" s="82" t="str">
        <f>IF(ISNUMBER(outYear),THP37+THP42+#REF!+#REF!,"")</f>
        <v/>
      </c>
      <c r="THQ57" s="82" t="str">
        <f>IF(ISNUMBER(outYear),THQ37+THQ42+#REF!+#REF!,"")</f>
        <v/>
      </c>
      <c r="THR57" s="82" t="str">
        <f>IF(ISNUMBER(outYear),THR37+THR42+#REF!+#REF!,"")</f>
        <v/>
      </c>
      <c r="THS57" s="82" t="str">
        <f>IF(ISNUMBER(outYear),THS37+THS42+#REF!+#REF!,"")</f>
        <v/>
      </c>
      <c r="THT57" s="82" t="str">
        <f>IF(ISNUMBER(outYear),THT37+THT42+#REF!+#REF!,"")</f>
        <v/>
      </c>
      <c r="THU57" s="82" t="str">
        <f>IF(ISNUMBER(outYear),THU37+THU42+#REF!+#REF!,"")</f>
        <v/>
      </c>
      <c r="THV57" s="82" t="str">
        <f>IF(ISNUMBER(outYear),THV37+THV42+#REF!+#REF!,"")</f>
        <v/>
      </c>
      <c r="THW57" s="82" t="str">
        <f>IF(ISNUMBER(outYear),THW37+THW42+#REF!+#REF!,"")</f>
        <v/>
      </c>
      <c r="THX57" s="82" t="str">
        <f>IF(ISNUMBER(outYear),THX37+THX42+#REF!+#REF!,"")</f>
        <v/>
      </c>
      <c r="THY57" s="82" t="str">
        <f>IF(ISNUMBER(outYear),THY37+THY42+#REF!+#REF!,"")</f>
        <v/>
      </c>
      <c r="THZ57" s="82" t="str">
        <f>IF(ISNUMBER(outYear),THZ37+THZ42+#REF!+#REF!,"")</f>
        <v/>
      </c>
      <c r="TIA57" s="82" t="str">
        <f>IF(ISNUMBER(outYear),TIA37+TIA42+#REF!+#REF!,"")</f>
        <v/>
      </c>
      <c r="TIB57" s="82" t="str">
        <f>IF(ISNUMBER(outYear),TIB37+TIB42+#REF!+#REF!,"")</f>
        <v/>
      </c>
      <c r="TIC57" s="82" t="str">
        <f>IF(ISNUMBER(outYear),TIC37+TIC42+#REF!+#REF!,"")</f>
        <v/>
      </c>
      <c r="TID57" s="82" t="str">
        <f>IF(ISNUMBER(outYear),TID37+TID42+#REF!+#REF!,"")</f>
        <v/>
      </c>
      <c r="TIE57" s="82" t="str">
        <f>IF(ISNUMBER(outYear),TIE37+TIE42+#REF!+#REF!,"")</f>
        <v/>
      </c>
      <c r="TIF57" s="82" t="str">
        <f>IF(ISNUMBER(outYear),TIF37+TIF42+#REF!+#REF!,"")</f>
        <v/>
      </c>
      <c r="TIG57" s="82" t="str">
        <f>IF(ISNUMBER(outYear),TIG37+TIG42+#REF!+#REF!,"")</f>
        <v/>
      </c>
      <c r="TIH57" s="82" t="str">
        <f>IF(ISNUMBER(outYear),TIH37+TIH42+#REF!+#REF!,"")</f>
        <v/>
      </c>
      <c r="TII57" s="82" t="str">
        <f>IF(ISNUMBER(outYear),TII37+TII42+#REF!+#REF!,"")</f>
        <v/>
      </c>
      <c r="TIJ57" s="82" t="str">
        <f>IF(ISNUMBER(outYear),TIJ37+TIJ42+#REF!+#REF!,"")</f>
        <v/>
      </c>
      <c r="TIK57" s="82" t="str">
        <f>IF(ISNUMBER(outYear),TIK37+TIK42+#REF!+#REF!,"")</f>
        <v/>
      </c>
      <c r="TIL57" s="82" t="str">
        <f>IF(ISNUMBER(outYear),TIL37+TIL42+#REF!+#REF!,"")</f>
        <v/>
      </c>
      <c r="TIM57" s="82" t="str">
        <f>IF(ISNUMBER(outYear),TIM37+TIM42+#REF!+#REF!,"")</f>
        <v/>
      </c>
      <c r="TIN57" s="82" t="str">
        <f>IF(ISNUMBER(outYear),TIN37+TIN42+#REF!+#REF!,"")</f>
        <v/>
      </c>
      <c r="TIO57" s="82" t="str">
        <f>IF(ISNUMBER(outYear),TIO37+TIO42+#REF!+#REF!,"")</f>
        <v/>
      </c>
      <c r="TIP57" s="82" t="str">
        <f>IF(ISNUMBER(outYear),TIP37+TIP42+#REF!+#REF!,"")</f>
        <v/>
      </c>
      <c r="TIQ57" s="82" t="str">
        <f>IF(ISNUMBER(outYear),TIQ37+TIQ42+#REF!+#REF!,"")</f>
        <v/>
      </c>
      <c r="TIR57" s="82" t="str">
        <f>IF(ISNUMBER(outYear),TIR37+TIR42+#REF!+#REF!,"")</f>
        <v/>
      </c>
      <c r="TIS57" s="82" t="str">
        <f>IF(ISNUMBER(outYear),TIS37+TIS42+#REF!+#REF!,"")</f>
        <v/>
      </c>
      <c r="TIT57" s="82" t="str">
        <f>IF(ISNUMBER(outYear),TIT37+TIT42+#REF!+#REF!,"")</f>
        <v/>
      </c>
      <c r="TIU57" s="82" t="str">
        <f>IF(ISNUMBER(outYear),TIU37+TIU42+#REF!+#REF!,"")</f>
        <v/>
      </c>
      <c r="TIV57" s="82" t="str">
        <f>IF(ISNUMBER(outYear),TIV37+TIV42+#REF!+#REF!,"")</f>
        <v/>
      </c>
      <c r="TIW57" s="82" t="str">
        <f>IF(ISNUMBER(outYear),TIW37+TIW42+#REF!+#REF!,"")</f>
        <v/>
      </c>
      <c r="TIX57" s="82" t="str">
        <f>IF(ISNUMBER(outYear),TIX37+TIX42+#REF!+#REF!,"")</f>
        <v/>
      </c>
      <c r="TIY57" s="82" t="str">
        <f>IF(ISNUMBER(outYear),TIY37+TIY42+#REF!+#REF!,"")</f>
        <v/>
      </c>
      <c r="TIZ57" s="82" t="str">
        <f>IF(ISNUMBER(outYear),TIZ37+TIZ42+#REF!+#REF!,"")</f>
        <v/>
      </c>
      <c r="TJA57" s="82" t="str">
        <f>IF(ISNUMBER(outYear),TJA37+TJA42+#REF!+#REF!,"")</f>
        <v/>
      </c>
      <c r="TJB57" s="82" t="str">
        <f>IF(ISNUMBER(outYear),TJB37+TJB42+#REF!+#REF!,"")</f>
        <v/>
      </c>
      <c r="TJC57" s="82" t="str">
        <f>IF(ISNUMBER(outYear),TJC37+TJC42+#REF!+#REF!,"")</f>
        <v/>
      </c>
      <c r="TJD57" s="82" t="str">
        <f>IF(ISNUMBER(outYear),TJD37+TJD42+#REF!+#REF!,"")</f>
        <v/>
      </c>
      <c r="TJE57" s="82" t="str">
        <f>IF(ISNUMBER(outYear),TJE37+TJE42+#REF!+#REF!,"")</f>
        <v/>
      </c>
      <c r="TJF57" s="82" t="str">
        <f>IF(ISNUMBER(outYear),TJF37+TJF42+#REF!+#REF!,"")</f>
        <v/>
      </c>
      <c r="TJG57" s="82" t="str">
        <f>IF(ISNUMBER(outYear),TJG37+TJG42+#REF!+#REF!,"")</f>
        <v/>
      </c>
      <c r="TJH57" s="82" t="str">
        <f>IF(ISNUMBER(outYear),TJH37+TJH42+#REF!+#REF!,"")</f>
        <v/>
      </c>
      <c r="TJI57" s="82" t="str">
        <f>IF(ISNUMBER(outYear),TJI37+TJI42+#REF!+#REF!,"")</f>
        <v/>
      </c>
      <c r="TJJ57" s="82" t="str">
        <f>IF(ISNUMBER(outYear),TJJ37+TJJ42+#REF!+#REF!,"")</f>
        <v/>
      </c>
      <c r="TJK57" s="82" t="str">
        <f>IF(ISNUMBER(outYear),TJK37+TJK42+#REF!+#REF!,"")</f>
        <v/>
      </c>
      <c r="TJL57" s="82" t="str">
        <f>IF(ISNUMBER(outYear),TJL37+TJL42+#REF!+#REF!,"")</f>
        <v/>
      </c>
      <c r="TJM57" s="82" t="str">
        <f>IF(ISNUMBER(outYear),TJM37+TJM42+#REF!+#REF!,"")</f>
        <v/>
      </c>
      <c r="TJN57" s="82" t="str">
        <f>IF(ISNUMBER(outYear),TJN37+TJN42+#REF!+#REF!,"")</f>
        <v/>
      </c>
      <c r="TJO57" s="82" t="str">
        <f>IF(ISNUMBER(outYear),TJO37+TJO42+#REF!+#REF!,"")</f>
        <v/>
      </c>
      <c r="TJP57" s="82" t="str">
        <f>IF(ISNUMBER(outYear),TJP37+TJP42+#REF!+#REF!,"")</f>
        <v/>
      </c>
      <c r="TJQ57" s="82" t="str">
        <f>IF(ISNUMBER(outYear),TJQ37+TJQ42+#REF!+#REF!,"")</f>
        <v/>
      </c>
      <c r="TJR57" s="82" t="str">
        <f>IF(ISNUMBER(outYear),TJR37+TJR42+#REF!+#REF!,"")</f>
        <v/>
      </c>
      <c r="TJS57" s="82" t="str">
        <f>IF(ISNUMBER(outYear),TJS37+TJS42+#REF!+#REF!,"")</f>
        <v/>
      </c>
      <c r="TJT57" s="82" t="str">
        <f>IF(ISNUMBER(outYear),TJT37+TJT42+#REF!+#REF!,"")</f>
        <v/>
      </c>
      <c r="TJU57" s="82" t="str">
        <f>IF(ISNUMBER(outYear),TJU37+TJU42+#REF!+#REF!,"")</f>
        <v/>
      </c>
      <c r="TJV57" s="82" t="str">
        <f>IF(ISNUMBER(outYear),TJV37+TJV42+#REF!+#REF!,"")</f>
        <v/>
      </c>
      <c r="TJW57" s="82" t="str">
        <f>IF(ISNUMBER(outYear),TJW37+TJW42+#REF!+#REF!,"")</f>
        <v/>
      </c>
      <c r="TJX57" s="82" t="str">
        <f>IF(ISNUMBER(outYear),TJX37+TJX42+#REF!+#REF!,"")</f>
        <v/>
      </c>
      <c r="TJY57" s="82" t="str">
        <f>IF(ISNUMBER(outYear),TJY37+TJY42+#REF!+#REF!,"")</f>
        <v/>
      </c>
      <c r="TJZ57" s="82" t="str">
        <f>IF(ISNUMBER(outYear),TJZ37+TJZ42+#REF!+#REF!,"")</f>
        <v/>
      </c>
      <c r="TKA57" s="82" t="str">
        <f>IF(ISNUMBER(outYear),TKA37+TKA42+#REF!+#REF!,"")</f>
        <v/>
      </c>
      <c r="TKB57" s="82" t="str">
        <f>IF(ISNUMBER(outYear),TKB37+TKB42+#REF!+#REF!,"")</f>
        <v/>
      </c>
      <c r="TKC57" s="82" t="str">
        <f>IF(ISNUMBER(outYear),TKC37+TKC42+#REF!+#REF!,"")</f>
        <v/>
      </c>
      <c r="TKD57" s="82" t="str">
        <f>IF(ISNUMBER(outYear),TKD37+TKD42+#REF!+#REF!,"")</f>
        <v/>
      </c>
      <c r="TKE57" s="82" t="str">
        <f>IF(ISNUMBER(outYear),TKE37+TKE42+#REF!+#REF!,"")</f>
        <v/>
      </c>
      <c r="TKF57" s="82" t="str">
        <f>IF(ISNUMBER(outYear),TKF37+TKF42+#REF!+#REF!,"")</f>
        <v/>
      </c>
      <c r="TKG57" s="82" t="str">
        <f>IF(ISNUMBER(outYear),TKG37+TKG42+#REF!+#REF!,"")</f>
        <v/>
      </c>
      <c r="TKH57" s="82" t="str">
        <f>IF(ISNUMBER(outYear),TKH37+TKH42+#REF!+#REF!,"")</f>
        <v/>
      </c>
      <c r="TKI57" s="82" t="str">
        <f>IF(ISNUMBER(outYear),TKI37+TKI42+#REF!+#REF!,"")</f>
        <v/>
      </c>
      <c r="TKJ57" s="82" t="str">
        <f>IF(ISNUMBER(outYear),TKJ37+TKJ42+#REF!+#REF!,"")</f>
        <v/>
      </c>
      <c r="TKK57" s="82" t="str">
        <f>IF(ISNUMBER(outYear),TKK37+TKK42+#REF!+#REF!,"")</f>
        <v/>
      </c>
      <c r="TKL57" s="82" t="str">
        <f>IF(ISNUMBER(outYear),TKL37+TKL42+#REF!+#REF!,"")</f>
        <v/>
      </c>
      <c r="TKM57" s="82" t="str">
        <f>IF(ISNUMBER(outYear),TKM37+TKM42+#REF!+#REF!,"")</f>
        <v/>
      </c>
      <c r="TKN57" s="82" t="str">
        <f>IF(ISNUMBER(outYear),TKN37+TKN42+#REF!+#REF!,"")</f>
        <v/>
      </c>
      <c r="TKO57" s="82" t="str">
        <f>IF(ISNUMBER(outYear),TKO37+TKO42+#REF!+#REF!,"")</f>
        <v/>
      </c>
      <c r="TKP57" s="82" t="str">
        <f>IF(ISNUMBER(outYear),TKP37+TKP42+#REF!+#REF!,"")</f>
        <v/>
      </c>
      <c r="TKQ57" s="82" t="str">
        <f>IF(ISNUMBER(outYear),TKQ37+TKQ42+#REF!+#REF!,"")</f>
        <v/>
      </c>
      <c r="TKR57" s="82" t="str">
        <f>IF(ISNUMBER(outYear),TKR37+TKR42+#REF!+#REF!,"")</f>
        <v/>
      </c>
      <c r="TKS57" s="82" t="str">
        <f>IF(ISNUMBER(outYear),TKS37+TKS42+#REF!+#REF!,"")</f>
        <v/>
      </c>
      <c r="TKT57" s="82" t="str">
        <f>IF(ISNUMBER(outYear),TKT37+TKT42+#REF!+#REF!,"")</f>
        <v/>
      </c>
      <c r="TKU57" s="82" t="str">
        <f>IF(ISNUMBER(outYear),TKU37+TKU42+#REF!+#REF!,"")</f>
        <v/>
      </c>
      <c r="TKV57" s="82" t="str">
        <f>IF(ISNUMBER(outYear),TKV37+TKV42+#REF!+#REF!,"")</f>
        <v/>
      </c>
      <c r="TKW57" s="82" t="str">
        <f>IF(ISNUMBER(outYear),TKW37+TKW42+#REF!+#REF!,"")</f>
        <v/>
      </c>
      <c r="TKX57" s="82" t="str">
        <f>IF(ISNUMBER(outYear),TKX37+TKX42+#REF!+#REF!,"")</f>
        <v/>
      </c>
      <c r="TKY57" s="82" t="str">
        <f>IF(ISNUMBER(outYear),TKY37+TKY42+#REF!+#REF!,"")</f>
        <v/>
      </c>
      <c r="TKZ57" s="82" t="str">
        <f>IF(ISNUMBER(outYear),TKZ37+TKZ42+#REF!+#REF!,"")</f>
        <v/>
      </c>
      <c r="TLA57" s="82" t="str">
        <f>IF(ISNUMBER(outYear),TLA37+TLA42+#REF!+#REF!,"")</f>
        <v/>
      </c>
      <c r="TLB57" s="82" t="str">
        <f>IF(ISNUMBER(outYear),TLB37+TLB42+#REF!+#REF!,"")</f>
        <v/>
      </c>
      <c r="TLC57" s="82" t="str">
        <f>IF(ISNUMBER(outYear),TLC37+TLC42+#REF!+#REF!,"")</f>
        <v/>
      </c>
      <c r="TLD57" s="82" t="str">
        <f>IF(ISNUMBER(outYear),TLD37+TLD42+#REF!+#REF!,"")</f>
        <v/>
      </c>
      <c r="TLE57" s="82" t="str">
        <f>IF(ISNUMBER(outYear),TLE37+TLE42+#REF!+#REF!,"")</f>
        <v/>
      </c>
      <c r="TLF57" s="82" t="str">
        <f>IF(ISNUMBER(outYear),TLF37+TLF42+#REF!+#REF!,"")</f>
        <v/>
      </c>
      <c r="TLG57" s="82" t="str">
        <f>IF(ISNUMBER(outYear),TLG37+TLG42+#REF!+#REF!,"")</f>
        <v/>
      </c>
      <c r="TLH57" s="82" t="str">
        <f>IF(ISNUMBER(outYear),TLH37+TLH42+#REF!+#REF!,"")</f>
        <v/>
      </c>
      <c r="TLI57" s="82" t="str">
        <f>IF(ISNUMBER(outYear),TLI37+TLI42+#REF!+#REF!,"")</f>
        <v/>
      </c>
      <c r="TLJ57" s="82" t="str">
        <f>IF(ISNUMBER(outYear),TLJ37+TLJ42+#REF!+#REF!,"")</f>
        <v/>
      </c>
      <c r="TLK57" s="82" t="str">
        <f>IF(ISNUMBER(outYear),TLK37+TLK42+#REF!+#REF!,"")</f>
        <v/>
      </c>
      <c r="TLL57" s="82" t="str">
        <f>IF(ISNUMBER(outYear),TLL37+TLL42+#REF!+#REF!,"")</f>
        <v/>
      </c>
      <c r="TLM57" s="82" t="str">
        <f>IF(ISNUMBER(outYear),TLM37+TLM42+#REF!+#REF!,"")</f>
        <v/>
      </c>
      <c r="TLN57" s="82" t="str">
        <f>IF(ISNUMBER(outYear),TLN37+TLN42+#REF!+#REF!,"")</f>
        <v/>
      </c>
      <c r="TLO57" s="82" t="str">
        <f>IF(ISNUMBER(outYear),TLO37+TLO42+#REF!+#REF!,"")</f>
        <v/>
      </c>
      <c r="TLP57" s="82" t="str">
        <f>IF(ISNUMBER(outYear),TLP37+TLP42+#REF!+#REF!,"")</f>
        <v/>
      </c>
      <c r="TLQ57" s="82" t="str">
        <f>IF(ISNUMBER(outYear),TLQ37+TLQ42+#REF!+#REF!,"")</f>
        <v/>
      </c>
      <c r="TLR57" s="82" t="str">
        <f>IF(ISNUMBER(outYear),TLR37+TLR42+#REF!+#REF!,"")</f>
        <v/>
      </c>
      <c r="TLS57" s="82" t="str">
        <f>IF(ISNUMBER(outYear),TLS37+TLS42+#REF!+#REF!,"")</f>
        <v/>
      </c>
      <c r="TLT57" s="82" t="str">
        <f>IF(ISNUMBER(outYear),TLT37+TLT42+#REF!+#REF!,"")</f>
        <v/>
      </c>
      <c r="TLU57" s="82" t="str">
        <f>IF(ISNUMBER(outYear),TLU37+TLU42+#REF!+#REF!,"")</f>
        <v/>
      </c>
      <c r="TLV57" s="82" t="str">
        <f>IF(ISNUMBER(outYear),TLV37+TLV42+#REF!+#REF!,"")</f>
        <v/>
      </c>
      <c r="TLW57" s="82" t="str">
        <f>IF(ISNUMBER(outYear),TLW37+TLW42+#REF!+#REF!,"")</f>
        <v/>
      </c>
      <c r="TLX57" s="82" t="str">
        <f>IF(ISNUMBER(outYear),TLX37+TLX42+#REF!+#REF!,"")</f>
        <v/>
      </c>
      <c r="TLY57" s="82" t="str">
        <f>IF(ISNUMBER(outYear),TLY37+TLY42+#REF!+#REF!,"")</f>
        <v/>
      </c>
      <c r="TLZ57" s="82" t="str">
        <f>IF(ISNUMBER(outYear),TLZ37+TLZ42+#REF!+#REF!,"")</f>
        <v/>
      </c>
      <c r="TMA57" s="82" t="str">
        <f>IF(ISNUMBER(outYear),TMA37+TMA42+#REF!+#REF!,"")</f>
        <v/>
      </c>
      <c r="TMB57" s="82" t="str">
        <f>IF(ISNUMBER(outYear),TMB37+TMB42+#REF!+#REF!,"")</f>
        <v/>
      </c>
      <c r="TMC57" s="82" t="str">
        <f>IF(ISNUMBER(outYear),TMC37+TMC42+#REF!+#REF!,"")</f>
        <v/>
      </c>
      <c r="TMD57" s="82" t="str">
        <f>IF(ISNUMBER(outYear),TMD37+TMD42+#REF!+#REF!,"")</f>
        <v/>
      </c>
      <c r="TME57" s="82" t="str">
        <f>IF(ISNUMBER(outYear),TME37+TME42+#REF!+#REF!,"")</f>
        <v/>
      </c>
      <c r="TMF57" s="82" t="str">
        <f>IF(ISNUMBER(outYear),TMF37+TMF42+#REF!+#REF!,"")</f>
        <v/>
      </c>
      <c r="TMG57" s="82" t="str">
        <f>IF(ISNUMBER(outYear),TMG37+TMG42+#REF!+#REF!,"")</f>
        <v/>
      </c>
      <c r="TMH57" s="82" t="str">
        <f>IF(ISNUMBER(outYear),TMH37+TMH42+#REF!+#REF!,"")</f>
        <v/>
      </c>
      <c r="TMI57" s="82" t="str">
        <f>IF(ISNUMBER(outYear),TMI37+TMI42+#REF!+#REF!,"")</f>
        <v/>
      </c>
      <c r="TMJ57" s="82" t="str">
        <f>IF(ISNUMBER(outYear),TMJ37+TMJ42+#REF!+#REF!,"")</f>
        <v/>
      </c>
      <c r="TMK57" s="82" t="str">
        <f>IF(ISNUMBER(outYear),TMK37+TMK42+#REF!+#REF!,"")</f>
        <v/>
      </c>
      <c r="TML57" s="82" t="str">
        <f>IF(ISNUMBER(outYear),TML37+TML42+#REF!+#REF!,"")</f>
        <v/>
      </c>
      <c r="TMM57" s="82" t="str">
        <f>IF(ISNUMBER(outYear),TMM37+TMM42+#REF!+#REF!,"")</f>
        <v/>
      </c>
      <c r="TMN57" s="82" t="str">
        <f>IF(ISNUMBER(outYear),TMN37+TMN42+#REF!+#REF!,"")</f>
        <v/>
      </c>
      <c r="TMO57" s="82" t="str">
        <f>IF(ISNUMBER(outYear),TMO37+TMO42+#REF!+#REF!,"")</f>
        <v/>
      </c>
      <c r="TMP57" s="82" t="str">
        <f>IF(ISNUMBER(outYear),TMP37+TMP42+#REF!+#REF!,"")</f>
        <v/>
      </c>
      <c r="TMQ57" s="82" t="str">
        <f>IF(ISNUMBER(outYear),TMQ37+TMQ42+#REF!+#REF!,"")</f>
        <v/>
      </c>
      <c r="TMR57" s="82" t="str">
        <f>IF(ISNUMBER(outYear),TMR37+TMR42+#REF!+#REF!,"")</f>
        <v/>
      </c>
      <c r="TMS57" s="82" t="str">
        <f>IF(ISNUMBER(outYear),TMS37+TMS42+#REF!+#REF!,"")</f>
        <v/>
      </c>
      <c r="TMT57" s="82" t="str">
        <f>IF(ISNUMBER(outYear),TMT37+TMT42+#REF!+#REF!,"")</f>
        <v/>
      </c>
      <c r="TMU57" s="82" t="str">
        <f>IF(ISNUMBER(outYear),TMU37+TMU42+#REF!+#REF!,"")</f>
        <v/>
      </c>
      <c r="TMV57" s="82" t="str">
        <f>IF(ISNUMBER(outYear),TMV37+TMV42+#REF!+#REF!,"")</f>
        <v/>
      </c>
      <c r="TMW57" s="82" t="str">
        <f>IF(ISNUMBER(outYear),TMW37+TMW42+#REF!+#REF!,"")</f>
        <v/>
      </c>
      <c r="TMX57" s="82" t="str">
        <f>IF(ISNUMBER(outYear),TMX37+TMX42+#REF!+#REF!,"")</f>
        <v/>
      </c>
      <c r="TMY57" s="82" t="str">
        <f>IF(ISNUMBER(outYear),TMY37+TMY42+#REF!+#REF!,"")</f>
        <v/>
      </c>
      <c r="TMZ57" s="82" t="str">
        <f>IF(ISNUMBER(outYear),TMZ37+TMZ42+#REF!+#REF!,"")</f>
        <v/>
      </c>
      <c r="TNA57" s="82" t="str">
        <f>IF(ISNUMBER(outYear),TNA37+TNA42+#REF!+#REF!,"")</f>
        <v/>
      </c>
      <c r="TNB57" s="82" t="str">
        <f>IF(ISNUMBER(outYear),TNB37+TNB42+#REF!+#REF!,"")</f>
        <v/>
      </c>
      <c r="TNC57" s="82" t="str">
        <f>IF(ISNUMBER(outYear),TNC37+TNC42+#REF!+#REF!,"")</f>
        <v/>
      </c>
      <c r="TND57" s="82" t="str">
        <f>IF(ISNUMBER(outYear),TND37+TND42+#REF!+#REF!,"")</f>
        <v/>
      </c>
      <c r="TNE57" s="82" t="str">
        <f>IF(ISNUMBER(outYear),TNE37+TNE42+#REF!+#REF!,"")</f>
        <v/>
      </c>
      <c r="TNF57" s="82" t="str">
        <f>IF(ISNUMBER(outYear),TNF37+TNF42+#REF!+#REF!,"")</f>
        <v/>
      </c>
      <c r="TNG57" s="82" t="str">
        <f>IF(ISNUMBER(outYear),TNG37+TNG42+#REF!+#REF!,"")</f>
        <v/>
      </c>
      <c r="TNH57" s="82" t="str">
        <f>IF(ISNUMBER(outYear),TNH37+TNH42+#REF!+#REF!,"")</f>
        <v/>
      </c>
      <c r="TNI57" s="82" t="str">
        <f>IF(ISNUMBER(outYear),TNI37+TNI42+#REF!+#REF!,"")</f>
        <v/>
      </c>
      <c r="TNJ57" s="82" t="str">
        <f>IF(ISNUMBER(outYear),TNJ37+TNJ42+#REF!+#REF!,"")</f>
        <v/>
      </c>
      <c r="TNK57" s="82" t="str">
        <f>IF(ISNUMBER(outYear),TNK37+TNK42+#REF!+#REF!,"")</f>
        <v/>
      </c>
      <c r="TNL57" s="82" t="str">
        <f>IF(ISNUMBER(outYear),TNL37+TNL42+#REF!+#REF!,"")</f>
        <v/>
      </c>
      <c r="TNM57" s="82" t="str">
        <f>IF(ISNUMBER(outYear),TNM37+TNM42+#REF!+#REF!,"")</f>
        <v/>
      </c>
      <c r="TNN57" s="82" t="str">
        <f>IF(ISNUMBER(outYear),TNN37+TNN42+#REF!+#REF!,"")</f>
        <v/>
      </c>
      <c r="TNO57" s="82" t="str">
        <f>IF(ISNUMBER(outYear),TNO37+TNO42+#REF!+#REF!,"")</f>
        <v/>
      </c>
      <c r="TNP57" s="82" t="str">
        <f>IF(ISNUMBER(outYear),TNP37+TNP42+#REF!+#REF!,"")</f>
        <v/>
      </c>
      <c r="TNQ57" s="82" t="str">
        <f>IF(ISNUMBER(outYear),TNQ37+TNQ42+#REF!+#REF!,"")</f>
        <v/>
      </c>
      <c r="TNR57" s="82" t="str">
        <f>IF(ISNUMBER(outYear),TNR37+TNR42+#REF!+#REF!,"")</f>
        <v/>
      </c>
      <c r="TNS57" s="82" t="str">
        <f>IF(ISNUMBER(outYear),TNS37+TNS42+#REF!+#REF!,"")</f>
        <v/>
      </c>
      <c r="TNT57" s="82" t="str">
        <f>IF(ISNUMBER(outYear),TNT37+TNT42+#REF!+#REF!,"")</f>
        <v/>
      </c>
      <c r="TNU57" s="82" t="str">
        <f>IF(ISNUMBER(outYear),TNU37+TNU42+#REF!+#REF!,"")</f>
        <v/>
      </c>
      <c r="TNV57" s="82" t="str">
        <f>IF(ISNUMBER(outYear),TNV37+TNV42+#REF!+#REF!,"")</f>
        <v/>
      </c>
      <c r="TNW57" s="82" t="str">
        <f>IF(ISNUMBER(outYear),TNW37+TNW42+#REF!+#REF!,"")</f>
        <v/>
      </c>
      <c r="TNX57" s="82" t="str">
        <f>IF(ISNUMBER(outYear),TNX37+TNX42+#REF!+#REF!,"")</f>
        <v/>
      </c>
      <c r="TNY57" s="82" t="str">
        <f>IF(ISNUMBER(outYear),TNY37+TNY42+#REF!+#REF!,"")</f>
        <v/>
      </c>
      <c r="TNZ57" s="82" t="str">
        <f>IF(ISNUMBER(outYear),TNZ37+TNZ42+#REF!+#REF!,"")</f>
        <v/>
      </c>
      <c r="TOA57" s="82" t="str">
        <f>IF(ISNUMBER(outYear),TOA37+TOA42+#REF!+#REF!,"")</f>
        <v/>
      </c>
      <c r="TOB57" s="82" t="str">
        <f>IF(ISNUMBER(outYear),TOB37+TOB42+#REF!+#REF!,"")</f>
        <v/>
      </c>
      <c r="TOC57" s="82" t="str">
        <f>IF(ISNUMBER(outYear),TOC37+TOC42+#REF!+#REF!,"")</f>
        <v/>
      </c>
      <c r="TOD57" s="82" t="str">
        <f>IF(ISNUMBER(outYear),TOD37+TOD42+#REF!+#REF!,"")</f>
        <v/>
      </c>
      <c r="TOE57" s="82" t="str">
        <f>IF(ISNUMBER(outYear),TOE37+TOE42+#REF!+#REF!,"")</f>
        <v/>
      </c>
      <c r="TOF57" s="82" t="str">
        <f>IF(ISNUMBER(outYear),TOF37+TOF42+#REF!+#REF!,"")</f>
        <v/>
      </c>
      <c r="TOG57" s="82" t="str">
        <f>IF(ISNUMBER(outYear),TOG37+TOG42+#REF!+#REF!,"")</f>
        <v/>
      </c>
      <c r="TOH57" s="82" t="str">
        <f>IF(ISNUMBER(outYear),TOH37+TOH42+#REF!+#REF!,"")</f>
        <v/>
      </c>
      <c r="TOI57" s="82" t="str">
        <f>IF(ISNUMBER(outYear),TOI37+TOI42+#REF!+#REF!,"")</f>
        <v/>
      </c>
      <c r="TOJ57" s="82" t="str">
        <f>IF(ISNUMBER(outYear),TOJ37+TOJ42+#REF!+#REF!,"")</f>
        <v/>
      </c>
      <c r="TOK57" s="82" t="str">
        <f>IF(ISNUMBER(outYear),TOK37+TOK42+#REF!+#REF!,"")</f>
        <v/>
      </c>
      <c r="TOL57" s="82" t="str">
        <f>IF(ISNUMBER(outYear),TOL37+TOL42+#REF!+#REF!,"")</f>
        <v/>
      </c>
      <c r="TOM57" s="82" t="str">
        <f>IF(ISNUMBER(outYear),TOM37+TOM42+#REF!+#REF!,"")</f>
        <v/>
      </c>
      <c r="TON57" s="82" t="str">
        <f>IF(ISNUMBER(outYear),TON37+TON42+#REF!+#REF!,"")</f>
        <v/>
      </c>
      <c r="TOO57" s="82" t="str">
        <f>IF(ISNUMBER(outYear),TOO37+TOO42+#REF!+#REF!,"")</f>
        <v/>
      </c>
      <c r="TOP57" s="82" t="str">
        <f>IF(ISNUMBER(outYear),TOP37+TOP42+#REF!+#REF!,"")</f>
        <v/>
      </c>
      <c r="TOQ57" s="82" t="str">
        <f>IF(ISNUMBER(outYear),TOQ37+TOQ42+#REF!+#REF!,"")</f>
        <v/>
      </c>
      <c r="TOR57" s="82" t="str">
        <f>IF(ISNUMBER(outYear),TOR37+TOR42+#REF!+#REF!,"")</f>
        <v/>
      </c>
      <c r="TOS57" s="82" t="str">
        <f>IF(ISNUMBER(outYear),TOS37+TOS42+#REF!+#REF!,"")</f>
        <v/>
      </c>
      <c r="TOT57" s="82" t="str">
        <f>IF(ISNUMBER(outYear),TOT37+TOT42+#REF!+#REF!,"")</f>
        <v/>
      </c>
      <c r="TOU57" s="82" t="str">
        <f>IF(ISNUMBER(outYear),TOU37+TOU42+#REF!+#REF!,"")</f>
        <v/>
      </c>
      <c r="TOV57" s="82" t="str">
        <f>IF(ISNUMBER(outYear),TOV37+TOV42+#REF!+#REF!,"")</f>
        <v/>
      </c>
      <c r="TOW57" s="82" t="str">
        <f>IF(ISNUMBER(outYear),TOW37+TOW42+#REF!+#REF!,"")</f>
        <v/>
      </c>
      <c r="TOX57" s="82" t="str">
        <f>IF(ISNUMBER(outYear),TOX37+TOX42+#REF!+#REF!,"")</f>
        <v/>
      </c>
      <c r="TOY57" s="82" t="str">
        <f>IF(ISNUMBER(outYear),TOY37+TOY42+#REF!+#REF!,"")</f>
        <v/>
      </c>
      <c r="TOZ57" s="82" t="str">
        <f>IF(ISNUMBER(outYear),TOZ37+TOZ42+#REF!+#REF!,"")</f>
        <v/>
      </c>
      <c r="TPA57" s="82" t="str">
        <f>IF(ISNUMBER(outYear),TPA37+TPA42+#REF!+#REF!,"")</f>
        <v/>
      </c>
      <c r="TPB57" s="82" t="str">
        <f>IF(ISNUMBER(outYear),TPB37+TPB42+#REF!+#REF!,"")</f>
        <v/>
      </c>
      <c r="TPC57" s="82" t="str">
        <f>IF(ISNUMBER(outYear),TPC37+TPC42+#REF!+#REF!,"")</f>
        <v/>
      </c>
      <c r="TPD57" s="82" t="str">
        <f>IF(ISNUMBER(outYear),TPD37+TPD42+#REF!+#REF!,"")</f>
        <v/>
      </c>
      <c r="TPE57" s="82" t="str">
        <f>IF(ISNUMBER(outYear),TPE37+TPE42+#REF!+#REF!,"")</f>
        <v/>
      </c>
      <c r="TPF57" s="82" t="str">
        <f>IF(ISNUMBER(outYear),TPF37+TPF42+#REF!+#REF!,"")</f>
        <v/>
      </c>
      <c r="TPG57" s="82" t="str">
        <f>IF(ISNUMBER(outYear),TPG37+TPG42+#REF!+#REF!,"")</f>
        <v/>
      </c>
      <c r="TPH57" s="82" t="str">
        <f>IF(ISNUMBER(outYear),TPH37+TPH42+#REF!+#REF!,"")</f>
        <v/>
      </c>
      <c r="TPI57" s="82" t="str">
        <f>IF(ISNUMBER(outYear),TPI37+TPI42+#REF!+#REF!,"")</f>
        <v/>
      </c>
      <c r="TPJ57" s="82" t="str">
        <f>IF(ISNUMBER(outYear),TPJ37+TPJ42+#REF!+#REF!,"")</f>
        <v/>
      </c>
      <c r="TPK57" s="82" t="str">
        <f>IF(ISNUMBER(outYear),TPK37+TPK42+#REF!+#REF!,"")</f>
        <v/>
      </c>
      <c r="TPL57" s="82" t="str">
        <f>IF(ISNUMBER(outYear),TPL37+TPL42+#REF!+#REF!,"")</f>
        <v/>
      </c>
      <c r="TPM57" s="82" t="str">
        <f>IF(ISNUMBER(outYear),TPM37+TPM42+#REF!+#REF!,"")</f>
        <v/>
      </c>
      <c r="TPN57" s="82" t="str">
        <f>IF(ISNUMBER(outYear),TPN37+TPN42+#REF!+#REF!,"")</f>
        <v/>
      </c>
      <c r="TPO57" s="82" t="str">
        <f>IF(ISNUMBER(outYear),TPO37+TPO42+#REF!+#REF!,"")</f>
        <v/>
      </c>
      <c r="TPP57" s="82" t="str">
        <f>IF(ISNUMBER(outYear),TPP37+TPP42+#REF!+#REF!,"")</f>
        <v/>
      </c>
      <c r="TPQ57" s="82" t="str">
        <f>IF(ISNUMBER(outYear),TPQ37+TPQ42+#REF!+#REF!,"")</f>
        <v/>
      </c>
      <c r="TPR57" s="82" t="str">
        <f>IF(ISNUMBER(outYear),TPR37+TPR42+#REF!+#REF!,"")</f>
        <v/>
      </c>
      <c r="TPS57" s="82" t="str">
        <f>IF(ISNUMBER(outYear),TPS37+TPS42+#REF!+#REF!,"")</f>
        <v/>
      </c>
      <c r="TPT57" s="82" t="str">
        <f>IF(ISNUMBER(outYear),TPT37+TPT42+#REF!+#REF!,"")</f>
        <v/>
      </c>
      <c r="TPU57" s="82" t="str">
        <f>IF(ISNUMBER(outYear),TPU37+TPU42+#REF!+#REF!,"")</f>
        <v/>
      </c>
      <c r="TPV57" s="82" t="str">
        <f>IF(ISNUMBER(outYear),TPV37+TPV42+#REF!+#REF!,"")</f>
        <v/>
      </c>
      <c r="TPW57" s="82" t="str">
        <f>IF(ISNUMBER(outYear),TPW37+TPW42+#REF!+#REF!,"")</f>
        <v/>
      </c>
      <c r="TPX57" s="82" t="str">
        <f>IF(ISNUMBER(outYear),TPX37+TPX42+#REF!+#REF!,"")</f>
        <v/>
      </c>
      <c r="TPY57" s="82" t="str">
        <f>IF(ISNUMBER(outYear),TPY37+TPY42+#REF!+#REF!,"")</f>
        <v/>
      </c>
      <c r="TPZ57" s="82" t="str">
        <f>IF(ISNUMBER(outYear),TPZ37+TPZ42+#REF!+#REF!,"")</f>
        <v/>
      </c>
      <c r="TQA57" s="82" t="str">
        <f>IF(ISNUMBER(outYear),TQA37+TQA42+#REF!+#REF!,"")</f>
        <v/>
      </c>
      <c r="TQB57" s="82" t="str">
        <f>IF(ISNUMBER(outYear),TQB37+TQB42+#REF!+#REF!,"")</f>
        <v/>
      </c>
      <c r="TQC57" s="82" t="str">
        <f>IF(ISNUMBER(outYear),TQC37+TQC42+#REF!+#REF!,"")</f>
        <v/>
      </c>
      <c r="TQD57" s="82" t="str">
        <f>IF(ISNUMBER(outYear),TQD37+TQD42+#REF!+#REF!,"")</f>
        <v/>
      </c>
      <c r="TQE57" s="82" t="str">
        <f>IF(ISNUMBER(outYear),TQE37+TQE42+#REF!+#REF!,"")</f>
        <v/>
      </c>
      <c r="TQF57" s="82" t="str">
        <f>IF(ISNUMBER(outYear),TQF37+TQF42+#REF!+#REF!,"")</f>
        <v/>
      </c>
      <c r="TQG57" s="82" t="str">
        <f>IF(ISNUMBER(outYear),TQG37+TQG42+#REF!+#REF!,"")</f>
        <v/>
      </c>
      <c r="TQH57" s="82" t="str">
        <f>IF(ISNUMBER(outYear),TQH37+TQH42+#REF!+#REF!,"")</f>
        <v/>
      </c>
      <c r="TQI57" s="82" t="str">
        <f>IF(ISNUMBER(outYear),TQI37+TQI42+#REF!+#REF!,"")</f>
        <v/>
      </c>
      <c r="TQJ57" s="82" t="str">
        <f>IF(ISNUMBER(outYear),TQJ37+TQJ42+#REF!+#REF!,"")</f>
        <v/>
      </c>
      <c r="TQK57" s="82" t="str">
        <f>IF(ISNUMBER(outYear),TQK37+TQK42+#REF!+#REF!,"")</f>
        <v/>
      </c>
      <c r="TQL57" s="82" t="str">
        <f>IF(ISNUMBER(outYear),TQL37+TQL42+#REF!+#REF!,"")</f>
        <v/>
      </c>
      <c r="TQM57" s="82" t="str">
        <f>IF(ISNUMBER(outYear),TQM37+TQM42+#REF!+#REF!,"")</f>
        <v/>
      </c>
      <c r="TQN57" s="82" t="str">
        <f>IF(ISNUMBER(outYear),TQN37+TQN42+#REF!+#REF!,"")</f>
        <v/>
      </c>
      <c r="TQO57" s="82" t="str">
        <f>IF(ISNUMBER(outYear),TQO37+TQO42+#REF!+#REF!,"")</f>
        <v/>
      </c>
      <c r="TQP57" s="82" t="str">
        <f>IF(ISNUMBER(outYear),TQP37+TQP42+#REF!+#REF!,"")</f>
        <v/>
      </c>
      <c r="TQQ57" s="82" t="str">
        <f>IF(ISNUMBER(outYear),TQQ37+TQQ42+#REF!+#REF!,"")</f>
        <v/>
      </c>
      <c r="TQR57" s="82" t="str">
        <f>IF(ISNUMBER(outYear),TQR37+TQR42+#REF!+#REF!,"")</f>
        <v/>
      </c>
      <c r="TQS57" s="82" t="str">
        <f>IF(ISNUMBER(outYear),TQS37+TQS42+#REF!+#REF!,"")</f>
        <v/>
      </c>
      <c r="TQT57" s="82" t="str">
        <f>IF(ISNUMBER(outYear),TQT37+TQT42+#REF!+#REF!,"")</f>
        <v/>
      </c>
      <c r="TQU57" s="82" t="str">
        <f>IF(ISNUMBER(outYear),TQU37+TQU42+#REF!+#REF!,"")</f>
        <v/>
      </c>
      <c r="TQV57" s="82" t="str">
        <f>IF(ISNUMBER(outYear),TQV37+TQV42+#REF!+#REF!,"")</f>
        <v/>
      </c>
      <c r="TQW57" s="82" t="str">
        <f>IF(ISNUMBER(outYear),TQW37+TQW42+#REF!+#REF!,"")</f>
        <v/>
      </c>
      <c r="TQX57" s="82" t="str">
        <f>IF(ISNUMBER(outYear),TQX37+TQX42+#REF!+#REF!,"")</f>
        <v/>
      </c>
      <c r="TQY57" s="82" t="str">
        <f>IF(ISNUMBER(outYear),TQY37+TQY42+#REF!+#REF!,"")</f>
        <v/>
      </c>
      <c r="TQZ57" s="82" t="str">
        <f>IF(ISNUMBER(outYear),TQZ37+TQZ42+#REF!+#REF!,"")</f>
        <v/>
      </c>
      <c r="TRA57" s="82" t="str">
        <f>IF(ISNUMBER(outYear),TRA37+TRA42+#REF!+#REF!,"")</f>
        <v/>
      </c>
      <c r="TRB57" s="82" t="str">
        <f>IF(ISNUMBER(outYear),TRB37+TRB42+#REF!+#REF!,"")</f>
        <v/>
      </c>
      <c r="TRC57" s="82" t="str">
        <f>IF(ISNUMBER(outYear),TRC37+TRC42+#REF!+#REF!,"")</f>
        <v/>
      </c>
      <c r="TRD57" s="82" t="str">
        <f>IF(ISNUMBER(outYear),TRD37+TRD42+#REF!+#REF!,"")</f>
        <v/>
      </c>
      <c r="TRE57" s="82" t="str">
        <f>IF(ISNUMBER(outYear),TRE37+TRE42+#REF!+#REF!,"")</f>
        <v/>
      </c>
      <c r="TRF57" s="82" t="str">
        <f>IF(ISNUMBER(outYear),TRF37+TRF42+#REF!+#REF!,"")</f>
        <v/>
      </c>
      <c r="TRG57" s="82" t="str">
        <f>IF(ISNUMBER(outYear),TRG37+TRG42+#REF!+#REF!,"")</f>
        <v/>
      </c>
      <c r="TRH57" s="82" t="str">
        <f>IF(ISNUMBER(outYear),TRH37+TRH42+#REF!+#REF!,"")</f>
        <v/>
      </c>
      <c r="TRI57" s="82" t="str">
        <f>IF(ISNUMBER(outYear),TRI37+TRI42+#REF!+#REF!,"")</f>
        <v/>
      </c>
      <c r="TRJ57" s="82" t="str">
        <f>IF(ISNUMBER(outYear),TRJ37+TRJ42+#REF!+#REF!,"")</f>
        <v/>
      </c>
      <c r="TRK57" s="82" t="str">
        <f>IF(ISNUMBER(outYear),TRK37+TRK42+#REF!+#REF!,"")</f>
        <v/>
      </c>
      <c r="TRL57" s="82" t="str">
        <f>IF(ISNUMBER(outYear),TRL37+TRL42+#REF!+#REF!,"")</f>
        <v/>
      </c>
      <c r="TRM57" s="82" t="str">
        <f>IF(ISNUMBER(outYear),TRM37+TRM42+#REF!+#REF!,"")</f>
        <v/>
      </c>
      <c r="TRN57" s="82" t="str">
        <f>IF(ISNUMBER(outYear),TRN37+TRN42+#REF!+#REF!,"")</f>
        <v/>
      </c>
      <c r="TRO57" s="82" t="str">
        <f>IF(ISNUMBER(outYear),TRO37+TRO42+#REF!+#REF!,"")</f>
        <v/>
      </c>
      <c r="TRP57" s="82" t="str">
        <f>IF(ISNUMBER(outYear),TRP37+TRP42+#REF!+#REF!,"")</f>
        <v/>
      </c>
      <c r="TRQ57" s="82" t="str">
        <f>IF(ISNUMBER(outYear),TRQ37+TRQ42+#REF!+#REF!,"")</f>
        <v/>
      </c>
      <c r="TRR57" s="82" t="str">
        <f>IF(ISNUMBER(outYear),TRR37+TRR42+#REF!+#REF!,"")</f>
        <v/>
      </c>
      <c r="TRS57" s="82" t="str">
        <f>IF(ISNUMBER(outYear),TRS37+TRS42+#REF!+#REF!,"")</f>
        <v/>
      </c>
      <c r="TRT57" s="82" t="str">
        <f>IF(ISNUMBER(outYear),TRT37+TRT42+#REF!+#REF!,"")</f>
        <v/>
      </c>
      <c r="TRU57" s="82" t="str">
        <f>IF(ISNUMBER(outYear),TRU37+TRU42+#REF!+#REF!,"")</f>
        <v/>
      </c>
      <c r="TRV57" s="82" t="str">
        <f>IF(ISNUMBER(outYear),TRV37+TRV42+#REF!+#REF!,"")</f>
        <v/>
      </c>
      <c r="TRW57" s="82" t="str">
        <f>IF(ISNUMBER(outYear),TRW37+TRW42+#REF!+#REF!,"")</f>
        <v/>
      </c>
      <c r="TRX57" s="82" t="str">
        <f>IF(ISNUMBER(outYear),TRX37+TRX42+#REF!+#REF!,"")</f>
        <v/>
      </c>
      <c r="TRY57" s="82" t="str">
        <f>IF(ISNUMBER(outYear),TRY37+TRY42+#REF!+#REF!,"")</f>
        <v/>
      </c>
      <c r="TRZ57" s="82" t="str">
        <f>IF(ISNUMBER(outYear),TRZ37+TRZ42+#REF!+#REF!,"")</f>
        <v/>
      </c>
      <c r="TSA57" s="82" t="str">
        <f>IF(ISNUMBER(outYear),TSA37+TSA42+#REF!+#REF!,"")</f>
        <v/>
      </c>
      <c r="TSB57" s="82" t="str">
        <f>IF(ISNUMBER(outYear),TSB37+TSB42+#REF!+#REF!,"")</f>
        <v/>
      </c>
      <c r="TSC57" s="82" t="str">
        <f>IF(ISNUMBER(outYear),TSC37+TSC42+#REF!+#REF!,"")</f>
        <v/>
      </c>
      <c r="TSD57" s="82" t="str">
        <f>IF(ISNUMBER(outYear),TSD37+TSD42+#REF!+#REF!,"")</f>
        <v/>
      </c>
      <c r="TSE57" s="82" t="str">
        <f>IF(ISNUMBER(outYear),TSE37+TSE42+#REF!+#REF!,"")</f>
        <v/>
      </c>
      <c r="TSF57" s="82" t="str">
        <f>IF(ISNUMBER(outYear),TSF37+TSF42+#REF!+#REF!,"")</f>
        <v/>
      </c>
      <c r="TSG57" s="82" t="str">
        <f>IF(ISNUMBER(outYear),TSG37+TSG42+#REF!+#REF!,"")</f>
        <v/>
      </c>
      <c r="TSH57" s="82" t="str">
        <f>IF(ISNUMBER(outYear),TSH37+TSH42+#REF!+#REF!,"")</f>
        <v/>
      </c>
      <c r="TSI57" s="82" t="str">
        <f>IF(ISNUMBER(outYear),TSI37+TSI42+#REF!+#REF!,"")</f>
        <v/>
      </c>
      <c r="TSJ57" s="82" t="str">
        <f>IF(ISNUMBER(outYear),TSJ37+TSJ42+#REF!+#REF!,"")</f>
        <v/>
      </c>
      <c r="TSK57" s="82" t="str">
        <f>IF(ISNUMBER(outYear),TSK37+TSK42+#REF!+#REF!,"")</f>
        <v/>
      </c>
      <c r="TSL57" s="82" t="str">
        <f>IF(ISNUMBER(outYear),TSL37+TSL42+#REF!+#REF!,"")</f>
        <v/>
      </c>
      <c r="TSM57" s="82" t="str">
        <f>IF(ISNUMBER(outYear),TSM37+TSM42+#REF!+#REF!,"")</f>
        <v/>
      </c>
      <c r="TSN57" s="82" t="str">
        <f>IF(ISNUMBER(outYear),TSN37+TSN42+#REF!+#REF!,"")</f>
        <v/>
      </c>
      <c r="TSO57" s="82" t="str">
        <f>IF(ISNUMBER(outYear),TSO37+TSO42+#REF!+#REF!,"")</f>
        <v/>
      </c>
      <c r="TSP57" s="82" t="str">
        <f>IF(ISNUMBER(outYear),TSP37+TSP42+#REF!+#REF!,"")</f>
        <v/>
      </c>
      <c r="TSQ57" s="82" t="str">
        <f>IF(ISNUMBER(outYear),TSQ37+TSQ42+#REF!+#REF!,"")</f>
        <v/>
      </c>
      <c r="TSR57" s="82" t="str">
        <f>IF(ISNUMBER(outYear),TSR37+TSR42+#REF!+#REF!,"")</f>
        <v/>
      </c>
      <c r="TSS57" s="82" t="str">
        <f>IF(ISNUMBER(outYear),TSS37+TSS42+#REF!+#REF!,"")</f>
        <v/>
      </c>
      <c r="TST57" s="82" t="str">
        <f>IF(ISNUMBER(outYear),TST37+TST42+#REF!+#REF!,"")</f>
        <v/>
      </c>
      <c r="TSU57" s="82" t="str">
        <f>IF(ISNUMBER(outYear),TSU37+TSU42+#REF!+#REF!,"")</f>
        <v/>
      </c>
      <c r="TSV57" s="82" t="str">
        <f>IF(ISNUMBER(outYear),TSV37+TSV42+#REF!+#REF!,"")</f>
        <v/>
      </c>
      <c r="TSW57" s="82" t="str">
        <f>IF(ISNUMBER(outYear),TSW37+TSW42+#REF!+#REF!,"")</f>
        <v/>
      </c>
      <c r="TSX57" s="82" t="str">
        <f>IF(ISNUMBER(outYear),TSX37+TSX42+#REF!+#REF!,"")</f>
        <v/>
      </c>
      <c r="TSY57" s="82" t="str">
        <f>IF(ISNUMBER(outYear),TSY37+TSY42+#REF!+#REF!,"")</f>
        <v/>
      </c>
      <c r="TSZ57" s="82" t="str">
        <f>IF(ISNUMBER(outYear),TSZ37+TSZ42+#REF!+#REF!,"")</f>
        <v/>
      </c>
      <c r="TTA57" s="82" t="str">
        <f>IF(ISNUMBER(outYear),TTA37+TTA42+#REF!+#REF!,"")</f>
        <v/>
      </c>
      <c r="TTB57" s="82" t="str">
        <f>IF(ISNUMBER(outYear),TTB37+TTB42+#REF!+#REF!,"")</f>
        <v/>
      </c>
      <c r="TTC57" s="82" t="str">
        <f>IF(ISNUMBER(outYear),TTC37+TTC42+#REF!+#REF!,"")</f>
        <v/>
      </c>
      <c r="TTD57" s="82" t="str">
        <f>IF(ISNUMBER(outYear),TTD37+TTD42+#REF!+#REF!,"")</f>
        <v/>
      </c>
      <c r="TTE57" s="82" t="str">
        <f>IF(ISNUMBER(outYear),TTE37+TTE42+#REF!+#REF!,"")</f>
        <v/>
      </c>
      <c r="TTF57" s="82" t="str">
        <f>IF(ISNUMBER(outYear),TTF37+TTF42+#REF!+#REF!,"")</f>
        <v/>
      </c>
      <c r="TTG57" s="82" t="str">
        <f>IF(ISNUMBER(outYear),TTG37+TTG42+#REF!+#REF!,"")</f>
        <v/>
      </c>
      <c r="TTH57" s="82" t="str">
        <f>IF(ISNUMBER(outYear),TTH37+TTH42+#REF!+#REF!,"")</f>
        <v/>
      </c>
      <c r="TTI57" s="82" t="str">
        <f>IF(ISNUMBER(outYear),TTI37+TTI42+#REF!+#REF!,"")</f>
        <v/>
      </c>
      <c r="TTJ57" s="82" t="str">
        <f>IF(ISNUMBER(outYear),TTJ37+TTJ42+#REF!+#REF!,"")</f>
        <v/>
      </c>
      <c r="TTK57" s="82" t="str">
        <f>IF(ISNUMBER(outYear),TTK37+TTK42+#REF!+#REF!,"")</f>
        <v/>
      </c>
      <c r="TTL57" s="82" t="str">
        <f>IF(ISNUMBER(outYear),TTL37+TTL42+#REF!+#REF!,"")</f>
        <v/>
      </c>
      <c r="TTM57" s="82" t="str">
        <f>IF(ISNUMBER(outYear),TTM37+TTM42+#REF!+#REF!,"")</f>
        <v/>
      </c>
      <c r="TTN57" s="82" t="str">
        <f>IF(ISNUMBER(outYear),TTN37+TTN42+#REF!+#REF!,"")</f>
        <v/>
      </c>
      <c r="TTO57" s="82" t="str">
        <f>IF(ISNUMBER(outYear),TTO37+TTO42+#REF!+#REF!,"")</f>
        <v/>
      </c>
      <c r="TTP57" s="82" t="str">
        <f>IF(ISNUMBER(outYear),TTP37+TTP42+#REF!+#REF!,"")</f>
        <v/>
      </c>
      <c r="TTQ57" s="82" t="str">
        <f>IF(ISNUMBER(outYear),TTQ37+TTQ42+#REF!+#REF!,"")</f>
        <v/>
      </c>
      <c r="TTR57" s="82" t="str">
        <f>IF(ISNUMBER(outYear),TTR37+TTR42+#REF!+#REF!,"")</f>
        <v/>
      </c>
      <c r="TTS57" s="82" t="str">
        <f>IF(ISNUMBER(outYear),TTS37+TTS42+#REF!+#REF!,"")</f>
        <v/>
      </c>
      <c r="TTT57" s="82" t="str">
        <f>IF(ISNUMBER(outYear),TTT37+TTT42+#REF!+#REF!,"")</f>
        <v/>
      </c>
      <c r="TTU57" s="82" t="str">
        <f>IF(ISNUMBER(outYear),TTU37+TTU42+#REF!+#REF!,"")</f>
        <v/>
      </c>
      <c r="TTV57" s="82" t="str">
        <f>IF(ISNUMBER(outYear),TTV37+TTV42+#REF!+#REF!,"")</f>
        <v/>
      </c>
      <c r="TTW57" s="82" t="str">
        <f>IF(ISNUMBER(outYear),TTW37+TTW42+#REF!+#REF!,"")</f>
        <v/>
      </c>
      <c r="TTX57" s="82" t="str">
        <f>IF(ISNUMBER(outYear),TTX37+TTX42+#REF!+#REF!,"")</f>
        <v/>
      </c>
      <c r="TTY57" s="82" t="str">
        <f>IF(ISNUMBER(outYear),TTY37+TTY42+#REF!+#REF!,"")</f>
        <v/>
      </c>
      <c r="TTZ57" s="82" t="str">
        <f>IF(ISNUMBER(outYear),TTZ37+TTZ42+#REF!+#REF!,"")</f>
        <v/>
      </c>
      <c r="TUA57" s="82" t="str">
        <f>IF(ISNUMBER(outYear),TUA37+TUA42+#REF!+#REF!,"")</f>
        <v/>
      </c>
      <c r="TUB57" s="82" t="str">
        <f>IF(ISNUMBER(outYear),TUB37+TUB42+#REF!+#REF!,"")</f>
        <v/>
      </c>
      <c r="TUC57" s="82" t="str">
        <f>IF(ISNUMBER(outYear),TUC37+TUC42+#REF!+#REF!,"")</f>
        <v/>
      </c>
      <c r="TUD57" s="82" t="str">
        <f>IF(ISNUMBER(outYear),TUD37+TUD42+#REF!+#REF!,"")</f>
        <v/>
      </c>
      <c r="TUE57" s="82" t="str">
        <f>IF(ISNUMBER(outYear),TUE37+TUE42+#REF!+#REF!,"")</f>
        <v/>
      </c>
      <c r="TUF57" s="82" t="str">
        <f>IF(ISNUMBER(outYear),TUF37+TUF42+#REF!+#REF!,"")</f>
        <v/>
      </c>
      <c r="TUG57" s="82" t="str">
        <f>IF(ISNUMBER(outYear),TUG37+TUG42+#REF!+#REF!,"")</f>
        <v/>
      </c>
      <c r="TUH57" s="82" t="str">
        <f>IF(ISNUMBER(outYear),TUH37+TUH42+#REF!+#REF!,"")</f>
        <v/>
      </c>
      <c r="TUI57" s="82" t="str">
        <f>IF(ISNUMBER(outYear),TUI37+TUI42+#REF!+#REF!,"")</f>
        <v/>
      </c>
      <c r="TUJ57" s="82" t="str">
        <f>IF(ISNUMBER(outYear),TUJ37+TUJ42+#REF!+#REF!,"")</f>
        <v/>
      </c>
      <c r="TUK57" s="82" t="str">
        <f>IF(ISNUMBER(outYear),TUK37+TUK42+#REF!+#REF!,"")</f>
        <v/>
      </c>
      <c r="TUL57" s="82" t="str">
        <f>IF(ISNUMBER(outYear),TUL37+TUL42+#REF!+#REF!,"")</f>
        <v/>
      </c>
      <c r="TUM57" s="82" t="str">
        <f>IF(ISNUMBER(outYear),TUM37+TUM42+#REF!+#REF!,"")</f>
        <v/>
      </c>
      <c r="TUN57" s="82" t="str">
        <f>IF(ISNUMBER(outYear),TUN37+TUN42+#REF!+#REF!,"")</f>
        <v/>
      </c>
      <c r="TUO57" s="82" t="str">
        <f>IF(ISNUMBER(outYear),TUO37+TUO42+#REF!+#REF!,"")</f>
        <v/>
      </c>
      <c r="TUP57" s="82" t="str">
        <f>IF(ISNUMBER(outYear),TUP37+TUP42+#REF!+#REF!,"")</f>
        <v/>
      </c>
      <c r="TUQ57" s="82" t="str">
        <f>IF(ISNUMBER(outYear),TUQ37+TUQ42+#REF!+#REF!,"")</f>
        <v/>
      </c>
      <c r="TUR57" s="82" t="str">
        <f>IF(ISNUMBER(outYear),TUR37+TUR42+#REF!+#REF!,"")</f>
        <v/>
      </c>
      <c r="TUS57" s="82" t="str">
        <f>IF(ISNUMBER(outYear),TUS37+TUS42+#REF!+#REF!,"")</f>
        <v/>
      </c>
      <c r="TUT57" s="82" t="str">
        <f>IF(ISNUMBER(outYear),TUT37+TUT42+#REF!+#REF!,"")</f>
        <v/>
      </c>
      <c r="TUU57" s="82" t="str">
        <f>IF(ISNUMBER(outYear),TUU37+TUU42+#REF!+#REF!,"")</f>
        <v/>
      </c>
      <c r="TUV57" s="82" t="str">
        <f>IF(ISNUMBER(outYear),TUV37+TUV42+#REF!+#REF!,"")</f>
        <v/>
      </c>
      <c r="TUW57" s="82" t="str">
        <f>IF(ISNUMBER(outYear),TUW37+TUW42+#REF!+#REF!,"")</f>
        <v/>
      </c>
      <c r="TUX57" s="82" t="str">
        <f>IF(ISNUMBER(outYear),TUX37+TUX42+#REF!+#REF!,"")</f>
        <v/>
      </c>
      <c r="TUY57" s="82" t="str">
        <f>IF(ISNUMBER(outYear),TUY37+TUY42+#REF!+#REF!,"")</f>
        <v/>
      </c>
      <c r="TUZ57" s="82" t="str">
        <f>IF(ISNUMBER(outYear),TUZ37+TUZ42+#REF!+#REF!,"")</f>
        <v/>
      </c>
      <c r="TVA57" s="82" t="str">
        <f>IF(ISNUMBER(outYear),TVA37+TVA42+#REF!+#REF!,"")</f>
        <v/>
      </c>
      <c r="TVB57" s="82" t="str">
        <f>IF(ISNUMBER(outYear),TVB37+TVB42+#REF!+#REF!,"")</f>
        <v/>
      </c>
      <c r="TVC57" s="82" t="str">
        <f>IF(ISNUMBER(outYear),TVC37+TVC42+#REF!+#REF!,"")</f>
        <v/>
      </c>
      <c r="TVD57" s="82" t="str">
        <f>IF(ISNUMBER(outYear),TVD37+TVD42+#REF!+#REF!,"")</f>
        <v/>
      </c>
      <c r="TVE57" s="82" t="str">
        <f>IF(ISNUMBER(outYear),TVE37+TVE42+#REF!+#REF!,"")</f>
        <v/>
      </c>
      <c r="TVF57" s="82" t="str">
        <f>IF(ISNUMBER(outYear),TVF37+TVF42+#REF!+#REF!,"")</f>
        <v/>
      </c>
      <c r="TVG57" s="82" t="str">
        <f>IF(ISNUMBER(outYear),TVG37+TVG42+#REF!+#REF!,"")</f>
        <v/>
      </c>
      <c r="TVH57" s="82" t="str">
        <f>IF(ISNUMBER(outYear),TVH37+TVH42+#REF!+#REF!,"")</f>
        <v/>
      </c>
      <c r="TVI57" s="82" t="str">
        <f>IF(ISNUMBER(outYear),TVI37+TVI42+#REF!+#REF!,"")</f>
        <v/>
      </c>
      <c r="TVJ57" s="82" t="str">
        <f>IF(ISNUMBER(outYear),TVJ37+TVJ42+#REF!+#REF!,"")</f>
        <v/>
      </c>
      <c r="TVK57" s="82" t="str">
        <f>IF(ISNUMBER(outYear),TVK37+TVK42+#REF!+#REF!,"")</f>
        <v/>
      </c>
      <c r="TVL57" s="82" t="str">
        <f>IF(ISNUMBER(outYear),TVL37+TVL42+#REF!+#REF!,"")</f>
        <v/>
      </c>
      <c r="TVM57" s="82" t="str">
        <f>IF(ISNUMBER(outYear),TVM37+TVM42+#REF!+#REF!,"")</f>
        <v/>
      </c>
      <c r="TVN57" s="82" t="str">
        <f>IF(ISNUMBER(outYear),TVN37+TVN42+#REF!+#REF!,"")</f>
        <v/>
      </c>
      <c r="TVO57" s="82" t="str">
        <f>IF(ISNUMBER(outYear),TVO37+TVO42+#REF!+#REF!,"")</f>
        <v/>
      </c>
      <c r="TVP57" s="82" t="str">
        <f>IF(ISNUMBER(outYear),TVP37+TVP42+#REF!+#REF!,"")</f>
        <v/>
      </c>
      <c r="TVQ57" s="82" t="str">
        <f>IF(ISNUMBER(outYear),TVQ37+TVQ42+#REF!+#REF!,"")</f>
        <v/>
      </c>
      <c r="TVR57" s="82" t="str">
        <f>IF(ISNUMBER(outYear),TVR37+TVR42+#REF!+#REF!,"")</f>
        <v/>
      </c>
      <c r="TVS57" s="82" t="str">
        <f>IF(ISNUMBER(outYear),TVS37+TVS42+#REF!+#REF!,"")</f>
        <v/>
      </c>
      <c r="TVT57" s="82" t="str">
        <f>IF(ISNUMBER(outYear),TVT37+TVT42+#REF!+#REF!,"")</f>
        <v/>
      </c>
      <c r="TVU57" s="82" t="str">
        <f>IF(ISNUMBER(outYear),TVU37+TVU42+#REF!+#REF!,"")</f>
        <v/>
      </c>
      <c r="TVV57" s="82" t="str">
        <f>IF(ISNUMBER(outYear),TVV37+TVV42+#REF!+#REF!,"")</f>
        <v/>
      </c>
      <c r="TVW57" s="82" t="str">
        <f>IF(ISNUMBER(outYear),TVW37+TVW42+#REF!+#REF!,"")</f>
        <v/>
      </c>
      <c r="TVX57" s="82" t="str">
        <f>IF(ISNUMBER(outYear),TVX37+TVX42+#REF!+#REF!,"")</f>
        <v/>
      </c>
      <c r="TVY57" s="82" t="str">
        <f>IF(ISNUMBER(outYear),TVY37+TVY42+#REF!+#REF!,"")</f>
        <v/>
      </c>
      <c r="TVZ57" s="82" t="str">
        <f>IF(ISNUMBER(outYear),TVZ37+TVZ42+#REF!+#REF!,"")</f>
        <v/>
      </c>
      <c r="TWA57" s="82" t="str">
        <f>IF(ISNUMBER(outYear),TWA37+TWA42+#REF!+#REF!,"")</f>
        <v/>
      </c>
      <c r="TWB57" s="82" t="str">
        <f>IF(ISNUMBER(outYear),TWB37+TWB42+#REF!+#REF!,"")</f>
        <v/>
      </c>
      <c r="TWC57" s="82" t="str">
        <f>IF(ISNUMBER(outYear),TWC37+TWC42+#REF!+#REF!,"")</f>
        <v/>
      </c>
      <c r="TWD57" s="82" t="str">
        <f>IF(ISNUMBER(outYear),TWD37+TWD42+#REF!+#REF!,"")</f>
        <v/>
      </c>
      <c r="TWE57" s="82" t="str">
        <f>IF(ISNUMBER(outYear),TWE37+TWE42+#REF!+#REF!,"")</f>
        <v/>
      </c>
      <c r="TWF57" s="82" t="str">
        <f>IF(ISNUMBER(outYear),TWF37+TWF42+#REF!+#REF!,"")</f>
        <v/>
      </c>
      <c r="TWG57" s="82" t="str">
        <f>IF(ISNUMBER(outYear),TWG37+TWG42+#REF!+#REF!,"")</f>
        <v/>
      </c>
      <c r="TWH57" s="82" t="str">
        <f>IF(ISNUMBER(outYear),TWH37+TWH42+#REF!+#REF!,"")</f>
        <v/>
      </c>
      <c r="TWI57" s="82" t="str">
        <f>IF(ISNUMBER(outYear),TWI37+TWI42+#REF!+#REF!,"")</f>
        <v/>
      </c>
      <c r="TWJ57" s="82" t="str">
        <f>IF(ISNUMBER(outYear),TWJ37+TWJ42+#REF!+#REF!,"")</f>
        <v/>
      </c>
      <c r="TWK57" s="82" t="str">
        <f>IF(ISNUMBER(outYear),TWK37+TWK42+#REF!+#REF!,"")</f>
        <v/>
      </c>
      <c r="TWL57" s="82" t="str">
        <f>IF(ISNUMBER(outYear),TWL37+TWL42+#REF!+#REF!,"")</f>
        <v/>
      </c>
      <c r="TWM57" s="82" t="str">
        <f>IF(ISNUMBER(outYear),TWM37+TWM42+#REF!+#REF!,"")</f>
        <v/>
      </c>
      <c r="TWN57" s="82" t="str">
        <f>IF(ISNUMBER(outYear),TWN37+TWN42+#REF!+#REF!,"")</f>
        <v/>
      </c>
      <c r="TWO57" s="82" t="str">
        <f>IF(ISNUMBER(outYear),TWO37+TWO42+#REF!+#REF!,"")</f>
        <v/>
      </c>
      <c r="TWP57" s="82" t="str">
        <f>IF(ISNUMBER(outYear),TWP37+TWP42+#REF!+#REF!,"")</f>
        <v/>
      </c>
      <c r="TWQ57" s="82" t="str">
        <f>IF(ISNUMBER(outYear),TWQ37+TWQ42+#REF!+#REF!,"")</f>
        <v/>
      </c>
      <c r="TWR57" s="82" t="str">
        <f>IF(ISNUMBER(outYear),TWR37+TWR42+#REF!+#REF!,"")</f>
        <v/>
      </c>
      <c r="TWS57" s="82" t="str">
        <f>IF(ISNUMBER(outYear),TWS37+TWS42+#REF!+#REF!,"")</f>
        <v/>
      </c>
      <c r="TWT57" s="82" t="str">
        <f>IF(ISNUMBER(outYear),TWT37+TWT42+#REF!+#REF!,"")</f>
        <v/>
      </c>
      <c r="TWU57" s="82" t="str">
        <f>IF(ISNUMBER(outYear),TWU37+TWU42+#REF!+#REF!,"")</f>
        <v/>
      </c>
      <c r="TWV57" s="82" t="str">
        <f>IF(ISNUMBER(outYear),TWV37+TWV42+#REF!+#REF!,"")</f>
        <v/>
      </c>
      <c r="TWW57" s="82" t="str">
        <f>IF(ISNUMBER(outYear),TWW37+TWW42+#REF!+#REF!,"")</f>
        <v/>
      </c>
      <c r="TWX57" s="82" t="str">
        <f>IF(ISNUMBER(outYear),TWX37+TWX42+#REF!+#REF!,"")</f>
        <v/>
      </c>
      <c r="TWY57" s="82" t="str">
        <f>IF(ISNUMBER(outYear),TWY37+TWY42+#REF!+#REF!,"")</f>
        <v/>
      </c>
      <c r="TWZ57" s="82" t="str">
        <f>IF(ISNUMBER(outYear),TWZ37+TWZ42+#REF!+#REF!,"")</f>
        <v/>
      </c>
      <c r="TXA57" s="82" t="str">
        <f>IF(ISNUMBER(outYear),TXA37+TXA42+#REF!+#REF!,"")</f>
        <v/>
      </c>
      <c r="TXB57" s="82" t="str">
        <f>IF(ISNUMBER(outYear),TXB37+TXB42+#REF!+#REF!,"")</f>
        <v/>
      </c>
      <c r="TXC57" s="82" t="str">
        <f>IF(ISNUMBER(outYear),TXC37+TXC42+#REF!+#REF!,"")</f>
        <v/>
      </c>
      <c r="TXD57" s="82" t="str">
        <f>IF(ISNUMBER(outYear),TXD37+TXD42+#REF!+#REF!,"")</f>
        <v/>
      </c>
      <c r="TXE57" s="82" t="str">
        <f>IF(ISNUMBER(outYear),TXE37+TXE42+#REF!+#REF!,"")</f>
        <v/>
      </c>
      <c r="TXF57" s="82" t="str">
        <f>IF(ISNUMBER(outYear),TXF37+TXF42+#REF!+#REF!,"")</f>
        <v/>
      </c>
      <c r="TXG57" s="82" t="str">
        <f>IF(ISNUMBER(outYear),TXG37+TXG42+#REF!+#REF!,"")</f>
        <v/>
      </c>
      <c r="TXH57" s="82" t="str">
        <f>IF(ISNUMBER(outYear),TXH37+TXH42+#REF!+#REF!,"")</f>
        <v/>
      </c>
      <c r="TXI57" s="82" t="str">
        <f>IF(ISNUMBER(outYear),TXI37+TXI42+#REF!+#REF!,"")</f>
        <v/>
      </c>
      <c r="TXJ57" s="82" t="str">
        <f>IF(ISNUMBER(outYear),TXJ37+TXJ42+#REF!+#REF!,"")</f>
        <v/>
      </c>
      <c r="TXK57" s="82" t="str">
        <f>IF(ISNUMBER(outYear),TXK37+TXK42+#REF!+#REF!,"")</f>
        <v/>
      </c>
      <c r="TXL57" s="82" t="str">
        <f>IF(ISNUMBER(outYear),TXL37+TXL42+#REF!+#REF!,"")</f>
        <v/>
      </c>
      <c r="TXM57" s="82" t="str">
        <f>IF(ISNUMBER(outYear),TXM37+TXM42+#REF!+#REF!,"")</f>
        <v/>
      </c>
      <c r="TXN57" s="82" t="str">
        <f>IF(ISNUMBER(outYear),TXN37+TXN42+#REF!+#REF!,"")</f>
        <v/>
      </c>
      <c r="TXO57" s="82" t="str">
        <f>IF(ISNUMBER(outYear),TXO37+TXO42+#REF!+#REF!,"")</f>
        <v/>
      </c>
      <c r="TXP57" s="82" t="str">
        <f>IF(ISNUMBER(outYear),TXP37+TXP42+#REF!+#REF!,"")</f>
        <v/>
      </c>
      <c r="TXQ57" s="82" t="str">
        <f>IF(ISNUMBER(outYear),TXQ37+TXQ42+#REF!+#REF!,"")</f>
        <v/>
      </c>
      <c r="TXR57" s="82" t="str">
        <f>IF(ISNUMBER(outYear),TXR37+TXR42+#REF!+#REF!,"")</f>
        <v/>
      </c>
      <c r="TXS57" s="82" t="str">
        <f>IF(ISNUMBER(outYear),TXS37+TXS42+#REF!+#REF!,"")</f>
        <v/>
      </c>
      <c r="TXT57" s="82" t="str">
        <f>IF(ISNUMBER(outYear),TXT37+TXT42+#REF!+#REF!,"")</f>
        <v/>
      </c>
      <c r="TXU57" s="82" t="str">
        <f>IF(ISNUMBER(outYear),TXU37+TXU42+#REF!+#REF!,"")</f>
        <v/>
      </c>
      <c r="TXV57" s="82" t="str">
        <f>IF(ISNUMBER(outYear),TXV37+TXV42+#REF!+#REF!,"")</f>
        <v/>
      </c>
      <c r="TXW57" s="82" t="str">
        <f>IF(ISNUMBER(outYear),TXW37+TXW42+#REF!+#REF!,"")</f>
        <v/>
      </c>
      <c r="TXX57" s="82" t="str">
        <f>IF(ISNUMBER(outYear),TXX37+TXX42+#REF!+#REF!,"")</f>
        <v/>
      </c>
      <c r="TXY57" s="82" t="str">
        <f>IF(ISNUMBER(outYear),TXY37+TXY42+#REF!+#REF!,"")</f>
        <v/>
      </c>
      <c r="TXZ57" s="82" t="str">
        <f>IF(ISNUMBER(outYear),TXZ37+TXZ42+#REF!+#REF!,"")</f>
        <v/>
      </c>
      <c r="TYA57" s="82" t="str">
        <f>IF(ISNUMBER(outYear),TYA37+TYA42+#REF!+#REF!,"")</f>
        <v/>
      </c>
      <c r="TYB57" s="82" t="str">
        <f>IF(ISNUMBER(outYear),TYB37+TYB42+#REF!+#REF!,"")</f>
        <v/>
      </c>
      <c r="TYC57" s="82" t="str">
        <f>IF(ISNUMBER(outYear),TYC37+TYC42+#REF!+#REF!,"")</f>
        <v/>
      </c>
      <c r="TYD57" s="82" t="str">
        <f>IF(ISNUMBER(outYear),TYD37+TYD42+#REF!+#REF!,"")</f>
        <v/>
      </c>
      <c r="TYE57" s="82" t="str">
        <f>IF(ISNUMBER(outYear),TYE37+TYE42+#REF!+#REF!,"")</f>
        <v/>
      </c>
      <c r="TYF57" s="82" t="str">
        <f>IF(ISNUMBER(outYear),TYF37+TYF42+#REF!+#REF!,"")</f>
        <v/>
      </c>
      <c r="TYG57" s="82" t="str">
        <f>IF(ISNUMBER(outYear),TYG37+TYG42+#REF!+#REF!,"")</f>
        <v/>
      </c>
      <c r="TYH57" s="82" t="str">
        <f>IF(ISNUMBER(outYear),TYH37+TYH42+#REF!+#REF!,"")</f>
        <v/>
      </c>
      <c r="TYI57" s="82" t="str">
        <f>IF(ISNUMBER(outYear),TYI37+TYI42+#REF!+#REF!,"")</f>
        <v/>
      </c>
      <c r="TYJ57" s="82" t="str">
        <f>IF(ISNUMBER(outYear),TYJ37+TYJ42+#REF!+#REF!,"")</f>
        <v/>
      </c>
      <c r="TYK57" s="82" t="str">
        <f>IF(ISNUMBER(outYear),TYK37+TYK42+#REF!+#REF!,"")</f>
        <v/>
      </c>
      <c r="TYL57" s="82" t="str">
        <f>IF(ISNUMBER(outYear),TYL37+TYL42+#REF!+#REF!,"")</f>
        <v/>
      </c>
      <c r="TYM57" s="82" t="str">
        <f>IF(ISNUMBER(outYear),TYM37+TYM42+#REF!+#REF!,"")</f>
        <v/>
      </c>
      <c r="TYN57" s="82" t="str">
        <f>IF(ISNUMBER(outYear),TYN37+TYN42+#REF!+#REF!,"")</f>
        <v/>
      </c>
      <c r="TYO57" s="82" t="str">
        <f>IF(ISNUMBER(outYear),TYO37+TYO42+#REF!+#REF!,"")</f>
        <v/>
      </c>
      <c r="TYP57" s="82" t="str">
        <f>IF(ISNUMBER(outYear),TYP37+TYP42+#REF!+#REF!,"")</f>
        <v/>
      </c>
      <c r="TYQ57" s="82" t="str">
        <f>IF(ISNUMBER(outYear),TYQ37+TYQ42+#REF!+#REF!,"")</f>
        <v/>
      </c>
      <c r="TYR57" s="82" t="str">
        <f>IF(ISNUMBER(outYear),TYR37+TYR42+#REF!+#REF!,"")</f>
        <v/>
      </c>
      <c r="TYS57" s="82" t="str">
        <f>IF(ISNUMBER(outYear),TYS37+TYS42+#REF!+#REF!,"")</f>
        <v/>
      </c>
      <c r="TYT57" s="82" t="str">
        <f>IF(ISNUMBER(outYear),TYT37+TYT42+#REF!+#REF!,"")</f>
        <v/>
      </c>
      <c r="TYU57" s="82" t="str">
        <f>IF(ISNUMBER(outYear),TYU37+TYU42+#REF!+#REF!,"")</f>
        <v/>
      </c>
      <c r="TYV57" s="82" t="str">
        <f>IF(ISNUMBER(outYear),TYV37+TYV42+#REF!+#REF!,"")</f>
        <v/>
      </c>
      <c r="TYW57" s="82" t="str">
        <f>IF(ISNUMBER(outYear),TYW37+TYW42+#REF!+#REF!,"")</f>
        <v/>
      </c>
      <c r="TYX57" s="82" t="str">
        <f>IF(ISNUMBER(outYear),TYX37+TYX42+#REF!+#REF!,"")</f>
        <v/>
      </c>
      <c r="TYY57" s="82" t="str">
        <f>IF(ISNUMBER(outYear),TYY37+TYY42+#REF!+#REF!,"")</f>
        <v/>
      </c>
      <c r="TYZ57" s="82" t="str">
        <f>IF(ISNUMBER(outYear),TYZ37+TYZ42+#REF!+#REF!,"")</f>
        <v/>
      </c>
      <c r="TZA57" s="82" t="str">
        <f>IF(ISNUMBER(outYear),TZA37+TZA42+#REF!+#REF!,"")</f>
        <v/>
      </c>
      <c r="TZB57" s="82" t="str">
        <f>IF(ISNUMBER(outYear),TZB37+TZB42+#REF!+#REF!,"")</f>
        <v/>
      </c>
      <c r="TZC57" s="82" t="str">
        <f>IF(ISNUMBER(outYear),TZC37+TZC42+#REF!+#REF!,"")</f>
        <v/>
      </c>
      <c r="TZD57" s="82" t="str">
        <f>IF(ISNUMBER(outYear),TZD37+TZD42+#REF!+#REF!,"")</f>
        <v/>
      </c>
      <c r="TZE57" s="82" t="str">
        <f>IF(ISNUMBER(outYear),TZE37+TZE42+#REF!+#REF!,"")</f>
        <v/>
      </c>
      <c r="TZF57" s="82" t="str">
        <f>IF(ISNUMBER(outYear),TZF37+TZF42+#REF!+#REF!,"")</f>
        <v/>
      </c>
      <c r="TZG57" s="82" t="str">
        <f>IF(ISNUMBER(outYear),TZG37+TZG42+#REF!+#REF!,"")</f>
        <v/>
      </c>
      <c r="TZH57" s="82" t="str">
        <f>IF(ISNUMBER(outYear),TZH37+TZH42+#REF!+#REF!,"")</f>
        <v/>
      </c>
      <c r="TZI57" s="82" t="str">
        <f>IF(ISNUMBER(outYear),TZI37+TZI42+#REF!+#REF!,"")</f>
        <v/>
      </c>
      <c r="TZJ57" s="82" t="str">
        <f>IF(ISNUMBER(outYear),TZJ37+TZJ42+#REF!+#REF!,"")</f>
        <v/>
      </c>
      <c r="TZK57" s="82" t="str">
        <f>IF(ISNUMBER(outYear),TZK37+TZK42+#REF!+#REF!,"")</f>
        <v/>
      </c>
      <c r="TZL57" s="82" t="str">
        <f>IF(ISNUMBER(outYear),TZL37+TZL42+#REF!+#REF!,"")</f>
        <v/>
      </c>
      <c r="TZM57" s="82" t="str">
        <f>IF(ISNUMBER(outYear),TZM37+TZM42+#REF!+#REF!,"")</f>
        <v/>
      </c>
      <c r="TZN57" s="82" t="str">
        <f>IF(ISNUMBER(outYear),TZN37+TZN42+#REF!+#REF!,"")</f>
        <v/>
      </c>
      <c r="TZO57" s="82" t="str">
        <f>IF(ISNUMBER(outYear),TZO37+TZO42+#REF!+#REF!,"")</f>
        <v/>
      </c>
      <c r="TZP57" s="82" t="str">
        <f>IF(ISNUMBER(outYear),TZP37+TZP42+#REF!+#REF!,"")</f>
        <v/>
      </c>
      <c r="TZQ57" s="82" t="str">
        <f>IF(ISNUMBER(outYear),TZQ37+TZQ42+#REF!+#REF!,"")</f>
        <v/>
      </c>
      <c r="TZR57" s="82" t="str">
        <f>IF(ISNUMBER(outYear),TZR37+TZR42+#REF!+#REF!,"")</f>
        <v/>
      </c>
      <c r="TZS57" s="82" t="str">
        <f>IF(ISNUMBER(outYear),TZS37+TZS42+#REF!+#REF!,"")</f>
        <v/>
      </c>
      <c r="TZT57" s="82" t="str">
        <f>IF(ISNUMBER(outYear),TZT37+TZT42+#REF!+#REF!,"")</f>
        <v/>
      </c>
      <c r="TZU57" s="82" t="str">
        <f>IF(ISNUMBER(outYear),TZU37+TZU42+#REF!+#REF!,"")</f>
        <v/>
      </c>
      <c r="TZV57" s="82" t="str">
        <f>IF(ISNUMBER(outYear),TZV37+TZV42+#REF!+#REF!,"")</f>
        <v/>
      </c>
      <c r="TZW57" s="82" t="str">
        <f>IF(ISNUMBER(outYear),TZW37+TZW42+#REF!+#REF!,"")</f>
        <v/>
      </c>
      <c r="TZX57" s="82" t="str">
        <f>IF(ISNUMBER(outYear),TZX37+TZX42+#REF!+#REF!,"")</f>
        <v/>
      </c>
      <c r="TZY57" s="82" t="str">
        <f>IF(ISNUMBER(outYear),TZY37+TZY42+#REF!+#REF!,"")</f>
        <v/>
      </c>
      <c r="TZZ57" s="82" t="str">
        <f>IF(ISNUMBER(outYear),TZZ37+TZZ42+#REF!+#REF!,"")</f>
        <v/>
      </c>
      <c r="UAA57" s="82" t="str">
        <f>IF(ISNUMBER(outYear),UAA37+UAA42+#REF!+#REF!,"")</f>
        <v/>
      </c>
      <c r="UAB57" s="82" t="str">
        <f>IF(ISNUMBER(outYear),UAB37+UAB42+#REF!+#REF!,"")</f>
        <v/>
      </c>
      <c r="UAC57" s="82" t="str">
        <f>IF(ISNUMBER(outYear),UAC37+UAC42+#REF!+#REF!,"")</f>
        <v/>
      </c>
      <c r="UAD57" s="82" t="str">
        <f>IF(ISNUMBER(outYear),UAD37+UAD42+#REF!+#REF!,"")</f>
        <v/>
      </c>
      <c r="UAE57" s="82" t="str">
        <f>IF(ISNUMBER(outYear),UAE37+UAE42+#REF!+#REF!,"")</f>
        <v/>
      </c>
      <c r="UAF57" s="82" t="str">
        <f>IF(ISNUMBER(outYear),UAF37+UAF42+#REF!+#REF!,"")</f>
        <v/>
      </c>
      <c r="UAG57" s="82" t="str">
        <f>IF(ISNUMBER(outYear),UAG37+UAG42+#REF!+#REF!,"")</f>
        <v/>
      </c>
      <c r="UAH57" s="82" t="str">
        <f>IF(ISNUMBER(outYear),UAH37+UAH42+#REF!+#REF!,"")</f>
        <v/>
      </c>
      <c r="UAI57" s="82" t="str">
        <f>IF(ISNUMBER(outYear),UAI37+UAI42+#REF!+#REF!,"")</f>
        <v/>
      </c>
      <c r="UAJ57" s="82" t="str">
        <f>IF(ISNUMBER(outYear),UAJ37+UAJ42+#REF!+#REF!,"")</f>
        <v/>
      </c>
      <c r="UAK57" s="82" t="str">
        <f>IF(ISNUMBER(outYear),UAK37+UAK42+#REF!+#REF!,"")</f>
        <v/>
      </c>
      <c r="UAL57" s="82" t="str">
        <f>IF(ISNUMBER(outYear),UAL37+UAL42+#REF!+#REF!,"")</f>
        <v/>
      </c>
      <c r="UAM57" s="82" t="str">
        <f>IF(ISNUMBER(outYear),UAM37+UAM42+#REF!+#REF!,"")</f>
        <v/>
      </c>
      <c r="UAN57" s="82" t="str">
        <f>IF(ISNUMBER(outYear),UAN37+UAN42+#REF!+#REF!,"")</f>
        <v/>
      </c>
      <c r="UAO57" s="82" t="str">
        <f>IF(ISNUMBER(outYear),UAO37+UAO42+#REF!+#REF!,"")</f>
        <v/>
      </c>
      <c r="UAP57" s="82" t="str">
        <f>IF(ISNUMBER(outYear),UAP37+UAP42+#REF!+#REF!,"")</f>
        <v/>
      </c>
      <c r="UAQ57" s="82" t="str">
        <f>IF(ISNUMBER(outYear),UAQ37+UAQ42+#REF!+#REF!,"")</f>
        <v/>
      </c>
      <c r="UAR57" s="82" t="str">
        <f>IF(ISNUMBER(outYear),UAR37+UAR42+#REF!+#REF!,"")</f>
        <v/>
      </c>
      <c r="UAS57" s="82" t="str">
        <f>IF(ISNUMBER(outYear),UAS37+UAS42+#REF!+#REF!,"")</f>
        <v/>
      </c>
      <c r="UAT57" s="82" t="str">
        <f>IF(ISNUMBER(outYear),UAT37+UAT42+#REF!+#REF!,"")</f>
        <v/>
      </c>
      <c r="UAU57" s="82" t="str">
        <f>IF(ISNUMBER(outYear),UAU37+UAU42+#REF!+#REF!,"")</f>
        <v/>
      </c>
      <c r="UAV57" s="82" t="str">
        <f>IF(ISNUMBER(outYear),UAV37+UAV42+#REF!+#REF!,"")</f>
        <v/>
      </c>
      <c r="UAW57" s="82" t="str">
        <f>IF(ISNUMBER(outYear),UAW37+UAW42+#REF!+#REF!,"")</f>
        <v/>
      </c>
      <c r="UAX57" s="82" t="str">
        <f>IF(ISNUMBER(outYear),UAX37+UAX42+#REF!+#REF!,"")</f>
        <v/>
      </c>
      <c r="UAY57" s="82" t="str">
        <f>IF(ISNUMBER(outYear),UAY37+UAY42+#REF!+#REF!,"")</f>
        <v/>
      </c>
      <c r="UAZ57" s="82" t="str">
        <f>IF(ISNUMBER(outYear),UAZ37+UAZ42+#REF!+#REF!,"")</f>
        <v/>
      </c>
      <c r="UBA57" s="82" t="str">
        <f>IF(ISNUMBER(outYear),UBA37+UBA42+#REF!+#REF!,"")</f>
        <v/>
      </c>
      <c r="UBB57" s="82" t="str">
        <f>IF(ISNUMBER(outYear),UBB37+UBB42+#REF!+#REF!,"")</f>
        <v/>
      </c>
      <c r="UBC57" s="82" t="str">
        <f>IF(ISNUMBER(outYear),UBC37+UBC42+#REF!+#REF!,"")</f>
        <v/>
      </c>
      <c r="UBD57" s="82" t="str">
        <f>IF(ISNUMBER(outYear),UBD37+UBD42+#REF!+#REF!,"")</f>
        <v/>
      </c>
      <c r="UBE57" s="82" t="str">
        <f>IF(ISNUMBER(outYear),UBE37+UBE42+#REF!+#REF!,"")</f>
        <v/>
      </c>
      <c r="UBF57" s="82" t="str">
        <f>IF(ISNUMBER(outYear),UBF37+UBF42+#REF!+#REF!,"")</f>
        <v/>
      </c>
      <c r="UBG57" s="82" t="str">
        <f>IF(ISNUMBER(outYear),UBG37+UBG42+#REF!+#REF!,"")</f>
        <v/>
      </c>
      <c r="UBH57" s="82" t="str">
        <f>IF(ISNUMBER(outYear),UBH37+UBH42+#REF!+#REF!,"")</f>
        <v/>
      </c>
      <c r="UBI57" s="82" t="str">
        <f>IF(ISNUMBER(outYear),UBI37+UBI42+#REF!+#REF!,"")</f>
        <v/>
      </c>
      <c r="UBJ57" s="82" t="str">
        <f>IF(ISNUMBER(outYear),UBJ37+UBJ42+#REF!+#REF!,"")</f>
        <v/>
      </c>
      <c r="UBK57" s="82" t="str">
        <f>IF(ISNUMBER(outYear),UBK37+UBK42+#REF!+#REF!,"")</f>
        <v/>
      </c>
      <c r="UBL57" s="82" t="str">
        <f>IF(ISNUMBER(outYear),UBL37+UBL42+#REF!+#REF!,"")</f>
        <v/>
      </c>
      <c r="UBM57" s="82" t="str">
        <f>IF(ISNUMBER(outYear),UBM37+UBM42+#REF!+#REF!,"")</f>
        <v/>
      </c>
      <c r="UBN57" s="82" t="str">
        <f>IF(ISNUMBER(outYear),UBN37+UBN42+#REF!+#REF!,"")</f>
        <v/>
      </c>
      <c r="UBO57" s="82" t="str">
        <f>IF(ISNUMBER(outYear),UBO37+UBO42+#REF!+#REF!,"")</f>
        <v/>
      </c>
      <c r="UBP57" s="82" t="str">
        <f>IF(ISNUMBER(outYear),UBP37+UBP42+#REF!+#REF!,"")</f>
        <v/>
      </c>
      <c r="UBQ57" s="82" t="str">
        <f>IF(ISNUMBER(outYear),UBQ37+UBQ42+#REF!+#REF!,"")</f>
        <v/>
      </c>
      <c r="UBR57" s="82" t="str">
        <f>IF(ISNUMBER(outYear),UBR37+UBR42+#REF!+#REF!,"")</f>
        <v/>
      </c>
      <c r="UBS57" s="82" t="str">
        <f>IF(ISNUMBER(outYear),UBS37+UBS42+#REF!+#REF!,"")</f>
        <v/>
      </c>
      <c r="UBT57" s="82" t="str">
        <f>IF(ISNUMBER(outYear),UBT37+UBT42+#REF!+#REF!,"")</f>
        <v/>
      </c>
      <c r="UBU57" s="82" t="str">
        <f>IF(ISNUMBER(outYear),UBU37+UBU42+#REF!+#REF!,"")</f>
        <v/>
      </c>
      <c r="UBV57" s="82" t="str">
        <f>IF(ISNUMBER(outYear),UBV37+UBV42+#REF!+#REF!,"")</f>
        <v/>
      </c>
      <c r="UBW57" s="82" t="str">
        <f>IF(ISNUMBER(outYear),UBW37+UBW42+#REF!+#REF!,"")</f>
        <v/>
      </c>
      <c r="UBX57" s="82" t="str">
        <f>IF(ISNUMBER(outYear),UBX37+UBX42+#REF!+#REF!,"")</f>
        <v/>
      </c>
      <c r="UBY57" s="82" t="str">
        <f>IF(ISNUMBER(outYear),UBY37+UBY42+#REF!+#REF!,"")</f>
        <v/>
      </c>
      <c r="UBZ57" s="82" t="str">
        <f>IF(ISNUMBER(outYear),UBZ37+UBZ42+#REF!+#REF!,"")</f>
        <v/>
      </c>
      <c r="UCA57" s="82" t="str">
        <f>IF(ISNUMBER(outYear),UCA37+UCA42+#REF!+#REF!,"")</f>
        <v/>
      </c>
      <c r="UCB57" s="82" t="str">
        <f>IF(ISNUMBER(outYear),UCB37+UCB42+#REF!+#REF!,"")</f>
        <v/>
      </c>
      <c r="UCC57" s="82" t="str">
        <f>IF(ISNUMBER(outYear),UCC37+UCC42+#REF!+#REF!,"")</f>
        <v/>
      </c>
      <c r="UCD57" s="82" t="str">
        <f>IF(ISNUMBER(outYear),UCD37+UCD42+#REF!+#REF!,"")</f>
        <v/>
      </c>
      <c r="UCE57" s="82" t="str">
        <f>IF(ISNUMBER(outYear),UCE37+UCE42+#REF!+#REF!,"")</f>
        <v/>
      </c>
      <c r="UCF57" s="82" t="str">
        <f>IF(ISNUMBER(outYear),UCF37+UCF42+#REF!+#REF!,"")</f>
        <v/>
      </c>
      <c r="UCG57" s="82" t="str">
        <f>IF(ISNUMBER(outYear),UCG37+UCG42+#REF!+#REF!,"")</f>
        <v/>
      </c>
      <c r="UCH57" s="82" t="str">
        <f>IF(ISNUMBER(outYear),UCH37+UCH42+#REF!+#REF!,"")</f>
        <v/>
      </c>
      <c r="UCI57" s="82" t="str">
        <f>IF(ISNUMBER(outYear),UCI37+UCI42+#REF!+#REF!,"")</f>
        <v/>
      </c>
      <c r="UCJ57" s="82" t="str">
        <f>IF(ISNUMBER(outYear),UCJ37+UCJ42+#REF!+#REF!,"")</f>
        <v/>
      </c>
      <c r="UCK57" s="82" t="str">
        <f>IF(ISNUMBER(outYear),UCK37+UCK42+#REF!+#REF!,"")</f>
        <v/>
      </c>
      <c r="UCL57" s="82" t="str">
        <f>IF(ISNUMBER(outYear),UCL37+UCL42+#REF!+#REF!,"")</f>
        <v/>
      </c>
      <c r="UCM57" s="82" t="str">
        <f>IF(ISNUMBER(outYear),UCM37+UCM42+#REF!+#REF!,"")</f>
        <v/>
      </c>
      <c r="UCN57" s="82" t="str">
        <f>IF(ISNUMBER(outYear),UCN37+UCN42+#REF!+#REF!,"")</f>
        <v/>
      </c>
      <c r="UCO57" s="82" t="str">
        <f>IF(ISNUMBER(outYear),UCO37+UCO42+#REF!+#REF!,"")</f>
        <v/>
      </c>
      <c r="UCP57" s="82" t="str">
        <f>IF(ISNUMBER(outYear),UCP37+UCP42+#REF!+#REF!,"")</f>
        <v/>
      </c>
      <c r="UCQ57" s="82" t="str">
        <f>IF(ISNUMBER(outYear),UCQ37+UCQ42+#REF!+#REF!,"")</f>
        <v/>
      </c>
      <c r="UCR57" s="82" t="str">
        <f>IF(ISNUMBER(outYear),UCR37+UCR42+#REF!+#REF!,"")</f>
        <v/>
      </c>
      <c r="UCS57" s="82" t="str">
        <f>IF(ISNUMBER(outYear),UCS37+UCS42+#REF!+#REF!,"")</f>
        <v/>
      </c>
      <c r="UCT57" s="82" t="str">
        <f>IF(ISNUMBER(outYear),UCT37+UCT42+#REF!+#REF!,"")</f>
        <v/>
      </c>
      <c r="UCU57" s="82" t="str">
        <f>IF(ISNUMBER(outYear),UCU37+UCU42+#REF!+#REF!,"")</f>
        <v/>
      </c>
      <c r="UCV57" s="82" t="str">
        <f>IF(ISNUMBER(outYear),UCV37+UCV42+#REF!+#REF!,"")</f>
        <v/>
      </c>
      <c r="UCW57" s="82" t="str">
        <f>IF(ISNUMBER(outYear),UCW37+UCW42+#REF!+#REF!,"")</f>
        <v/>
      </c>
      <c r="UCX57" s="82" t="str">
        <f>IF(ISNUMBER(outYear),UCX37+UCX42+#REF!+#REF!,"")</f>
        <v/>
      </c>
      <c r="UCY57" s="82" t="str">
        <f>IF(ISNUMBER(outYear),UCY37+UCY42+#REF!+#REF!,"")</f>
        <v/>
      </c>
      <c r="UCZ57" s="82" t="str">
        <f>IF(ISNUMBER(outYear),UCZ37+UCZ42+#REF!+#REF!,"")</f>
        <v/>
      </c>
      <c r="UDA57" s="82" t="str">
        <f>IF(ISNUMBER(outYear),UDA37+UDA42+#REF!+#REF!,"")</f>
        <v/>
      </c>
      <c r="UDB57" s="82" t="str">
        <f>IF(ISNUMBER(outYear),UDB37+UDB42+#REF!+#REF!,"")</f>
        <v/>
      </c>
      <c r="UDC57" s="82" t="str">
        <f>IF(ISNUMBER(outYear),UDC37+UDC42+#REF!+#REF!,"")</f>
        <v/>
      </c>
      <c r="UDD57" s="82" t="str">
        <f>IF(ISNUMBER(outYear),UDD37+UDD42+#REF!+#REF!,"")</f>
        <v/>
      </c>
      <c r="UDE57" s="82" t="str">
        <f>IF(ISNUMBER(outYear),UDE37+UDE42+#REF!+#REF!,"")</f>
        <v/>
      </c>
      <c r="UDF57" s="82" t="str">
        <f>IF(ISNUMBER(outYear),UDF37+UDF42+#REF!+#REF!,"")</f>
        <v/>
      </c>
      <c r="UDG57" s="82" t="str">
        <f>IF(ISNUMBER(outYear),UDG37+UDG42+#REF!+#REF!,"")</f>
        <v/>
      </c>
      <c r="UDH57" s="82" t="str">
        <f>IF(ISNUMBER(outYear),UDH37+UDH42+#REF!+#REF!,"")</f>
        <v/>
      </c>
      <c r="UDI57" s="82" t="str">
        <f>IF(ISNUMBER(outYear),UDI37+UDI42+#REF!+#REF!,"")</f>
        <v/>
      </c>
      <c r="UDJ57" s="82" t="str">
        <f>IF(ISNUMBER(outYear),UDJ37+UDJ42+#REF!+#REF!,"")</f>
        <v/>
      </c>
      <c r="UDK57" s="82" t="str">
        <f>IF(ISNUMBER(outYear),UDK37+UDK42+#REF!+#REF!,"")</f>
        <v/>
      </c>
      <c r="UDL57" s="82" t="str">
        <f>IF(ISNUMBER(outYear),UDL37+UDL42+#REF!+#REF!,"")</f>
        <v/>
      </c>
      <c r="UDM57" s="82" t="str">
        <f>IF(ISNUMBER(outYear),UDM37+UDM42+#REF!+#REF!,"")</f>
        <v/>
      </c>
      <c r="UDN57" s="82" t="str">
        <f>IF(ISNUMBER(outYear),UDN37+UDN42+#REF!+#REF!,"")</f>
        <v/>
      </c>
      <c r="UDO57" s="82" t="str">
        <f>IF(ISNUMBER(outYear),UDO37+UDO42+#REF!+#REF!,"")</f>
        <v/>
      </c>
      <c r="UDP57" s="82" t="str">
        <f>IF(ISNUMBER(outYear),UDP37+UDP42+#REF!+#REF!,"")</f>
        <v/>
      </c>
      <c r="UDQ57" s="82" t="str">
        <f>IF(ISNUMBER(outYear),UDQ37+UDQ42+#REF!+#REF!,"")</f>
        <v/>
      </c>
      <c r="UDR57" s="82" t="str">
        <f>IF(ISNUMBER(outYear),UDR37+UDR42+#REF!+#REF!,"")</f>
        <v/>
      </c>
      <c r="UDS57" s="82" t="str">
        <f>IF(ISNUMBER(outYear),UDS37+UDS42+#REF!+#REF!,"")</f>
        <v/>
      </c>
      <c r="UDT57" s="82" t="str">
        <f>IF(ISNUMBER(outYear),UDT37+UDT42+#REF!+#REF!,"")</f>
        <v/>
      </c>
      <c r="UDU57" s="82" t="str">
        <f>IF(ISNUMBER(outYear),UDU37+UDU42+#REF!+#REF!,"")</f>
        <v/>
      </c>
      <c r="UDV57" s="82" t="str">
        <f>IF(ISNUMBER(outYear),UDV37+UDV42+#REF!+#REF!,"")</f>
        <v/>
      </c>
      <c r="UDW57" s="82" t="str">
        <f>IF(ISNUMBER(outYear),UDW37+UDW42+#REF!+#REF!,"")</f>
        <v/>
      </c>
      <c r="UDX57" s="82" t="str">
        <f>IF(ISNUMBER(outYear),UDX37+UDX42+#REF!+#REF!,"")</f>
        <v/>
      </c>
      <c r="UDY57" s="82" t="str">
        <f>IF(ISNUMBER(outYear),UDY37+UDY42+#REF!+#REF!,"")</f>
        <v/>
      </c>
      <c r="UDZ57" s="82" t="str">
        <f>IF(ISNUMBER(outYear),UDZ37+UDZ42+#REF!+#REF!,"")</f>
        <v/>
      </c>
      <c r="UEA57" s="82" t="str">
        <f>IF(ISNUMBER(outYear),UEA37+UEA42+#REF!+#REF!,"")</f>
        <v/>
      </c>
      <c r="UEB57" s="82" t="str">
        <f>IF(ISNUMBER(outYear),UEB37+UEB42+#REF!+#REF!,"")</f>
        <v/>
      </c>
      <c r="UEC57" s="82" t="str">
        <f>IF(ISNUMBER(outYear),UEC37+UEC42+#REF!+#REF!,"")</f>
        <v/>
      </c>
      <c r="UED57" s="82" t="str">
        <f>IF(ISNUMBER(outYear),UED37+UED42+#REF!+#REF!,"")</f>
        <v/>
      </c>
      <c r="UEE57" s="82" t="str">
        <f>IF(ISNUMBER(outYear),UEE37+UEE42+#REF!+#REF!,"")</f>
        <v/>
      </c>
      <c r="UEF57" s="82" t="str">
        <f>IF(ISNUMBER(outYear),UEF37+UEF42+#REF!+#REF!,"")</f>
        <v/>
      </c>
      <c r="UEG57" s="82" t="str">
        <f>IF(ISNUMBER(outYear),UEG37+UEG42+#REF!+#REF!,"")</f>
        <v/>
      </c>
      <c r="UEH57" s="82" t="str">
        <f>IF(ISNUMBER(outYear),UEH37+UEH42+#REF!+#REF!,"")</f>
        <v/>
      </c>
      <c r="UEI57" s="82" t="str">
        <f>IF(ISNUMBER(outYear),UEI37+UEI42+#REF!+#REF!,"")</f>
        <v/>
      </c>
      <c r="UEJ57" s="82" t="str">
        <f>IF(ISNUMBER(outYear),UEJ37+UEJ42+#REF!+#REF!,"")</f>
        <v/>
      </c>
      <c r="UEK57" s="82" t="str">
        <f>IF(ISNUMBER(outYear),UEK37+UEK42+#REF!+#REF!,"")</f>
        <v/>
      </c>
      <c r="UEL57" s="82" t="str">
        <f>IF(ISNUMBER(outYear),UEL37+UEL42+#REF!+#REF!,"")</f>
        <v/>
      </c>
      <c r="UEM57" s="82" t="str">
        <f>IF(ISNUMBER(outYear),UEM37+UEM42+#REF!+#REF!,"")</f>
        <v/>
      </c>
      <c r="UEN57" s="82" t="str">
        <f>IF(ISNUMBER(outYear),UEN37+UEN42+#REF!+#REF!,"")</f>
        <v/>
      </c>
      <c r="UEO57" s="82" t="str">
        <f>IF(ISNUMBER(outYear),UEO37+UEO42+#REF!+#REF!,"")</f>
        <v/>
      </c>
      <c r="UEP57" s="82" t="str">
        <f>IF(ISNUMBER(outYear),UEP37+UEP42+#REF!+#REF!,"")</f>
        <v/>
      </c>
      <c r="UEQ57" s="82" t="str">
        <f>IF(ISNUMBER(outYear),UEQ37+UEQ42+#REF!+#REF!,"")</f>
        <v/>
      </c>
      <c r="UER57" s="82" t="str">
        <f>IF(ISNUMBER(outYear),UER37+UER42+#REF!+#REF!,"")</f>
        <v/>
      </c>
      <c r="UES57" s="82" t="str">
        <f>IF(ISNUMBER(outYear),UES37+UES42+#REF!+#REF!,"")</f>
        <v/>
      </c>
      <c r="UET57" s="82" t="str">
        <f>IF(ISNUMBER(outYear),UET37+UET42+#REF!+#REF!,"")</f>
        <v/>
      </c>
      <c r="UEU57" s="82" t="str">
        <f>IF(ISNUMBER(outYear),UEU37+UEU42+#REF!+#REF!,"")</f>
        <v/>
      </c>
      <c r="UEV57" s="82" t="str">
        <f>IF(ISNUMBER(outYear),UEV37+UEV42+#REF!+#REF!,"")</f>
        <v/>
      </c>
      <c r="UEW57" s="82" t="str">
        <f>IF(ISNUMBER(outYear),UEW37+UEW42+#REF!+#REF!,"")</f>
        <v/>
      </c>
      <c r="UEX57" s="82" t="str">
        <f>IF(ISNUMBER(outYear),UEX37+UEX42+#REF!+#REF!,"")</f>
        <v/>
      </c>
      <c r="UEY57" s="82" t="str">
        <f>IF(ISNUMBER(outYear),UEY37+UEY42+#REF!+#REF!,"")</f>
        <v/>
      </c>
      <c r="UEZ57" s="82" t="str">
        <f>IF(ISNUMBER(outYear),UEZ37+UEZ42+#REF!+#REF!,"")</f>
        <v/>
      </c>
      <c r="UFA57" s="82" t="str">
        <f>IF(ISNUMBER(outYear),UFA37+UFA42+#REF!+#REF!,"")</f>
        <v/>
      </c>
      <c r="UFB57" s="82" t="str">
        <f>IF(ISNUMBER(outYear),UFB37+UFB42+#REF!+#REF!,"")</f>
        <v/>
      </c>
      <c r="UFC57" s="82" t="str">
        <f>IF(ISNUMBER(outYear),UFC37+UFC42+#REF!+#REF!,"")</f>
        <v/>
      </c>
      <c r="UFD57" s="82" t="str">
        <f>IF(ISNUMBER(outYear),UFD37+UFD42+#REF!+#REF!,"")</f>
        <v/>
      </c>
      <c r="UFE57" s="82" t="str">
        <f>IF(ISNUMBER(outYear),UFE37+UFE42+#REF!+#REF!,"")</f>
        <v/>
      </c>
      <c r="UFF57" s="82" t="str">
        <f>IF(ISNUMBER(outYear),UFF37+UFF42+#REF!+#REF!,"")</f>
        <v/>
      </c>
      <c r="UFG57" s="82" t="str">
        <f>IF(ISNUMBER(outYear),UFG37+UFG42+#REF!+#REF!,"")</f>
        <v/>
      </c>
      <c r="UFH57" s="82" t="str">
        <f>IF(ISNUMBER(outYear),UFH37+UFH42+#REF!+#REF!,"")</f>
        <v/>
      </c>
      <c r="UFI57" s="82" t="str">
        <f>IF(ISNUMBER(outYear),UFI37+UFI42+#REF!+#REF!,"")</f>
        <v/>
      </c>
      <c r="UFJ57" s="82" t="str">
        <f>IF(ISNUMBER(outYear),UFJ37+UFJ42+#REF!+#REF!,"")</f>
        <v/>
      </c>
      <c r="UFK57" s="82" t="str">
        <f>IF(ISNUMBER(outYear),UFK37+UFK42+#REF!+#REF!,"")</f>
        <v/>
      </c>
      <c r="UFL57" s="82" t="str">
        <f>IF(ISNUMBER(outYear),UFL37+UFL42+#REF!+#REF!,"")</f>
        <v/>
      </c>
      <c r="UFM57" s="82" t="str">
        <f>IF(ISNUMBER(outYear),UFM37+UFM42+#REF!+#REF!,"")</f>
        <v/>
      </c>
      <c r="UFN57" s="82" t="str">
        <f>IF(ISNUMBER(outYear),UFN37+UFN42+#REF!+#REF!,"")</f>
        <v/>
      </c>
      <c r="UFO57" s="82" t="str">
        <f>IF(ISNUMBER(outYear),UFO37+UFO42+#REF!+#REF!,"")</f>
        <v/>
      </c>
      <c r="UFP57" s="82" t="str">
        <f>IF(ISNUMBER(outYear),UFP37+UFP42+#REF!+#REF!,"")</f>
        <v/>
      </c>
      <c r="UFQ57" s="82" t="str">
        <f>IF(ISNUMBER(outYear),UFQ37+UFQ42+#REF!+#REF!,"")</f>
        <v/>
      </c>
      <c r="UFR57" s="82" t="str">
        <f>IF(ISNUMBER(outYear),UFR37+UFR42+#REF!+#REF!,"")</f>
        <v/>
      </c>
      <c r="UFS57" s="82" t="str">
        <f>IF(ISNUMBER(outYear),UFS37+UFS42+#REF!+#REF!,"")</f>
        <v/>
      </c>
      <c r="UFT57" s="82" t="str">
        <f>IF(ISNUMBER(outYear),UFT37+UFT42+#REF!+#REF!,"")</f>
        <v/>
      </c>
      <c r="UFU57" s="82" t="str">
        <f>IF(ISNUMBER(outYear),UFU37+UFU42+#REF!+#REF!,"")</f>
        <v/>
      </c>
      <c r="UFV57" s="82" t="str">
        <f>IF(ISNUMBER(outYear),UFV37+UFV42+#REF!+#REF!,"")</f>
        <v/>
      </c>
      <c r="UFW57" s="82" t="str">
        <f>IF(ISNUMBER(outYear),UFW37+UFW42+#REF!+#REF!,"")</f>
        <v/>
      </c>
      <c r="UFX57" s="82" t="str">
        <f>IF(ISNUMBER(outYear),UFX37+UFX42+#REF!+#REF!,"")</f>
        <v/>
      </c>
      <c r="UFY57" s="82" t="str">
        <f>IF(ISNUMBER(outYear),UFY37+UFY42+#REF!+#REF!,"")</f>
        <v/>
      </c>
      <c r="UFZ57" s="82" t="str">
        <f>IF(ISNUMBER(outYear),UFZ37+UFZ42+#REF!+#REF!,"")</f>
        <v/>
      </c>
      <c r="UGA57" s="82" t="str">
        <f>IF(ISNUMBER(outYear),UGA37+UGA42+#REF!+#REF!,"")</f>
        <v/>
      </c>
      <c r="UGB57" s="82" t="str">
        <f>IF(ISNUMBER(outYear),UGB37+UGB42+#REF!+#REF!,"")</f>
        <v/>
      </c>
      <c r="UGC57" s="82" t="str">
        <f>IF(ISNUMBER(outYear),UGC37+UGC42+#REF!+#REF!,"")</f>
        <v/>
      </c>
      <c r="UGD57" s="82" t="str">
        <f>IF(ISNUMBER(outYear),UGD37+UGD42+#REF!+#REF!,"")</f>
        <v/>
      </c>
      <c r="UGE57" s="82" t="str">
        <f>IF(ISNUMBER(outYear),UGE37+UGE42+#REF!+#REF!,"")</f>
        <v/>
      </c>
      <c r="UGF57" s="82" t="str">
        <f>IF(ISNUMBER(outYear),UGF37+UGF42+#REF!+#REF!,"")</f>
        <v/>
      </c>
      <c r="UGG57" s="82" t="str">
        <f>IF(ISNUMBER(outYear),UGG37+UGG42+#REF!+#REF!,"")</f>
        <v/>
      </c>
      <c r="UGH57" s="82" t="str">
        <f>IF(ISNUMBER(outYear),UGH37+UGH42+#REF!+#REF!,"")</f>
        <v/>
      </c>
      <c r="UGI57" s="82" t="str">
        <f>IF(ISNUMBER(outYear),UGI37+UGI42+#REF!+#REF!,"")</f>
        <v/>
      </c>
      <c r="UGJ57" s="82" t="str">
        <f>IF(ISNUMBER(outYear),UGJ37+UGJ42+#REF!+#REF!,"")</f>
        <v/>
      </c>
      <c r="UGK57" s="82" t="str">
        <f>IF(ISNUMBER(outYear),UGK37+UGK42+#REF!+#REF!,"")</f>
        <v/>
      </c>
      <c r="UGL57" s="82" t="str">
        <f>IF(ISNUMBER(outYear),UGL37+UGL42+#REF!+#REF!,"")</f>
        <v/>
      </c>
      <c r="UGM57" s="82" t="str">
        <f>IF(ISNUMBER(outYear),UGM37+UGM42+#REF!+#REF!,"")</f>
        <v/>
      </c>
      <c r="UGN57" s="82" t="str">
        <f>IF(ISNUMBER(outYear),UGN37+UGN42+#REF!+#REF!,"")</f>
        <v/>
      </c>
      <c r="UGO57" s="82" t="str">
        <f>IF(ISNUMBER(outYear),UGO37+UGO42+#REF!+#REF!,"")</f>
        <v/>
      </c>
      <c r="UGP57" s="82" t="str">
        <f>IF(ISNUMBER(outYear),UGP37+UGP42+#REF!+#REF!,"")</f>
        <v/>
      </c>
      <c r="UGQ57" s="82" t="str">
        <f>IF(ISNUMBER(outYear),UGQ37+UGQ42+#REF!+#REF!,"")</f>
        <v/>
      </c>
      <c r="UGR57" s="82" t="str">
        <f>IF(ISNUMBER(outYear),UGR37+UGR42+#REF!+#REF!,"")</f>
        <v/>
      </c>
      <c r="UGS57" s="82" t="str">
        <f>IF(ISNUMBER(outYear),UGS37+UGS42+#REF!+#REF!,"")</f>
        <v/>
      </c>
      <c r="UGT57" s="82" t="str">
        <f>IF(ISNUMBER(outYear),UGT37+UGT42+#REF!+#REF!,"")</f>
        <v/>
      </c>
      <c r="UGU57" s="82" t="str">
        <f>IF(ISNUMBER(outYear),UGU37+UGU42+#REF!+#REF!,"")</f>
        <v/>
      </c>
      <c r="UGV57" s="82" t="str">
        <f>IF(ISNUMBER(outYear),UGV37+UGV42+#REF!+#REF!,"")</f>
        <v/>
      </c>
      <c r="UGW57" s="82" t="str">
        <f>IF(ISNUMBER(outYear),UGW37+UGW42+#REF!+#REF!,"")</f>
        <v/>
      </c>
      <c r="UGX57" s="82" t="str">
        <f>IF(ISNUMBER(outYear),UGX37+UGX42+#REF!+#REF!,"")</f>
        <v/>
      </c>
      <c r="UGY57" s="82" t="str">
        <f>IF(ISNUMBER(outYear),UGY37+UGY42+#REF!+#REF!,"")</f>
        <v/>
      </c>
      <c r="UGZ57" s="82" t="str">
        <f>IF(ISNUMBER(outYear),UGZ37+UGZ42+#REF!+#REF!,"")</f>
        <v/>
      </c>
      <c r="UHA57" s="82" t="str">
        <f>IF(ISNUMBER(outYear),UHA37+UHA42+#REF!+#REF!,"")</f>
        <v/>
      </c>
      <c r="UHB57" s="82" t="str">
        <f>IF(ISNUMBER(outYear),UHB37+UHB42+#REF!+#REF!,"")</f>
        <v/>
      </c>
      <c r="UHC57" s="82" t="str">
        <f>IF(ISNUMBER(outYear),UHC37+UHC42+#REF!+#REF!,"")</f>
        <v/>
      </c>
      <c r="UHD57" s="82" t="str">
        <f>IF(ISNUMBER(outYear),UHD37+UHD42+#REF!+#REF!,"")</f>
        <v/>
      </c>
      <c r="UHE57" s="82" t="str">
        <f>IF(ISNUMBER(outYear),UHE37+UHE42+#REF!+#REF!,"")</f>
        <v/>
      </c>
      <c r="UHF57" s="82" t="str">
        <f>IF(ISNUMBER(outYear),UHF37+UHF42+#REF!+#REF!,"")</f>
        <v/>
      </c>
      <c r="UHG57" s="82" t="str">
        <f>IF(ISNUMBER(outYear),UHG37+UHG42+#REF!+#REF!,"")</f>
        <v/>
      </c>
      <c r="UHH57" s="82" t="str">
        <f>IF(ISNUMBER(outYear),UHH37+UHH42+#REF!+#REF!,"")</f>
        <v/>
      </c>
      <c r="UHI57" s="82" t="str">
        <f>IF(ISNUMBER(outYear),UHI37+UHI42+#REF!+#REF!,"")</f>
        <v/>
      </c>
      <c r="UHJ57" s="82" t="str">
        <f>IF(ISNUMBER(outYear),UHJ37+UHJ42+#REF!+#REF!,"")</f>
        <v/>
      </c>
      <c r="UHK57" s="82" t="str">
        <f>IF(ISNUMBER(outYear),UHK37+UHK42+#REF!+#REF!,"")</f>
        <v/>
      </c>
      <c r="UHL57" s="82" t="str">
        <f>IF(ISNUMBER(outYear),UHL37+UHL42+#REF!+#REF!,"")</f>
        <v/>
      </c>
      <c r="UHM57" s="82" t="str">
        <f>IF(ISNUMBER(outYear),UHM37+UHM42+#REF!+#REF!,"")</f>
        <v/>
      </c>
      <c r="UHN57" s="82" t="str">
        <f>IF(ISNUMBER(outYear),UHN37+UHN42+#REF!+#REF!,"")</f>
        <v/>
      </c>
      <c r="UHO57" s="82" t="str">
        <f>IF(ISNUMBER(outYear),UHO37+UHO42+#REF!+#REF!,"")</f>
        <v/>
      </c>
      <c r="UHP57" s="82" t="str">
        <f>IF(ISNUMBER(outYear),UHP37+UHP42+#REF!+#REF!,"")</f>
        <v/>
      </c>
      <c r="UHQ57" s="82" t="str">
        <f>IF(ISNUMBER(outYear),UHQ37+UHQ42+#REF!+#REF!,"")</f>
        <v/>
      </c>
      <c r="UHR57" s="82" t="str">
        <f>IF(ISNUMBER(outYear),UHR37+UHR42+#REF!+#REF!,"")</f>
        <v/>
      </c>
      <c r="UHS57" s="82" t="str">
        <f>IF(ISNUMBER(outYear),UHS37+UHS42+#REF!+#REF!,"")</f>
        <v/>
      </c>
      <c r="UHT57" s="82" t="str">
        <f>IF(ISNUMBER(outYear),UHT37+UHT42+#REF!+#REF!,"")</f>
        <v/>
      </c>
      <c r="UHU57" s="82" t="str">
        <f>IF(ISNUMBER(outYear),UHU37+UHU42+#REF!+#REF!,"")</f>
        <v/>
      </c>
      <c r="UHV57" s="82" t="str">
        <f>IF(ISNUMBER(outYear),UHV37+UHV42+#REF!+#REF!,"")</f>
        <v/>
      </c>
      <c r="UHW57" s="82" t="str">
        <f>IF(ISNUMBER(outYear),UHW37+UHW42+#REF!+#REF!,"")</f>
        <v/>
      </c>
      <c r="UHX57" s="82" t="str">
        <f>IF(ISNUMBER(outYear),UHX37+UHX42+#REF!+#REF!,"")</f>
        <v/>
      </c>
      <c r="UHY57" s="82" t="str">
        <f>IF(ISNUMBER(outYear),UHY37+UHY42+#REF!+#REF!,"")</f>
        <v/>
      </c>
      <c r="UHZ57" s="82" t="str">
        <f>IF(ISNUMBER(outYear),UHZ37+UHZ42+#REF!+#REF!,"")</f>
        <v/>
      </c>
      <c r="UIA57" s="82" t="str">
        <f>IF(ISNUMBER(outYear),UIA37+UIA42+#REF!+#REF!,"")</f>
        <v/>
      </c>
      <c r="UIB57" s="82" t="str">
        <f>IF(ISNUMBER(outYear),UIB37+UIB42+#REF!+#REF!,"")</f>
        <v/>
      </c>
      <c r="UIC57" s="82" t="str">
        <f>IF(ISNUMBER(outYear),UIC37+UIC42+#REF!+#REF!,"")</f>
        <v/>
      </c>
      <c r="UID57" s="82" t="str">
        <f>IF(ISNUMBER(outYear),UID37+UID42+#REF!+#REF!,"")</f>
        <v/>
      </c>
      <c r="UIE57" s="82" t="str">
        <f>IF(ISNUMBER(outYear),UIE37+UIE42+#REF!+#REF!,"")</f>
        <v/>
      </c>
      <c r="UIF57" s="82" t="str">
        <f>IF(ISNUMBER(outYear),UIF37+UIF42+#REF!+#REF!,"")</f>
        <v/>
      </c>
      <c r="UIG57" s="82" t="str">
        <f>IF(ISNUMBER(outYear),UIG37+UIG42+#REF!+#REF!,"")</f>
        <v/>
      </c>
      <c r="UIH57" s="82" t="str">
        <f>IF(ISNUMBER(outYear),UIH37+UIH42+#REF!+#REF!,"")</f>
        <v/>
      </c>
      <c r="UII57" s="82" t="str">
        <f>IF(ISNUMBER(outYear),UII37+UII42+#REF!+#REF!,"")</f>
        <v/>
      </c>
      <c r="UIJ57" s="82" t="str">
        <f>IF(ISNUMBER(outYear),UIJ37+UIJ42+#REF!+#REF!,"")</f>
        <v/>
      </c>
      <c r="UIK57" s="82" t="str">
        <f>IF(ISNUMBER(outYear),UIK37+UIK42+#REF!+#REF!,"")</f>
        <v/>
      </c>
      <c r="UIL57" s="82" t="str">
        <f>IF(ISNUMBER(outYear),UIL37+UIL42+#REF!+#REF!,"")</f>
        <v/>
      </c>
      <c r="UIM57" s="82" t="str">
        <f>IF(ISNUMBER(outYear),UIM37+UIM42+#REF!+#REF!,"")</f>
        <v/>
      </c>
      <c r="UIN57" s="82" t="str">
        <f>IF(ISNUMBER(outYear),UIN37+UIN42+#REF!+#REF!,"")</f>
        <v/>
      </c>
      <c r="UIO57" s="82" t="str">
        <f>IF(ISNUMBER(outYear),UIO37+UIO42+#REF!+#REF!,"")</f>
        <v/>
      </c>
      <c r="UIP57" s="82" t="str">
        <f>IF(ISNUMBER(outYear),UIP37+UIP42+#REF!+#REF!,"")</f>
        <v/>
      </c>
      <c r="UIQ57" s="82" t="str">
        <f>IF(ISNUMBER(outYear),UIQ37+UIQ42+#REF!+#REF!,"")</f>
        <v/>
      </c>
      <c r="UIR57" s="82" t="str">
        <f>IF(ISNUMBER(outYear),UIR37+UIR42+#REF!+#REF!,"")</f>
        <v/>
      </c>
      <c r="UIS57" s="82" t="str">
        <f>IF(ISNUMBER(outYear),UIS37+UIS42+#REF!+#REF!,"")</f>
        <v/>
      </c>
      <c r="UIT57" s="82" t="str">
        <f>IF(ISNUMBER(outYear),UIT37+UIT42+#REF!+#REF!,"")</f>
        <v/>
      </c>
      <c r="UIU57" s="82" t="str">
        <f>IF(ISNUMBER(outYear),UIU37+UIU42+#REF!+#REF!,"")</f>
        <v/>
      </c>
      <c r="UIV57" s="82" t="str">
        <f>IF(ISNUMBER(outYear),UIV37+UIV42+#REF!+#REF!,"")</f>
        <v/>
      </c>
      <c r="UIW57" s="82" t="str">
        <f>IF(ISNUMBER(outYear),UIW37+UIW42+#REF!+#REF!,"")</f>
        <v/>
      </c>
      <c r="UIX57" s="82" t="str">
        <f>IF(ISNUMBER(outYear),UIX37+UIX42+#REF!+#REF!,"")</f>
        <v/>
      </c>
      <c r="UIY57" s="82" t="str">
        <f>IF(ISNUMBER(outYear),UIY37+UIY42+#REF!+#REF!,"")</f>
        <v/>
      </c>
      <c r="UIZ57" s="82" t="str">
        <f>IF(ISNUMBER(outYear),UIZ37+UIZ42+#REF!+#REF!,"")</f>
        <v/>
      </c>
      <c r="UJA57" s="82" t="str">
        <f>IF(ISNUMBER(outYear),UJA37+UJA42+#REF!+#REF!,"")</f>
        <v/>
      </c>
      <c r="UJB57" s="82" t="str">
        <f>IF(ISNUMBER(outYear),UJB37+UJB42+#REF!+#REF!,"")</f>
        <v/>
      </c>
      <c r="UJC57" s="82" t="str">
        <f>IF(ISNUMBER(outYear),UJC37+UJC42+#REF!+#REF!,"")</f>
        <v/>
      </c>
      <c r="UJD57" s="82" t="str">
        <f>IF(ISNUMBER(outYear),UJD37+UJD42+#REF!+#REF!,"")</f>
        <v/>
      </c>
      <c r="UJE57" s="82" t="str">
        <f>IF(ISNUMBER(outYear),UJE37+UJE42+#REF!+#REF!,"")</f>
        <v/>
      </c>
      <c r="UJF57" s="82" t="str">
        <f>IF(ISNUMBER(outYear),UJF37+UJF42+#REF!+#REF!,"")</f>
        <v/>
      </c>
      <c r="UJG57" s="82" t="str">
        <f>IF(ISNUMBER(outYear),UJG37+UJG42+#REF!+#REF!,"")</f>
        <v/>
      </c>
      <c r="UJH57" s="82" t="str">
        <f>IF(ISNUMBER(outYear),UJH37+UJH42+#REF!+#REF!,"")</f>
        <v/>
      </c>
      <c r="UJI57" s="82" t="str">
        <f>IF(ISNUMBER(outYear),UJI37+UJI42+#REF!+#REF!,"")</f>
        <v/>
      </c>
      <c r="UJJ57" s="82" t="str">
        <f>IF(ISNUMBER(outYear),UJJ37+UJJ42+#REF!+#REF!,"")</f>
        <v/>
      </c>
      <c r="UJK57" s="82" t="str">
        <f>IF(ISNUMBER(outYear),UJK37+UJK42+#REF!+#REF!,"")</f>
        <v/>
      </c>
      <c r="UJL57" s="82" t="str">
        <f>IF(ISNUMBER(outYear),UJL37+UJL42+#REF!+#REF!,"")</f>
        <v/>
      </c>
      <c r="UJM57" s="82" t="str">
        <f>IF(ISNUMBER(outYear),UJM37+UJM42+#REF!+#REF!,"")</f>
        <v/>
      </c>
      <c r="UJN57" s="82" t="str">
        <f>IF(ISNUMBER(outYear),UJN37+UJN42+#REF!+#REF!,"")</f>
        <v/>
      </c>
      <c r="UJO57" s="82" t="str">
        <f>IF(ISNUMBER(outYear),UJO37+UJO42+#REF!+#REF!,"")</f>
        <v/>
      </c>
      <c r="UJP57" s="82" t="str">
        <f>IF(ISNUMBER(outYear),UJP37+UJP42+#REF!+#REF!,"")</f>
        <v/>
      </c>
      <c r="UJQ57" s="82" t="str">
        <f>IF(ISNUMBER(outYear),UJQ37+UJQ42+#REF!+#REF!,"")</f>
        <v/>
      </c>
      <c r="UJR57" s="82" t="str">
        <f>IF(ISNUMBER(outYear),UJR37+UJR42+#REF!+#REF!,"")</f>
        <v/>
      </c>
      <c r="UJS57" s="82" t="str">
        <f>IF(ISNUMBER(outYear),UJS37+UJS42+#REF!+#REF!,"")</f>
        <v/>
      </c>
      <c r="UJT57" s="82" t="str">
        <f>IF(ISNUMBER(outYear),UJT37+UJT42+#REF!+#REF!,"")</f>
        <v/>
      </c>
      <c r="UJU57" s="82" t="str">
        <f>IF(ISNUMBER(outYear),UJU37+UJU42+#REF!+#REF!,"")</f>
        <v/>
      </c>
      <c r="UJV57" s="82" t="str">
        <f>IF(ISNUMBER(outYear),UJV37+UJV42+#REF!+#REF!,"")</f>
        <v/>
      </c>
      <c r="UJW57" s="82" t="str">
        <f>IF(ISNUMBER(outYear),UJW37+UJW42+#REF!+#REF!,"")</f>
        <v/>
      </c>
      <c r="UJX57" s="82" t="str">
        <f>IF(ISNUMBER(outYear),UJX37+UJX42+#REF!+#REF!,"")</f>
        <v/>
      </c>
      <c r="UJY57" s="82" t="str">
        <f>IF(ISNUMBER(outYear),UJY37+UJY42+#REF!+#REF!,"")</f>
        <v/>
      </c>
      <c r="UJZ57" s="82" t="str">
        <f>IF(ISNUMBER(outYear),UJZ37+UJZ42+#REF!+#REF!,"")</f>
        <v/>
      </c>
      <c r="UKA57" s="82" t="str">
        <f>IF(ISNUMBER(outYear),UKA37+UKA42+#REF!+#REF!,"")</f>
        <v/>
      </c>
      <c r="UKB57" s="82" t="str">
        <f>IF(ISNUMBER(outYear),UKB37+UKB42+#REF!+#REF!,"")</f>
        <v/>
      </c>
      <c r="UKC57" s="82" t="str">
        <f>IF(ISNUMBER(outYear),UKC37+UKC42+#REF!+#REF!,"")</f>
        <v/>
      </c>
      <c r="UKD57" s="82" t="str">
        <f>IF(ISNUMBER(outYear),UKD37+UKD42+#REF!+#REF!,"")</f>
        <v/>
      </c>
      <c r="UKE57" s="82" t="str">
        <f>IF(ISNUMBER(outYear),UKE37+UKE42+#REF!+#REF!,"")</f>
        <v/>
      </c>
      <c r="UKF57" s="82" t="str">
        <f>IF(ISNUMBER(outYear),UKF37+UKF42+#REF!+#REF!,"")</f>
        <v/>
      </c>
      <c r="UKG57" s="82" t="str">
        <f>IF(ISNUMBER(outYear),UKG37+UKG42+#REF!+#REF!,"")</f>
        <v/>
      </c>
      <c r="UKH57" s="82" t="str">
        <f>IF(ISNUMBER(outYear),UKH37+UKH42+#REF!+#REF!,"")</f>
        <v/>
      </c>
      <c r="UKI57" s="82" t="str">
        <f>IF(ISNUMBER(outYear),UKI37+UKI42+#REF!+#REF!,"")</f>
        <v/>
      </c>
      <c r="UKJ57" s="82" t="str">
        <f>IF(ISNUMBER(outYear),UKJ37+UKJ42+#REF!+#REF!,"")</f>
        <v/>
      </c>
      <c r="UKK57" s="82" t="str">
        <f>IF(ISNUMBER(outYear),UKK37+UKK42+#REF!+#REF!,"")</f>
        <v/>
      </c>
      <c r="UKL57" s="82" t="str">
        <f>IF(ISNUMBER(outYear),UKL37+UKL42+#REF!+#REF!,"")</f>
        <v/>
      </c>
      <c r="UKM57" s="82" t="str">
        <f>IF(ISNUMBER(outYear),UKM37+UKM42+#REF!+#REF!,"")</f>
        <v/>
      </c>
      <c r="UKN57" s="82" t="str">
        <f>IF(ISNUMBER(outYear),UKN37+UKN42+#REF!+#REF!,"")</f>
        <v/>
      </c>
      <c r="UKO57" s="82" t="str">
        <f>IF(ISNUMBER(outYear),UKO37+UKO42+#REF!+#REF!,"")</f>
        <v/>
      </c>
      <c r="UKP57" s="82" t="str">
        <f>IF(ISNUMBER(outYear),UKP37+UKP42+#REF!+#REF!,"")</f>
        <v/>
      </c>
      <c r="UKQ57" s="82" t="str">
        <f>IF(ISNUMBER(outYear),UKQ37+UKQ42+#REF!+#REF!,"")</f>
        <v/>
      </c>
      <c r="UKR57" s="82" t="str">
        <f>IF(ISNUMBER(outYear),UKR37+UKR42+#REF!+#REF!,"")</f>
        <v/>
      </c>
      <c r="UKS57" s="82" t="str">
        <f>IF(ISNUMBER(outYear),UKS37+UKS42+#REF!+#REF!,"")</f>
        <v/>
      </c>
      <c r="UKT57" s="82" t="str">
        <f>IF(ISNUMBER(outYear),UKT37+UKT42+#REF!+#REF!,"")</f>
        <v/>
      </c>
      <c r="UKU57" s="82" t="str">
        <f>IF(ISNUMBER(outYear),UKU37+UKU42+#REF!+#REF!,"")</f>
        <v/>
      </c>
      <c r="UKV57" s="82" t="str">
        <f>IF(ISNUMBER(outYear),UKV37+UKV42+#REF!+#REF!,"")</f>
        <v/>
      </c>
      <c r="UKW57" s="82" t="str">
        <f>IF(ISNUMBER(outYear),UKW37+UKW42+#REF!+#REF!,"")</f>
        <v/>
      </c>
      <c r="UKX57" s="82" t="str">
        <f>IF(ISNUMBER(outYear),UKX37+UKX42+#REF!+#REF!,"")</f>
        <v/>
      </c>
      <c r="UKY57" s="82" t="str">
        <f>IF(ISNUMBER(outYear),UKY37+UKY42+#REF!+#REF!,"")</f>
        <v/>
      </c>
      <c r="UKZ57" s="82" t="str">
        <f>IF(ISNUMBER(outYear),UKZ37+UKZ42+#REF!+#REF!,"")</f>
        <v/>
      </c>
      <c r="ULA57" s="82" t="str">
        <f>IF(ISNUMBER(outYear),ULA37+ULA42+#REF!+#REF!,"")</f>
        <v/>
      </c>
      <c r="ULB57" s="82" t="str">
        <f>IF(ISNUMBER(outYear),ULB37+ULB42+#REF!+#REF!,"")</f>
        <v/>
      </c>
      <c r="ULC57" s="82" t="str">
        <f>IF(ISNUMBER(outYear),ULC37+ULC42+#REF!+#REF!,"")</f>
        <v/>
      </c>
      <c r="ULD57" s="82" t="str">
        <f>IF(ISNUMBER(outYear),ULD37+ULD42+#REF!+#REF!,"")</f>
        <v/>
      </c>
      <c r="ULE57" s="82" t="str">
        <f>IF(ISNUMBER(outYear),ULE37+ULE42+#REF!+#REF!,"")</f>
        <v/>
      </c>
      <c r="ULF57" s="82" t="str">
        <f>IF(ISNUMBER(outYear),ULF37+ULF42+#REF!+#REF!,"")</f>
        <v/>
      </c>
      <c r="ULG57" s="82" t="str">
        <f>IF(ISNUMBER(outYear),ULG37+ULG42+#REF!+#REF!,"")</f>
        <v/>
      </c>
      <c r="ULH57" s="82" t="str">
        <f>IF(ISNUMBER(outYear),ULH37+ULH42+#REF!+#REF!,"")</f>
        <v/>
      </c>
      <c r="ULI57" s="82" t="str">
        <f>IF(ISNUMBER(outYear),ULI37+ULI42+#REF!+#REF!,"")</f>
        <v/>
      </c>
      <c r="ULJ57" s="82" t="str">
        <f>IF(ISNUMBER(outYear),ULJ37+ULJ42+#REF!+#REF!,"")</f>
        <v/>
      </c>
      <c r="ULK57" s="82" t="str">
        <f>IF(ISNUMBER(outYear),ULK37+ULK42+#REF!+#REF!,"")</f>
        <v/>
      </c>
      <c r="ULL57" s="82" t="str">
        <f>IF(ISNUMBER(outYear),ULL37+ULL42+#REF!+#REF!,"")</f>
        <v/>
      </c>
      <c r="ULM57" s="82" t="str">
        <f>IF(ISNUMBER(outYear),ULM37+ULM42+#REF!+#REF!,"")</f>
        <v/>
      </c>
      <c r="ULN57" s="82" t="str">
        <f>IF(ISNUMBER(outYear),ULN37+ULN42+#REF!+#REF!,"")</f>
        <v/>
      </c>
      <c r="ULO57" s="82" t="str">
        <f>IF(ISNUMBER(outYear),ULO37+ULO42+#REF!+#REF!,"")</f>
        <v/>
      </c>
      <c r="ULP57" s="82" t="str">
        <f>IF(ISNUMBER(outYear),ULP37+ULP42+#REF!+#REF!,"")</f>
        <v/>
      </c>
      <c r="ULQ57" s="82" t="str">
        <f>IF(ISNUMBER(outYear),ULQ37+ULQ42+#REF!+#REF!,"")</f>
        <v/>
      </c>
      <c r="ULR57" s="82" t="str">
        <f>IF(ISNUMBER(outYear),ULR37+ULR42+#REF!+#REF!,"")</f>
        <v/>
      </c>
      <c r="ULS57" s="82" t="str">
        <f>IF(ISNUMBER(outYear),ULS37+ULS42+#REF!+#REF!,"")</f>
        <v/>
      </c>
      <c r="ULT57" s="82" t="str">
        <f>IF(ISNUMBER(outYear),ULT37+ULT42+#REF!+#REF!,"")</f>
        <v/>
      </c>
      <c r="ULU57" s="82" t="str">
        <f>IF(ISNUMBER(outYear),ULU37+ULU42+#REF!+#REF!,"")</f>
        <v/>
      </c>
      <c r="ULV57" s="82" t="str">
        <f>IF(ISNUMBER(outYear),ULV37+ULV42+#REF!+#REF!,"")</f>
        <v/>
      </c>
      <c r="ULW57" s="82" t="str">
        <f>IF(ISNUMBER(outYear),ULW37+ULW42+#REF!+#REF!,"")</f>
        <v/>
      </c>
      <c r="ULX57" s="82" t="str">
        <f>IF(ISNUMBER(outYear),ULX37+ULX42+#REF!+#REF!,"")</f>
        <v/>
      </c>
      <c r="ULY57" s="82" t="str">
        <f>IF(ISNUMBER(outYear),ULY37+ULY42+#REF!+#REF!,"")</f>
        <v/>
      </c>
      <c r="ULZ57" s="82" t="str">
        <f>IF(ISNUMBER(outYear),ULZ37+ULZ42+#REF!+#REF!,"")</f>
        <v/>
      </c>
      <c r="UMA57" s="82" t="str">
        <f>IF(ISNUMBER(outYear),UMA37+UMA42+#REF!+#REF!,"")</f>
        <v/>
      </c>
      <c r="UMB57" s="82" t="str">
        <f>IF(ISNUMBER(outYear),UMB37+UMB42+#REF!+#REF!,"")</f>
        <v/>
      </c>
      <c r="UMC57" s="82" t="str">
        <f>IF(ISNUMBER(outYear),UMC37+UMC42+#REF!+#REF!,"")</f>
        <v/>
      </c>
      <c r="UMD57" s="82" t="str">
        <f>IF(ISNUMBER(outYear),UMD37+UMD42+#REF!+#REF!,"")</f>
        <v/>
      </c>
      <c r="UME57" s="82" t="str">
        <f>IF(ISNUMBER(outYear),UME37+UME42+#REF!+#REF!,"")</f>
        <v/>
      </c>
      <c r="UMF57" s="82" t="str">
        <f>IF(ISNUMBER(outYear),UMF37+UMF42+#REF!+#REF!,"")</f>
        <v/>
      </c>
      <c r="UMG57" s="82" t="str">
        <f>IF(ISNUMBER(outYear),UMG37+UMG42+#REF!+#REF!,"")</f>
        <v/>
      </c>
      <c r="UMH57" s="82" t="str">
        <f>IF(ISNUMBER(outYear),UMH37+UMH42+#REF!+#REF!,"")</f>
        <v/>
      </c>
      <c r="UMI57" s="82" t="str">
        <f>IF(ISNUMBER(outYear),UMI37+UMI42+#REF!+#REF!,"")</f>
        <v/>
      </c>
      <c r="UMJ57" s="82" t="str">
        <f>IF(ISNUMBER(outYear),UMJ37+UMJ42+#REF!+#REF!,"")</f>
        <v/>
      </c>
      <c r="UMK57" s="82" t="str">
        <f>IF(ISNUMBER(outYear),UMK37+UMK42+#REF!+#REF!,"")</f>
        <v/>
      </c>
      <c r="UML57" s="82" t="str">
        <f>IF(ISNUMBER(outYear),UML37+UML42+#REF!+#REF!,"")</f>
        <v/>
      </c>
      <c r="UMM57" s="82" t="str">
        <f>IF(ISNUMBER(outYear),UMM37+UMM42+#REF!+#REF!,"")</f>
        <v/>
      </c>
      <c r="UMN57" s="82" t="str">
        <f>IF(ISNUMBER(outYear),UMN37+UMN42+#REF!+#REF!,"")</f>
        <v/>
      </c>
      <c r="UMO57" s="82" t="str">
        <f>IF(ISNUMBER(outYear),UMO37+UMO42+#REF!+#REF!,"")</f>
        <v/>
      </c>
      <c r="UMP57" s="82" t="str">
        <f>IF(ISNUMBER(outYear),UMP37+UMP42+#REF!+#REF!,"")</f>
        <v/>
      </c>
      <c r="UMQ57" s="82" t="str">
        <f>IF(ISNUMBER(outYear),UMQ37+UMQ42+#REF!+#REF!,"")</f>
        <v/>
      </c>
      <c r="UMR57" s="82" t="str">
        <f>IF(ISNUMBER(outYear),UMR37+UMR42+#REF!+#REF!,"")</f>
        <v/>
      </c>
      <c r="UMS57" s="82" t="str">
        <f>IF(ISNUMBER(outYear),UMS37+UMS42+#REF!+#REF!,"")</f>
        <v/>
      </c>
      <c r="UMT57" s="82" t="str">
        <f>IF(ISNUMBER(outYear),UMT37+UMT42+#REF!+#REF!,"")</f>
        <v/>
      </c>
      <c r="UMU57" s="82" t="str">
        <f>IF(ISNUMBER(outYear),UMU37+UMU42+#REF!+#REF!,"")</f>
        <v/>
      </c>
      <c r="UMV57" s="82" t="str">
        <f>IF(ISNUMBER(outYear),UMV37+UMV42+#REF!+#REF!,"")</f>
        <v/>
      </c>
      <c r="UMW57" s="82" t="str">
        <f>IF(ISNUMBER(outYear),UMW37+UMW42+#REF!+#REF!,"")</f>
        <v/>
      </c>
      <c r="UMX57" s="82" t="str">
        <f>IF(ISNUMBER(outYear),UMX37+UMX42+#REF!+#REF!,"")</f>
        <v/>
      </c>
      <c r="UMY57" s="82" t="str">
        <f>IF(ISNUMBER(outYear),UMY37+UMY42+#REF!+#REF!,"")</f>
        <v/>
      </c>
      <c r="UMZ57" s="82" t="str">
        <f>IF(ISNUMBER(outYear),UMZ37+UMZ42+#REF!+#REF!,"")</f>
        <v/>
      </c>
      <c r="UNA57" s="82" t="str">
        <f>IF(ISNUMBER(outYear),UNA37+UNA42+#REF!+#REF!,"")</f>
        <v/>
      </c>
      <c r="UNB57" s="82" t="str">
        <f>IF(ISNUMBER(outYear),UNB37+UNB42+#REF!+#REF!,"")</f>
        <v/>
      </c>
      <c r="UNC57" s="82" t="str">
        <f>IF(ISNUMBER(outYear),UNC37+UNC42+#REF!+#REF!,"")</f>
        <v/>
      </c>
      <c r="UND57" s="82" t="str">
        <f>IF(ISNUMBER(outYear),UND37+UND42+#REF!+#REF!,"")</f>
        <v/>
      </c>
      <c r="UNE57" s="82" t="str">
        <f>IF(ISNUMBER(outYear),UNE37+UNE42+#REF!+#REF!,"")</f>
        <v/>
      </c>
      <c r="UNF57" s="82" t="str">
        <f>IF(ISNUMBER(outYear),UNF37+UNF42+#REF!+#REF!,"")</f>
        <v/>
      </c>
      <c r="UNG57" s="82" t="str">
        <f>IF(ISNUMBER(outYear),UNG37+UNG42+#REF!+#REF!,"")</f>
        <v/>
      </c>
      <c r="UNH57" s="82" t="str">
        <f>IF(ISNUMBER(outYear),UNH37+UNH42+#REF!+#REF!,"")</f>
        <v/>
      </c>
      <c r="UNI57" s="82" t="str">
        <f>IF(ISNUMBER(outYear),UNI37+UNI42+#REF!+#REF!,"")</f>
        <v/>
      </c>
      <c r="UNJ57" s="82" t="str">
        <f>IF(ISNUMBER(outYear),UNJ37+UNJ42+#REF!+#REF!,"")</f>
        <v/>
      </c>
      <c r="UNK57" s="82" t="str">
        <f>IF(ISNUMBER(outYear),UNK37+UNK42+#REF!+#REF!,"")</f>
        <v/>
      </c>
      <c r="UNL57" s="82" t="str">
        <f>IF(ISNUMBER(outYear),UNL37+UNL42+#REF!+#REF!,"")</f>
        <v/>
      </c>
      <c r="UNM57" s="82" t="str">
        <f>IF(ISNUMBER(outYear),UNM37+UNM42+#REF!+#REF!,"")</f>
        <v/>
      </c>
      <c r="UNN57" s="82" t="str">
        <f>IF(ISNUMBER(outYear),UNN37+UNN42+#REF!+#REF!,"")</f>
        <v/>
      </c>
      <c r="UNO57" s="82" t="str">
        <f>IF(ISNUMBER(outYear),UNO37+UNO42+#REF!+#REF!,"")</f>
        <v/>
      </c>
      <c r="UNP57" s="82" t="str">
        <f>IF(ISNUMBER(outYear),UNP37+UNP42+#REF!+#REF!,"")</f>
        <v/>
      </c>
      <c r="UNQ57" s="82" t="str">
        <f>IF(ISNUMBER(outYear),UNQ37+UNQ42+#REF!+#REF!,"")</f>
        <v/>
      </c>
      <c r="UNR57" s="82" t="str">
        <f>IF(ISNUMBER(outYear),UNR37+UNR42+#REF!+#REF!,"")</f>
        <v/>
      </c>
      <c r="UNS57" s="82" t="str">
        <f>IF(ISNUMBER(outYear),UNS37+UNS42+#REF!+#REF!,"")</f>
        <v/>
      </c>
      <c r="UNT57" s="82" t="str">
        <f>IF(ISNUMBER(outYear),UNT37+UNT42+#REF!+#REF!,"")</f>
        <v/>
      </c>
      <c r="UNU57" s="82" t="str">
        <f>IF(ISNUMBER(outYear),UNU37+UNU42+#REF!+#REF!,"")</f>
        <v/>
      </c>
      <c r="UNV57" s="82" t="str">
        <f>IF(ISNUMBER(outYear),UNV37+UNV42+#REF!+#REF!,"")</f>
        <v/>
      </c>
      <c r="UNW57" s="82" t="str">
        <f>IF(ISNUMBER(outYear),UNW37+UNW42+#REF!+#REF!,"")</f>
        <v/>
      </c>
      <c r="UNX57" s="82" t="str">
        <f>IF(ISNUMBER(outYear),UNX37+UNX42+#REF!+#REF!,"")</f>
        <v/>
      </c>
      <c r="UNY57" s="82" t="str">
        <f>IF(ISNUMBER(outYear),UNY37+UNY42+#REF!+#REF!,"")</f>
        <v/>
      </c>
      <c r="UNZ57" s="82" t="str">
        <f>IF(ISNUMBER(outYear),UNZ37+UNZ42+#REF!+#REF!,"")</f>
        <v/>
      </c>
      <c r="UOA57" s="82" t="str">
        <f>IF(ISNUMBER(outYear),UOA37+UOA42+#REF!+#REF!,"")</f>
        <v/>
      </c>
      <c r="UOB57" s="82" t="str">
        <f>IF(ISNUMBER(outYear),UOB37+UOB42+#REF!+#REF!,"")</f>
        <v/>
      </c>
      <c r="UOC57" s="82" t="str">
        <f>IF(ISNUMBER(outYear),UOC37+UOC42+#REF!+#REF!,"")</f>
        <v/>
      </c>
      <c r="UOD57" s="82" t="str">
        <f>IF(ISNUMBER(outYear),UOD37+UOD42+#REF!+#REF!,"")</f>
        <v/>
      </c>
      <c r="UOE57" s="82" t="str">
        <f>IF(ISNUMBER(outYear),UOE37+UOE42+#REF!+#REF!,"")</f>
        <v/>
      </c>
      <c r="UOF57" s="82" t="str">
        <f>IF(ISNUMBER(outYear),UOF37+UOF42+#REF!+#REF!,"")</f>
        <v/>
      </c>
      <c r="UOG57" s="82" t="str">
        <f>IF(ISNUMBER(outYear),UOG37+UOG42+#REF!+#REF!,"")</f>
        <v/>
      </c>
      <c r="UOH57" s="82" t="str">
        <f>IF(ISNUMBER(outYear),UOH37+UOH42+#REF!+#REF!,"")</f>
        <v/>
      </c>
      <c r="UOI57" s="82" t="str">
        <f>IF(ISNUMBER(outYear),UOI37+UOI42+#REF!+#REF!,"")</f>
        <v/>
      </c>
      <c r="UOJ57" s="82" t="str">
        <f>IF(ISNUMBER(outYear),UOJ37+UOJ42+#REF!+#REF!,"")</f>
        <v/>
      </c>
      <c r="UOK57" s="82" t="str">
        <f>IF(ISNUMBER(outYear),UOK37+UOK42+#REF!+#REF!,"")</f>
        <v/>
      </c>
      <c r="UOL57" s="82" t="str">
        <f>IF(ISNUMBER(outYear),UOL37+UOL42+#REF!+#REF!,"")</f>
        <v/>
      </c>
      <c r="UOM57" s="82" t="str">
        <f>IF(ISNUMBER(outYear),UOM37+UOM42+#REF!+#REF!,"")</f>
        <v/>
      </c>
      <c r="UON57" s="82" t="str">
        <f>IF(ISNUMBER(outYear),UON37+UON42+#REF!+#REF!,"")</f>
        <v/>
      </c>
      <c r="UOO57" s="82" t="str">
        <f>IF(ISNUMBER(outYear),UOO37+UOO42+#REF!+#REF!,"")</f>
        <v/>
      </c>
      <c r="UOP57" s="82" t="str">
        <f>IF(ISNUMBER(outYear),UOP37+UOP42+#REF!+#REF!,"")</f>
        <v/>
      </c>
      <c r="UOQ57" s="82" t="str">
        <f>IF(ISNUMBER(outYear),UOQ37+UOQ42+#REF!+#REF!,"")</f>
        <v/>
      </c>
      <c r="UOR57" s="82" t="str">
        <f>IF(ISNUMBER(outYear),UOR37+UOR42+#REF!+#REF!,"")</f>
        <v/>
      </c>
      <c r="UOS57" s="82" t="str">
        <f>IF(ISNUMBER(outYear),UOS37+UOS42+#REF!+#REF!,"")</f>
        <v/>
      </c>
      <c r="UOT57" s="82" t="str">
        <f>IF(ISNUMBER(outYear),UOT37+UOT42+#REF!+#REF!,"")</f>
        <v/>
      </c>
      <c r="UOU57" s="82" t="str">
        <f>IF(ISNUMBER(outYear),UOU37+UOU42+#REF!+#REF!,"")</f>
        <v/>
      </c>
      <c r="UOV57" s="82" t="str">
        <f>IF(ISNUMBER(outYear),UOV37+UOV42+#REF!+#REF!,"")</f>
        <v/>
      </c>
      <c r="UOW57" s="82" t="str">
        <f>IF(ISNUMBER(outYear),UOW37+UOW42+#REF!+#REF!,"")</f>
        <v/>
      </c>
      <c r="UOX57" s="82" t="str">
        <f>IF(ISNUMBER(outYear),UOX37+UOX42+#REF!+#REF!,"")</f>
        <v/>
      </c>
      <c r="UOY57" s="82" t="str">
        <f>IF(ISNUMBER(outYear),UOY37+UOY42+#REF!+#REF!,"")</f>
        <v/>
      </c>
      <c r="UOZ57" s="82" t="str">
        <f>IF(ISNUMBER(outYear),UOZ37+UOZ42+#REF!+#REF!,"")</f>
        <v/>
      </c>
      <c r="UPA57" s="82" t="str">
        <f>IF(ISNUMBER(outYear),UPA37+UPA42+#REF!+#REF!,"")</f>
        <v/>
      </c>
      <c r="UPB57" s="82" t="str">
        <f>IF(ISNUMBER(outYear),UPB37+UPB42+#REF!+#REF!,"")</f>
        <v/>
      </c>
      <c r="UPC57" s="82" t="str">
        <f>IF(ISNUMBER(outYear),UPC37+UPC42+#REF!+#REF!,"")</f>
        <v/>
      </c>
      <c r="UPD57" s="82" t="str">
        <f>IF(ISNUMBER(outYear),UPD37+UPD42+#REF!+#REF!,"")</f>
        <v/>
      </c>
      <c r="UPE57" s="82" t="str">
        <f>IF(ISNUMBER(outYear),UPE37+UPE42+#REF!+#REF!,"")</f>
        <v/>
      </c>
      <c r="UPF57" s="82" t="str">
        <f>IF(ISNUMBER(outYear),UPF37+UPF42+#REF!+#REF!,"")</f>
        <v/>
      </c>
      <c r="UPG57" s="82" t="str">
        <f>IF(ISNUMBER(outYear),UPG37+UPG42+#REF!+#REF!,"")</f>
        <v/>
      </c>
      <c r="UPH57" s="82" t="str">
        <f>IF(ISNUMBER(outYear),UPH37+UPH42+#REF!+#REF!,"")</f>
        <v/>
      </c>
      <c r="UPI57" s="82" t="str">
        <f>IF(ISNUMBER(outYear),UPI37+UPI42+#REF!+#REF!,"")</f>
        <v/>
      </c>
      <c r="UPJ57" s="82" t="str">
        <f>IF(ISNUMBER(outYear),UPJ37+UPJ42+#REF!+#REF!,"")</f>
        <v/>
      </c>
      <c r="UPK57" s="82" t="str">
        <f>IF(ISNUMBER(outYear),UPK37+UPK42+#REF!+#REF!,"")</f>
        <v/>
      </c>
      <c r="UPL57" s="82" t="str">
        <f>IF(ISNUMBER(outYear),UPL37+UPL42+#REF!+#REF!,"")</f>
        <v/>
      </c>
      <c r="UPM57" s="82" t="str">
        <f>IF(ISNUMBER(outYear),UPM37+UPM42+#REF!+#REF!,"")</f>
        <v/>
      </c>
      <c r="UPN57" s="82" t="str">
        <f>IF(ISNUMBER(outYear),UPN37+UPN42+#REF!+#REF!,"")</f>
        <v/>
      </c>
      <c r="UPO57" s="82" t="str">
        <f>IF(ISNUMBER(outYear),UPO37+UPO42+#REF!+#REF!,"")</f>
        <v/>
      </c>
      <c r="UPP57" s="82" t="str">
        <f>IF(ISNUMBER(outYear),UPP37+UPP42+#REF!+#REF!,"")</f>
        <v/>
      </c>
      <c r="UPQ57" s="82" t="str">
        <f>IF(ISNUMBER(outYear),UPQ37+UPQ42+#REF!+#REF!,"")</f>
        <v/>
      </c>
      <c r="UPR57" s="82" t="str">
        <f>IF(ISNUMBER(outYear),UPR37+UPR42+#REF!+#REF!,"")</f>
        <v/>
      </c>
      <c r="UPS57" s="82" t="str">
        <f>IF(ISNUMBER(outYear),UPS37+UPS42+#REF!+#REF!,"")</f>
        <v/>
      </c>
      <c r="UPT57" s="82" t="str">
        <f>IF(ISNUMBER(outYear),UPT37+UPT42+#REF!+#REF!,"")</f>
        <v/>
      </c>
      <c r="UPU57" s="82" t="str">
        <f>IF(ISNUMBER(outYear),UPU37+UPU42+#REF!+#REF!,"")</f>
        <v/>
      </c>
      <c r="UPV57" s="82" t="str">
        <f>IF(ISNUMBER(outYear),UPV37+UPV42+#REF!+#REF!,"")</f>
        <v/>
      </c>
      <c r="UPW57" s="82" t="str">
        <f>IF(ISNUMBER(outYear),UPW37+UPW42+#REF!+#REF!,"")</f>
        <v/>
      </c>
      <c r="UPX57" s="82" t="str">
        <f>IF(ISNUMBER(outYear),UPX37+UPX42+#REF!+#REF!,"")</f>
        <v/>
      </c>
      <c r="UPY57" s="82" t="str">
        <f>IF(ISNUMBER(outYear),UPY37+UPY42+#REF!+#REF!,"")</f>
        <v/>
      </c>
      <c r="UPZ57" s="82" t="str">
        <f>IF(ISNUMBER(outYear),UPZ37+UPZ42+#REF!+#REF!,"")</f>
        <v/>
      </c>
      <c r="UQA57" s="82" t="str">
        <f>IF(ISNUMBER(outYear),UQA37+UQA42+#REF!+#REF!,"")</f>
        <v/>
      </c>
      <c r="UQB57" s="82" t="str">
        <f>IF(ISNUMBER(outYear),UQB37+UQB42+#REF!+#REF!,"")</f>
        <v/>
      </c>
      <c r="UQC57" s="82" t="str">
        <f>IF(ISNUMBER(outYear),UQC37+UQC42+#REF!+#REF!,"")</f>
        <v/>
      </c>
      <c r="UQD57" s="82" t="str">
        <f>IF(ISNUMBER(outYear),UQD37+UQD42+#REF!+#REF!,"")</f>
        <v/>
      </c>
      <c r="UQE57" s="82" t="str">
        <f>IF(ISNUMBER(outYear),UQE37+UQE42+#REF!+#REF!,"")</f>
        <v/>
      </c>
      <c r="UQF57" s="82" t="str">
        <f>IF(ISNUMBER(outYear),UQF37+UQF42+#REF!+#REF!,"")</f>
        <v/>
      </c>
      <c r="UQG57" s="82" t="str">
        <f>IF(ISNUMBER(outYear),UQG37+UQG42+#REF!+#REF!,"")</f>
        <v/>
      </c>
      <c r="UQH57" s="82" t="str">
        <f>IF(ISNUMBER(outYear),UQH37+UQH42+#REF!+#REF!,"")</f>
        <v/>
      </c>
      <c r="UQI57" s="82" t="str">
        <f>IF(ISNUMBER(outYear),UQI37+UQI42+#REF!+#REF!,"")</f>
        <v/>
      </c>
      <c r="UQJ57" s="82" t="str">
        <f>IF(ISNUMBER(outYear),UQJ37+UQJ42+#REF!+#REF!,"")</f>
        <v/>
      </c>
      <c r="UQK57" s="82" t="str">
        <f>IF(ISNUMBER(outYear),UQK37+UQK42+#REF!+#REF!,"")</f>
        <v/>
      </c>
      <c r="UQL57" s="82" t="str">
        <f>IF(ISNUMBER(outYear),UQL37+UQL42+#REF!+#REF!,"")</f>
        <v/>
      </c>
      <c r="UQM57" s="82" t="str">
        <f>IF(ISNUMBER(outYear),UQM37+UQM42+#REF!+#REF!,"")</f>
        <v/>
      </c>
      <c r="UQN57" s="82" t="str">
        <f>IF(ISNUMBER(outYear),UQN37+UQN42+#REF!+#REF!,"")</f>
        <v/>
      </c>
      <c r="UQO57" s="82" t="str">
        <f>IF(ISNUMBER(outYear),UQO37+UQO42+#REF!+#REF!,"")</f>
        <v/>
      </c>
      <c r="UQP57" s="82" t="str">
        <f>IF(ISNUMBER(outYear),UQP37+UQP42+#REF!+#REF!,"")</f>
        <v/>
      </c>
      <c r="UQQ57" s="82" t="str">
        <f>IF(ISNUMBER(outYear),UQQ37+UQQ42+#REF!+#REF!,"")</f>
        <v/>
      </c>
      <c r="UQR57" s="82" t="str">
        <f>IF(ISNUMBER(outYear),UQR37+UQR42+#REF!+#REF!,"")</f>
        <v/>
      </c>
      <c r="UQS57" s="82" t="str">
        <f>IF(ISNUMBER(outYear),UQS37+UQS42+#REF!+#REF!,"")</f>
        <v/>
      </c>
      <c r="UQT57" s="82" t="str">
        <f>IF(ISNUMBER(outYear),UQT37+UQT42+#REF!+#REF!,"")</f>
        <v/>
      </c>
      <c r="UQU57" s="82" t="str">
        <f>IF(ISNUMBER(outYear),UQU37+UQU42+#REF!+#REF!,"")</f>
        <v/>
      </c>
      <c r="UQV57" s="82" t="str">
        <f>IF(ISNUMBER(outYear),UQV37+UQV42+#REF!+#REF!,"")</f>
        <v/>
      </c>
      <c r="UQW57" s="82" t="str">
        <f>IF(ISNUMBER(outYear),UQW37+UQW42+#REF!+#REF!,"")</f>
        <v/>
      </c>
      <c r="UQX57" s="82" t="str">
        <f>IF(ISNUMBER(outYear),UQX37+UQX42+#REF!+#REF!,"")</f>
        <v/>
      </c>
      <c r="UQY57" s="82" t="str">
        <f>IF(ISNUMBER(outYear),UQY37+UQY42+#REF!+#REF!,"")</f>
        <v/>
      </c>
      <c r="UQZ57" s="82" t="str">
        <f>IF(ISNUMBER(outYear),UQZ37+UQZ42+#REF!+#REF!,"")</f>
        <v/>
      </c>
      <c r="URA57" s="82" t="str">
        <f>IF(ISNUMBER(outYear),URA37+URA42+#REF!+#REF!,"")</f>
        <v/>
      </c>
      <c r="URB57" s="82" t="str">
        <f>IF(ISNUMBER(outYear),URB37+URB42+#REF!+#REF!,"")</f>
        <v/>
      </c>
      <c r="URC57" s="82" t="str">
        <f>IF(ISNUMBER(outYear),URC37+URC42+#REF!+#REF!,"")</f>
        <v/>
      </c>
      <c r="URD57" s="82" t="str">
        <f>IF(ISNUMBER(outYear),URD37+URD42+#REF!+#REF!,"")</f>
        <v/>
      </c>
      <c r="URE57" s="82" t="str">
        <f>IF(ISNUMBER(outYear),URE37+URE42+#REF!+#REF!,"")</f>
        <v/>
      </c>
      <c r="URF57" s="82" t="str">
        <f>IF(ISNUMBER(outYear),URF37+URF42+#REF!+#REF!,"")</f>
        <v/>
      </c>
      <c r="URG57" s="82" t="str">
        <f>IF(ISNUMBER(outYear),URG37+URG42+#REF!+#REF!,"")</f>
        <v/>
      </c>
      <c r="URH57" s="82" t="str">
        <f>IF(ISNUMBER(outYear),URH37+URH42+#REF!+#REF!,"")</f>
        <v/>
      </c>
      <c r="URI57" s="82" t="str">
        <f>IF(ISNUMBER(outYear),URI37+URI42+#REF!+#REF!,"")</f>
        <v/>
      </c>
      <c r="URJ57" s="82" t="str">
        <f>IF(ISNUMBER(outYear),URJ37+URJ42+#REF!+#REF!,"")</f>
        <v/>
      </c>
      <c r="URK57" s="82" t="str">
        <f>IF(ISNUMBER(outYear),URK37+URK42+#REF!+#REF!,"")</f>
        <v/>
      </c>
      <c r="URL57" s="82" t="str">
        <f>IF(ISNUMBER(outYear),URL37+URL42+#REF!+#REF!,"")</f>
        <v/>
      </c>
      <c r="URM57" s="82" t="str">
        <f>IF(ISNUMBER(outYear),URM37+URM42+#REF!+#REF!,"")</f>
        <v/>
      </c>
      <c r="URN57" s="82" t="str">
        <f>IF(ISNUMBER(outYear),URN37+URN42+#REF!+#REF!,"")</f>
        <v/>
      </c>
      <c r="URO57" s="82" t="str">
        <f>IF(ISNUMBER(outYear),URO37+URO42+#REF!+#REF!,"")</f>
        <v/>
      </c>
      <c r="URP57" s="82" t="str">
        <f>IF(ISNUMBER(outYear),URP37+URP42+#REF!+#REF!,"")</f>
        <v/>
      </c>
      <c r="URQ57" s="82" t="str">
        <f>IF(ISNUMBER(outYear),URQ37+URQ42+#REF!+#REF!,"")</f>
        <v/>
      </c>
      <c r="URR57" s="82" t="str">
        <f>IF(ISNUMBER(outYear),URR37+URR42+#REF!+#REF!,"")</f>
        <v/>
      </c>
      <c r="URS57" s="82" t="str">
        <f>IF(ISNUMBER(outYear),URS37+URS42+#REF!+#REF!,"")</f>
        <v/>
      </c>
      <c r="URT57" s="82" t="str">
        <f>IF(ISNUMBER(outYear),URT37+URT42+#REF!+#REF!,"")</f>
        <v/>
      </c>
      <c r="URU57" s="82" t="str">
        <f>IF(ISNUMBER(outYear),URU37+URU42+#REF!+#REF!,"")</f>
        <v/>
      </c>
      <c r="URV57" s="82" t="str">
        <f>IF(ISNUMBER(outYear),URV37+URV42+#REF!+#REF!,"")</f>
        <v/>
      </c>
      <c r="URW57" s="82" t="str">
        <f>IF(ISNUMBER(outYear),URW37+URW42+#REF!+#REF!,"")</f>
        <v/>
      </c>
      <c r="URX57" s="82" t="str">
        <f>IF(ISNUMBER(outYear),URX37+URX42+#REF!+#REF!,"")</f>
        <v/>
      </c>
      <c r="URY57" s="82" t="str">
        <f>IF(ISNUMBER(outYear),URY37+URY42+#REF!+#REF!,"")</f>
        <v/>
      </c>
      <c r="URZ57" s="82" t="str">
        <f>IF(ISNUMBER(outYear),URZ37+URZ42+#REF!+#REF!,"")</f>
        <v/>
      </c>
      <c r="USA57" s="82" t="str">
        <f>IF(ISNUMBER(outYear),USA37+USA42+#REF!+#REF!,"")</f>
        <v/>
      </c>
      <c r="USB57" s="82" t="str">
        <f>IF(ISNUMBER(outYear),USB37+USB42+#REF!+#REF!,"")</f>
        <v/>
      </c>
      <c r="USC57" s="82" t="str">
        <f>IF(ISNUMBER(outYear),USC37+USC42+#REF!+#REF!,"")</f>
        <v/>
      </c>
      <c r="USD57" s="82" t="str">
        <f>IF(ISNUMBER(outYear),USD37+USD42+#REF!+#REF!,"")</f>
        <v/>
      </c>
      <c r="USE57" s="82" t="str">
        <f>IF(ISNUMBER(outYear),USE37+USE42+#REF!+#REF!,"")</f>
        <v/>
      </c>
      <c r="USF57" s="82" t="str">
        <f>IF(ISNUMBER(outYear),USF37+USF42+#REF!+#REF!,"")</f>
        <v/>
      </c>
      <c r="USG57" s="82" t="str">
        <f>IF(ISNUMBER(outYear),USG37+USG42+#REF!+#REF!,"")</f>
        <v/>
      </c>
      <c r="USH57" s="82" t="str">
        <f>IF(ISNUMBER(outYear),USH37+USH42+#REF!+#REF!,"")</f>
        <v/>
      </c>
      <c r="USI57" s="82" t="str">
        <f>IF(ISNUMBER(outYear),USI37+USI42+#REF!+#REF!,"")</f>
        <v/>
      </c>
      <c r="USJ57" s="82" t="str">
        <f>IF(ISNUMBER(outYear),USJ37+USJ42+#REF!+#REF!,"")</f>
        <v/>
      </c>
      <c r="USK57" s="82" t="str">
        <f>IF(ISNUMBER(outYear),USK37+USK42+#REF!+#REF!,"")</f>
        <v/>
      </c>
      <c r="USL57" s="82" t="str">
        <f>IF(ISNUMBER(outYear),USL37+USL42+#REF!+#REF!,"")</f>
        <v/>
      </c>
      <c r="USM57" s="82" t="str">
        <f>IF(ISNUMBER(outYear),USM37+USM42+#REF!+#REF!,"")</f>
        <v/>
      </c>
      <c r="USN57" s="82" t="str">
        <f>IF(ISNUMBER(outYear),USN37+USN42+#REF!+#REF!,"")</f>
        <v/>
      </c>
      <c r="USO57" s="82" t="str">
        <f>IF(ISNUMBER(outYear),USO37+USO42+#REF!+#REF!,"")</f>
        <v/>
      </c>
      <c r="USP57" s="82" t="str">
        <f>IF(ISNUMBER(outYear),USP37+USP42+#REF!+#REF!,"")</f>
        <v/>
      </c>
      <c r="USQ57" s="82" t="str">
        <f>IF(ISNUMBER(outYear),USQ37+USQ42+#REF!+#REF!,"")</f>
        <v/>
      </c>
      <c r="USR57" s="82" t="str">
        <f>IF(ISNUMBER(outYear),USR37+USR42+#REF!+#REF!,"")</f>
        <v/>
      </c>
      <c r="USS57" s="82" t="str">
        <f>IF(ISNUMBER(outYear),USS37+USS42+#REF!+#REF!,"")</f>
        <v/>
      </c>
      <c r="UST57" s="82" t="str">
        <f>IF(ISNUMBER(outYear),UST37+UST42+#REF!+#REF!,"")</f>
        <v/>
      </c>
      <c r="USU57" s="82" t="str">
        <f>IF(ISNUMBER(outYear),USU37+USU42+#REF!+#REF!,"")</f>
        <v/>
      </c>
      <c r="USV57" s="82" t="str">
        <f>IF(ISNUMBER(outYear),USV37+USV42+#REF!+#REF!,"")</f>
        <v/>
      </c>
      <c r="USW57" s="82" t="str">
        <f>IF(ISNUMBER(outYear),USW37+USW42+#REF!+#REF!,"")</f>
        <v/>
      </c>
      <c r="USX57" s="82" t="str">
        <f>IF(ISNUMBER(outYear),USX37+USX42+#REF!+#REF!,"")</f>
        <v/>
      </c>
      <c r="USY57" s="82" t="str">
        <f>IF(ISNUMBER(outYear),USY37+USY42+#REF!+#REF!,"")</f>
        <v/>
      </c>
      <c r="USZ57" s="82" t="str">
        <f>IF(ISNUMBER(outYear),USZ37+USZ42+#REF!+#REF!,"")</f>
        <v/>
      </c>
      <c r="UTA57" s="82" t="str">
        <f>IF(ISNUMBER(outYear),UTA37+UTA42+#REF!+#REF!,"")</f>
        <v/>
      </c>
      <c r="UTB57" s="82" t="str">
        <f>IF(ISNUMBER(outYear),UTB37+UTB42+#REF!+#REF!,"")</f>
        <v/>
      </c>
      <c r="UTC57" s="82" t="str">
        <f>IF(ISNUMBER(outYear),UTC37+UTC42+#REF!+#REF!,"")</f>
        <v/>
      </c>
      <c r="UTD57" s="82" t="str">
        <f>IF(ISNUMBER(outYear),UTD37+UTD42+#REF!+#REF!,"")</f>
        <v/>
      </c>
      <c r="UTE57" s="82" t="str">
        <f>IF(ISNUMBER(outYear),UTE37+UTE42+#REF!+#REF!,"")</f>
        <v/>
      </c>
      <c r="UTF57" s="82" t="str">
        <f>IF(ISNUMBER(outYear),UTF37+UTF42+#REF!+#REF!,"")</f>
        <v/>
      </c>
      <c r="UTG57" s="82" t="str">
        <f>IF(ISNUMBER(outYear),UTG37+UTG42+#REF!+#REF!,"")</f>
        <v/>
      </c>
      <c r="UTH57" s="82" t="str">
        <f>IF(ISNUMBER(outYear),UTH37+UTH42+#REF!+#REF!,"")</f>
        <v/>
      </c>
      <c r="UTI57" s="82" t="str">
        <f>IF(ISNUMBER(outYear),UTI37+UTI42+#REF!+#REF!,"")</f>
        <v/>
      </c>
      <c r="UTJ57" s="82" t="str">
        <f>IF(ISNUMBER(outYear),UTJ37+UTJ42+#REF!+#REF!,"")</f>
        <v/>
      </c>
      <c r="UTK57" s="82" t="str">
        <f>IF(ISNUMBER(outYear),UTK37+UTK42+#REF!+#REF!,"")</f>
        <v/>
      </c>
      <c r="UTL57" s="82" t="str">
        <f>IF(ISNUMBER(outYear),UTL37+UTL42+#REF!+#REF!,"")</f>
        <v/>
      </c>
      <c r="UTM57" s="82" t="str">
        <f>IF(ISNUMBER(outYear),UTM37+UTM42+#REF!+#REF!,"")</f>
        <v/>
      </c>
      <c r="UTN57" s="82" t="str">
        <f>IF(ISNUMBER(outYear),UTN37+UTN42+#REF!+#REF!,"")</f>
        <v/>
      </c>
      <c r="UTO57" s="82" t="str">
        <f>IF(ISNUMBER(outYear),UTO37+UTO42+#REF!+#REF!,"")</f>
        <v/>
      </c>
      <c r="UTP57" s="82" t="str">
        <f>IF(ISNUMBER(outYear),UTP37+UTP42+#REF!+#REF!,"")</f>
        <v/>
      </c>
      <c r="UTQ57" s="82" t="str">
        <f>IF(ISNUMBER(outYear),UTQ37+UTQ42+#REF!+#REF!,"")</f>
        <v/>
      </c>
      <c r="UTR57" s="82" t="str">
        <f>IF(ISNUMBER(outYear),UTR37+UTR42+#REF!+#REF!,"")</f>
        <v/>
      </c>
      <c r="UTS57" s="82" t="str">
        <f>IF(ISNUMBER(outYear),UTS37+UTS42+#REF!+#REF!,"")</f>
        <v/>
      </c>
      <c r="UTT57" s="82" t="str">
        <f>IF(ISNUMBER(outYear),UTT37+UTT42+#REF!+#REF!,"")</f>
        <v/>
      </c>
      <c r="UTU57" s="82" t="str">
        <f>IF(ISNUMBER(outYear),UTU37+UTU42+#REF!+#REF!,"")</f>
        <v/>
      </c>
      <c r="UTV57" s="82" t="str">
        <f>IF(ISNUMBER(outYear),UTV37+UTV42+#REF!+#REF!,"")</f>
        <v/>
      </c>
      <c r="UTW57" s="82" t="str">
        <f>IF(ISNUMBER(outYear),UTW37+UTW42+#REF!+#REF!,"")</f>
        <v/>
      </c>
      <c r="UTX57" s="82" t="str">
        <f>IF(ISNUMBER(outYear),UTX37+UTX42+#REF!+#REF!,"")</f>
        <v/>
      </c>
      <c r="UTY57" s="82" t="str">
        <f>IF(ISNUMBER(outYear),UTY37+UTY42+#REF!+#REF!,"")</f>
        <v/>
      </c>
      <c r="UTZ57" s="82" t="str">
        <f>IF(ISNUMBER(outYear),UTZ37+UTZ42+#REF!+#REF!,"")</f>
        <v/>
      </c>
      <c r="UUA57" s="82" t="str">
        <f>IF(ISNUMBER(outYear),UUA37+UUA42+#REF!+#REF!,"")</f>
        <v/>
      </c>
      <c r="UUB57" s="82" t="str">
        <f>IF(ISNUMBER(outYear),UUB37+UUB42+#REF!+#REF!,"")</f>
        <v/>
      </c>
      <c r="UUC57" s="82" t="str">
        <f>IF(ISNUMBER(outYear),UUC37+UUC42+#REF!+#REF!,"")</f>
        <v/>
      </c>
      <c r="UUD57" s="82" t="str">
        <f>IF(ISNUMBER(outYear),UUD37+UUD42+#REF!+#REF!,"")</f>
        <v/>
      </c>
      <c r="UUE57" s="82" t="str">
        <f>IF(ISNUMBER(outYear),UUE37+UUE42+#REF!+#REF!,"")</f>
        <v/>
      </c>
      <c r="UUF57" s="82" t="str">
        <f>IF(ISNUMBER(outYear),UUF37+UUF42+#REF!+#REF!,"")</f>
        <v/>
      </c>
      <c r="UUG57" s="82" t="str">
        <f>IF(ISNUMBER(outYear),UUG37+UUG42+#REF!+#REF!,"")</f>
        <v/>
      </c>
      <c r="UUH57" s="82" t="str">
        <f>IF(ISNUMBER(outYear),UUH37+UUH42+#REF!+#REF!,"")</f>
        <v/>
      </c>
      <c r="UUI57" s="82" t="str">
        <f>IF(ISNUMBER(outYear),UUI37+UUI42+#REF!+#REF!,"")</f>
        <v/>
      </c>
      <c r="UUJ57" s="82" t="str">
        <f>IF(ISNUMBER(outYear),UUJ37+UUJ42+#REF!+#REF!,"")</f>
        <v/>
      </c>
      <c r="UUK57" s="82" t="str">
        <f>IF(ISNUMBER(outYear),UUK37+UUK42+#REF!+#REF!,"")</f>
        <v/>
      </c>
      <c r="UUL57" s="82" t="str">
        <f>IF(ISNUMBER(outYear),UUL37+UUL42+#REF!+#REF!,"")</f>
        <v/>
      </c>
      <c r="UUM57" s="82" t="str">
        <f>IF(ISNUMBER(outYear),UUM37+UUM42+#REF!+#REF!,"")</f>
        <v/>
      </c>
      <c r="UUN57" s="82" t="str">
        <f>IF(ISNUMBER(outYear),UUN37+UUN42+#REF!+#REF!,"")</f>
        <v/>
      </c>
      <c r="UUO57" s="82" t="str">
        <f>IF(ISNUMBER(outYear),UUO37+UUO42+#REF!+#REF!,"")</f>
        <v/>
      </c>
      <c r="UUP57" s="82" t="str">
        <f>IF(ISNUMBER(outYear),UUP37+UUP42+#REF!+#REF!,"")</f>
        <v/>
      </c>
      <c r="UUQ57" s="82" t="str">
        <f>IF(ISNUMBER(outYear),UUQ37+UUQ42+#REF!+#REF!,"")</f>
        <v/>
      </c>
      <c r="UUR57" s="82" t="str">
        <f>IF(ISNUMBER(outYear),UUR37+UUR42+#REF!+#REF!,"")</f>
        <v/>
      </c>
      <c r="UUS57" s="82" t="str">
        <f>IF(ISNUMBER(outYear),UUS37+UUS42+#REF!+#REF!,"")</f>
        <v/>
      </c>
      <c r="UUT57" s="82" t="str">
        <f>IF(ISNUMBER(outYear),UUT37+UUT42+#REF!+#REF!,"")</f>
        <v/>
      </c>
      <c r="UUU57" s="82" t="str">
        <f>IF(ISNUMBER(outYear),UUU37+UUU42+#REF!+#REF!,"")</f>
        <v/>
      </c>
      <c r="UUV57" s="82" t="str">
        <f>IF(ISNUMBER(outYear),UUV37+UUV42+#REF!+#REF!,"")</f>
        <v/>
      </c>
      <c r="UUW57" s="82" t="str">
        <f>IF(ISNUMBER(outYear),UUW37+UUW42+#REF!+#REF!,"")</f>
        <v/>
      </c>
      <c r="UUX57" s="82" t="str">
        <f>IF(ISNUMBER(outYear),UUX37+UUX42+#REF!+#REF!,"")</f>
        <v/>
      </c>
      <c r="UUY57" s="82" t="str">
        <f>IF(ISNUMBER(outYear),UUY37+UUY42+#REF!+#REF!,"")</f>
        <v/>
      </c>
      <c r="UUZ57" s="82" t="str">
        <f>IF(ISNUMBER(outYear),UUZ37+UUZ42+#REF!+#REF!,"")</f>
        <v/>
      </c>
      <c r="UVA57" s="82" t="str">
        <f>IF(ISNUMBER(outYear),UVA37+UVA42+#REF!+#REF!,"")</f>
        <v/>
      </c>
      <c r="UVB57" s="82" t="str">
        <f>IF(ISNUMBER(outYear),UVB37+UVB42+#REF!+#REF!,"")</f>
        <v/>
      </c>
      <c r="UVC57" s="82" t="str">
        <f>IF(ISNUMBER(outYear),UVC37+UVC42+#REF!+#REF!,"")</f>
        <v/>
      </c>
      <c r="UVD57" s="82" t="str">
        <f>IF(ISNUMBER(outYear),UVD37+UVD42+#REF!+#REF!,"")</f>
        <v/>
      </c>
      <c r="UVE57" s="82" t="str">
        <f>IF(ISNUMBER(outYear),UVE37+UVE42+#REF!+#REF!,"")</f>
        <v/>
      </c>
      <c r="UVF57" s="82" t="str">
        <f>IF(ISNUMBER(outYear),UVF37+UVF42+#REF!+#REF!,"")</f>
        <v/>
      </c>
      <c r="UVG57" s="82" t="str">
        <f>IF(ISNUMBER(outYear),UVG37+UVG42+#REF!+#REF!,"")</f>
        <v/>
      </c>
      <c r="UVH57" s="82" t="str">
        <f>IF(ISNUMBER(outYear),UVH37+UVH42+#REF!+#REF!,"")</f>
        <v/>
      </c>
      <c r="UVI57" s="82" t="str">
        <f>IF(ISNUMBER(outYear),UVI37+UVI42+#REF!+#REF!,"")</f>
        <v/>
      </c>
      <c r="UVJ57" s="82" t="str">
        <f>IF(ISNUMBER(outYear),UVJ37+UVJ42+#REF!+#REF!,"")</f>
        <v/>
      </c>
      <c r="UVK57" s="82" t="str">
        <f>IF(ISNUMBER(outYear),UVK37+UVK42+#REF!+#REF!,"")</f>
        <v/>
      </c>
      <c r="UVL57" s="82" t="str">
        <f>IF(ISNUMBER(outYear),UVL37+UVL42+#REF!+#REF!,"")</f>
        <v/>
      </c>
      <c r="UVM57" s="82" t="str">
        <f>IF(ISNUMBER(outYear),UVM37+UVM42+#REF!+#REF!,"")</f>
        <v/>
      </c>
      <c r="UVN57" s="82" t="str">
        <f>IF(ISNUMBER(outYear),UVN37+UVN42+#REF!+#REF!,"")</f>
        <v/>
      </c>
      <c r="UVO57" s="82" t="str">
        <f>IF(ISNUMBER(outYear),UVO37+UVO42+#REF!+#REF!,"")</f>
        <v/>
      </c>
      <c r="UVP57" s="82" t="str">
        <f>IF(ISNUMBER(outYear),UVP37+UVP42+#REF!+#REF!,"")</f>
        <v/>
      </c>
      <c r="UVQ57" s="82" t="str">
        <f>IF(ISNUMBER(outYear),UVQ37+UVQ42+#REF!+#REF!,"")</f>
        <v/>
      </c>
      <c r="UVR57" s="82" t="str">
        <f>IF(ISNUMBER(outYear),UVR37+UVR42+#REF!+#REF!,"")</f>
        <v/>
      </c>
      <c r="UVS57" s="82" t="str">
        <f>IF(ISNUMBER(outYear),UVS37+UVS42+#REF!+#REF!,"")</f>
        <v/>
      </c>
      <c r="UVT57" s="82" t="str">
        <f>IF(ISNUMBER(outYear),UVT37+UVT42+#REF!+#REF!,"")</f>
        <v/>
      </c>
      <c r="UVU57" s="82" t="str">
        <f>IF(ISNUMBER(outYear),UVU37+UVU42+#REF!+#REF!,"")</f>
        <v/>
      </c>
      <c r="UVV57" s="82" t="str">
        <f>IF(ISNUMBER(outYear),UVV37+UVV42+#REF!+#REF!,"")</f>
        <v/>
      </c>
      <c r="UVW57" s="82" t="str">
        <f>IF(ISNUMBER(outYear),UVW37+UVW42+#REF!+#REF!,"")</f>
        <v/>
      </c>
      <c r="UVX57" s="82" t="str">
        <f>IF(ISNUMBER(outYear),UVX37+UVX42+#REF!+#REF!,"")</f>
        <v/>
      </c>
      <c r="UVY57" s="82" t="str">
        <f>IF(ISNUMBER(outYear),UVY37+UVY42+#REF!+#REF!,"")</f>
        <v/>
      </c>
      <c r="UVZ57" s="82" t="str">
        <f>IF(ISNUMBER(outYear),UVZ37+UVZ42+#REF!+#REF!,"")</f>
        <v/>
      </c>
      <c r="UWA57" s="82" t="str">
        <f>IF(ISNUMBER(outYear),UWA37+UWA42+#REF!+#REF!,"")</f>
        <v/>
      </c>
      <c r="UWB57" s="82" t="str">
        <f>IF(ISNUMBER(outYear),UWB37+UWB42+#REF!+#REF!,"")</f>
        <v/>
      </c>
      <c r="UWC57" s="82" t="str">
        <f>IF(ISNUMBER(outYear),UWC37+UWC42+#REF!+#REF!,"")</f>
        <v/>
      </c>
      <c r="UWD57" s="82" t="str">
        <f>IF(ISNUMBER(outYear),UWD37+UWD42+#REF!+#REF!,"")</f>
        <v/>
      </c>
      <c r="UWE57" s="82" t="str">
        <f>IF(ISNUMBER(outYear),UWE37+UWE42+#REF!+#REF!,"")</f>
        <v/>
      </c>
      <c r="UWF57" s="82" t="str">
        <f>IF(ISNUMBER(outYear),UWF37+UWF42+#REF!+#REF!,"")</f>
        <v/>
      </c>
      <c r="UWG57" s="82" t="str">
        <f>IF(ISNUMBER(outYear),UWG37+UWG42+#REF!+#REF!,"")</f>
        <v/>
      </c>
      <c r="UWH57" s="82" t="str">
        <f>IF(ISNUMBER(outYear),UWH37+UWH42+#REF!+#REF!,"")</f>
        <v/>
      </c>
      <c r="UWI57" s="82" t="str">
        <f>IF(ISNUMBER(outYear),UWI37+UWI42+#REF!+#REF!,"")</f>
        <v/>
      </c>
      <c r="UWJ57" s="82" t="str">
        <f>IF(ISNUMBER(outYear),UWJ37+UWJ42+#REF!+#REF!,"")</f>
        <v/>
      </c>
      <c r="UWK57" s="82" t="str">
        <f>IF(ISNUMBER(outYear),UWK37+UWK42+#REF!+#REF!,"")</f>
        <v/>
      </c>
      <c r="UWL57" s="82" t="str">
        <f>IF(ISNUMBER(outYear),UWL37+UWL42+#REF!+#REF!,"")</f>
        <v/>
      </c>
      <c r="UWM57" s="82" t="str">
        <f>IF(ISNUMBER(outYear),UWM37+UWM42+#REF!+#REF!,"")</f>
        <v/>
      </c>
      <c r="UWN57" s="82" t="str">
        <f>IF(ISNUMBER(outYear),UWN37+UWN42+#REF!+#REF!,"")</f>
        <v/>
      </c>
      <c r="UWO57" s="82" t="str">
        <f>IF(ISNUMBER(outYear),UWO37+UWO42+#REF!+#REF!,"")</f>
        <v/>
      </c>
      <c r="UWP57" s="82" t="str">
        <f>IF(ISNUMBER(outYear),UWP37+UWP42+#REF!+#REF!,"")</f>
        <v/>
      </c>
      <c r="UWQ57" s="82" t="str">
        <f>IF(ISNUMBER(outYear),UWQ37+UWQ42+#REF!+#REF!,"")</f>
        <v/>
      </c>
      <c r="UWR57" s="82" t="str">
        <f>IF(ISNUMBER(outYear),UWR37+UWR42+#REF!+#REF!,"")</f>
        <v/>
      </c>
      <c r="UWS57" s="82" t="str">
        <f>IF(ISNUMBER(outYear),UWS37+UWS42+#REF!+#REF!,"")</f>
        <v/>
      </c>
      <c r="UWT57" s="82" t="str">
        <f>IF(ISNUMBER(outYear),UWT37+UWT42+#REF!+#REF!,"")</f>
        <v/>
      </c>
      <c r="UWU57" s="82" t="str">
        <f>IF(ISNUMBER(outYear),UWU37+UWU42+#REF!+#REF!,"")</f>
        <v/>
      </c>
      <c r="UWV57" s="82" t="str">
        <f>IF(ISNUMBER(outYear),UWV37+UWV42+#REF!+#REF!,"")</f>
        <v/>
      </c>
      <c r="UWW57" s="82" t="str">
        <f>IF(ISNUMBER(outYear),UWW37+UWW42+#REF!+#REF!,"")</f>
        <v/>
      </c>
      <c r="UWX57" s="82" t="str">
        <f>IF(ISNUMBER(outYear),UWX37+UWX42+#REF!+#REF!,"")</f>
        <v/>
      </c>
      <c r="UWY57" s="82" t="str">
        <f>IF(ISNUMBER(outYear),UWY37+UWY42+#REF!+#REF!,"")</f>
        <v/>
      </c>
      <c r="UWZ57" s="82" t="str">
        <f>IF(ISNUMBER(outYear),UWZ37+UWZ42+#REF!+#REF!,"")</f>
        <v/>
      </c>
      <c r="UXA57" s="82" t="str">
        <f>IF(ISNUMBER(outYear),UXA37+UXA42+#REF!+#REF!,"")</f>
        <v/>
      </c>
      <c r="UXB57" s="82" t="str">
        <f>IF(ISNUMBER(outYear),UXB37+UXB42+#REF!+#REF!,"")</f>
        <v/>
      </c>
      <c r="UXC57" s="82" t="str">
        <f>IF(ISNUMBER(outYear),UXC37+UXC42+#REF!+#REF!,"")</f>
        <v/>
      </c>
      <c r="UXD57" s="82" t="str">
        <f>IF(ISNUMBER(outYear),UXD37+UXD42+#REF!+#REF!,"")</f>
        <v/>
      </c>
      <c r="UXE57" s="82" t="str">
        <f>IF(ISNUMBER(outYear),UXE37+UXE42+#REF!+#REF!,"")</f>
        <v/>
      </c>
      <c r="UXF57" s="82" t="str">
        <f>IF(ISNUMBER(outYear),UXF37+UXF42+#REF!+#REF!,"")</f>
        <v/>
      </c>
      <c r="UXG57" s="82" t="str">
        <f>IF(ISNUMBER(outYear),UXG37+UXG42+#REF!+#REF!,"")</f>
        <v/>
      </c>
      <c r="UXH57" s="82" t="str">
        <f>IF(ISNUMBER(outYear),UXH37+UXH42+#REF!+#REF!,"")</f>
        <v/>
      </c>
      <c r="UXI57" s="82" t="str">
        <f>IF(ISNUMBER(outYear),UXI37+UXI42+#REF!+#REF!,"")</f>
        <v/>
      </c>
      <c r="UXJ57" s="82" t="str">
        <f>IF(ISNUMBER(outYear),UXJ37+UXJ42+#REF!+#REF!,"")</f>
        <v/>
      </c>
      <c r="UXK57" s="82" t="str">
        <f>IF(ISNUMBER(outYear),UXK37+UXK42+#REF!+#REF!,"")</f>
        <v/>
      </c>
      <c r="UXL57" s="82" t="str">
        <f>IF(ISNUMBER(outYear),UXL37+UXL42+#REF!+#REF!,"")</f>
        <v/>
      </c>
      <c r="UXM57" s="82" t="str">
        <f>IF(ISNUMBER(outYear),UXM37+UXM42+#REF!+#REF!,"")</f>
        <v/>
      </c>
      <c r="UXN57" s="82" t="str">
        <f>IF(ISNUMBER(outYear),UXN37+UXN42+#REF!+#REF!,"")</f>
        <v/>
      </c>
      <c r="UXO57" s="82" t="str">
        <f>IF(ISNUMBER(outYear),UXO37+UXO42+#REF!+#REF!,"")</f>
        <v/>
      </c>
      <c r="UXP57" s="82" t="str">
        <f>IF(ISNUMBER(outYear),UXP37+UXP42+#REF!+#REF!,"")</f>
        <v/>
      </c>
      <c r="UXQ57" s="82" t="str">
        <f>IF(ISNUMBER(outYear),UXQ37+UXQ42+#REF!+#REF!,"")</f>
        <v/>
      </c>
      <c r="UXR57" s="82" t="str">
        <f>IF(ISNUMBER(outYear),UXR37+UXR42+#REF!+#REF!,"")</f>
        <v/>
      </c>
      <c r="UXS57" s="82" t="str">
        <f>IF(ISNUMBER(outYear),UXS37+UXS42+#REF!+#REF!,"")</f>
        <v/>
      </c>
      <c r="UXT57" s="82" t="str">
        <f>IF(ISNUMBER(outYear),UXT37+UXT42+#REF!+#REF!,"")</f>
        <v/>
      </c>
      <c r="UXU57" s="82" t="str">
        <f>IF(ISNUMBER(outYear),UXU37+UXU42+#REF!+#REF!,"")</f>
        <v/>
      </c>
      <c r="UXV57" s="82" t="str">
        <f>IF(ISNUMBER(outYear),UXV37+UXV42+#REF!+#REF!,"")</f>
        <v/>
      </c>
      <c r="UXW57" s="82" t="str">
        <f>IF(ISNUMBER(outYear),UXW37+UXW42+#REF!+#REF!,"")</f>
        <v/>
      </c>
      <c r="UXX57" s="82" t="str">
        <f>IF(ISNUMBER(outYear),UXX37+UXX42+#REF!+#REF!,"")</f>
        <v/>
      </c>
      <c r="UXY57" s="82" t="str">
        <f>IF(ISNUMBER(outYear),UXY37+UXY42+#REF!+#REF!,"")</f>
        <v/>
      </c>
      <c r="UXZ57" s="82" t="str">
        <f>IF(ISNUMBER(outYear),UXZ37+UXZ42+#REF!+#REF!,"")</f>
        <v/>
      </c>
      <c r="UYA57" s="82" t="str">
        <f>IF(ISNUMBER(outYear),UYA37+UYA42+#REF!+#REF!,"")</f>
        <v/>
      </c>
      <c r="UYB57" s="82" t="str">
        <f>IF(ISNUMBER(outYear),UYB37+UYB42+#REF!+#REF!,"")</f>
        <v/>
      </c>
      <c r="UYC57" s="82" t="str">
        <f>IF(ISNUMBER(outYear),UYC37+UYC42+#REF!+#REF!,"")</f>
        <v/>
      </c>
      <c r="UYD57" s="82" t="str">
        <f>IF(ISNUMBER(outYear),UYD37+UYD42+#REF!+#REF!,"")</f>
        <v/>
      </c>
      <c r="UYE57" s="82" t="str">
        <f>IF(ISNUMBER(outYear),UYE37+UYE42+#REF!+#REF!,"")</f>
        <v/>
      </c>
      <c r="UYF57" s="82" t="str">
        <f>IF(ISNUMBER(outYear),UYF37+UYF42+#REF!+#REF!,"")</f>
        <v/>
      </c>
      <c r="UYG57" s="82" t="str">
        <f>IF(ISNUMBER(outYear),UYG37+UYG42+#REF!+#REF!,"")</f>
        <v/>
      </c>
      <c r="UYH57" s="82" t="str">
        <f>IF(ISNUMBER(outYear),UYH37+UYH42+#REF!+#REF!,"")</f>
        <v/>
      </c>
      <c r="UYI57" s="82" t="str">
        <f>IF(ISNUMBER(outYear),UYI37+UYI42+#REF!+#REF!,"")</f>
        <v/>
      </c>
      <c r="UYJ57" s="82" t="str">
        <f>IF(ISNUMBER(outYear),UYJ37+UYJ42+#REF!+#REF!,"")</f>
        <v/>
      </c>
      <c r="UYK57" s="82" t="str">
        <f>IF(ISNUMBER(outYear),UYK37+UYK42+#REF!+#REF!,"")</f>
        <v/>
      </c>
      <c r="UYL57" s="82" t="str">
        <f>IF(ISNUMBER(outYear),UYL37+UYL42+#REF!+#REF!,"")</f>
        <v/>
      </c>
      <c r="UYM57" s="82" t="str">
        <f>IF(ISNUMBER(outYear),UYM37+UYM42+#REF!+#REF!,"")</f>
        <v/>
      </c>
      <c r="UYN57" s="82" t="str">
        <f>IF(ISNUMBER(outYear),UYN37+UYN42+#REF!+#REF!,"")</f>
        <v/>
      </c>
      <c r="UYO57" s="82" t="str">
        <f>IF(ISNUMBER(outYear),UYO37+UYO42+#REF!+#REF!,"")</f>
        <v/>
      </c>
      <c r="UYP57" s="82" t="str">
        <f>IF(ISNUMBER(outYear),UYP37+UYP42+#REF!+#REF!,"")</f>
        <v/>
      </c>
      <c r="UYQ57" s="82" t="str">
        <f>IF(ISNUMBER(outYear),UYQ37+UYQ42+#REF!+#REF!,"")</f>
        <v/>
      </c>
      <c r="UYR57" s="82" t="str">
        <f>IF(ISNUMBER(outYear),UYR37+UYR42+#REF!+#REF!,"")</f>
        <v/>
      </c>
      <c r="UYS57" s="82" t="str">
        <f>IF(ISNUMBER(outYear),UYS37+UYS42+#REF!+#REF!,"")</f>
        <v/>
      </c>
      <c r="UYT57" s="82" t="str">
        <f>IF(ISNUMBER(outYear),UYT37+UYT42+#REF!+#REF!,"")</f>
        <v/>
      </c>
      <c r="UYU57" s="82" t="str">
        <f>IF(ISNUMBER(outYear),UYU37+UYU42+#REF!+#REF!,"")</f>
        <v/>
      </c>
      <c r="UYV57" s="82" t="str">
        <f>IF(ISNUMBER(outYear),UYV37+UYV42+#REF!+#REF!,"")</f>
        <v/>
      </c>
      <c r="UYW57" s="82" t="str">
        <f>IF(ISNUMBER(outYear),UYW37+UYW42+#REF!+#REF!,"")</f>
        <v/>
      </c>
      <c r="UYX57" s="82" t="str">
        <f>IF(ISNUMBER(outYear),UYX37+UYX42+#REF!+#REF!,"")</f>
        <v/>
      </c>
      <c r="UYY57" s="82" t="str">
        <f>IF(ISNUMBER(outYear),UYY37+UYY42+#REF!+#REF!,"")</f>
        <v/>
      </c>
      <c r="UYZ57" s="82" t="str">
        <f>IF(ISNUMBER(outYear),UYZ37+UYZ42+#REF!+#REF!,"")</f>
        <v/>
      </c>
      <c r="UZA57" s="82" t="str">
        <f>IF(ISNUMBER(outYear),UZA37+UZA42+#REF!+#REF!,"")</f>
        <v/>
      </c>
      <c r="UZB57" s="82" t="str">
        <f>IF(ISNUMBER(outYear),UZB37+UZB42+#REF!+#REF!,"")</f>
        <v/>
      </c>
      <c r="UZC57" s="82" t="str">
        <f>IF(ISNUMBER(outYear),UZC37+UZC42+#REF!+#REF!,"")</f>
        <v/>
      </c>
      <c r="UZD57" s="82" t="str">
        <f>IF(ISNUMBER(outYear),UZD37+UZD42+#REF!+#REF!,"")</f>
        <v/>
      </c>
      <c r="UZE57" s="82" t="str">
        <f>IF(ISNUMBER(outYear),UZE37+UZE42+#REF!+#REF!,"")</f>
        <v/>
      </c>
      <c r="UZF57" s="82" t="str">
        <f>IF(ISNUMBER(outYear),UZF37+UZF42+#REF!+#REF!,"")</f>
        <v/>
      </c>
      <c r="UZG57" s="82" t="str">
        <f>IF(ISNUMBER(outYear),UZG37+UZG42+#REF!+#REF!,"")</f>
        <v/>
      </c>
      <c r="UZH57" s="82" t="str">
        <f>IF(ISNUMBER(outYear),UZH37+UZH42+#REF!+#REF!,"")</f>
        <v/>
      </c>
      <c r="UZI57" s="82" t="str">
        <f>IF(ISNUMBER(outYear),UZI37+UZI42+#REF!+#REF!,"")</f>
        <v/>
      </c>
      <c r="UZJ57" s="82" t="str">
        <f>IF(ISNUMBER(outYear),UZJ37+UZJ42+#REF!+#REF!,"")</f>
        <v/>
      </c>
      <c r="UZK57" s="82" t="str">
        <f>IF(ISNUMBER(outYear),UZK37+UZK42+#REF!+#REF!,"")</f>
        <v/>
      </c>
      <c r="UZL57" s="82" t="str">
        <f>IF(ISNUMBER(outYear),UZL37+UZL42+#REF!+#REF!,"")</f>
        <v/>
      </c>
      <c r="UZM57" s="82" t="str">
        <f>IF(ISNUMBER(outYear),UZM37+UZM42+#REF!+#REF!,"")</f>
        <v/>
      </c>
      <c r="UZN57" s="82" t="str">
        <f>IF(ISNUMBER(outYear),UZN37+UZN42+#REF!+#REF!,"")</f>
        <v/>
      </c>
      <c r="UZO57" s="82" t="str">
        <f>IF(ISNUMBER(outYear),UZO37+UZO42+#REF!+#REF!,"")</f>
        <v/>
      </c>
      <c r="UZP57" s="82" t="str">
        <f>IF(ISNUMBER(outYear),UZP37+UZP42+#REF!+#REF!,"")</f>
        <v/>
      </c>
      <c r="UZQ57" s="82" t="str">
        <f>IF(ISNUMBER(outYear),UZQ37+UZQ42+#REF!+#REF!,"")</f>
        <v/>
      </c>
      <c r="UZR57" s="82" t="str">
        <f>IF(ISNUMBER(outYear),UZR37+UZR42+#REF!+#REF!,"")</f>
        <v/>
      </c>
      <c r="UZS57" s="82" t="str">
        <f>IF(ISNUMBER(outYear),UZS37+UZS42+#REF!+#REF!,"")</f>
        <v/>
      </c>
      <c r="UZT57" s="82" t="str">
        <f>IF(ISNUMBER(outYear),UZT37+UZT42+#REF!+#REF!,"")</f>
        <v/>
      </c>
      <c r="UZU57" s="82" t="str">
        <f>IF(ISNUMBER(outYear),UZU37+UZU42+#REF!+#REF!,"")</f>
        <v/>
      </c>
      <c r="UZV57" s="82" t="str">
        <f>IF(ISNUMBER(outYear),UZV37+UZV42+#REF!+#REF!,"")</f>
        <v/>
      </c>
      <c r="UZW57" s="82" t="str">
        <f>IF(ISNUMBER(outYear),UZW37+UZW42+#REF!+#REF!,"")</f>
        <v/>
      </c>
      <c r="UZX57" s="82" t="str">
        <f>IF(ISNUMBER(outYear),UZX37+UZX42+#REF!+#REF!,"")</f>
        <v/>
      </c>
      <c r="UZY57" s="82" t="str">
        <f>IF(ISNUMBER(outYear),UZY37+UZY42+#REF!+#REF!,"")</f>
        <v/>
      </c>
      <c r="UZZ57" s="82" t="str">
        <f>IF(ISNUMBER(outYear),UZZ37+UZZ42+#REF!+#REF!,"")</f>
        <v/>
      </c>
      <c r="VAA57" s="82" t="str">
        <f>IF(ISNUMBER(outYear),VAA37+VAA42+#REF!+#REF!,"")</f>
        <v/>
      </c>
      <c r="VAB57" s="82" t="str">
        <f>IF(ISNUMBER(outYear),VAB37+VAB42+#REF!+#REF!,"")</f>
        <v/>
      </c>
      <c r="VAC57" s="82" t="str">
        <f>IF(ISNUMBER(outYear),VAC37+VAC42+#REF!+#REF!,"")</f>
        <v/>
      </c>
      <c r="VAD57" s="82" t="str">
        <f>IF(ISNUMBER(outYear),VAD37+VAD42+#REF!+#REF!,"")</f>
        <v/>
      </c>
      <c r="VAE57" s="82" t="str">
        <f>IF(ISNUMBER(outYear),VAE37+VAE42+#REF!+#REF!,"")</f>
        <v/>
      </c>
      <c r="VAF57" s="82" t="str">
        <f>IF(ISNUMBER(outYear),VAF37+VAF42+#REF!+#REF!,"")</f>
        <v/>
      </c>
      <c r="VAG57" s="82" t="str">
        <f>IF(ISNUMBER(outYear),VAG37+VAG42+#REF!+#REF!,"")</f>
        <v/>
      </c>
      <c r="VAH57" s="82" t="str">
        <f>IF(ISNUMBER(outYear),VAH37+VAH42+#REF!+#REF!,"")</f>
        <v/>
      </c>
      <c r="VAI57" s="82" t="str">
        <f>IF(ISNUMBER(outYear),VAI37+VAI42+#REF!+#REF!,"")</f>
        <v/>
      </c>
      <c r="VAJ57" s="82" t="str">
        <f>IF(ISNUMBER(outYear),VAJ37+VAJ42+#REF!+#REF!,"")</f>
        <v/>
      </c>
      <c r="VAK57" s="82" t="str">
        <f>IF(ISNUMBER(outYear),VAK37+VAK42+#REF!+#REF!,"")</f>
        <v/>
      </c>
      <c r="VAL57" s="82" t="str">
        <f>IF(ISNUMBER(outYear),VAL37+VAL42+#REF!+#REF!,"")</f>
        <v/>
      </c>
      <c r="VAM57" s="82" t="str">
        <f>IF(ISNUMBER(outYear),VAM37+VAM42+#REF!+#REF!,"")</f>
        <v/>
      </c>
      <c r="VAN57" s="82" t="str">
        <f>IF(ISNUMBER(outYear),VAN37+VAN42+#REF!+#REF!,"")</f>
        <v/>
      </c>
      <c r="VAO57" s="82" t="str">
        <f>IF(ISNUMBER(outYear),VAO37+VAO42+#REF!+#REF!,"")</f>
        <v/>
      </c>
      <c r="VAP57" s="82" t="str">
        <f>IF(ISNUMBER(outYear),VAP37+VAP42+#REF!+#REF!,"")</f>
        <v/>
      </c>
      <c r="VAQ57" s="82" t="str">
        <f>IF(ISNUMBER(outYear),VAQ37+VAQ42+#REF!+#REF!,"")</f>
        <v/>
      </c>
      <c r="VAR57" s="82" t="str">
        <f>IF(ISNUMBER(outYear),VAR37+VAR42+#REF!+#REF!,"")</f>
        <v/>
      </c>
      <c r="VAS57" s="82" t="str">
        <f>IF(ISNUMBER(outYear),VAS37+VAS42+#REF!+#REF!,"")</f>
        <v/>
      </c>
      <c r="VAT57" s="82" t="str">
        <f>IF(ISNUMBER(outYear),VAT37+VAT42+#REF!+#REF!,"")</f>
        <v/>
      </c>
      <c r="VAU57" s="82" t="str">
        <f>IF(ISNUMBER(outYear),VAU37+VAU42+#REF!+#REF!,"")</f>
        <v/>
      </c>
      <c r="VAV57" s="82" t="str">
        <f>IF(ISNUMBER(outYear),VAV37+VAV42+#REF!+#REF!,"")</f>
        <v/>
      </c>
      <c r="VAW57" s="82" t="str">
        <f>IF(ISNUMBER(outYear),VAW37+VAW42+#REF!+#REF!,"")</f>
        <v/>
      </c>
      <c r="VAX57" s="82" t="str">
        <f>IF(ISNUMBER(outYear),VAX37+VAX42+#REF!+#REF!,"")</f>
        <v/>
      </c>
      <c r="VAY57" s="82" t="str">
        <f>IF(ISNUMBER(outYear),VAY37+VAY42+#REF!+#REF!,"")</f>
        <v/>
      </c>
      <c r="VAZ57" s="82" t="str">
        <f>IF(ISNUMBER(outYear),VAZ37+VAZ42+#REF!+#REF!,"")</f>
        <v/>
      </c>
      <c r="VBA57" s="82" t="str">
        <f>IF(ISNUMBER(outYear),VBA37+VBA42+#REF!+#REF!,"")</f>
        <v/>
      </c>
      <c r="VBB57" s="82" t="str">
        <f>IF(ISNUMBER(outYear),VBB37+VBB42+#REF!+#REF!,"")</f>
        <v/>
      </c>
      <c r="VBC57" s="82" t="str">
        <f>IF(ISNUMBER(outYear),VBC37+VBC42+#REF!+#REF!,"")</f>
        <v/>
      </c>
      <c r="VBD57" s="82" t="str">
        <f>IF(ISNUMBER(outYear),VBD37+VBD42+#REF!+#REF!,"")</f>
        <v/>
      </c>
      <c r="VBE57" s="82" t="str">
        <f>IF(ISNUMBER(outYear),VBE37+VBE42+#REF!+#REF!,"")</f>
        <v/>
      </c>
      <c r="VBF57" s="82" t="str">
        <f>IF(ISNUMBER(outYear),VBF37+VBF42+#REF!+#REF!,"")</f>
        <v/>
      </c>
      <c r="VBG57" s="82" t="str">
        <f>IF(ISNUMBER(outYear),VBG37+VBG42+#REF!+#REF!,"")</f>
        <v/>
      </c>
      <c r="VBH57" s="82" t="str">
        <f>IF(ISNUMBER(outYear),VBH37+VBH42+#REF!+#REF!,"")</f>
        <v/>
      </c>
      <c r="VBI57" s="82" t="str">
        <f>IF(ISNUMBER(outYear),VBI37+VBI42+#REF!+#REF!,"")</f>
        <v/>
      </c>
      <c r="VBJ57" s="82" t="str">
        <f>IF(ISNUMBER(outYear),VBJ37+VBJ42+#REF!+#REF!,"")</f>
        <v/>
      </c>
      <c r="VBK57" s="82" t="str">
        <f>IF(ISNUMBER(outYear),VBK37+VBK42+#REF!+#REF!,"")</f>
        <v/>
      </c>
      <c r="VBL57" s="82" t="str">
        <f>IF(ISNUMBER(outYear),VBL37+VBL42+#REF!+#REF!,"")</f>
        <v/>
      </c>
      <c r="VBM57" s="82" t="str">
        <f>IF(ISNUMBER(outYear),VBM37+VBM42+#REF!+#REF!,"")</f>
        <v/>
      </c>
      <c r="VBN57" s="82" t="str">
        <f>IF(ISNUMBER(outYear),VBN37+VBN42+#REF!+#REF!,"")</f>
        <v/>
      </c>
      <c r="VBO57" s="82" t="str">
        <f>IF(ISNUMBER(outYear),VBO37+VBO42+#REF!+#REF!,"")</f>
        <v/>
      </c>
      <c r="VBP57" s="82" t="str">
        <f>IF(ISNUMBER(outYear),VBP37+VBP42+#REF!+#REF!,"")</f>
        <v/>
      </c>
      <c r="VBQ57" s="82" t="str">
        <f>IF(ISNUMBER(outYear),VBQ37+VBQ42+#REF!+#REF!,"")</f>
        <v/>
      </c>
      <c r="VBR57" s="82" t="str">
        <f>IF(ISNUMBER(outYear),VBR37+VBR42+#REF!+#REF!,"")</f>
        <v/>
      </c>
      <c r="VBS57" s="82" t="str">
        <f>IF(ISNUMBER(outYear),VBS37+VBS42+#REF!+#REF!,"")</f>
        <v/>
      </c>
      <c r="VBT57" s="82" t="str">
        <f>IF(ISNUMBER(outYear),VBT37+VBT42+#REF!+#REF!,"")</f>
        <v/>
      </c>
      <c r="VBU57" s="82" t="str">
        <f>IF(ISNUMBER(outYear),VBU37+VBU42+#REF!+#REF!,"")</f>
        <v/>
      </c>
      <c r="VBV57" s="82" t="str">
        <f>IF(ISNUMBER(outYear),VBV37+VBV42+#REF!+#REF!,"")</f>
        <v/>
      </c>
      <c r="VBW57" s="82" t="str">
        <f>IF(ISNUMBER(outYear),VBW37+VBW42+#REF!+#REF!,"")</f>
        <v/>
      </c>
      <c r="VBX57" s="82" t="str">
        <f>IF(ISNUMBER(outYear),VBX37+VBX42+#REF!+#REF!,"")</f>
        <v/>
      </c>
      <c r="VBY57" s="82" t="str">
        <f>IF(ISNUMBER(outYear),VBY37+VBY42+#REF!+#REF!,"")</f>
        <v/>
      </c>
      <c r="VBZ57" s="82" t="str">
        <f>IF(ISNUMBER(outYear),VBZ37+VBZ42+#REF!+#REF!,"")</f>
        <v/>
      </c>
      <c r="VCA57" s="82" t="str">
        <f>IF(ISNUMBER(outYear),VCA37+VCA42+#REF!+#REF!,"")</f>
        <v/>
      </c>
      <c r="VCB57" s="82" t="str">
        <f>IF(ISNUMBER(outYear),VCB37+VCB42+#REF!+#REF!,"")</f>
        <v/>
      </c>
      <c r="VCC57" s="82" t="str">
        <f>IF(ISNUMBER(outYear),VCC37+VCC42+#REF!+#REF!,"")</f>
        <v/>
      </c>
      <c r="VCD57" s="82" t="str">
        <f>IF(ISNUMBER(outYear),VCD37+VCD42+#REF!+#REF!,"")</f>
        <v/>
      </c>
      <c r="VCE57" s="82" t="str">
        <f>IF(ISNUMBER(outYear),VCE37+VCE42+#REF!+#REF!,"")</f>
        <v/>
      </c>
      <c r="VCF57" s="82" t="str">
        <f>IF(ISNUMBER(outYear),VCF37+VCF42+#REF!+#REF!,"")</f>
        <v/>
      </c>
      <c r="VCG57" s="82" t="str">
        <f>IF(ISNUMBER(outYear),VCG37+VCG42+#REF!+#REF!,"")</f>
        <v/>
      </c>
      <c r="VCH57" s="82" t="str">
        <f>IF(ISNUMBER(outYear),VCH37+VCH42+#REF!+#REF!,"")</f>
        <v/>
      </c>
      <c r="VCI57" s="82" t="str">
        <f>IF(ISNUMBER(outYear),VCI37+VCI42+#REF!+#REF!,"")</f>
        <v/>
      </c>
      <c r="VCJ57" s="82" t="str">
        <f>IF(ISNUMBER(outYear),VCJ37+VCJ42+#REF!+#REF!,"")</f>
        <v/>
      </c>
      <c r="VCK57" s="82" t="str">
        <f>IF(ISNUMBER(outYear),VCK37+VCK42+#REF!+#REF!,"")</f>
        <v/>
      </c>
      <c r="VCL57" s="82" t="str">
        <f>IF(ISNUMBER(outYear),VCL37+VCL42+#REF!+#REF!,"")</f>
        <v/>
      </c>
      <c r="VCM57" s="82" t="str">
        <f>IF(ISNUMBER(outYear),VCM37+VCM42+#REF!+#REF!,"")</f>
        <v/>
      </c>
      <c r="VCN57" s="82" t="str">
        <f>IF(ISNUMBER(outYear),VCN37+VCN42+#REF!+#REF!,"")</f>
        <v/>
      </c>
      <c r="VCO57" s="82" t="str">
        <f>IF(ISNUMBER(outYear),VCO37+VCO42+#REF!+#REF!,"")</f>
        <v/>
      </c>
      <c r="VCP57" s="82" t="str">
        <f>IF(ISNUMBER(outYear),VCP37+VCP42+#REF!+#REF!,"")</f>
        <v/>
      </c>
      <c r="VCQ57" s="82" t="str">
        <f>IF(ISNUMBER(outYear),VCQ37+VCQ42+#REF!+#REF!,"")</f>
        <v/>
      </c>
      <c r="VCR57" s="82" t="str">
        <f>IF(ISNUMBER(outYear),VCR37+VCR42+#REF!+#REF!,"")</f>
        <v/>
      </c>
      <c r="VCS57" s="82" t="str">
        <f>IF(ISNUMBER(outYear),VCS37+VCS42+#REF!+#REF!,"")</f>
        <v/>
      </c>
      <c r="VCT57" s="82" t="str">
        <f>IF(ISNUMBER(outYear),VCT37+VCT42+#REF!+#REF!,"")</f>
        <v/>
      </c>
      <c r="VCU57" s="82" t="str">
        <f>IF(ISNUMBER(outYear),VCU37+VCU42+#REF!+#REF!,"")</f>
        <v/>
      </c>
      <c r="VCV57" s="82" t="str">
        <f>IF(ISNUMBER(outYear),VCV37+VCV42+#REF!+#REF!,"")</f>
        <v/>
      </c>
      <c r="VCW57" s="82" t="str">
        <f>IF(ISNUMBER(outYear),VCW37+VCW42+#REF!+#REF!,"")</f>
        <v/>
      </c>
      <c r="VCX57" s="82" t="str">
        <f>IF(ISNUMBER(outYear),VCX37+VCX42+#REF!+#REF!,"")</f>
        <v/>
      </c>
      <c r="VCY57" s="82" t="str">
        <f>IF(ISNUMBER(outYear),VCY37+VCY42+#REF!+#REF!,"")</f>
        <v/>
      </c>
      <c r="VCZ57" s="82" t="str">
        <f>IF(ISNUMBER(outYear),VCZ37+VCZ42+#REF!+#REF!,"")</f>
        <v/>
      </c>
      <c r="VDA57" s="82" t="str">
        <f>IF(ISNUMBER(outYear),VDA37+VDA42+#REF!+#REF!,"")</f>
        <v/>
      </c>
      <c r="VDB57" s="82" t="str">
        <f>IF(ISNUMBER(outYear),VDB37+VDB42+#REF!+#REF!,"")</f>
        <v/>
      </c>
      <c r="VDC57" s="82" t="str">
        <f>IF(ISNUMBER(outYear),VDC37+VDC42+#REF!+#REF!,"")</f>
        <v/>
      </c>
      <c r="VDD57" s="82" t="str">
        <f>IF(ISNUMBER(outYear),VDD37+VDD42+#REF!+#REF!,"")</f>
        <v/>
      </c>
      <c r="VDE57" s="82" t="str">
        <f>IF(ISNUMBER(outYear),VDE37+VDE42+#REF!+#REF!,"")</f>
        <v/>
      </c>
      <c r="VDF57" s="82" t="str">
        <f>IF(ISNUMBER(outYear),VDF37+VDF42+#REF!+#REF!,"")</f>
        <v/>
      </c>
      <c r="VDG57" s="82" t="str">
        <f>IF(ISNUMBER(outYear),VDG37+VDG42+#REF!+#REF!,"")</f>
        <v/>
      </c>
      <c r="VDH57" s="82" t="str">
        <f>IF(ISNUMBER(outYear),VDH37+VDH42+#REF!+#REF!,"")</f>
        <v/>
      </c>
      <c r="VDI57" s="82" t="str">
        <f>IF(ISNUMBER(outYear),VDI37+VDI42+#REF!+#REF!,"")</f>
        <v/>
      </c>
      <c r="VDJ57" s="82" t="str">
        <f>IF(ISNUMBER(outYear),VDJ37+VDJ42+#REF!+#REF!,"")</f>
        <v/>
      </c>
      <c r="VDK57" s="82" t="str">
        <f>IF(ISNUMBER(outYear),VDK37+VDK42+#REF!+#REF!,"")</f>
        <v/>
      </c>
      <c r="VDL57" s="82" t="str">
        <f>IF(ISNUMBER(outYear),VDL37+VDL42+#REF!+#REF!,"")</f>
        <v/>
      </c>
      <c r="VDM57" s="82" t="str">
        <f>IF(ISNUMBER(outYear),VDM37+VDM42+#REF!+#REF!,"")</f>
        <v/>
      </c>
      <c r="VDN57" s="82" t="str">
        <f>IF(ISNUMBER(outYear),VDN37+VDN42+#REF!+#REF!,"")</f>
        <v/>
      </c>
      <c r="VDO57" s="82" t="str">
        <f>IF(ISNUMBER(outYear),VDO37+VDO42+#REF!+#REF!,"")</f>
        <v/>
      </c>
      <c r="VDP57" s="82" t="str">
        <f>IF(ISNUMBER(outYear),VDP37+VDP42+#REF!+#REF!,"")</f>
        <v/>
      </c>
      <c r="VDQ57" s="82" t="str">
        <f>IF(ISNUMBER(outYear),VDQ37+VDQ42+#REF!+#REF!,"")</f>
        <v/>
      </c>
      <c r="VDR57" s="82" t="str">
        <f>IF(ISNUMBER(outYear),VDR37+VDR42+#REF!+#REF!,"")</f>
        <v/>
      </c>
      <c r="VDS57" s="82" t="str">
        <f>IF(ISNUMBER(outYear),VDS37+VDS42+#REF!+#REF!,"")</f>
        <v/>
      </c>
      <c r="VDT57" s="82" t="str">
        <f>IF(ISNUMBER(outYear),VDT37+VDT42+#REF!+#REF!,"")</f>
        <v/>
      </c>
      <c r="VDU57" s="82" t="str">
        <f>IF(ISNUMBER(outYear),VDU37+VDU42+#REF!+#REF!,"")</f>
        <v/>
      </c>
      <c r="VDV57" s="82" t="str">
        <f>IF(ISNUMBER(outYear),VDV37+VDV42+#REF!+#REF!,"")</f>
        <v/>
      </c>
      <c r="VDW57" s="82" t="str">
        <f>IF(ISNUMBER(outYear),VDW37+VDW42+#REF!+#REF!,"")</f>
        <v/>
      </c>
      <c r="VDX57" s="82" t="str">
        <f>IF(ISNUMBER(outYear),VDX37+VDX42+#REF!+#REF!,"")</f>
        <v/>
      </c>
      <c r="VDY57" s="82" t="str">
        <f>IF(ISNUMBER(outYear),VDY37+VDY42+#REF!+#REF!,"")</f>
        <v/>
      </c>
      <c r="VDZ57" s="82" t="str">
        <f>IF(ISNUMBER(outYear),VDZ37+VDZ42+#REF!+#REF!,"")</f>
        <v/>
      </c>
      <c r="VEA57" s="82" t="str">
        <f>IF(ISNUMBER(outYear),VEA37+VEA42+#REF!+#REF!,"")</f>
        <v/>
      </c>
      <c r="VEB57" s="82" t="str">
        <f>IF(ISNUMBER(outYear),VEB37+VEB42+#REF!+#REF!,"")</f>
        <v/>
      </c>
      <c r="VEC57" s="82" t="str">
        <f>IF(ISNUMBER(outYear),VEC37+VEC42+#REF!+#REF!,"")</f>
        <v/>
      </c>
      <c r="VED57" s="82" t="str">
        <f>IF(ISNUMBER(outYear),VED37+VED42+#REF!+#REF!,"")</f>
        <v/>
      </c>
      <c r="VEE57" s="82" t="str">
        <f>IF(ISNUMBER(outYear),VEE37+VEE42+#REF!+#REF!,"")</f>
        <v/>
      </c>
      <c r="VEF57" s="82" t="str">
        <f>IF(ISNUMBER(outYear),VEF37+VEF42+#REF!+#REF!,"")</f>
        <v/>
      </c>
      <c r="VEG57" s="82" t="str">
        <f>IF(ISNUMBER(outYear),VEG37+VEG42+#REF!+#REF!,"")</f>
        <v/>
      </c>
      <c r="VEH57" s="82" t="str">
        <f>IF(ISNUMBER(outYear),VEH37+VEH42+#REF!+#REF!,"")</f>
        <v/>
      </c>
      <c r="VEI57" s="82" t="str">
        <f>IF(ISNUMBER(outYear),VEI37+VEI42+#REF!+#REF!,"")</f>
        <v/>
      </c>
      <c r="VEJ57" s="82" t="str">
        <f>IF(ISNUMBER(outYear),VEJ37+VEJ42+#REF!+#REF!,"")</f>
        <v/>
      </c>
      <c r="VEK57" s="82" t="str">
        <f>IF(ISNUMBER(outYear),VEK37+VEK42+#REF!+#REF!,"")</f>
        <v/>
      </c>
      <c r="VEL57" s="82" t="str">
        <f>IF(ISNUMBER(outYear),VEL37+VEL42+#REF!+#REF!,"")</f>
        <v/>
      </c>
      <c r="VEM57" s="82" t="str">
        <f>IF(ISNUMBER(outYear),VEM37+VEM42+#REF!+#REF!,"")</f>
        <v/>
      </c>
      <c r="VEN57" s="82" t="str">
        <f>IF(ISNUMBER(outYear),VEN37+VEN42+#REF!+#REF!,"")</f>
        <v/>
      </c>
      <c r="VEO57" s="82" t="str">
        <f>IF(ISNUMBER(outYear),VEO37+VEO42+#REF!+#REF!,"")</f>
        <v/>
      </c>
      <c r="VEP57" s="82" t="str">
        <f>IF(ISNUMBER(outYear),VEP37+VEP42+#REF!+#REF!,"")</f>
        <v/>
      </c>
      <c r="VEQ57" s="82" t="str">
        <f>IF(ISNUMBER(outYear),VEQ37+VEQ42+#REF!+#REF!,"")</f>
        <v/>
      </c>
      <c r="VER57" s="82" t="str">
        <f>IF(ISNUMBER(outYear),VER37+VER42+#REF!+#REF!,"")</f>
        <v/>
      </c>
      <c r="VES57" s="82" t="str">
        <f>IF(ISNUMBER(outYear),VES37+VES42+#REF!+#REF!,"")</f>
        <v/>
      </c>
      <c r="VET57" s="82" t="str">
        <f>IF(ISNUMBER(outYear),VET37+VET42+#REF!+#REF!,"")</f>
        <v/>
      </c>
      <c r="VEU57" s="82" t="str">
        <f>IF(ISNUMBER(outYear),VEU37+VEU42+#REF!+#REF!,"")</f>
        <v/>
      </c>
      <c r="VEV57" s="82" t="str">
        <f>IF(ISNUMBER(outYear),VEV37+VEV42+#REF!+#REF!,"")</f>
        <v/>
      </c>
      <c r="VEW57" s="82" t="str">
        <f>IF(ISNUMBER(outYear),VEW37+VEW42+#REF!+#REF!,"")</f>
        <v/>
      </c>
      <c r="VEX57" s="82" t="str">
        <f>IF(ISNUMBER(outYear),VEX37+VEX42+#REF!+#REF!,"")</f>
        <v/>
      </c>
      <c r="VEY57" s="82" t="str">
        <f>IF(ISNUMBER(outYear),VEY37+VEY42+#REF!+#REF!,"")</f>
        <v/>
      </c>
      <c r="VEZ57" s="82" t="str">
        <f>IF(ISNUMBER(outYear),VEZ37+VEZ42+#REF!+#REF!,"")</f>
        <v/>
      </c>
      <c r="VFA57" s="82" t="str">
        <f>IF(ISNUMBER(outYear),VFA37+VFA42+#REF!+#REF!,"")</f>
        <v/>
      </c>
      <c r="VFB57" s="82" t="str">
        <f>IF(ISNUMBER(outYear),VFB37+VFB42+#REF!+#REF!,"")</f>
        <v/>
      </c>
      <c r="VFC57" s="82" t="str">
        <f>IF(ISNUMBER(outYear),VFC37+VFC42+#REF!+#REF!,"")</f>
        <v/>
      </c>
      <c r="VFD57" s="82" t="str">
        <f>IF(ISNUMBER(outYear),VFD37+VFD42+#REF!+#REF!,"")</f>
        <v/>
      </c>
      <c r="VFE57" s="82" t="str">
        <f>IF(ISNUMBER(outYear),VFE37+VFE42+#REF!+#REF!,"")</f>
        <v/>
      </c>
      <c r="VFF57" s="82" t="str">
        <f>IF(ISNUMBER(outYear),VFF37+VFF42+#REF!+#REF!,"")</f>
        <v/>
      </c>
      <c r="VFG57" s="82" t="str">
        <f>IF(ISNUMBER(outYear),VFG37+VFG42+#REF!+#REF!,"")</f>
        <v/>
      </c>
      <c r="VFH57" s="82" t="str">
        <f>IF(ISNUMBER(outYear),VFH37+VFH42+#REF!+#REF!,"")</f>
        <v/>
      </c>
      <c r="VFI57" s="82" t="str">
        <f>IF(ISNUMBER(outYear),VFI37+VFI42+#REF!+#REF!,"")</f>
        <v/>
      </c>
      <c r="VFJ57" s="82" t="str">
        <f>IF(ISNUMBER(outYear),VFJ37+VFJ42+#REF!+#REF!,"")</f>
        <v/>
      </c>
      <c r="VFK57" s="82" t="str">
        <f>IF(ISNUMBER(outYear),VFK37+VFK42+#REF!+#REF!,"")</f>
        <v/>
      </c>
      <c r="VFL57" s="82" t="str">
        <f>IF(ISNUMBER(outYear),VFL37+VFL42+#REF!+#REF!,"")</f>
        <v/>
      </c>
      <c r="VFM57" s="82" t="str">
        <f>IF(ISNUMBER(outYear),VFM37+VFM42+#REF!+#REF!,"")</f>
        <v/>
      </c>
      <c r="VFN57" s="82" t="str">
        <f>IF(ISNUMBER(outYear),VFN37+VFN42+#REF!+#REF!,"")</f>
        <v/>
      </c>
      <c r="VFO57" s="82" t="str">
        <f>IF(ISNUMBER(outYear),VFO37+VFO42+#REF!+#REF!,"")</f>
        <v/>
      </c>
      <c r="VFP57" s="82" t="str">
        <f>IF(ISNUMBER(outYear),VFP37+VFP42+#REF!+#REF!,"")</f>
        <v/>
      </c>
      <c r="VFQ57" s="82" t="str">
        <f>IF(ISNUMBER(outYear),VFQ37+VFQ42+#REF!+#REF!,"")</f>
        <v/>
      </c>
      <c r="VFR57" s="82" t="str">
        <f>IF(ISNUMBER(outYear),VFR37+VFR42+#REF!+#REF!,"")</f>
        <v/>
      </c>
      <c r="VFS57" s="82" t="str">
        <f>IF(ISNUMBER(outYear),VFS37+VFS42+#REF!+#REF!,"")</f>
        <v/>
      </c>
      <c r="VFT57" s="82" t="str">
        <f>IF(ISNUMBER(outYear),VFT37+VFT42+#REF!+#REF!,"")</f>
        <v/>
      </c>
      <c r="VFU57" s="82" t="str">
        <f>IF(ISNUMBER(outYear),VFU37+VFU42+#REF!+#REF!,"")</f>
        <v/>
      </c>
      <c r="VFV57" s="82" t="str">
        <f>IF(ISNUMBER(outYear),VFV37+VFV42+#REF!+#REF!,"")</f>
        <v/>
      </c>
      <c r="VFW57" s="82" t="str">
        <f>IF(ISNUMBER(outYear),VFW37+VFW42+#REF!+#REF!,"")</f>
        <v/>
      </c>
      <c r="VFX57" s="82" t="str">
        <f>IF(ISNUMBER(outYear),VFX37+VFX42+#REF!+#REF!,"")</f>
        <v/>
      </c>
      <c r="VFY57" s="82" t="str">
        <f>IF(ISNUMBER(outYear),VFY37+VFY42+#REF!+#REF!,"")</f>
        <v/>
      </c>
      <c r="VFZ57" s="82" t="str">
        <f>IF(ISNUMBER(outYear),VFZ37+VFZ42+#REF!+#REF!,"")</f>
        <v/>
      </c>
      <c r="VGA57" s="82" t="str">
        <f>IF(ISNUMBER(outYear),VGA37+VGA42+#REF!+#REF!,"")</f>
        <v/>
      </c>
      <c r="VGB57" s="82" t="str">
        <f>IF(ISNUMBER(outYear),VGB37+VGB42+#REF!+#REF!,"")</f>
        <v/>
      </c>
      <c r="VGC57" s="82" t="str">
        <f>IF(ISNUMBER(outYear),VGC37+VGC42+#REF!+#REF!,"")</f>
        <v/>
      </c>
      <c r="VGD57" s="82" t="str">
        <f>IF(ISNUMBER(outYear),VGD37+VGD42+#REF!+#REF!,"")</f>
        <v/>
      </c>
      <c r="VGE57" s="82" t="str">
        <f>IF(ISNUMBER(outYear),VGE37+VGE42+#REF!+#REF!,"")</f>
        <v/>
      </c>
      <c r="VGF57" s="82" t="str">
        <f>IF(ISNUMBER(outYear),VGF37+VGF42+#REF!+#REF!,"")</f>
        <v/>
      </c>
      <c r="VGG57" s="82" t="str">
        <f>IF(ISNUMBER(outYear),VGG37+VGG42+#REF!+#REF!,"")</f>
        <v/>
      </c>
      <c r="VGH57" s="82" t="str">
        <f>IF(ISNUMBER(outYear),VGH37+VGH42+#REF!+#REF!,"")</f>
        <v/>
      </c>
      <c r="VGI57" s="82" t="str">
        <f>IF(ISNUMBER(outYear),VGI37+VGI42+#REF!+#REF!,"")</f>
        <v/>
      </c>
      <c r="VGJ57" s="82" t="str">
        <f>IF(ISNUMBER(outYear),VGJ37+VGJ42+#REF!+#REF!,"")</f>
        <v/>
      </c>
      <c r="VGK57" s="82" t="str">
        <f>IF(ISNUMBER(outYear),VGK37+VGK42+#REF!+#REF!,"")</f>
        <v/>
      </c>
      <c r="VGL57" s="82" t="str">
        <f>IF(ISNUMBER(outYear),VGL37+VGL42+#REF!+#REF!,"")</f>
        <v/>
      </c>
      <c r="VGM57" s="82" t="str">
        <f>IF(ISNUMBER(outYear),VGM37+VGM42+#REF!+#REF!,"")</f>
        <v/>
      </c>
      <c r="VGN57" s="82" t="str">
        <f>IF(ISNUMBER(outYear),VGN37+VGN42+#REF!+#REF!,"")</f>
        <v/>
      </c>
      <c r="VGO57" s="82" t="str">
        <f>IF(ISNUMBER(outYear),VGO37+VGO42+#REF!+#REF!,"")</f>
        <v/>
      </c>
      <c r="VGP57" s="82" t="str">
        <f>IF(ISNUMBER(outYear),VGP37+VGP42+#REF!+#REF!,"")</f>
        <v/>
      </c>
      <c r="VGQ57" s="82" t="str">
        <f>IF(ISNUMBER(outYear),VGQ37+VGQ42+#REF!+#REF!,"")</f>
        <v/>
      </c>
      <c r="VGR57" s="82" t="str">
        <f>IF(ISNUMBER(outYear),VGR37+VGR42+#REF!+#REF!,"")</f>
        <v/>
      </c>
      <c r="VGS57" s="82" t="str">
        <f>IF(ISNUMBER(outYear),VGS37+VGS42+#REF!+#REF!,"")</f>
        <v/>
      </c>
      <c r="VGT57" s="82" t="str">
        <f>IF(ISNUMBER(outYear),VGT37+VGT42+#REF!+#REF!,"")</f>
        <v/>
      </c>
      <c r="VGU57" s="82" t="str">
        <f>IF(ISNUMBER(outYear),VGU37+VGU42+#REF!+#REF!,"")</f>
        <v/>
      </c>
      <c r="VGV57" s="82" t="str">
        <f>IF(ISNUMBER(outYear),VGV37+VGV42+#REF!+#REF!,"")</f>
        <v/>
      </c>
      <c r="VGW57" s="82" t="str">
        <f>IF(ISNUMBER(outYear),VGW37+VGW42+#REF!+#REF!,"")</f>
        <v/>
      </c>
      <c r="VGX57" s="82" t="str">
        <f>IF(ISNUMBER(outYear),VGX37+VGX42+#REF!+#REF!,"")</f>
        <v/>
      </c>
      <c r="VGY57" s="82" t="str">
        <f>IF(ISNUMBER(outYear),VGY37+VGY42+#REF!+#REF!,"")</f>
        <v/>
      </c>
      <c r="VGZ57" s="82" t="str">
        <f>IF(ISNUMBER(outYear),VGZ37+VGZ42+#REF!+#REF!,"")</f>
        <v/>
      </c>
      <c r="VHA57" s="82" t="str">
        <f>IF(ISNUMBER(outYear),VHA37+VHA42+#REF!+#REF!,"")</f>
        <v/>
      </c>
      <c r="VHB57" s="82" t="str">
        <f>IF(ISNUMBER(outYear),VHB37+VHB42+#REF!+#REF!,"")</f>
        <v/>
      </c>
      <c r="VHC57" s="82" t="str">
        <f>IF(ISNUMBER(outYear),VHC37+VHC42+#REF!+#REF!,"")</f>
        <v/>
      </c>
      <c r="VHD57" s="82" t="str">
        <f>IF(ISNUMBER(outYear),VHD37+VHD42+#REF!+#REF!,"")</f>
        <v/>
      </c>
      <c r="VHE57" s="82" t="str">
        <f>IF(ISNUMBER(outYear),VHE37+VHE42+#REF!+#REF!,"")</f>
        <v/>
      </c>
      <c r="VHF57" s="82" t="str">
        <f>IF(ISNUMBER(outYear),VHF37+VHF42+#REF!+#REF!,"")</f>
        <v/>
      </c>
      <c r="VHG57" s="82" t="str">
        <f>IF(ISNUMBER(outYear),VHG37+VHG42+#REF!+#REF!,"")</f>
        <v/>
      </c>
      <c r="VHH57" s="82" t="str">
        <f>IF(ISNUMBER(outYear),VHH37+VHH42+#REF!+#REF!,"")</f>
        <v/>
      </c>
      <c r="VHI57" s="82" t="str">
        <f>IF(ISNUMBER(outYear),VHI37+VHI42+#REF!+#REF!,"")</f>
        <v/>
      </c>
      <c r="VHJ57" s="82" t="str">
        <f>IF(ISNUMBER(outYear),VHJ37+VHJ42+#REF!+#REF!,"")</f>
        <v/>
      </c>
      <c r="VHK57" s="82" t="str">
        <f>IF(ISNUMBER(outYear),VHK37+VHK42+#REF!+#REF!,"")</f>
        <v/>
      </c>
      <c r="VHL57" s="82" t="str">
        <f>IF(ISNUMBER(outYear),VHL37+VHL42+#REF!+#REF!,"")</f>
        <v/>
      </c>
      <c r="VHM57" s="82" t="str">
        <f>IF(ISNUMBER(outYear),VHM37+VHM42+#REF!+#REF!,"")</f>
        <v/>
      </c>
      <c r="VHN57" s="82" t="str">
        <f>IF(ISNUMBER(outYear),VHN37+VHN42+#REF!+#REF!,"")</f>
        <v/>
      </c>
      <c r="VHO57" s="82" t="str">
        <f>IF(ISNUMBER(outYear),VHO37+VHO42+#REF!+#REF!,"")</f>
        <v/>
      </c>
      <c r="VHP57" s="82" t="str">
        <f>IF(ISNUMBER(outYear),VHP37+VHP42+#REF!+#REF!,"")</f>
        <v/>
      </c>
      <c r="VHQ57" s="82" t="str">
        <f>IF(ISNUMBER(outYear),VHQ37+VHQ42+#REF!+#REF!,"")</f>
        <v/>
      </c>
      <c r="VHR57" s="82" t="str">
        <f>IF(ISNUMBER(outYear),VHR37+VHR42+#REF!+#REF!,"")</f>
        <v/>
      </c>
      <c r="VHS57" s="82" t="str">
        <f>IF(ISNUMBER(outYear),VHS37+VHS42+#REF!+#REF!,"")</f>
        <v/>
      </c>
      <c r="VHT57" s="82" t="str">
        <f>IF(ISNUMBER(outYear),VHT37+VHT42+#REF!+#REF!,"")</f>
        <v/>
      </c>
      <c r="VHU57" s="82" t="str">
        <f>IF(ISNUMBER(outYear),VHU37+VHU42+#REF!+#REF!,"")</f>
        <v/>
      </c>
      <c r="VHV57" s="82" t="str">
        <f>IF(ISNUMBER(outYear),VHV37+VHV42+#REF!+#REF!,"")</f>
        <v/>
      </c>
      <c r="VHW57" s="82" t="str">
        <f>IF(ISNUMBER(outYear),VHW37+VHW42+#REF!+#REF!,"")</f>
        <v/>
      </c>
      <c r="VHX57" s="82" t="str">
        <f>IF(ISNUMBER(outYear),VHX37+VHX42+#REF!+#REF!,"")</f>
        <v/>
      </c>
      <c r="VHY57" s="82" t="str">
        <f>IF(ISNUMBER(outYear),VHY37+VHY42+#REF!+#REF!,"")</f>
        <v/>
      </c>
      <c r="VHZ57" s="82" t="str">
        <f>IF(ISNUMBER(outYear),VHZ37+VHZ42+#REF!+#REF!,"")</f>
        <v/>
      </c>
      <c r="VIA57" s="82" t="str">
        <f>IF(ISNUMBER(outYear),VIA37+VIA42+#REF!+#REF!,"")</f>
        <v/>
      </c>
      <c r="VIB57" s="82" t="str">
        <f>IF(ISNUMBER(outYear),VIB37+VIB42+#REF!+#REF!,"")</f>
        <v/>
      </c>
      <c r="VIC57" s="82" t="str">
        <f>IF(ISNUMBER(outYear),VIC37+VIC42+#REF!+#REF!,"")</f>
        <v/>
      </c>
      <c r="VID57" s="82" t="str">
        <f>IF(ISNUMBER(outYear),VID37+VID42+#REF!+#REF!,"")</f>
        <v/>
      </c>
      <c r="VIE57" s="82" t="str">
        <f>IF(ISNUMBER(outYear),VIE37+VIE42+#REF!+#REF!,"")</f>
        <v/>
      </c>
      <c r="VIF57" s="82" t="str">
        <f>IF(ISNUMBER(outYear),VIF37+VIF42+#REF!+#REF!,"")</f>
        <v/>
      </c>
      <c r="VIG57" s="82" t="str">
        <f>IF(ISNUMBER(outYear),VIG37+VIG42+#REF!+#REF!,"")</f>
        <v/>
      </c>
      <c r="VIH57" s="82" t="str">
        <f>IF(ISNUMBER(outYear),VIH37+VIH42+#REF!+#REF!,"")</f>
        <v/>
      </c>
      <c r="VII57" s="82" t="str">
        <f>IF(ISNUMBER(outYear),VII37+VII42+#REF!+#REF!,"")</f>
        <v/>
      </c>
      <c r="VIJ57" s="82" t="str">
        <f>IF(ISNUMBER(outYear),VIJ37+VIJ42+#REF!+#REF!,"")</f>
        <v/>
      </c>
      <c r="VIK57" s="82" t="str">
        <f>IF(ISNUMBER(outYear),VIK37+VIK42+#REF!+#REF!,"")</f>
        <v/>
      </c>
      <c r="VIL57" s="82" t="str">
        <f>IF(ISNUMBER(outYear),VIL37+VIL42+#REF!+#REF!,"")</f>
        <v/>
      </c>
      <c r="VIM57" s="82" t="str">
        <f>IF(ISNUMBER(outYear),VIM37+VIM42+#REF!+#REF!,"")</f>
        <v/>
      </c>
      <c r="VIN57" s="82" t="str">
        <f>IF(ISNUMBER(outYear),VIN37+VIN42+#REF!+#REF!,"")</f>
        <v/>
      </c>
      <c r="VIO57" s="82" t="str">
        <f>IF(ISNUMBER(outYear),VIO37+VIO42+#REF!+#REF!,"")</f>
        <v/>
      </c>
      <c r="VIP57" s="82" t="str">
        <f>IF(ISNUMBER(outYear),VIP37+VIP42+#REF!+#REF!,"")</f>
        <v/>
      </c>
      <c r="VIQ57" s="82" t="str">
        <f>IF(ISNUMBER(outYear),VIQ37+VIQ42+#REF!+#REF!,"")</f>
        <v/>
      </c>
      <c r="VIR57" s="82" t="str">
        <f>IF(ISNUMBER(outYear),VIR37+VIR42+#REF!+#REF!,"")</f>
        <v/>
      </c>
      <c r="VIS57" s="82" t="str">
        <f>IF(ISNUMBER(outYear),VIS37+VIS42+#REF!+#REF!,"")</f>
        <v/>
      </c>
      <c r="VIT57" s="82" t="str">
        <f>IF(ISNUMBER(outYear),VIT37+VIT42+#REF!+#REF!,"")</f>
        <v/>
      </c>
      <c r="VIU57" s="82" t="str">
        <f>IF(ISNUMBER(outYear),VIU37+VIU42+#REF!+#REF!,"")</f>
        <v/>
      </c>
      <c r="VIV57" s="82" t="str">
        <f>IF(ISNUMBER(outYear),VIV37+VIV42+#REF!+#REF!,"")</f>
        <v/>
      </c>
      <c r="VIW57" s="82" t="str">
        <f>IF(ISNUMBER(outYear),VIW37+VIW42+#REF!+#REF!,"")</f>
        <v/>
      </c>
      <c r="VIX57" s="82" t="str">
        <f>IF(ISNUMBER(outYear),VIX37+VIX42+#REF!+#REF!,"")</f>
        <v/>
      </c>
      <c r="VIY57" s="82" t="str">
        <f>IF(ISNUMBER(outYear),VIY37+VIY42+#REF!+#REF!,"")</f>
        <v/>
      </c>
      <c r="VIZ57" s="82" t="str">
        <f>IF(ISNUMBER(outYear),VIZ37+VIZ42+#REF!+#REF!,"")</f>
        <v/>
      </c>
      <c r="VJA57" s="82" t="str">
        <f>IF(ISNUMBER(outYear),VJA37+VJA42+#REF!+#REF!,"")</f>
        <v/>
      </c>
      <c r="VJB57" s="82" t="str">
        <f>IF(ISNUMBER(outYear),VJB37+VJB42+#REF!+#REF!,"")</f>
        <v/>
      </c>
      <c r="VJC57" s="82" t="str">
        <f>IF(ISNUMBER(outYear),VJC37+VJC42+#REF!+#REF!,"")</f>
        <v/>
      </c>
      <c r="VJD57" s="82" t="str">
        <f>IF(ISNUMBER(outYear),VJD37+VJD42+#REF!+#REF!,"")</f>
        <v/>
      </c>
      <c r="VJE57" s="82" t="str">
        <f>IF(ISNUMBER(outYear),VJE37+VJE42+#REF!+#REF!,"")</f>
        <v/>
      </c>
      <c r="VJF57" s="82" t="str">
        <f>IF(ISNUMBER(outYear),VJF37+VJF42+#REF!+#REF!,"")</f>
        <v/>
      </c>
      <c r="VJG57" s="82" t="str">
        <f>IF(ISNUMBER(outYear),VJG37+VJG42+#REF!+#REF!,"")</f>
        <v/>
      </c>
      <c r="VJH57" s="82" t="str">
        <f>IF(ISNUMBER(outYear),VJH37+VJH42+#REF!+#REF!,"")</f>
        <v/>
      </c>
      <c r="VJI57" s="82" t="str">
        <f>IF(ISNUMBER(outYear),VJI37+VJI42+#REF!+#REF!,"")</f>
        <v/>
      </c>
      <c r="VJJ57" s="82" t="str">
        <f>IF(ISNUMBER(outYear),VJJ37+VJJ42+#REF!+#REF!,"")</f>
        <v/>
      </c>
      <c r="VJK57" s="82" t="str">
        <f>IF(ISNUMBER(outYear),VJK37+VJK42+#REF!+#REF!,"")</f>
        <v/>
      </c>
      <c r="VJL57" s="82" t="str">
        <f>IF(ISNUMBER(outYear),VJL37+VJL42+#REF!+#REF!,"")</f>
        <v/>
      </c>
      <c r="VJM57" s="82" t="str">
        <f>IF(ISNUMBER(outYear),VJM37+VJM42+#REF!+#REF!,"")</f>
        <v/>
      </c>
      <c r="VJN57" s="82" t="str">
        <f>IF(ISNUMBER(outYear),VJN37+VJN42+#REF!+#REF!,"")</f>
        <v/>
      </c>
      <c r="VJO57" s="82" t="str">
        <f>IF(ISNUMBER(outYear),VJO37+VJO42+#REF!+#REF!,"")</f>
        <v/>
      </c>
      <c r="VJP57" s="82" t="str">
        <f>IF(ISNUMBER(outYear),VJP37+VJP42+#REF!+#REF!,"")</f>
        <v/>
      </c>
      <c r="VJQ57" s="82" t="str">
        <f>IF(ISNUMBER(outYear),VJQ37+VJQ42+#REF!+#REF!,"")</f>
        <v/>
      </c>
      <c r="VJR57" s="82" t="str">
        <f>IF(ISNUMBER(outYear),VJR37+VJR42+#REF!+#REF!,"")</f>
        <v/>
      </c>
      <c r="VJS57" s="82" t="str">
        <f>IF(ISNUMBER(outYear),VJS37+VJS42+#REF!+#REF!,"")</f>
        <v/>
      </c>
      <c r="VJT57" s="82" t="str">
        <f>IF(ISNUMBER(outYear),VJT37+VJT42+#REF!+#REF!,"")</f>
        <v/>
      </c>
      <c r="VJU57" s="82" t="str">
        <f>IF(ISNUMBER(outYear),VJU37+VJU42+#REF!+#REF!,"")</f>
        <v/>
      </c>
      <c r="VJV57" s="82" t="str">
        <f>IF(ISNUMBER(outYear),VJV37+VJV42+#REF!+#REF!,"")</f>
        <v/>
      </c>
      <c r="VJW57" s="82" t="str">
        <f>IF(ISNUMBER(outYear),VJW37+VJW42+#REF!+#REF!,"")</f>
        <v/>
      </c>
      <c r="VJX57" s="82" t="str">
        <f>IF(ISNUMBER(outYear),VJX37+VJX42+#REF!+#REF!,"")</f>
        <v/>
      </c>
      <c r="VJY57" s="82" t="str">
        <f>IF(ISNUMBER(outYear),VJY37+VJY42+#REF!+#REF!,"")</f>
        <v/>
      </c>
      <c r="VJZ57" s="82" t="str">
        <f>IF(ISNUMBER(outYear),VJZ37+VJZ42+#REF!+#REF!,"")</f>
        <v/>
      </c>
      <c r="VKA57" s="82" t="str">
        <f>IF(ISNUMBER(outYear),VKA37+VKA42+#REF!+#REF!,"")</f>
        <v/>
      </c>
      <c r="VKB57" s="82" t="str">
        <f>IF(ISNUMBER(outYear),VKB37+VKB42+#REF!+#REF!,"")</f>
        <v/>
      </c>
      <c r="VKC57" s="82" t="str">
        <f>IF(ISNUMBER(outYear),VKC37+VKC42+#REF!+#REF!,"")</f>
        <v/>
      </c>
      <c r="VKD57" s="82" t="str">
        <f>IF(ISNUMBER(outYear),VKD37+VKD42+#REF!+#REF!,"")</f>
        <v/>
      </c>
      <c r="VKE57" s="82" t="str">
        <f>IF(ISNUMBER(outYear),VKE37+VKE42+#REF!+#REF!,"")</f>
        <v/>
      </c>
      <c r="VKF57" s="82" t="str">
        <f>IF(ISNUMBER(outYear),VKF37+VKF42+#REF!+#REF!,"")</f>
        <v/>
      </c>
      <c r="VKG57" s="82" t="str">
        <f>IF(ISNUMBER(outYear),VKG37+VKG42+#REF!+#REF!,"")</f>
        <v/>
      </c>
      <c r="VKH57" s="82" t="str">
        <f>IF(ISNUMBER(outYear),VKH37+VKH42+#REF!+#REF!,"")</f>
        <v/>
      </c>
      <c r="VKI57" s="82" t="str">
        <f>IF(ISNUMBER(outYear),VKI37+VKI42+#REF!+#REF!,"")</f>
        <v/>
      </c>
      <c r="VKJ57" s="82" t="str">
        <f>IF(ISNUMBER(outYear),VKJ37+VKJ42+#REF!+#REF!,"")</f>
        <v/>
      </c>
      <c r="VKK57" s="82" t="str">
        <f>IF(ISNUMBER(outYear),VKK37+VKK42+#REF!+#REF!,"")</f>
        <v/>
      </c>
      <c r="VKL57" s="82" t="str">
        <f>IF(ISNUMBER(outYear),VKL37+VKL42+#REF!+#REF!,"")</f>
        <v/>
      </c>
      <c r="VKM57" s="82" t="str">
        <f>IF(ISNUMBER(outYear),VKM37+VKM42+#REF!+#REF!,"")</f>
        <v/>
      </c>
      <c r="VKN57" s="82" t="str">
        <f>IF(ISNUMBER(outYear),VKN37+VKN42+#REF!+#REF!,"")</f>
        <v/>
      </c>
      <c r="VKO57" s="82" t="str">
        <f>IF(ISNUMBER(outYear),VKO37+VKO42+#REF!+#REF!,"")</f>
        <v/>
      </c>
      <c r="VKP57" s="82" t="str">
        <f>IF(ISNUMBER(outYear),VKP37+VKP42+#REF!+#REF!,"")</f>
        <v/>
      </c>
      <c r="VKQ57" s="82" t="str">
        <f>IF(ISNUMBER(outYear),VKQ37+VKQ42+#REF!+#REF!,"")</f>
        <v/>
      </c>
      <c r="VKR57" s="82" t="str">
        <f>IF(ISNUMBER(outYear),VKR37+VKR42+#REF!+#REF!,"")</f>
        <v/>
      </c>
      <c r="VKS57" s="82" t="str">
        <f>IF(ISNUMBER(outYear),VKS37+VKS42+#REF!+#REF!,"")</f>
        <v/>
      </c>
      <c r="VKT57" s="82" t="str">
        <f>IF(ISNUMBER(outYear),VKT37+VKT42+#REF!+#REF!,"")</f>
        <v/>
      </c>
      <c r="VKU57" s="82" t="str">
        <f>IF(ISNUMBER(outYear),VKU37+VKU42+#REF!+#REF!,"")</f>
        <v/>
      </c>
      <c r="VKV57" s="82" t="str">
        <f>IF(ISNUMBER(outYear),VKV37+VKV42+#REF!+#REF!,"")</f>
        <v/>
      </c>
      <c r="VKW57" s="82" t="str">
        <f>IF(ISNUMBER(outYear),VKW37+VKW42+#REF!+#REF!,"")</f>
        <v/>
      </c>
      <c r="VKX57" s="82" t="str">
        <f>IF(ISNUMBER(outYear),VKX37+VKX42+#REF!+#REF!,"")</f>
        <v/>
      </c>
      <c r="VKY57" s="82" t="str">
        <f>IF(ISNUMBER(outYear),VKY37+VKY42+#REF!+#REF!,"")</f>
        <v/>
      </c>
      <c r="VKZ57" s="82" t="str">
        <f>IF(ISNUMBER(outYear),VKZ37+VKZ42+#REF!+#REF!,"")</f>
        <v/>
      </c>
      <c r="VLA57" s="82" t="str">
        <f>IF(ISNUMBER(outYear),VLA37+VLA42+#REF!+#REF!,"")</f>
        <v/>
      </c>
      <c r="VLB57" s="82" t="str">
        <f>IF(ISNUMBER(outYear),VLB37+VLB42+#REF!+#REF!,"")</f>
        <v/>
      </c>
      <c r="VLC57" s="82" t="str">
        <f>IF(ISNUMBER(outYear),VLC37+VLC42+#REF!+#REF!,"")</f>
        <v/>
      </c>
      <c r="VLD57" s="82" t="str">
        <f>IF(ISNUMBER(outYear),VLD37+VLD42+#REF!+#REF!,"")</f>
        <v/>
      </c>
      <c r="VLE57" s="82" t="str">
        <f>IF(ISNUMBER(outYear),VLE37+VLE42+#REF!+#REF!,"")</f>
        <v/>
      </c>
      <c r="VLF57" s="82" t="str">
        <f>IF(ISNUMBER(outYear),VLF37+VLF42+#REF!+#REF!,"")</f>
        <v/>
      </c>
      <c r="VLG57" s="82" t="str">
        <f>IF(ISNUMBER(outYear),VLG37+VLG42+#REF!+#REF!,"")</f>
        <v/>
      </c>
      <c r="VLH57" s="82" t="str">
        <f>IF(ISNUMBER(outYear),VLH37+VLH42+#REF!+#REF!,"")</f>
        <v/>
      </c>
      <c r="VLI57" s="82" t="str">
        <f>IF(ISNUMBER(outYear),VLI37+VLI42+#REF!+#REF!,"")</f>
        <v/>
      </c>
      <c r="VLJ57" s="82" t="str">
        <f>IF(ISNUMBER(outYear),VLJ37+VLJ42+#REF!+#REF!,"")</f>
        <v/>
      </c>
      <c r="VLK57" s="82" t="str">
        <f>IF(ISNUMBER(outYear),VLK37+VLK42+#REF!+#REF!,"")</f>
        <v/>
      </c>
      <c r="VLL57" s="82" t="str">
        <f>IF(ISNUMBER(outYear),VLL37+VLL42+#REF!+#REF!,"")</f>
        <v/>
      </c>
      <c r="VLM57" s="82" t="str">
        <f>IF(ISNUMBER(outYear),VLM37+VLM42+#REF!+#REF!,"")</f>
        <v/>
      </c>
      <c r="VLN57" s="82" t="str">
        <f>IF(ISNUMBER(outYear),VLN37+VLN42+#REF!+#REF!,"")</f>
        <v/>
      </c>
      <c r="VLO57" s="82" t="str">
        <f>IF(ISNUMBER(outYear),VLO37+VLO42+#REF!+#REF!,"")</f>
        <v/>
      </c>
      <c r="VLP57" s="82" t="str">
        <f>IF(ISNUMBER(outYear),VLP37+VLP42+#REF!+#REF!,"")</f>
        <v/>
      </c>
      <c r="VLQ57" s="82" t="str">
        <f>IF(ISNUMBER(outYear),VLQ37+VLQ42+#REF!+#REF!,"")</f>
        <v/>
      </c>
      <c r="VLR57" s="82" t="str">
        <f>IF(ISNUMBER(outYear),VLR37+VLR42+#REF!+#REF!,"")</f>
        <v/>
      </c>
      <c r="VLS57" s="82" t="str">
        <f>IF(ISNUMBER(outYear),VLS37+VLS42+#REF!+#REF!,"")</f>
        <v/>
      </c>
      <c r="VLT57" s="82" t="str">
        <f>IF(ISNUMBER(outYear),VLT37+VLT42+#REF!+#REF!,"")</f>
        <v/>
      </c>
      <c r="VLU57" s="82" t="str">
        <f>IF(ISNUMBER(outYear),VLU37+VLU42+#REF!+#REF!,"")</f>
        <v/>
      </c>
      <c r="VLV57" s="82" t="str">
        <f>IF(ISNUMBER(outYear),VLV37+VLV42+#REF!+#REF!,"")</f>
        <v/>
      </c>
      <c r="VLW57" s="82" t="str">
        <f>IF(ISNUMBER(outYear),VLW37+VLW42+#REF!+#REF!,"")</f>
        <v/>
      </c>
      <c r="VLX57" s="82" t="str">
        <f>IF(ISNUMBER(outYear),VLX37+VLX42+#REF!+#REF!,"")</f>
        <v/>
      </c>
      <c r="VLY57" s="82" t="str">
        <f>IF(ISNUMBER(outYear),VLY37+VLY42+#REF!+#REF!,"")</f>
        <v/>
      </c>
      <c r="VLZ57" s="82" t="str">
        <f>IF(ISNUMBER(outYear),VLZ37+VLZ42+#REF!+#REF!,"")</f>
        <v/>
      </c>
      <c r="VMA57" s="82" t="str">
        <f>IF(ISNUMBER(outYear),VMA37+VMA42+#REF!+#REF!,"")</f>
        <v/>
      </c>
      <c r="VMB57" s="82" t="str">
        <f>IF(ISNUMBER(outYear),VMB37+VMB42+#REF!+#REF!,"")</f>
        <v/>
      </c>
      <c r="VMC57" s="82" t="str">
        <f>IF(ISNUMBER(outYear),VMC37+VMC42+#REF!+#REF!,"")</f>
        <v/>
      </c>
      <c r="VMD57" s="82" t="str">
        <f>IF(ISNUMBER(outYear),VMD37+VMD42+#REF!+#REF!,"")</f>
        <v/>
      </c>
      <c r="VME57" s="82" t="str">
        <f>IF(ISNUMBER(outYear),VME37+VME42+#REF!+#REF!,"")</f>
        <v/>
      </c>
      <c r="VMF57" s="82" t="str">
        <f>IF(ISNUMBER(outYear),VMF37+VMF42+#REF!+#REF!,"")</f>
        <v/>
      </c>
      <c r="VMG57" s="82" t="str">
        <f>IF(ISNUMBER(outYear),VMG37+VMG42+#REF!+#REF!,"")</f>
        <v/>
      </c>
      <c r="VMH57" s="82" t="str">
        <f>IF(ISNUMBER(outYear),VMH37+VMH42+#REF!+#REF!,"")</f>
        <v/>
      </c>
      <c r="VMI57" s="82" t="str">
        <f>IF(ISNUMBER(outYear),VMI37+VMI42+#REF!+#REF!,"")</f>
        <v/>
      </c>
      <c r="VMJ57" s="82" t="str">
        <f>IF(ISNUMBER(outYear),VMJ37+VMJ42+#REF!+#REF!,"")</f>
        <v/>
      </c>
      <c r="VMK57" s="82" t="str">
        <f>IF(ISNUMBER(outYear),VMK37+VMK42+#REF!+#REF!,"")</f>
        <v/>
      </c>
      <c r="VML57" s="82" t="str">
        <f>IF(ISNUMBER(outYear),VML37+VML42+#REF!+#REF!,"")</f>
        <v/>
      </c>
      <c r="VMM57" s="82" t="str">
        <f>IF(ISNUMBER(outYear),VMM37+VMM42+#REF!+#REF!,"")</f>
        <v/>
      </c>
      <c r="VMN57" s="82" t="str">
        <f>IF(ISNUMBER(outYear),VMN37+VMN42+#REF!+#REF!,"")</f>
        <v/>
      </c>
      <c r="VMO57" s="82" t="str">
        <f>IF(ISNUMBER(outYear),VMO37+VMO42+#REF!+#REF!,"")</f>
        <v/>
      </c>
      <c r="VMP57" s="82" t="str">
        <f>IF(ISNUMBER(outYear),VMP37+VMP42+#REF!+#REF!,"")</f>
        <v/>
      </c>
      <c r="VMQ57" s="82" t="str">
        <f>IF(ISNUMBER(outYear),VMQ37+VMQ42+#REF!+#REF!,"")</f>
        <v/>
      </c>
      <c r="VMR57" s="82" t="str">
        <f>IF(ISNUMBER(outYear),VMR37+VMR42+#REF!+#REF!,"")</f>
        <v/>
      </c>
      <c r="VMS57" s="82" t="str">
        <f>IF(ISNUMBER(outYear),VMS37+VMS42+#REF!+#REF!,"")</f>
        <v/>
      </c>
      <c r="VMT57" s="82" t="str">
        <f>IF(ISNUMBER(outYear),VMT37+VMT42+#REF!+#REF!,"")</f>
        <v/>
      </c>
      <c r="VMU57" s="82" t="str">
        <f>IF(ISNUMBER(outYear),VMU37+VMU42+#REF!+#REF!,"")</f>
        <v/>
      </c>
      <c r="VMV57" s="82" t="str">
        <f>IF(ISNUMBER(outYear),VMV37+VMV42+#REF!+#REF!,"")</f>
        <v/>
      </c>
      <c r="VMW57" s="82" t="str">
        <f>IF(ISNUMBER(outYear),VMW37+VMW42+#REF!+#REF!,"")</f>
        <v/>
      </c>
      <c r="VMX57" s="82" t="str">
        <f>IF(ISNUMBER(outYear),VMX37+VMX42+#REF!+#REF!,"")</f>
        <v/>
      </c>
      <c r="VMY57" s="82" t="str">
        <f>IF(ISNUMBER(outYear),VMY37+VMY42+#REF!+#REF!,"")</f>
        <v/>
      </c>
      <c r="VMZ57" s="82" t="str">
        <f>IF(ISNUMBER(outYear),VMZ37+VMZ42+#REF!+#REF!,"")</f>
        <v/>
      </c>
      <c r="VNA57" s="82" t="str">
        <f>IF(ISNUMBER(outYear),VNA37+VNA42+#REF!+#REF!,"")</f>
        <v/>
      </c>
      <c r="VNB57" s="82" t="str">
        <f>IF(ISNUMBER(outYear),VNB37+VNB42+#REF!+#REF!,"")</f>
        <v/>
      </c>
      <c r="VNC57" s="82" t="str">
        <f>IF(ISNUMBER(outYear),VNC37+VNC42+#REF!+#REF!,"")</f>
        <v/>
      </c>
      <c r="VND57" s="82" t="str">
        <f>IF(ISNUMBER(outYear),VND37+VND42+#REF!+#REF!,"")</f>
        <v/>
      </c>
      <c r="VNE57" s="82" t="str">
        <f>IF(ISNUMBER(outYear),VNE37+VNE42+#REF!+#REF!,"")</f>
        <v/>
      </c>
      <c r="VNF57" s="82" t="str">
        <f>IF(ISNUMBER(outYear),VNF37+VNF42+#REF!+#REF!,"")</f>
        <v/>
      </c>
      <c r="VNG57" s="82" t="str">
        <f>IF(ISNUMBER(outYear),VNG37+VNG42+#REF!+#REF!,"")</f>
        <v/>
      </c>
      <c r="VNH57" s="82" t="str">
        <f>IF(ISNUMBER(outYear),VNH37+VNH42+#REF!+#REF!,"")</f>
        <v/>
      </c>
      <c r="VNI57" s="82" t="str">
        <f>IF(ISNUMBER(outYear),VNI37+VNI42+#REF!+#REF!,"")</f>
        <v/>
      </c>
      <c r="VNJ57" s="82" t="str">
        <f>IF(ISNUMBER(outYear),VNJ37+VNJ42+#REF!+#REF!,"")</f>
        <v/>
      </c>
      <c r="VNK57" s="82" t="str">
        <f>IF(ISNUMBER(outYear),VNK37+VNK42+#REF!+#REF!,"")</f>
        <v/>
      </c>
      <c r="VNL57" s="82" t="str">
        <f>IF(ISNUMBER(outYear),VNL37+VNL42+#REF!+#REF!,"")</f>
        <v/>
      </c>
      <c r="VNM57" s="82" t="str">
        <f>IF(ISNUMBER(outYear),VNM37+VNM42+#REF!+#REF!,"")</f>
        <v/>
      </c>
      <c r="VNN57" s="82" t="str">
        <f>IF(ISNUMBER(outYear),VNN37+VNN42+#REF!+#REF!,"")</f>
        <v/>
      </c>
      <c r="VNO57" s="82" t="str">
        <f>IF(ISNUMBER(outYear),VNO37+VNO42+#REF!+#REF!,"")</f>
        <v/>
      </c>
      <c r="VNP57" s="82" t="str">
        <f>IF(ISNUMBER(outYear),VNP37+VNP42+#REF!+#REF!,"")</f>
        <v/>
      </c>
      <c r="VNQ57" s="82" t="str">
        <f>IF(ISNUMBER(outYear),VNQ37+VNQ42+#REF!+#REF!,"")</f>
        <v/>
      </c>
      <c r="VNR57" s="82" t="str">
        <f>IF(ISNUMBER(outYear),VNR37+VNR42+#REF!+#REF!,"")</f>
        <v/>
      </c>
      <c r="VNS57" s="82" t="str">
        <f>IF(ISNUMBER(outYear),VNS37+VNS42+#REF!+#REF!,"")</f>
        <v/>
      </c>
      <c r="VNT57" s="82" t="str">
        <f>IF(ISNUMBER(outYear),VNT37+VNT42+#REF!+#REF!,"")</f>
        <v/>
      </c>
      <c r="VNU57" s="82" t="str">
        <f>IF(ISNUMBER(outYear),VNU37+VNU42+#REF!+#REF!,"")</f>
        <v/>
      </c>
      <c r="VNV57" s="82" t="str">
        <f>IF(ISNUMBER(outYear),VNV37+VNV42+#REF!+#REF!,"")</f>
        <v/>
      </c>
      <c r="VNW57" s="82" t="str">
        <f>IF(ISNUMBER(outYear),VNW37+VNW42+#REF!+#REF!,"")</f>
        <v/>
      </c>
      <c r="VNX57" s="82" t="str">
        <f>IF(ISNUMBER(outYear),VNX37+VNX42+#REF!+#REF!,"")</f>
        <v/>
      </c>
      <c r="VNY57" s="82" t="str">
        <f>IF(ISNUMBER(outYear),VNY37+VNY42+#REF!+#REF!,"")</f>
        <v/>
      </c>
      <c r="VNZ57" s="82" t="str">
        <f>IF(ISNUMBER(outYear),VNZ37+VNZ42+#REF!+#REF!,"")</f>
        <v/>
      </c>
      <c r="VOA57" s="82" t="str">
        <f>IF(ISNUMBER(outYear),VOA37+VOA42+#REF!+#REF!,"")</f>
        <v/>
      </c>
      <c r="VOB57" s="82" t="str">
        <f>IF(ISNUMBER(outYear),VOB37+VOB42+#REF!+#REF!,"")</f>
        <v/>
      </c>
      <c r="VOC57" s="82" t="str">
        <f>IF(ISNUMBER(outYear),VOC37+VOC42+#REF!+#REF!,"")</f>
        <v/>
      </c>
      <c r="VOD57" s="82" t="str">
        <f>IF(ISNUMBER(outYear),VOD37+VOD42+#REF!+#REF!,"")</f>
        <v/>
      </c>
      <c r="VOE57" s="82" t="str">
        <f>IF(ISNUMBER(outYear),VOE37+VOE42+#REF!+#REF!,"")</f>
        <v/>
      </c>
      <c r="VOF57" s="82" t="str">
        <f>IF(ISNUMBER(outYear),VOF37+VOF42+#REF!+#REF!,"")</f>
        <v/>
      </c>
      <c r="VOG57" s="82" t="str">
        <f>IF(ISNUMBER(outYear),VOG37+VOG42+#REF!+#REF!,"")</f>
        <v/>
      </c>
      <c r="VOH57" s="82" t="str">
        <f>IF(ISNUMBER(outYear),VOH37+VOH42+#REF!+#REF!,"")</f>
        <v/>
      </c>
      <c r="VOI57" s="82" t="str">
        <f>IF(ISNUMBER(outYear),VOI37+VOI42+#REF!+#REF!,"")</f>
        <v/>
      </c>
      <c r="VOJ57" s="82" t="str">
        <f>IF(ISNUMBER(outYear),VOJ37+VOJ42+#REF!+#REF!,"")</f>
        <v/>
      </c>
      <c r="VOK57" s="82" t="str">
        <f>IF(ISNUMBER(outYear),VOK37+VOK42+#REF!+#REF!,"")</f>
        <v/>
      </c>
      <c r="VOL57" s="82" t="str">
        <f>IF(ISNUMBER(outYear),VOL37+VOL42+#REF!+#REF!,"")</f>
        <v/>
      </c>
      <c r="VOM57" s="82" t="str">
        <f>IF(ISNUMBER(outYear),VOM37+VOM42+#REF!+#REF!,"")</f>
        <v/>
      </c>
      <c r="VON57" s="82" t="str">
        <f>IF(ISNUMBER(outYear),VON37+VON42+#REF!+#REF!,"")</f>
        <v/>
      </c>
      <c r="VOO57" s="82" t="str">
        <f>IF(ISNUMBER(outYear),VOO37+VOO42+#REF!+#REF!,"")</f>
        <v/>
      </c>
      <c r="VOP57" s="82" t="str">
        <f>IF(ISNUMBER(outYear),VOP37+VOP42+#REF!+#REF!,"")</f>
        <v/>
      </c>
      <c r="VOQ57" s="82" t="str">
        <f>IF(ISNUMBER(outYear),VOQ37+VOQ42+#REF!+#REF!,"")</f>
        <v/>
      </c>
      <c r="VOR57" s="82" t="str">
        <f>IF(ISNUMBER(outYear),VOR37+VOR42+#REF!+#REF!,"")</f>
        <v/>
      </c>
      <c r="VOS57" s="82" t="str">
        <f>IF(ISNUMBER(outYear),VOS37+VOS42+#REF!+#REF!,"")</f>
        <v/>
      </c>
      <c r="VOT57" s="82" t="str">
        <f>IF(ISNUMBER(outYear),VOT37+VOT42+#REF!+#REF!,"")</f>
        <v/>
      </c>
      <c r="VOU57" s="82" t="str">
        <f>IF(ISNUMBER(outYear),VOU37+VOU42+#REF!+#REF!,"")</f>
        <v/>
      </c>
      <c r="VOV57" s="82" t="str">
        <f>IF(ISNUMBER(outYear),VOV37+VOV42+#REF!+#REF!,"")</f>
        <v/>
      </c>
      <c r="VOW57" s="82" t="str">
        <f>IF(ISNUMBER(outYear),VOW37+VOW42+#REF!+#REF!,"")</f>
        <v/>
      </c>
      <c r="VOX57" s="82" t="str">
        <f>IF(ISNUMBER(outYear),VOX37+VOX42+#REF!+#REF!,"")</f>
        <v/>
      </c>
      <c r="VOY57" s="82" t="str">
        <f>IF(ISNUMBER(outYear),VOY37+VOY42+#REF!+#REF!,"")</f>
        <v/>
      </c>
      <c r="VOZ57" s="82" t="str">
        <f>IF(ISNUMBER(outYear),VOZ37+VOZ42+#REF!+#REF!,"")</f>
        <v/>
      </c>
      <c r="VPA57" s="82" t="str">
        <f>IF(ISNUMBER(outYear),VPA37+VPA42+#REF!+#REF!,"")</f>
        <v/>
      </c>
      <c r="VPB57" s="82" t="str">
        <f>IF(ISNUMBER(outYear),VPB37+VPB42+#REF!+#REF!,"")</f>
        <v/>
      </c>
      <c r="VPC57" s="82" t="str">
        <f>IF(ISNUMBER(outYear),VPC37+VPC42+#REF!+#REF!,"")</f>
        <v/>
      </c>
      <c r="VPD57" s="82" t="str">
        <f>IF(ISNUMBER(outYear),VPD37+VPD42+#REF!+#REF!,"")</f>
        <v/>
      </c>
      <c r="VPE57" s="82" t="str">
        <f>IF(ISNUMBER(outYear),VPE37+VPE42+#REF!+#REF!,"")</f>
        <v/>
      </c>
      <c r="VPF57" s="82" t="str">
        <f>IF(ISNUMBER(outYear),VPF37+VPF42+#REF!+#REF!,"")</f>
        <v/>
      </c>
      <c r="VPG57" s="82" t="str">
        <f>IF(ISNUMBER(outYear),VPG37+VPG42+#REF!+#REF!,"")</f>
        <v/>
      </c>
      <c r="VPH57" s="82" t="str">
        <f>IF(ISNUMBER(outYear),VPH37+VPH42+#REF!+#REF!,"")</f>
        <v/>
      </c>
      <c r="VPI57" s="82" t="str">
        <f>IF(ISNUMBER(outYear),VPI37+VPI42+#REF!+#REF!,"")</f>
        <v/>
      </c>
      <c r="VPJ57" s="82" t="str">
        <f>IF(ISNUMBER(outYear),VPJ37+VPJ42+#REF!+#REF!,"")</f>
        <v/>
      </c>
      <c r="VPK57" s="82" t="str">
        <f>IF(ISNUMBER(outYear),VPK37+VPK42+#REF!+#REF!,"")</f>
        <v/>
      </c>
      <c r="VPL57" s="82" t="str">
        <f>IF(ISNUMBER(outYear),VPL37+VPL42+#REF!+#REF!,"")</f>
        <v/>
      </c>
      <c r="VPM57" s="82" t="str">
        <f>IF(ISNUMBER(outYear),VPM37+VPM42+#REF!+#REF!,"")</f>
        <v/>
      </c>
      <c r="VPN57" s="82" t="str">
        <f>IF(ISNUMBER(outYear),VPN37+VPN42+#REF!+#REF!,"")</f>
        <v/>
      </c>
      <c r="VPO57" s="82" t="str">
        <f>IF(ISNUMBER(outYear),VPO37+VPO42+#REF!+#REF!,"")</f>
        <v/>
      </c>
      <c r="VPP57" s="82" t="str">
        <f>IF(ISNUMBER(outYear),VPP37+VPP42+#REF!+#REF!,"")</f>
        <v/>
      </c>
      <c r="VPQ57" s="82" t="str">
        <f>IF(ISNUMBER(outYear),VPQ37+VPQ42+#REF!+#REF!,"")</f>
        <v/>
      </c>
      <c r="VPR57" s="82" t="str">
        <f>IF(ISNUMBER(outYear),VPR37+VPR42+#REF!+#REF!,"")</f>
        <v/>
      </c>
      <c r="VPS57" s="82" t="str">
        <f>IF(ISNUMBER(outYear),VPS37+VPS42+#REF!+#REF!,"")</f>
        <v/>
      </c>
      <c r="VPT57" s="82" t="str">
        <f>IF(ISNUMBER(outYear),VPT37+VPT42+#REF!+#REF!,"")</f>
        <v/>
      </c>
      <c r="VPU57" s="82" t="str">
        <f>IF(ISNUMBER(outYear),VPU37+VPU42+#REF!+#REF!,"")</f>
        <v/>
      </c>
      <c r="VPV57" s="82" t="str">
        <f>IF(ISNUMBER(outYear),VPV37+VPV42+#REF!+#REF!,"")</f>
        <v/>
      </c>
      <c r="VPW57" s="82" t="str">
        <f>IF(ISNUMBER(outYear),VPW37+VPW42+#REF!+#REF!,"")</f>
        <v/>
      </c>
      <c r="VPX57" s="82" t="str">
        <f>IF(ISNUMBER(outYear),VPX37+VPX42+#REF!+#REF!,"")</f>
        <v/>
      </c>
      <c r="VPY57" s="82" t="str">
        <f>IF(ISNUMBER(outYear),VPY37+VPY42+#REF!+#REF!,"")</f>
        <v/>
      </c>
      <c r="VPZ57" s="82" t="str">
        <f>IF(ISNUMBER(outYear),VPZ37+VPZ42+#REF!+#REF!,"")</f>
        <v/>
      </c>
      <c r="VQA57" s="82" t="str">
        <f>IF(ISNUMBER(outYear),VQA37+VQA42+#REF!+#REF!,"")</f>
        <v/>
      </c>
      <c r="VQB57" s="82" t="str">
        <f>IF(ISNUMBER(outYear),VQB37+VQB42+#REF!+#REF!,"")</f>
        <v/>
      </c>
      <c r="VQC57" s="82" t="str">
        <f>IF(ISNUMBER(outYear),VQC37+VQC42+#REF!+#REF!,"")</f>
        <v/>
      </c>
      <c r="VQD57" s="82" t="str">
        <f>IF(ISNUMBER(outYear),VQD37+VQD42+#REF!+#REF!,"")</f>
        <v/>
      </c>
      <c r="VQE57" s="82" t="str">
        <f>IF(ISNUMBER(outYear),VQE37+VQE42+#REF!+#REF!,"")</f>
        <v/>
      </c>
      <c r="VQF57" s="82" t="str">
        <f>IF(ISNUMBER(outYear),VQF37+VQF42+#REF!+#REF!,"")</f>
        <v/>
      </c>
      <c r="VQG57" s="82" t="str">
        <f>IF(ISNUMBER(outYear),VQG37+VQG42+#REF!+#REF!,"")</f>
        <v/>
      </c>
      <c r="VQH57" s="82" t="str">
        <f>IF(ISNUMBER(outYear),VQH37+VQH42+#REF!+#REF!,"")</f>
        <v/>
      </c>
      <c r="VQI57" s="82" t="str">
        <f>IF(ISNUMBER(outYear),VQI37+VQI42+#REF!+#REF!,"")</f>
        <v/>
      </c>
      <c r="VQJ57" s="82" t="str">
        <f>IF(ISNUMBER(outYear),VQJ37+VQJ42+#REF!+#REF!,"")</f>
        <v/>
      </c>
      <c r="VQK57" s="82" t="str">
        <f>IF(ISNUMBER(outYear),VQK37+VQK42+#REF!+#REF!,"")</f>
        <v/>
      </c>
      <c r="VQL57" s="82" t="str">
        <f>IF(ISNUMBER(outYear),VQL37+VQL42+#REF!+#REF!,"")</f>
        <v/>
      </c>
      <c r="VQM57" s="82" t="str">
        <f>IF(ISNUMBER(outYear),VQM37+VQM42+#REF!+#REF!,"")</f>
        <v/>
      </c>
      <c r="VQN57" s="82" t="str">
        <f>IF(ISNUMBER(outYear),VQN37+VQN42+#REF!+#REF!,"")</f>
        <v/>
      </c>
      <c r="VQO57" s="82" t="str">
        <f>IF(ISNUMBER(outYear),VQO37+VQO42+#REF!+#REF!,"")</f>
        <v/>
      </c>
      <c r="VQP57" s="82" t="str">
        <f>IF(ISNUMBER(outYear),VQP37+VQP42+#REF!+#REF!,"")</f>
        <v/>
      </c>
      <c r="VQQ57" s="82" t="str">
        <f>IF(ISNUMBER(outYear),VQQ37+VQQ42+#REF!+#REF!,"")</f>
        <v/>
      </c>
      <c r="VQR57" s="82" t="str">
        <f>IF(ISNUMBER(outYear),VQR37+VQR42+#REF!+#REF!,"")</f>
        <v/>
      </c>
      <c r="VQS57" s="82" t="str">
        <f>IF(ISNUMBER(outYear),VQS37+VQS42+#REF!+#REF!,"")</f>
        <v/>
      </c>
      <c r="VQT57" s="82" t="str">
        <f>IF(ISNUMBER(outYear),VQT37+VQT42+#REF!+#REF!,"")</f>
        <v/>
      </c>
      <c r="VQU57" s="82" t="str">
        <f>IF(ISNUMBER(outYear),VQU37+VQU42+#REF!+#REF!,"")</f>
        <v/>
      </c>
      <c r="VQV57" s="82" t="str">
        <f>IF(ISNUMBER(outYear),VQV37+VQV42+#REF!+#REF!,"")</f>
        <v/>
      </c>
      <c r="VQW57" s="82" t="str">
        <f>IF(ISNUMBER(outYear),VQW37+VQW42+#REF!+#REF!,"")</f>
        <v/>
      </c>
      <c r="VQX57" s="82" t="str">
        <f>IF(ISNUMBER(outYear),VQX37+VQX42+#REF!+#REF!,"")</f>
        <v/>
      </c>
      <c r="VQY57" s="82" t="str">
        <f>IF(ISNUMBER(outYear),VQY37+VQY42+#REF!+#REF!,"")</f>
        <v/>
      </c>
      <c r="VQZ57" s="82" t="str">
        <f>IF(ISNUMBER(outYear),VQZ37+VQZ42+#REF!+#REF!,"")</f>
        <v/>
      </c>
      <c r="VRA57" s="82" t="str">
        <f>IF(ISNUMBER(outYear),VRA37+VRA42+#REF!+#REF!,"")</f>
        <v/>
      </c>
      <c r="VRB57" s="82" t="str">
        <f>IF(ISNUMBER(outYear),VRB37+VRB42+#REF!+#REF!,"")</f>
        <v/>
      </c>
      <c r="VRC57" s="82" t="str">
        <f>IF(ISNUMBER(outYear),VRC37+VRC42+#REF!+#REF!,"")</f>
        <v/>
      </c>
      <c r="VRD57" s="82" t="str">
        <f>IF(ISNUMBER(outYear),VRD37+VRD42+#REF!+#REF!,"")</f>
        <v/>
      </c>
      <c r="VRE57" s="82" t="str">
        <f>IF(ISNUMBER(outYear),VRE37+VRE42+#REF!+#REF!,"")</f>
        <v/>
      </c>
      <c r="VRF57" s="82" t="str">
        <f>IF(ISNUMBER(outYear),VRF37+VRF42+#REF!+#REF!,"")</f>
        <v/>
      </c>
      <c r="VRG57" s="82" t="str">
        <f>IF(ISNUMBER(outYear),VRG37+VRG42+#REF!+#REF!,"")</f>
        <v/>
      </c>
      <c r="VRH57" s="82" t="str">
        <f>IF(ISNUMBER(outYear),VRH37+VRH42+#REF!+#REF!,"")</f>
        <v/>
      </c>
      <c r="VRI57" s="82" t="str">
        <f>IF(ISNUMBER(outYear),VRI37+VRI42+#REF!+#REF!,"")</f>
        <v/>
      </c>
      <c r="VRJ57" s="82" t="str">
        <f>IF(ISNUMBER(outYear),VRJ37+VRJ42+#REF!+#REF!,"")</f>
        <v/>
      </c>
      <c r="VRK57" s="82" t="str">
        <f>IF(ISNUMBER(outYear),VRK37+VRK42+#REF!+#REF!,"")</f>
        <v/>
      </c>
      <c r="VRL57" s="82" t="str">
        <f>IF(ISNUMBER(outYear),VRL37+VRL42+#REF!+#REF!,"")</f>
        <v/>
      </c>
      <c r="VRM57" s="82" t="str">
        <f>IF(ISNUMBER(outYear),VRM37+VRM42+#REF!+#REF!,"")</f>
        <v/>
      </c>
      <c r="VRN57" s="82" t="str">
        <f>IF(ISNUMBER(outYear),VRN37+VRN42+#REF!+#REF!,"")</f>
        <v/>
      </c>
      <c r="VRO57" s="82" t="str">
        <f>IF(ISNUMBER(outYear),VRO37+VRO42+#REF!+#REF!,"")</f>
        <v/>
      </c>
      <c r="VRP57" s="82" t="str">
        <f>IF(ISNUMBER(outYear),VRP37+VRP42+#REF!+#REF!,"")</f>
        <v/>
      </c>
      <c r="VRQ57" s="82" t="str">
        <f>IF(ISNUMBER(outYear),VRQ37+VRQ42+#REF!+#REF!,"")</f>
        <v/>
      </c>
      <c r="VRR57" s="82" t="str">
        <f>IF(ISNUMBER(outYear),VRR37+VRR42+#REF!+#REF!,"")</f>
        <v/>
      </c>
      <c r="VRS57" s="82" t="str">
        <f>IF(ISNUMBER(outYear),VRS37+VRS42+#REF!+#REF!,"")</f>
        <v/>
      </c>
      <c r="VRT57" s="82" t="str">
        <f>IF(ISNUMBER(outYear),VRT37+VRT42+#REF!+#REF!,"")</f>
        <v/>
      </c>
      <c r="VRU57" s="82" t="str">
        <f>IF(ISNUMBER(outYear),VRU37+VRU42+#REF!+#REF!,"")</f>
        <v/>
      </c>
      <c r="VRV57" s="82" t="str">
        <f>IF(ISNUMBER(outYear),VRV37+VRV42+#REF!+#REF!,"")</f>
        <v/>
      </c>
      <c r="VRW57" s="82" t="str">
        <f>IF(ISNUMBER(outYear),VRW37+VRW42+#REF!+#REF!,"")</f>
        <v/>
      </c>
      <c r="VRX57" s="82" t="str">
        <f>IF(ISNUMBER(outYear),VRX37+VRX42+#REF!+#REF!,"")</f>
        <v/>
      </c>
      <c r="VRY57" s="82" t="str">
        <f>IF(ISNUMBER(outYear),VRY37+VRY42+#REF!+#REF!,"")</f>
        <v/>
      </c>
      <c r="VRZ57" s="82" t="str">
        <f>IF(ISNUMBER(outYear),VRZ37+VRZ42+#REF!+#REF!,"")</f>
        <v/>
      </c>
      <c r="VSA57" s="82" t="str">
        <f>IF(ISNUMBER(outYear),VSA37+VSA42+#REF!+#REF!,"")</f>
        <v/>
      </c>
      <c r="VSB57" s="82" t="str">
        <f>IF(ISNUMBER(outYear),VSB37+VSB42+#REF!+#REF!,"")</f>
        <v/>
      </c>
      <c r="VSC57" s="82" t="str">
        <f>IF(ISNUMBER(outYear),VSC37+VSC42+#REF!+#REF!,"")</f>
        <v/>
      </c>
      <c r="VSD57" s="82" t="str">
        <f>IF(ISNUMBER(outYear),VSD37+VSD42+#REF!+#REF!,"")</f>
        <v/>
      </c>
      <c r="VSE57" s="82" t="str">
        <f>IF(ISNUMBER(outYear),VSE37+VSE42+#REF!+#REF!,"")</f>
        <v/>
      </c>
      <c r="VSF57" s="82" t="str">
        <f>IF(ISNUMBER(outYear),VSF37+VSF42+#REF!+#REF!,"")</f>
        <v/>
      </c>
      <c r="VSG57" s="82" t="str">
        <f>IF(ISNUMBER(outYear),VSG37+VSG42+#REF!+#REF!,"")</f>
        <v/>
      </c>
      <c r="VSH57" s="82" t="str">
        <f>IF(ISNUMBER(outYear),VSH37+VSH42+#REF!+#REF!,"")</f>
        <v/>
      </c>
      <c r="VSI57" s="82" t="str">
        <f>IF(ISNUMBER(outYear),VSI37+VSI42+#REF!+#REF!,"")</f>
        <v/>
      </c>
      <c r="VSJ57" s="82" t="str">
        <f>IF(ISNUMBER(outYear),VSJ37+VSJ42+#REF!+#REF!,"")</f>
        <v/>
      </c>
      <c r="VSK57" s="82" t="str">
        <f>IF(ISNUMBER(outYear),VSK37+VSK42+#REF!+#REF!,"")</f>
        <v/>
      </c>
      <c r="VSL57" s="82" t="str">
        <f>IF(ISNUMBER(outYear),VSL37+VSL42+#REF!+#REF!,"")</f>
        <v/>
      </c>
      <c r="VSM57" s="82" t="str">
        <f>IF(ISNUMBER(outYear),VSM37+VSM42+#REF!+#REF!,"")</f>
        <v/>
      </c>
      <c r="VSN57" s="82" t="str">
        <f>IF(ISNUMBER(outYear),VSN37+VSN42+#REF!+#REF!,"")</f>
        <v/>
      </c>
      <c r="VSO57" s="82" t="str">
        <f>IF(ISNUMBER(outYear),VSO37+VSO42+#REF!+#REF!,"")</f>
        <v/>
      </c>
      <c r="VSP57" s="82" t="str">
        <f>IF(ISNUMBER(outYear),VSP37+VSP42+#REF!+#REF!,"")</f>
        <v/>
      </c>
      <c r="VSQ57" s="82" t="str">
        <f>IF(ISNUMBER(outYear),VSQ37+VSQ42+#REF!+#REF!,"")</f>
        <v/>
      </c>
      <c r="VSR57" s="82" t="str">
        <f>IF(ISNUMBER(outYear),VSR37+VSR42+#REF!+#REF!,"")</f>
        <v/>
      </c>
      <c r="VSS57" s="82" t="str">
        <f>IF(ISNUMBER(outYear),VSS37+VSS42+#REF!+#REF!,"")</f>
        <v/>
      </c>
      <c r="VST57" s="82" t="str">
        <f>IF(ISNUMBER(outYear),VST37+VST42+#REF!+#REF!,"")</f>
        <v/>
      </c>
      <c r="VSU57" s="82" t="str">
        <f>IF(ISNUMBER(outYear),VSU37+VSU42+#REF!+#REF!,"")</f>
        <v/>
      </c>
      <c r="VSV57" s="82" t="str">
        <f>IF(ISNUMBER(outYear),VSV37+VSV42+#REF!+#REF!,"")</f>
        <v/>
      </c>
      <c r="VSW57" s="82" t="str">
        <f>IF(ISNUMBER(outYear),VSW37+VSW42+#REF!+#REF!,"")</f>
        <v/>
      </c>
      <c r="VSX57" s="82" t="str">
        <f>IF(ISNUMBER(outYear),VSX37+VSX42+#REF!+#REF!,"")</f>
        <v/>
      </c>
      <c r="VSY57" s="82" t="str">
        <f>IF(ISNUMBER(outYear),VSY37+VSY42+#REF!+#REF!,"")</f>
        <v/>
      </c>
      <c r="VSZ57" s="82" t="str">
        <f>IF(ISNUMBER(outYear),VSZ37+VSZ42+#REF!+#REF!,"")</f>
        <v/>
      </c>
      <c r="VTA57" s="82" t="str">
        <f>IF(ISNUMBER(outYear),VTA37+VTA42+#REF!+#REF!,"")</f>
        <v/>
      </c>
      <c r="VTB57" s="82" t="str">
        <f>IF(ISNUMBER(outYear),VTB37+VTB42+#REF!+#REF!,"")</f>
        <v/>
      </c>
      <c r="VTC57" s="82" t="str">
        <f>IF(ISNUMBER(outYear),VTC37+VTC42+#REF!+#REF!,"")</f>
        <v/>
      </c>
      <c r="VTD57" s="82" t="str">
        <f>IF(ISNUMBER(outYear),VTD37+VTD42+#REF!+#REF!,"")</f>
        <v/>
      </c>
      <c r="VTE57" s="82" t="str">
        <f>IF(ISNUMBER(outYear),VTE37+VTE42+#REF!+#REF!,"")</f>
        <v/>
      </c>
      <c r="VTF57" s="82" t="str">
        <f>IF(ISNUMBER(outYear),VTF37+VTF42+#REF!+#REF!,"")</f>
        <v/>
      </c>
      <c r="VTG57" s="82" t="str">
        <f>IF(ISNUMBER(outYear),VTG37+VTG42+#REF!+#REF!,"")</f>
        <v/>
      </c>
      <c r="VTH57" s="82" t="str">
        <f>IF(ISNUMBER(outYear),VTH37+VTH42+#REF!+#REF!,"")</f>
        <v/>
      </c>
      <c r="VTI57" s="82" t="str">
        <f>IF(ISNUMBER(outYear),VTI37+VTI42+#REF!+#REF!,"")</f>
        <v/>
      </c>
      <c r="VTJ57" s="82" t="str">
        <f>IF(ISNUMBER(outYear),VTJ37+VTJ42+#REF!+#REF!,"")</f>
        <v/>
      </c>
      <c r="VTK57" s="82" t="str">
        <f>IF(ISNUMBER(outYear),VTK37+VTK42+#REF!+#REF!,"")</f>
        <v/>
      </c>
      <c r="VTL57" s="82" t="str">
        <f>IF(ISNUMBER(outYear),VTL37+VTL42+#REF!+#REF!,"")</f>
        <v/>
      </c>
      <c r="VTM57" s="82" t="str">
        <f>IF(ISNUMBER(outYear),VTM37+VTM42+#REF!+#REF!,"")</f>
        <v/>
      </c>
      <c r="VTN57" s="82" t="str">
        <f>IF(ISNUMBER(outYear),VTN37+VTN42+#REF!+#REF!,"")</f>
        <v/>
      </c>
      <c r="VTO57" s="82" t="str">
        <f>IF(ISNUMBER(outYear),VTO37+VTO42+#REF!+#REF!,"")</f>
        <v/>
      </c>
      <c r="VTP57" s="82" t="str">
        <f>IF(ISNUMBER(outYear),VTP37+VTP42+#REF!+#REF!,"")</f>
        <v/>
      </c>
      <c r="VTQ57" s="82" t="str">
        <f>IF(ISNUMBER(outYear),VTQ37+VTQ42+#REF!+#REF!,"")</f>
        <v/>
      </c>
      <c r="VTR57" s="82" t="str">
        <f>IF(ISNUMBER(outYear),VTR37+VTR42+#REF!+#REF!,"")</f>
        <v/>
      </c>
      <c r="VTS57" s="82" t="str">
        <f>IF(ISNUMBER(outYear),VTS37+VTS42+#REF!+#REF!,"")</f>
        <v/>
      </c>
      <c r="VTT57" s="82" t="str">
        <f>IF(ISNUMBER(outYear),VTT37+VTT42+#REF!+#REF!,"")</f>
        <v/>
      </c>
      <c r="VTU57" s="82" t="str">
        <f>IF(ISNUMBER(outYear),VTU37+VTU42+#REF!+#REF!,"")</f>
        <v/>
      </c>
      <c r="VTV57" s="82" t="str">
        <f>IF(ISNUMBER(outYear),VTV37+VTV42+#REF!+#REF!,"")</f>
        <v/>
      </c>
      <c r="VTW57" s="82" t="str">
        <f>IF(ISNUMBER(outYear),VTW37+VTW42+#REF!+#REF!,"")</f>
        <v/>
      </c>
      <c r="VTX57" s="82" t="str">
        <f>IF(ISNUMBER(outYear),VTX37+VTX42+#REF!+#REF!,"")</f>
        <v/>
      </c>
      <c r="VTY57" s="82" t="str">
        <f>IF(ISNUMBER(outYear),VTY37+VTY42+#REF!+#REF!,"")</f>
        <v/>
      </c>
      <c r="VTZ57" s="82" t="str">
        <f>IF(ISNUMBER(outYear),VTZ37+VTZ42+#REF!+#REF!,"")</f>
        <v/>
      </c>
      <c r="VUA57" s="82" t="str">
        <f>IF(ISNUMBER(outYear),VUA37+VUA42+#REF!+#REF!,"")</f>
        <v/>
      </c>
      <c r="VUB57" s="82" t="str">
        <f>IF(ISNUMBER(outYear),VUB37+VUB42+#REF!+#REF!,"")</f>
        <v/>
      </c>
      <c r="VUC57" s="82" t="str">
        <f>IF(ISNUMBER(outYear),VUC37+VUC42+#REF!+#REF!,"")</f>
        <v/>
      </c>
      <c r="VUD57" s="82" t="str">
        <f>IF(ISNUMBER(outYear),VUD37+VUD42+#REF!+#REF!,"")</f>
        <v/>
      </c>
      <c r="VUE57" s="82" t="str">
        <f>IF(ISNUMBER(outYear),VUE37+VUE42+#REF!+#REF!,"")</f>
        <v/>
      </c>
      <c r="VUF57" s="82" t="str">
        <f>IF(ISNUMBER(outYear),VUF37+VUF42+#REF!+#REF!,"")</f>
        <v/>
      </c>
      <c r="VUG57" s="82" t="str">
        <f>IF(ISNUMBER(outYear),VUG37+VUG42+#REF!+#REF!,"")</f>
        <v/>
      </c>
      <c r="VUH57" s="82" t="str">
        <f>IF(ISNUMBER(outYear),VUH37+VUH42+#REF!+#REF!,"")</f>
        <v/>
      </c>
      <c r="VUI57" s="82" t="str">
        <f>IF(ISNUMBER(outYear),VUI37+VUI42+#REF!+#REF!,"")</f>
        <v/>
      </c>
      <c r="VUJ57" s="82" t="str">
        <f>IF(ISNUMBER(outYear),VUJ37+VUJ42+#REF!+#REF!,"")</f>
        <v/>
      </c>
      <c r="VUK57" s="82" t="str">
        <f>IF(ISNUMBER(outYear),VUK37+VUK42+#REF!+#REF!,"")</f>
        <v/>
      </c>
      <c r="VUL57" s="82" t="str">
        <f>IF(ISNUMBER(outYear),VUL37+VUL42+#REF!+#REF!,"")</f>
        <v/>
      </c>
      <c r="VUM57" s="82" t="str">
        <f>IF(ISNUMBER(outYear),VUM37+VUM42+#REF!+#REF!,"")</f>
        <v/>
      </c>
      <c r="VUN57" s="82" t="str">
        <f>IF(ISNUMBER(outYear),VUN37+VUN42+#REF!+#REF!,"")</f>
        <v/>
      </c>
      <c r="VUO57" s="82" t="str">
        <f>IF(ISNUMBER(outYear),VUO37+VUO42+#REF!+#REF!,"")</f>
        <v/>
      </c>
      <c r="VUP57" s="82" t="str">
        <f>IF(ISNUMBER(outYear),VUP37+VUP42+#REF!+#REF!,"")</f>
        <v/>
      </c>
      <c r="VUQ57" s="82" t="str">
        <f>IF(ISNUMBER(outYear),VUQ37+VUQ42+#REF!+#REF!,"")</f>
        <v/>
      </c>
      <c r="VUR57" s="82" t="str">
        <f>IF(ISNUMBER(outYear),VUR37+VUR42+#REF!+#REF!,"")</f>
        <v/>
      </c>
      <c r="VUS57" s="82" t="str">
        <f>IF(ISNUMBER(outYear),VUS37+VUS42+#REF!+#REF!,"")</f>
        <v/>
      </c>
      <c r="VUT57" s="82" t="str">
        <f>IF(ISNUMBER(outYear),VUT37+VUT42+#REF!+#REF!,"")</f>
        <v/>
      </c>
      <c r="VUU57" s="82" t="str">
        <f>IF(ISNUMBER(outYear),VUU37+VUU42+#REF!+#REF!,"")</f>
        <v/>
      </c>
      <c r="VUV57" s="82" t="str">
        <f>IF(ISNUMBER(outYear),VUV37+VUV42+#REF!+#REF!,"")</f>
        <v/>
      </c>
      <c r="VUW57" s="82" t="str">
        <f>IF(ISNUMBER(outYear),VUW37+VUW42+#REF!+#REF!,"")</f>
        <v/>
      </c>
      <c r="VUX57" s="82" t="str">
        <f>IF(ISNUMBER(outYear),VUX37+VUX42+#REF!+#REF!,"")</f>
        <v/>
      </c>
      <c r="VUY57" s="82" t="str">
        <f>IF(ISNUMBER(outYear),VUY37+VUY42+#REF!+#REF!,"")</f>
        <v/>
      </c>
      <c r="VUZ57" s="82" t="str">
        <f>IF(ISNUMBER(outYear),VUZ37+VUZ42+#REF!+#REF!,"")</f>
        <v/>
      </c>
      <c r="VVA57" s="82" t="str">
        <f>IF(ISNUMBER(outYear),VVA37+VVA42+#REF!+#REF!,"")</f>
        <v/>
      </c>
      <c r="VVB57" s="82" t="str">
        <f>IF(ISNUMBER(outYear),VVB37+VVB42+#REF!+#REF!,"")</f>
        <v/>
      </c>
      <c r="VVC57" s="82" t="str">
        <f>IF(ISNUMBER(outYear),VVC37+VVC42+#REF!+#REF!,"")</f>
        <v/>
      </c>
      <c r="VVD57" s="82" t="str">
        <f>IF(ISNUMBER(outYear),VVD37+VVD42+#REF!+#REF!,"")</f>
        <v/>
      </c>
      <c r="VVE57" s="82" t="str">
        <f>IF(ISNUMBER(outYear),VVE37+VVE42+#REF!+#REF!,"")</f>
        <v/>
      </c>
      <c r="VVF57" s="82" t="str">
        <f>IF(ISNUMBER(outYear),VVF37+VVF42+#REF!+#REF!,"")</f>
        <v/>
      </c>
      <c r="VVG57" s="82" t="str">
        <f>IF(ISNUMBER(outYear),VVG37+VVG42+#REF!+#REF!,"")</f>
        <v/>
      </c>
      <c r="VVH57" s="82" t="str">
        <f>IF(ISNUMBER(outYear),VVH37+VVH42+#REF!+#REF!,"")</f>
        <v/>
      </c>
      <c r="VVI57" s="82" t="str">
        <f>IF(ISNUMBER(outYear),VVI37+VVI42+#REF!+#REF!,"")</f>
        <v/>
      </c>
      <c r="VVJ57" s="82" t="str">
        <f>IF(ISNUMBER(outYear),VVJ37+VVJ42+#REF!+#REF!,"")</f>
        <v/>
      </c>
      <c r="VVK57" s="82" t="str">
        <f>IF(ISNUMBER(outYear),VVK37+VVK42+#REF!+#REF!,"")</f>
        <v/>
      </c>
      <c r="VVL57" s="82" t="str">
        <f>IF(ISNUMBER(outYear),VVL37+VVL42+#REF!+#REF!,"")</f>
        <v/>
      </c>
      <c r="VVM57" s="82" t="str">
        <f>IF(ISNUMBER(outYear),VVM37+VVM42+#REF!+#REF!,"")</f>
        <v/>
      </c>
      <c r="VVN57" s="82" t="str">
        <f>IF(ISNUMBER(outYear),VVN37+VVN42+#REF!+#REF!,"")</f>
        <v/>
      </c>
      <c r="VVO57" s="82" t="str">
        <f>IF(ISNUMBER(outYear),VVO37+VVO42+#REF!+#REF!,"")</f>
        <v/>
      </c>
      <c r="VVP57" s="82" t="str">
        <f>IF(ISNUMBER(outYear),VVP37+VVP42+#REF!+#REF!,"")</f>
        <v/>
      </c>
      <c r="VVQ57" s="82" t="str">
        <f>IF(ISNUMBER(outYear),VVQ37+VVQ42+#REF!+#REF!,"")</f>
        <v/>
      </c>
      <c r="VVR57" s="82" t="str">
        <f>IF(ISNUMBER(outYear),VVR37+VVR42+#REF!+#REF!,"")</f>
        <v/>
      </c>
      <c r="VVS57" s="82" t="str">
        <f>IF(ISNUMBER(outYear),VVS37+VVS42+#REF!+#REF!,"")</f>
        <v/>
      </c>
      <c r="VVT57" s="82" t="str">
        <f>IF(ISNUMBER(outYear),VVT37+VVT42+#REF!+#REF!,"")</f>
        <v/>
      </c>
      <c r="VVU57" s="82" t="str">
        <f>IF(ISNUMBER(outYear),VVU37+VVU42+#REF!+#REF!,"")</f>
        <v/>
      </c>
      <c r="VVV57" s="82" t="str">
        <f>IF(ISNUMBER(outYear),VVV37+VVV42+#REF!+#REF!,"")</f>
        <v/>
      </c>
      <c r="VVW57" s="82" t="str">
        <f>IF(ISNUMBER(outYear),VVW37+VVW42+#REF!+#REF!,"")</f>
        <v/>
      </c>
      <c r="VVX57" s="82" t="str">
        <f>IF(ISNUMBER(outYear),VVX37+VVX42+#REF!+#REF!,"")</f>
        <v/>
      </c>
      <c r="VVY57" s="82" t="str">
        <f>IF(ISNUMBER(outYear),VVY37+VVY42+#REF!+#REF!,"")</f>
        <v/>
      </c>
      <c r="VVZ57" s="82" t="str">
        <f>IF(ISNUMBER(outYear),VVZ37+VVZ42+#REF!+#REF!,"")</f>
        <v/>
      </c>
      <c r="VWA57" s="82" t="str">
        <f>IF(ISNUMBER(outYear),VWA37+VWA42+#REF!+#REF!,"")</f>
        <v/>
      </c>
      <c r="VWB57" s="82" t="str">
        <f>IF(ISNUMBER(outYear),VWB37+VWB42+#REF!+#REF!,"")</f>
        <v/>
      </c>
      <c r="VWC57" s="82" t="str">
        <f>IF(ISNUMBER(outYear),VWC37+VWC42+#REF!+#REF!,"")</f>
        <v/>
      </c>
      <c r="VWD57" s="82" t="str">
        <f>IF(ISNUMBER(outYear),VWD37+VWD42+#REF!+#REF!,"")</f>
        <v/>
      </c>
      <c r="VWE57" s="82" t="str">
        <f>IF(ISNUMBER(outYear),VWE37+VWE42+#REF!+#REF!,"")</f>
        <v/>
      </c>
      <c r="VWF57" s="82" t="str">
        <f>IF(ISNUMBER(outYear),VWF37+VWF42+#REF!+#REF!,"")</f>
        <v/>
      </c>
      <c r="VWG57" s="82" t="str">
        <f>IF(ISNUMBER(outYear),VWG37+VWG42+#REF!+#REF!,"")</f>
        <v/>
      </c>
      <c r="VWH57" s="82" t="str">
        <f>IF(ISNUMBER(outYear),VWH37+VWH42+#REF!+#REF!,"")</f>
        <v/>
      </c>
      <c r="VWI57" s="82" t="str">
        <f>IF(ISNUMBER(outYear),VWI37+VWI42+#REF!+#REF!,"")</f>
        <v/>
      </c>
      <c r="VWJ57" s="82" t="str">
        <f>IF(ISNUMBER(outYear),VWJ37+VWJ42+#REF!+#REF!,"")</f>
        <v/>
      </c>
      <c r="VWK57" s="82" t="str">
        <f>IF(ISNUMBER(outYear),VWK37+VWK42+#REF!+#REF!,"")</f>
        <v/>
      </c>
      <c r="VWL57" s="82" t="str">
        <f>IF(ISNUMBER(outYear),VWL37+VWL42+#REF!+#REF!,"")</f>
        <v/>
      </c>
      <c r="VWM57" s="82" t="str">
        <f>IF(ISNUMBER(outYear),VWM37+VWM42+#REF!+#REF!,"")</f>
        <v/>
      </c>
      <c r="VWN57" s="82" t="str">
        <f>IF(ISNUMBER(outYear),VWN37+VWN42+#REF!+#REF!,"")</f>
        <v/>
      </c>
      <c r="VWO57" s="82" t="str">
        <f>IF(ISNUMBER(outYear),VWO37+VWO42+#REF!+#REF!,"")</f>
        <v/>
      </c>
      <c r="VWP57" s="82" t="str">
        <f>IF(ISNUMBER(outYear),VWP37+VWP42+#REF!+#REF!,"")</f>
        <v/>
      </c>
      <c r="VWQ57" s="82" t="str">
        <f>IF(ISNUMBER(outYear),VWQ37+VWQ42+#REF!+#REF!,"")</f>
        <v/>
      </c>
      <c r="VWR57" s="82" t="str">
        <f>IF(ISNUMBER(outYear),VWR37+VWR42+#REF!+#REF!,"")</f>
        <v/>
      </c>
      <c r="VWS57" s="82" t="str">
        <f>IF(ISNUMBER(outYear),VWS37+VWS42+#REF!+#REF!,"")</f>
        <v/>
      </c>
      <c r="VWT57" s="82" t="str">
        <f>IF(ISNUMBER(outYear),VWT37+VWT42+#REF!+#REF!,"")</f>
        <v/>
      </c>
      <c r="VWU57" s="82" t="str">
        <f>IF(ISNUMBER(outYear),VWU37+VWU42+#REF!+#REF!,"")</f>
        <v/>
      </c>
      <c r="VWV57" s="82" t="str">
        <f>IF(ISNUMBER(outYear),VWV37+VWV42+#REF!+#REF!,"")</f>
        <v/>
      </c>
      <c r="VWW57" s="82" t="str">
        <f>IF(ISNUMBER(outYear),VWW37+VWW42+#REF!+#REF!,"")</f>
        <v/>
      </c>
      <c r="VWX57" s="82" t="str">
        <f>IF(ISNUMBER(outYear),VWX37+VWX42+#REF!+#REF!,"")</f>
        <v/>
      </c>
      <c r="VWY57" s="82" t="str">
        <f>IF(ISNUMBER(outYear),VWY37+VWY42+#REF!+#REF!,"")</f>
        <v/>
      </c>
      <c r="VWZ57" s="82" t="str">
        <f>IF(ISNUMBER(outYear),VWZ37+VWZ42+#REF!+#REF!,"")</f>
        <v/>
      </c>
      <c r="VXA57" s="82" t="str">
        <f>IF(ISNUMBER(outYear),VXA37+VXA42+#REF!+#REF!,"")</f>
        <v/>
      </c>
      <c r="VXB57" s="82" t="str">
        <f>IF(ISNUMBER(outYear),VXB37+VXB42+#REF!+#REF!,"")</f>
        <v/>
      </c>
      <c r="VXC57" s="82" t="str">
        <f>IF(ISNUMBER(outYear),VXC37+VXC42+#REF!+#REF!,"")</f>
        <v/>
      </c>
      <c r="VXD57" s="82" t="str">
        <f>IF(ISNUMBER(outYear),VXD37+VXD42+#REF!+#REF!,"")</f>
        <v/>
      </c>
      <c r="VXE57" s="82" t="str">
        <f>IF(ISNUMBER(outYear),VXE37+VXE42+#REF!+#REF!,"")</f>
        <v/>
      </c>
      <c r="VXF57" s="82" t="str">
        <f>IF(ISNUMBER(outYear),VXF37+VXF42+#REF!+#REF!,"")</f>
        <v/>
      </c>
      <c r="VXG57" s="82" t="str">
        <f>IF(ISNUMBER(outYear),VXG37+VXG42+#REF!+#REF!,"")</f>
        <v/>
      </c>
      <c r="VXH57" s="82" t="str">
        <f>IF(ISNUMBER(outYear),VXH37+VXH42+#REF!+#REF!,"")</f>
        <v/>
      </c>
      <c r="VXI57" s="82" t="str">
        <f>IF(ISNUMBER(outYear),VXI37+VXI42+#REF!+#REF!,"")</f>
        <v/>
      </c>
      <c r="VXJ57" s="82" t="str">
        <f>IF(ISNUMBER(outYear),VXJ37+VXJ42+#REF!+#REF!,"")</f>
        <v/>
      </c>
      <c r="VXK57" s="82" t="str">
        <f>IF(ISNUMBER(outYear),VXK37+VXK42+#REF!+#REF!,"")</f>
        <v/>
      </c>
      <c r="VXL57" s="82" t="str">
        <f>IF(ISNUMBER(outYear),VXL37+VXL42+#REF!+#REF!,"")</f>
        <v/>
      </c>
      <c r="VXM57" s="82" t="str">
        <f>IF(ISNUMBER(outYear),VXM37+VXM42+#REF!+#REF!,"")</f>
        <v/>
      </c>
      <c r="VXN57" s="82" t="str">
        <f>IF(ISNUMBER(outYear),VXN37+VXN42+#REF!+#REF!,"")</f>
        <v/>
      </c>
      <c r="VXO57" s="82" t="str">
        <f>IF(ISNUMBER(outYear),VXO37+VXO42+#REF!+#REF!,"")</f>
        <v/>
      </c>
      <c r="VXP57" s="82" t="str">
        <f>IF(ISNUMBER(outYear),VXP37+VXP42+#REF!+#REF!,"")</f>
        <v/>
      </c>
      <c r="VXQ57" s="82" t="str">
        <f>IF(ISNUMBER(outYear),VXQ37+VXQ42+#REF!+#REF!,"")</f>
        <v/>
      </c>
      <c r="VXR57" s="82" t="str">
        <f>IF(ISNUMBER(outYear),VXR37+VXR42+#REF!+#REF!,"")</f>
        <v/>
      </c>
      <c r="VXS57" s="82" t="str">
        <f>IF(ISNUMBER(outYear),VXS37+VXS42+#REF!+#REF!,"")</f>
        <v/>
      </c>
      <c r="VXT57" s="82" t="str">
        <f>IF(ISNUMBER(outYear),VXT37+VXT42+#REF!+#REF!,"")</f>
        <v/>
      </c>
      <c r="VXU57" s="82" t="str">
        <f>IF(ISNUMBER(outYear),VXU37+VXU42+#REF!+#REF!,"")</f>
        <v/>
      </c>
      <c r="VXV57" s="82" t="str">
        <f>IF(ISNUMBER(outYear),VXV37+VXV42+#REF!+#REF!,"")</f>
        <v/>
      </c>
      <c r="VXW57" s="82" t="str">
        <f>IF(ISNUMBER(outYear),VXW37+VXW42+#REF!+#REF!,"")</f>
        <v/>
      </c>
      <c r="VXX57" s="82" t="str">
        <f>IF(ISNUMBER(outYear),VXX37+VXX42+#REF!+#REF!,"")</f>
        <v/>
      </c>
      <c r="VXY57" s="82" t="str">
        <f>IF(ISNUMBER(outYear),VXY37+VXY42+#REF!+#REF!,"")</f>
        <v/>
      </c>
      <c r="VXZ57" s="82" t="str">
        <f>IF(ISNUMBER(outYear),VXZ37+VXZ42+#REF!+#REF!,"")</f>
        <v/>
      </c>
      <c r="VYA57" s="82" t="str">
        <f>IF(ISNUMBER(outYear),VYA37+VYA42+#REF!+#REF!,"")</f>
        <v/>
      </c>
      <c r="VYB57" s="82" t="str">
        <f>IF(ISNUMBER(outYear),VYB37+VYB42+#REF!+#REF!,"")</f>
        <v/>
      </c>
      <c r="VYC57" s="82" t="str">
        <f>IF(ISNUMBER(outYear),VYC37+VYC42+#REF!+#REF!,"")</f>
        <v/>
      </c>
      <c r="VYD57" s="82" t="str">
        <f>IF(ISNUMBER(outYear),VYD37+VYD42+#REF!+#REF!,"")</f>
        <v/>
      </c>
      <c r="VYE57" s="82" t="str">
        <f>IF(ISNUMBER(outYear),VYE37+VYE42+#REF!+#REF!,"")</f>
        <v/>
      </c>
      <c r="VYF57" s="82" t="str">
        <f>IF(ISNUMBER(outYear),VYF37+VYF42+#REF!+#REF!,"")</f>
        <v/>
      </c>
      <c r="VYG57" s="82" t="str">
        <f>IF(ISNUMBER(outYear),VYG37+VYG42+#REF!+#REF!,"")</f>
        <v/>
      </c>
      <c r="VYH57" s="82" t="str">
        <f>IF(ISNUMBER(outYear),VYH37+VYH42+#REF!+#REF!,"")</f>
        <v/>
      </c>
      <c r="VYI57" s="82" t="str">
        <f>IF(ISNUMBER(outYear),VYI37+VYI42+#REF!+#REF!,"")</f>
        <v/>
      </c>
      <c r="VYJ57" s="82" t="str">
        <f>IF(ISNUMBER(outYear),VYJ37+VYJ42+#REF!+#REF!,"")</f>
        <v/>
      </c>
      <c r="VYK57" s="82" t="str">
        <f>IF(ISNUMBER(outYear),VYK37+VYK42+#REF!+#REF!,"")</f>
        <v/>
      </c>
      <c r="VYL57" s="82" t="str">
        <f>IF(ISNUMBER(outYear),VYL37+VYL42+#REF!+#REF!,"")</f>
        <v/>
      </c>
      <c r="VYM57" s="82" t="str">
        <f>IF(ISNUMBER(outYear),VYM37+VYM42+#REF!+#REF!,"")</f>
        <v/>
      </c>
      <c r="VYN57" s="82" t="str">
        <f>IF(ISNUMBER(outYear),VYN37+VYN42+#REF!+#REF!,"")</f>
        <v/>
      </c>
      <c r="VYO57" s="82" t="str">
        <f>IF(ISNUMBER(outYear),VYO37+VYO42+#REF!+#REF!,"")</f>
        <v/>
      </c>
      <c r="VYP57" s="82" t="str">
        <f>IF(ISNUMBER(outYear),VYP37+VYP42+#REF!+#REF!,"")</f>
        <v/>
      </c>
      <c r="VYQ57" s="82" t="str">
        <f>IF(ISNUMBER(outYear),VYQ37+VYQ42+#REF!+#REF!,"")</f>
        <v/>
      </c>
      <c r="VYR57" s="82" t="str">
        <f>IF(ISNUMBER(outYear),VYR37+VYR42+#REF!+#REF!,"")</f>
        <v/>
      </c>
      <c r="VYS57" s="82" t="str">
        <f>IF(ISNUMBER(outYear),VYS37+VYS42+#REF!+#REF!,"")</f>
        <v/>
      </c>
      <c r="VYT57" s="82" t="str">
        <f>IF(ISNUMBER(outYear),VYT37+VYT42+#REF!+#REF!,"")</f>
        <v/>
      </c>
      <c r="VYU57" s="82" t="str">
        <f>IF(ISNUMBER(outYear),VYU37+VYU42+#REF!+#REF!,"")</f>
        <v/>
      </c>
      <c r="VYV57" s="82" t="str">
        <f>IF(ISNUMBER(outYear),VYV37+VYV42+#REF!+#REF!,"")</f>
        <v/>
      </c>
      <c r="VYW57" s="82" t="str">
        <f>IF(ISNUMBER(outYear),VYW37+VYW42+#REF!+#REF!,"")</f>
        <v/>
      </c>
      <c r="VYX57" s="82" t="str">
        <f>IF(ISNUMBER(outYear),VYX37+VYX42+#REF!+#REF!,"")</f>
        <v/>
      </c>
      <c r="VYY57" s="82" t="str">
        <f>IF(ISNUMBER(outYear),VYY37+VYY42+#REF!+#REF!,"")</f>
        <v/>
      </c>
      <c r="VYZ57" s="82" t="str">
        <f>IF(ISNUMBER(outYear),VYZ37+VYZ42+#REF!+#REF!,"")</f>
        <v/>
      </c>
      <c r="VZA57" s="82" t="str">
        <f>IF(ISNUMBER(outYear),VZA37+VZA42+#REF!+#REF!,"")</f>
        <v/>
      </c>
      <c r="VZB57" s="82" t="str">
        <f>IF(ISNUMBER(outYear),VZB37+VZB42+#REF!+#REF!,"")</f>
        <v/>
      </c>
      <c r="VZC57" s="82" t="str">
        <f>IF(ISNUMBER(outYear),VZC37+VZC42+#REF!+#REF!,"")</f>
        <v/>
      </c>
      <c r="VZD57" s="82" t="str">
        <f>IF(ISNUMBER(outYear),VZD37+VZD42+#REF!+#REF!,"")</f>
        <v/>
      </c>
      <c r="VZE57" s="82" t="str">
        <f>IF(ISNUMBER(outYear),VZE37+VZE42+#REF!+#REF!,"")</f>
        <v/>
      </c>
      <c r="VZF57" s="82" t="str">
        <f>IF(ISNUMBER(outYear),VZF37+VZF42+#REF!+#REF!,"")</f>
        <v/>
      </c>
      <c r="VZG57" s="82" t="str">
        <f>IF(ISNUMBER(outYear),VZG37+VZG42+#REF!+#REF!,"")</f>
        <v/>
      </c>
      <c r="VZH57" s="82" t="str">
        <f>IF(ISNUMBER(outYear),VZH37+VZH42+#REF!+#REF!,"")</f>
        <v/>
      </c>
      <c r="VZI57" s="82" t="str">
        <f>IF(ISNUMBER(outYear),VZI37+VZI42+#REF!+#REF!,"")</f>
        <v/>
      </c>
      <c r="VZJ57" s="82" t="str">
        <f>IF(ISNUMBER(outYear),VZJ37+VZJ42+#REF!+#REF!,"")</f>
        <v/>
      </c>
      <c r="VZK57" s="82" t="str">
        <f>IF(ISNUMBER(outYear),VZK37+VZK42+#REF!+#REF!,"")</f>
        <v/>
      </c>
      <c r="VZL57" s="82" t="str">
        <f>IF(ISNUMBER(outYear),VZL37+VZL42+#REF!+#REF!,"")</f>
        <v/>
      </c>
      <c r="VZM57" s="82" t="str">
        <f>IF(ISNUMBER(outYear),VZM37+VZM42+#REF!+#REF!,"")</f>
        <v/>
      </c>
      <c r="VZN57" s="82" t="str">
        <f>IF(ISNUMBER(outYear),VZN37+VZN42+#REF!+#REF!,"")</f>
        <v/>
      </c>
      <c r="VZO57" s="82" t="str">
        <f>IF(ISNUMBER(outYear),VZO37+VZO42+#REF!+#REF!,"")</f>
        <v/>
      </c>
      <c r="VZP57" s="82" t="str">
        <f>IF(ISNUMBER(outYear),VZP37+VZP42+#REF!+#REF!,"")</f>
        <v/>
      </c>
      <c r="VZQ57" s="82" t="str">
        <f>IF(ISNUMBER(outYear),VZQ37+VZQ42+#REF!+#REF!,"")</f>
        <v/>
      </c>
      <c r="VZR57" s="82" t="str">
        <f>IF(ISNUMBER(outYear),VZR37+VZR42+#REF!+#REF!,"")</f>
        <v/>
      </c>
      <c r="VZS57" s="82" t="str">
        <f>IF(ISNUMBER(outYear),VZS37+VZS42+#REF!+#REF!,"")</f>
        <v/>
      </c>
      <c r="VZT57" s="82" t="str">
        <f>IF(ISNUMBER(outYear),VZT37+VZT42+#REF!+#REF!,"")</f>
        <v/>
      </c>
      <c r="VZU57" s="82" t="str">
        <f>IF(ISNUMBER(outYear),VZU37+VZU42+#REF!+#REF!,"")</f>
        <v/>
      </c>
      <c r="VZV57" s="82" t="str">
        <f>IF(ISNUMBER(outYear),VZV37+VZV42+#REF!+#REF!,"")</f>
        <v/>
      </c>
      <c r="VZW57" s="82" t="str">
        <f>IF(ISNUMBER(outYear),VZW37+VZW42+#REF!+#REF!,"")</f>
        <v/>
      </c>
      <c r="VZX57" s="82" t="str">
        <f>IF(ISNUMBER(outYear),VZX37+VZX42+#REF!+#REF!,"")</f>
        <v/>
      </c>
      <c r="VZY57" s="82" t="str">
        <f>IF(ISNUMBER(outYear),VZY37+VZY42+#REF!+#REF!,"")</f>
        <v/>
      </c>
      <c r="VZZ57" s="82" t="str">
        <f>IF(ISNUMBER(outYear),VZZ37+VZZ42+#REF!+#REF!,"")</f>
        <v/>
      </c>
      <c r="WAA57" s="82" t="str">
        <f>IF(ISNUMBER(outYear),WAA37+WAA42+#REF!+#REF!,"")</f>
        <v/>
      </c>
      <c r="WAB57" s="82" t="str">
        <f>IF(ISNUMBER(outYear),WAB37+WAB42+#REF!+#REF!,"")</f>
        <v/>
      </c>
      <c r="WAC57" s="82" t="str">
        <f>IF(ISNUMBER(outYear),WAC37+WAC42+#REF!+#REF!,"")</f>
        <v/>
      </c>
      <c r="WAD57" s="82" t="str">
        <f>IF(ISNUMBER(outYear),WAD37+WAD42+#REF!+#REF!,"")</f>
        <v/>
      </c>
      <c r="WAE57" s="82" t="str">
        <f>IF(ISNUMBER(outYear),WAE37+WAE42+#REF!+#REF!,"")</f>
        <v/>
      </c>
      <c r="WAF57" s="82" t="str">
        <f>IF(ISNUMBER(outYear),WAF37+WAF42+#REF!+#REF!,"")</f>
        <v/>
      </c>
      <c r="WAG57" s="82" t="str">
        <f>IF(ISNUMBER(outYear),WAG37+WAG42+#REF!+#REF!,"")</f>
        <v/>
      </c>
      <c r="WAH57" s="82" t="str">
        <f>IF(ISNUMBER(outYear),WAH37+WAH42+#REF!+#REF!,"")</f>
        <v/>
      </c>
      <c r="WAI57" s="82" t="str">
        <f>IF(ISNUMBER(outYear),WAI37+WAI42+#REF!+#REF!,"")</f>
        <v/>
      </c>
      <c r="WAJ57" s="82" t="str">
        <f>IF(ISNUMBER(outYear),WAJ37+WAJ42+#REF!+#REF!,"")</f>
        <v/>
      </c>
      <c r="WAK57" s="82" t="str">
        <f>IF(ISNUMBER(outYear),WAK37+WAK42+#REF!+#REF!,"")</f>
        <v/>
      </c>
      <c r="WAL57" s="82" t="str">
        <f>IF(ISNUMBER(outYear),WAL37+WAL42+#REF!+#REF!,"")</f>
        <v/>
      </c>
      <c r="WAM57" s="82" t="str">
        <f>IF(ISNUMBER(outYear),WAM37+WAM42+#REF!+#REF!,"")</f>
        <v/>
      </c>
      <c r="WAN57" s="82" t="str">
        <f>IF(ISNUMBER(outYear),WAN37+WAN42+#REF!+#REF!,"")</f>
        <v/>
      </c>
      <c r="WAO57" s="82" t="str">
        <f>IF(ISNUMBER(outYear),WAO37+WAO42+#REF!+#REF!,"")</f>
        <v/>
      </c>
      <c r="WAP57" s="82" t="str">
        <f>IF(ISNUMBER(outYear),WAP37+WAP42+#REF!+#REF!,"")</f>
        <v/>
      </c>
      <c r="WAQ57" s="82" t="str">
        <f>IF(ISNUMBER(outYear),WAQ37+WAQ42+#REF!+#REF!,"")</f>
        <v/>
      </c>
      <c r="WAR57" s="82" t="str">
        <f>IF(ISNUMBER(outYear),WAR37+WAR42+#REF!+#REF!,"")</f>
        <v/>
      </c>
      <c r="WAS57" s="82" t="str">
        <f>IF(ISNUMBER(outYear),WAS37+WAS42+#REF!+#REF!,"")</f>
        <v/>
      </c>
      <c r="WAT57" s="82" t="str">
        <f>IF(ISNUMBER(outYear),WAT37+WAT42+#REF!+#REF!,"")</f>
        <v/>
      </c>
      <c r="WAU57" s="82" t="str">
        <f>IF(ISNUMBER(outYear),WAU37+WAU42+#REF!+#REF!,"")</f>
        <v/>
      </c>
      <c r="WAV57" s="82" t="str">
        <f>IF(ISNUMBER(outYear),WAV37+WAV42+#REF!+#REF!,"")</f>
        <v/>
      </c>
      <c r="WAW57" s="82" t="str">
        <f>IF(ISNUMBER(outYear),WAW37+WAW42+#REF!+#REF!,"")</f>
        <v/>
      </c>
      <c r="WAX57" s="82" t="str">
        <f>IF(ISNUMBER(outYear),WAX37+WAX42+#REF!+#REF!,"")</f>
        <v/>
      </c>
      <c r="WAY57" s="82" t="str">
        <f>IF(ISNUMBER(outYear),WAY37+WAY42+#REF!+#REF!,"")</f>
        <v/>
      </c>
      <c r="WAZ57" s="82" t="str">
        <f>IF(ISNUMBER(outYear),WAZ37+WAZ42+#REF!+#REF!,"")</f>
        <v/>
      </c>
      <c r="WBA57" s="82" t="str">
        <f>IF(ISNUMBER(outYear),WBA37+WBA42+#REF!+#REF!,"")</f>
        <v/>
      </c>
      <c r="WBB57" s="82" t="str">
        <f>IF(ISNUMBER(outYear),WBB37+WBB42+#REF!+#REF!,"")</f>
        <v/>
      </c>
      <c r="WBC57" s="82" t="str">
        <f>IF(ISNUMBER(outYear),WBC37+WBC42+#REF!+#REF!,"")</f>
        <v/>
      </c>
      <c r="WBD57" s="82" t="str">
        <f>IF(ISNUMBER(outYear),WBD37+WBD42+#REF!+#REF!,"")</f>
        <v/>
      </c>
      <c r="WBE57" s="82" t="str">
        <f>IF(ISNUMBER(outYear),WBE37+WBE42+#REF!+#REF!,"")</f>
        <v/>
      </c>
      <c r="WBF57" s="82" t="str">
        <f>IF(ISNUMBER(outYear),WBF37+WBF42+#REF!+#REF!,"")</f>
        <v/>
      </c>
      <c r="WBG57" s="82" t="str">
        <f>IF(ISNUMBER(outYear),WBG37+WBG42+#REF!+#REF!,"")</f>
        <v/>
      </c>
      <c r="WBH57" s="82" t="str">
        <f>IF(ISNUMBER(outYear),WBH37+WBH42+#REF!+#REF!,"")</f>
        <v/>
      </c>
      <c r="WBI57" s="82" t="str">
        <f>IF(ISNUMBER(outYear),WBI37+WBI42+#REF!+#REF!,"")</f>
        <v/>
      </c>
      <c r="WBJ57" s="82" t="str">
        <f>IF(ISNUMBER(outYear),WBJ37+WBJ42+#REF!+#REF!,"")</f>
        <v/>
      </c>
      <c r="WBK57" s="82" t="str">
        <f>IF(ISNUMBER(outYear),WBK37+WBK42+#REF!+#REF!,"")</f>
        <v/>
      </c>
      <c r="WBL57" s="82" t="str">
        <f>IF(ISNUMBER(outYear),WBL37+WBL42+#REF!+#REF!,"")</f>
        <v/>
      </c>
      <c r="WBM57" s="82" t="str">
        <f>IF(ISNUMBER(outYear),WBM37+WBM42+#REF!+#REF!,"")</f>
        <v/>
      </c>
      <c r="WBN57" s="82" t="str">
        <f>IF(ISNUMBER(outYear),WBN37+WBN42+#REF!+#REF!,"")</f>
        <v/>
      </c>
      <c r="WBO57" s="82" t="str">
        <f>IF(ISNUMBER(outYear),WBO37+WBO42+#REF!+#REF!,"")</f>
        <v/>
      </c>
      <c r="WBP57" s="82" t="str">
        <f>IF(ISNUMBER(outYear),WBP37+WBP42+#REF!+#REF!,"")</f>
        <v/>
      </c>
      <c r="WBQ57" s="82" t="str">
        <f>IF(ISNUMBER(outYear),WBQ37+WBQ42+#REF!+#REF!,"")</f>
        <v/>
      </c>
      <c r="WBR57" s="82" t="str">
        <f>IF(ISNUMBER(outYear),WBR37+WBR42+#REF!+#REF!,"")</f>
        <v/>
      </c>
      <c r="WBS57" s="82" t="str">
        <f>IF(ISNUMBER(outYear),WBS37+WBS42+#REF!+#REF!,"")</f>
        <v/>
      </c>
      <c r="WBT57" s="82" t="str">
        <f>IF(ISNUMBER(outYear),WBT37+WBT42+#REF!+#REF!,"")</f>
        <v/>
      </c>
      <c r="WBU57" s="82" t="str">
        <f>IF(ISNUMBER(outYear),WBU37+WBU42+#REF!+#REF!,"")</f>
        <v/>
      </c>
      <c r="WBV57" s="82" t="str">
        <f>IF(ISNUMBER(outYear),WBV37+WBV42+#REF!+#REF!,"")</f>
        <v/>
      </c>
      <c r="WBW57" s="82" t="str">
        <f>IF(ISNUMBER(outYear),WBW37+WBW42+#REF!+#REF!,"")</f>
        <v/>
      </c>
      <c r="WBX57" s="82" t="str">
        <f>IF(ISNUMBER(outYear),WBX37+WBX42+#REF!+#REF!,"")</f>
        <v/>
      </c>
      <c r="WBY57" s="82" t="str">
        <f>IF(ISNUMBER(outYear),WBY37+WBY42+#REF!+#REF!,"")</f>
        <v/>
      </c>
      <c r="WBZ57" s="82" t="str">
        <f>IF(ISNUMBER(outYear),WBZ37+WBZ42+#REF!+#REF!,"")</f>
        <v/>
      </c>
      <c r="WCA57" s="82" t="str">
        <f>IF(ISNUMBER(outYear),WCA37+WCA42+#REF!+#REF!,"")</f>
        <v/>
      </c>
      <c r="WCB57" s="82" t="str">
        <f>IF(ISNUMBER(outYear),WCB37+WCB42+#REF!+#REF!,"")</f>
        <v/>
      </c>
      <c r="WCC57" s="82" t="str">
        <f>IF(ISNUMBER(outYear),WCC37+WCC42+#REF!+#REF!,"")</f>
        <v/>
      </c>
      <c r="WCD57" s="82" t="str">
        <f>IF(ISNUMBER(outYear),WCD37+WCD42+#REF!+#REF!,"")</f>
        <v/>
      </c>
      <c r="WCE57" s="82" t="str">
        <f>IF(ISNUMBER(outYear),WCE37+WCE42+#REF!+#REF!,"")</f>
        <v/>
      </c>
      <c r="WCF57" s="82" t="str">
        <f>IF(ISNUMBER(outYear),WCF37+WCF42+#REF!+#REF!,"")</f>
        <v/>
      </c>
      <c r="WCG57" s="82" t="str">
        <f>IF(ISNUMBER(outYear),WCG37+WCG42+#REF!+#REF!,"")</f>
        <v/>
      </c>
      <c r="WCH57" s="82" t="str">
        <f>IF(ISNUMBER(outYear),WCH37+WCH42+#REF!+#REF!,"")</f>
        <v/>
      </c>
      <c r="WCI57" s="82" t="str">
        <f>IF(ISNUMBER(outYear),WCI37+WCI42+#REF!+#REF!,"")</f>
        <v/>
      </c>
      <c r="WCJ57" s="82" t="str">
        <f>IF(ISNUMBER(outYear),WCJ37+WCJ42+#REF!+#REF!,"")</f>
        <v/>
      </c>
      <c r="WCK57" s="82" t="str">
        <f>IF(ISNUMBER(outYear),WCK37+WCK42+#REF!+#REF!,"")</f>
        <v/>
      </c>
      <c r="WCL57" s="82" t="str">
        <f>IF(ISNUMBER(outYear),WCL37+WCL42+#REF!+#REF!,"")</f>
        <v/>
      </c>
      <c r="WCM57" s="82" t="str">
        <f>IF(ISNUMBER(outYear),WCM37+WCM42+#REF!+#REF!,"")</f>
        <v/>
      </c>
      <c r="WCN57" s="82" t="str">
        <f>IF(ISNUMBER(outYear),WCN37+WCN42+#REF!+#REF!,"")</f>
        <v/>
      </c>
      <c r="WCO57" s="82" t="str">
        <f>IF(ISNUMBER(outYear),WCO37+WCO42+#REF!+#REF!,"")</f>
        <v/>
      </c>
      <c r="WCP57" s="82" t="str">
        <f>IF(ISNUMBER(outYear),WCP37+WCP42+#REF!+#REF!,"")</f>
        <v/>
      </c>
      <c r="WCQ57" s="82" t="str">
        <f>IF(ISNUMBER(outYear),WCQ37+WCQ42+#REF!+#REF!,"")</f>
        <v/>
      </c>
      <c r="WCR57" s="82" t="str">
        <f>IF(ISNUMBER(outYear),WCR37+WCR42+#REF!+#REF!,"")</f>
        <v/>
      </c>
      <c r="WCS57" s="82" t="str">
        <f>IF(ISNUMBER(outYear),WCS37+WCS42+#REF!+#REF!,"")</f>
        <v/>
      </c>
      <c r="WCT57" s="82" t="str">
        <f>IF(ISNUMBER(outYear),WCT37+WCT42+#REF!+#REF!,"")</f>
        <v/>
      </c>
      <c r="WCU57" s="82" t="str">
        <f>IF(ISNUMBER(outYear),WCU37+WCU42+#REF!+#REF!,"")</f>
        <v/>
      </c>
      <c r="WCV57" s="82" t="str">
        <f>IF(ISNUMBER(outYear),WCV37+WCV42+#REF!+#REF!,"")</f>
        <v/>
      </c>
      <c r="WCW57" s="82" t="str">
        <f>IF(ISNUMBER(outYear),WCW37+WCW42+#REF!+#REF!,"")</f>
        <v/>
      </c>
      <c r="WCX57" s="82" t="str">
        <f>IF(ISNUMBER(outYear),WCX37+WCX42+#REF!+#REF!,"")</f>
        <v/>
      </c>
      <c r="WCY57" s="82" t="str">
        <f>IF(ISNUMBER(outYear),WCY37+WCY42+#REF!+#REF!,"")</f>
        <v/>
      </c>
      <c r="WCZ57" s="82" t="str">
        <f>IF(ISNUMBER(outYear),WCZ37+WCZ42+#REF!+#REF!,"")</f>
        <v/>
      </c>
      <c r="WDA57" s="82" t="str">
        <f>IF(ISNUMBER(outYear),WDA37+WDA42+#REF!+#REF!,"")</f>
        <v/>
      </c>
      <c r="WDB57" s="82" t="str">
        <f>IF(ISNUMBER(outYear),WDB37+WDB42+#REF!+#REF!,"")</f>
        <v/>
      </c>
      <c r="WDC57" s="82" t="str">
        <f>IF(ISNUMBER(outYear),WDC37+WDC42+#REF!+#REF!,"")</f>
        <v/>
      </c>
      <c r="WDD57" s="82" t="str">
        <f>IF(ISNUMBER(outYear),WDD37+WDD42+#REF!+#REF!,"")</f>
        <v/>
      </c>
      <c r="WDE57" s="82" t="str">
        <f>IF(ISNUMBER(outYear),WDE37+WDE42+#REF!+#REF!,"")</f>
        <v/>
      </c>
      <c r="WDF57" s="82" t="str">
        <f>IF(ISNUMBER(outYear),WDF37+WDF42+#REF!+#REF!,"")</f>
        <v/>
      </c>
      <c r="WDG57" s="82" t="str">
        <f>IF(ISNUMBER(outYear),WDG37+WDG42+#REF!+#REF!,"")</f>
        <v/>
      </c>
      <c r="WDH57" s="82" t="str">
        <f>IF(ISNUMBER(outYear),WDH37+WDH42+#REF!+#REF!,"")</f>
        <v/>
      </c>
      <c r="WDI57" s="82" t="str">
        <f>IF(ISNUMBER(outYear),WDI37+WDI42+#REF!+#REF!,"")</f>
        <v/>
      </c>
      <c r="WDJ57" s="82" t="str">
        <f>IF(ISNUMBER(outYear),WDJ37+WDJ42+#REF!+#REF!,"")</f>
        <v/>
      </c>
      <c r="WDK57" s="82" t="str">
        <f>IF(ISNUMBER(outYear),WDK37+WDK42+#REF!+#REF!,"")</f>
        <v/>
      </c>
      <c r="WDL57" s="82" t="str">
        <f>IF(ISNUMBER(outYear),WDL37+WDL42+#REF!+#REF!,"")</f>
        <v/>
      </c>
      <c r="WDM57" s="82" t="str">
        <f>IF(ISNUMBER(outYear),WDM37+WDM42+#REF!+#REF!,"")</f>
        <v/>
      </c>
      <c r="WDN57" s="82" t="str">
        <f>IF(ISNUMBER(outYear),WDN37+WDN42+#REF!+#REF!,"")</f>
        <v/>
      </c>
      <c r="WDO57" s="82" t="str">
        <f>IF(ISNUMBER(outYear),WDO37+WDO42+#REF!+#REF!,"")</f>
        <v/>
      </c>
      <c r="WDP57" s="82" t="str">
        <f>IF(ISNUMBER(outYear),WDP37+WDP42+#REF!+#REF!,"")</f>
        <v/>
      </c>
      <c r="WDQ57" s="82" t="str">
        <f>IF(ISNUMBER(outYear),WDQ37+WDQ42+#REF!+#REF!,"")</f>
        <v/>
      </c>
      <c r="WDR57" s="82" t="str">
        <f>IF(ISNUMBER(outYear),WDR37+WDR42+#REF!+#REF!,"")</f>
        <v/>
      </c>
      <c r="WDS57" s="82" t="str">
        <f>IF(ISNUMBER(outYear),WDS37+WDS42+#REF!+#REF!,"")</f>
        <v/>
      </c>
      <c r="WDT57" s="82" t="str">
        <f>IF(ISNUMBER(outYear),WDT37+WDT42+#REF!+#REF!,"")</f>
        <v/>
      </c>
      <c r="WDU57" s="82" t="str">
        <f>IF(ISNUMBER(outYear),WDU37+WDU42+#REF!+#REF!,"")</f>
        <v/>
      </c>
      <c r="WDV57" s="82" t="str">
        <f>IF(ISNUMBER(outYear),WDV37+WDV42+#REF!+#REF!,"")</f>
        <v/>
      </c>
      <c r="WDW57" s="82" t="str">
        <f>IF(ISNUMBER(outYear),WDW37+WDW42+#REF!+#REF!,"")</f>
        <v/>
      </c>
      <c r="WDX57" s="82" t="str">
        <f>IF(ISNUMBER(outYear),WDX37+WDX42+#REF!+#REF!,"")</f>
        <v/>
      </c>
      <c r="WDY57" s="82" t="str">
        <f>IF(ISNUMBER(outYear),WDY37+WDY42+#REF!+#REF!,"")</f>
        <v/>
      </c>
      <c r="WDZ57" s="82" t="str">
        <f>IF(ISNUMBER(outYear),WDZ37+WDZ42+#REF!+#REF!,"")</f>
        <v/>
      </c>
      <c r="WEA57" s="82" t="str">
        <f>IF(ISNUMBER(outYear),WEA37+WEA42+#REF!+#REF!,"")</f>
        <v/>
      </c>
      <c r="WEB57" s="82" t="str">
        <f>IF(ISNUMBER(outYear),WEB37+WEB42+#REF!+#REF!,"")</f>
        <v/>
      </c>
      <c r="WEC57" s="82" t="str">
        <f>IF(ISNUMBER(outYear),WEC37+WEC42+#REF!+#REF!,"")</f>
        <v/>
      </c>
      <c r="WED57" s="82" t="str">
        <f>IF(ISNUMBER(outYear),WED37+WED42+#REF!+#REF!,"")</f>
        <v/>
      </c>
      <c r="WEE57" s="82" t="str">
        <f>IF(ISNUMBER(outYear),WEE37+WEE42+#REF!+#REF!,"")</f>
        <v/>
      </c>
      <c r="WEF57" s="82" t="str">
        <f>IF(ISNUMBER(outYear),WEF37+WEF42+#REF!+#REF!,"")</f>
        <v/>
      </c>
      <c r="WEG57" s="82" t="str">
        <f>IF(ISNUMBER(outYear),WEG37+WEG42+#REF!+#REF!,"")</f>
        <v/>
      </c>
      <c r="WEH57" s="82" t="str">
        <f>IF(ISNUMBER(outYear),WEH37+WEH42+#REF!+#REF!,"")</f>
        <v/>
      </c>
      <c r="WEI57" s="82" t="str">
        <f>IF(ISNUMBER(outYear),WEI37+WEI42+#REF!+#REF!,"")</f>
        <v/>
      </c>
      <c r="WEJ57" s="82" t="str">
        <f>IF(ISNUMBER(outYear),WEJ37+WEJ42+#REF!+#REF!,"")</f>
        <v/>
      </c>
      <c r="WEK57" s="82" t="str">
        <f>IF(ISNUMBER(outYear),WEK37+WEK42+#REF!+#REF!,"")</f>
        <v/>
      </c>
      <c r="WEL57" s="82" t="str">
        <f>IF(ISNUMBER(outYear),WEL37+WEL42+#REF!+#REF!,"")</f>
        <v/>
      </c>
      <c r="WEM57" s="82" t="str">
        <f>IF(ISNUMBER(outYear),WEM37+WEM42+#REF!+#REF!,"")</f>
        <v/>
      </c>
      <c r="WEN57" s="82" t="str">
        <f>IF(ISNUMBER(outYear),WEN37+WEN42+#REF!+#REF!,"")</f>
        <v/>
      </c>
      <c r="WEO57" s="82" t="str">
        <f>IF(ISNUMBER(outYear),WEO37+WEO42+#REF!+#REF!,"")</f>
        <v/>
      </c>
      <c r="WEP57" s="82" t="str">
        <f>IF(ISNUMBER(outYear),WEP37+WEP42+#REF!+#REF!,"")</f>
        <v/>
      </c>
      <c r="WEQ57" s="82" t="str">
        <f>IF(ISNUMBER(outYear),WEQ37+WEQ42+#REF!+#REF!,"")</f>
        <v/>
      </c>
      <c r="WER57" s="82" t="str">
        <f>IF(ISNUMBER(outYear),WER37+WER42+#REF!+#REF!,"")</f>
        <v/>
      </c>
      <c r="WES57" s="82" t="str">
        <f>IF(ISNUMBER(outYear),WES37+WES42+#REF!+#REF!,"")</f>
        <v/>
      </c>
      <c r="WET57" s="82" t="str">
        <f>IF(ISNUMBER(outYear),WET37+WET42+#REF!+#REF!,"")</f>
        <v/>
      </c>
      <c r="WEU57" s="82" t="str">
        <f>IF(ISNUMBER(outYear),WEU37+WEU42+#REF!+#REF!,"")</f>
        <v/>
      </c>
      <c r="WEV57" s="82" t="str">
        <f>IF(ISNUMBER(outYear),WEV37+WEV42+#REF!+#REF!,"")</f>
        <v/>
      </c>
      <c r="WEW57" s="82" t="str">
        <f>IF(ISNUMBER(outYear),WEW37+WEW42+#REF!+#REF!,"")</f>
        <v/>
      </c>
      <c r="WEX57" s="82" t="str">
        <f>IF(ISNUMBER(outYear),WEX37+WEX42+#REF!+#REF!,"")</f>
        <v/>
      </c>
      <c r="WEY57" s="82" t="str">
        <f>IF(ISNUMBER(outYear),WEY37+WEY42+#REF!+#REF!,"")</f>
        <v/>
      </c>
      <c r="WEZ57" s="82" t="str">
        <f>IF(ISNUMBER(outYear),WEZ37+WEZ42+#REF!+#REF!,"")</f>
        <v/>
      </c>
      <c r="WFA57" s="82" t="str">
        <f>IF(ISNUMBER(outYear),WFA37+WFA42+#REF!+#REF!,"")</f>
        <v/>
      </c>
      <c r="WFB57" s="82" t="str">
        <f>IF(ISNUMBER(outYear),WFB37+WFB42+#REF!+#REF!,"")</f>
        <v/>
      </c>
      <c r="WFC57" s="82" t="str">
        <f>IF(ISNUMBER(outYear),WFC37+WFC42+#REF!+#REF!,"")</f>
        <v/>
      </c>
      <c r="WFD57" s="82" t="str">
        <f>IF(ISNUMBER(outYear),WFD37+WFD42+#REF!+#REF!,"")</f>
        <v/>
      </c>
      <c r="WFE57" s="82" t="str">
        <f>IF(ISNUMBER(outYear),WFE37+WFE42+#REF!+#REF!,"")</f>
        <v/>
      </c>
      <c r="WFF57" s="82" t="str">
        <f>IF(ISNUMBER(outYear),WFF37+WFF42+#REF!+#REF!,"")</f>
        <v/>
      </c>
      <c r="WFG57" s="82" t="str">
        <f>IF(ISNUMBER(outYear),WFG37+WFG42+#REF!+#REF!,"")</f>
        <v/>
      </c>
      <c r="WFH57" s="82" t="str">
        <f>IF(ISNUMBER(outYear),WFH37+WFH42+#REF!+#REF!,"")</f>
        <v/>
      </c>
      <c r="WFI57" s="82" t="str">
        <f>IF(ISNUMBER(outYear),WFI37+WFI42+#REF!+#REF!,"")</f>
        <v/>
      </c>
      <c r="WFJ57" s="82" t="str">
        <f>IF(ISNUMBER(outYear),WFJ37+WFJ42+#REF!+#REF!,"")</f>
        <v/>
      </c>
      <c r="WFK57" s="82" t="str">
        <f>IF(ISNUMBER(outYear),WFK37+WFK42+#REF!+#REF!,"")</f>
        <v/>
      </c>
      <c r="WFL57" s="82" t="str">
        <f>IF(ISNUMBER(outYear),WFL37+WFL42+#REF!+#REF!,"")</f>
        <v/>
      </c>
      <c r="WFM57" s="82" t="str">
        <f>IF(ISNUMBER(outYear),WFM37+WFM42+#REF!+#REF!,"")</f>
        <v/>
      </c>
      <c r="WFN57" s="82" t="str">
        <f>IF(ISNUMBER(outYear),WFN37+WFN42+#REF!+#REF!,"")</f>
        <v/>
      </c>
      <c r="WFO57" s="82" t="str">
        <f>IF(ISNUMBER(outYear),WFO37+WFO42+#REF!+#REF!,"")</f>
        <v/>
      </c>
      <c r="WFP57" s="82" t="str">
        <f>IF(ISNUMBER(outYear),WFP37+WFP42+#REF!+#REF!,"")</f>
        <v/>
      </c>
      <c r="WFQ57" s="82" t="str">
        <f>IF(ISNUMBER(outYear),WFQ37+WFQ42+#REF!+#REF!,"")</f>
        <v/>
      </c>
      <c r="WFR57" s="82" t="str">
        <f>IF(ISNUMBER(outYear),WFR37+WFR42+#REF!+#REF!,"")</f>
        <v/>
      </c>
      <c r="WFS57" s="82" t="str">
        <f>IF(ISNUMBER(outYear),WFS37+WFS42+#REF!+#REF!,"")</f>
        <v/>
      </c>
      <c r="WFT57" s="82" t="str">
        <f>IF(ISNUMBER(outYear),WFT37+WFT42+#REF!+#REF!,"")</f>
        <v/>
      </c>
      <c r="WFU57" s="82" t="str">
        <f>IF(ISNUMBER(outYear),WFU37+WFU42+#REF!+#REF!,"")</f>
        <v/>
      </c>
      <c r="WFV57" s="82" t="str">
        <f>IF(ISNUMBER(outYear),WFV37+WFV42+#REF!+#REF!,"")</f>
        <v/>
      </c>
      <c r="WFW57" s="82" t="str">
        <f>IF(ISNUMBER(outYear),WFW37+WFW42+#REF!+#REF!,"")</f>
        <v/>
      </c>
      <c r="WFX57" s="82" t="str">
        <f>IF(ISNUMBER(outYear),WFX37+WFX42+#REF!+#REF!,"")</f>
        <v/>
      </c>
      <c r="WFY57" s="82" t="str">
        <f>IF(ISNUMBER(outYear),WFY37+WFY42+#REF!+#REF!,"")</f>
        <v/>
      </c>
      <c r="WFZ57" s="82" t="str">
        <f>IF(ISNUMBER(outYear),WFZ37+WFZ42+#REF!+#REF!,"")</f>
        <v/>
      </c>
      <c r="WGA57" s="82" t="str">
        <f>IF(ISNUMBER(outYear),WGA37+WGA42+#REF!+#REF!,"")</f>
        <v/>
      </c>
      <c r="WGB57" s="82" t="str">
        <f>IF(ISNUMBER(outYear),WGB37+WGB42+#REF!+#REF!,"")</f>
        <v/>
      </c>
      <c r="WGC57" s="82" t="str">
        <f>IF(ISNUMBER(outYear),WGC37+WGC42+#REF!+#REF!,"")</f>
        <v/>
      </c>
      <c r="WGD57" s="82" t="str">
        <f>IF(ISNUMBER(outYear),WGD37+WGD42+#REF!+#REF!,"")</f>
        <v/>
      </c>
      <c r="WGE57" s="82" t="str">
        <f>IF(ISNUMBER(outYear),WGE37+WGE42+#REF!+#REF!,"")</f>
        <v/>
      </c>
      <c r="WGF57" s="82" t="str">
        <f>IF(ISNUMBER(outYear),WGF37+WGF42+#REF!+#REF!,"")</f>
        <v/>
      </c>
      <c r="WGG57" s="82" t="str">
        <f>IF(ISNUMBER(outYear),WGG37+WGG42+#REF!+#REF!,"")</f>
        <v/>
      </c>
      <c r="WGH57" s="82" t="str">
        <f>IF(ISNUMBER(outYear),WGH37+WGH42+#REF!+#REF!,"")</f>
        <v/>
      </c>
      <c r="WGI57" s="82" t="str">
        <f>IF(ISNUMBER(outYear),WGI37+WGI42+#REF!+#REF!,"")</f>
        <v/>
      </c>
      <c r="WGJ57" s="82" t="str">
        <f>IF(ISNUMBER(outYear),WGJ37+WGJ42+#REF!+#REF!,"")</f>
        <v/>
      </c>
      <c r="WGK57" s="82" t="str">
        <f>IF(ISNUMBER(outYear),WGK37+WGK42+#REF!+#REF!,"")</f>
        <v/>
      </c>
      <c r="WGL57" s="82" t="str">
        <f>IF(ISNUMBER(outYear),WGL37+WGL42+#REF!+#REF!,"")</f>
        <v/>
      </c>
      <c r="WGM57" s="82" t="str">
        <f>IF(ISNUMBER(outYear),WGM37+WGM42+#REF!+#REF!,"")</f>
        <v/>
      </c>
      <c r="WGN57" s="82" t="str">
        <f>IF(ISNUMBER(outYear),WGN37+WGN42+#REF!+#REF!,"")</f>
        <v/>
      </c>
      <c r="WGO57" s="82" t="str">
        <f>IF(ISNUMBER(outYear),WGO37+WGO42+#REF!+#REF!,"")</f>
        <v/>
      </c>
      <c r="WGP57" s="82" t="str">
        <f>IF(ISNUMBER(outYear),WGP37+WGP42+#REF!+#REF!,"")</f>
        <v/>
      </c>
      <c r="WGQ57" s="82" t="str">
        <f>IF(ISNUMBER(outYear),WGQ37+WGQ42+#REF!+#REF!,"")</f>
        <v/>
      </c>
      <c r="WGR57" s="82" t="str">
        <f>IF(ISNUMBER(outYear),WGR37+WGR42+#REF!+#REF!,"")</f>
        <v/>
      </c>
      <c r="WGS57" s="82" t="str">
        <f>IF(ISNUMBER(outYear),WGS37+WGS42+#REF!+#REF!,"")</f>
        <v/>
      </c>
      <c r="WGT57" s="82" t="str">
        <f>IF(ISNUMBER(outYear),WGT37+WGT42+#REF!+#REF!,"")</f>
        <v/>
      </c>
      <c r="WGU57" s="82" t="str">
        <f>IF(ISNUMBER(outYear),WGU37+WGU42+#REF!+#REF!,"")</f>
        <v/>
      </c>
      <c r="WGV57" s="82" t="str">
        <f>IF(ISNUMBER(outYear),WGV37+WGV42+#REF!+#REF!,"")</f>
        <v/>
      </c>
      <c r="WGW57" s="82" t="str">
        <f>IF(ISNUMBER(outYear),WGW37+WGW42+#REF!+#REF!,"")</f>
        <v/>
      </c>
      <c r="WGX57" s="82" t="str">
        <f>IF(ISNUMBER(outYear),WGX37+WGX42+#REF!+#REF!,"")</f>
        <v/>
      </c>
      <c r="WGY57" s="82" t="str">
        <f>IF(ISNUMBER(outYear),WGY37+WGY42+#REF!+#REF!,"")</f>
        <v/>
      </c>
      <c r="WGZ57" s="82" t="str">
        <f>IF(ISNUMBER(outYear),WGZ37+WGZ42+#REF!+#REF!,"")</f>
        <v/>
      </c>
      <c r="WHA57" s="82" t="str">
        <f>IF(ISNUMBER(outYear),WHA37+WHA42+#REF!+#REF!,"")</f>
        <v/>
      </c>
      <c r="WHB57" s="82" t="str">
        <f>IF(ISNUMBER(outYear),WHB37+WHB42+#REF!+#REF!,"")</f>
        <v/>
      </c>
      <c r="WHC57" s="82" t="str">
        <f>IF(ISNUMBER(outYear),WHC37+WHC42+#REF!+#REF!,"")</f>
        <v/>
      </c>
      <c r="WHD57" s="82" t="str">
        <f>IF(ISNUMBER(outYear),WHD37+WHD42+#REF!+#REF!,"")</f>
        <v/>
      </c>
      <c r="WHE57" s="82" t="str">
        <f>IF(ISNUMBER(outYear),WHE37+WHE42+#REF!+#REF!,"")</f>
        <v/>
      </c>
      <c r="WHF57" s="82" t="str">
        <f>IF(ISNUMBER(outYear),WHF37+WHF42+#REF!+#REF!,"")</f>
        <v/>
      </c>
      <c r="WHG57" s="82" t="str">
        <f>IF(ISNUMBER(outYear),WHG37+WHG42+#REF!+#REF!,"")</f>
        <v/>
      </c>
      <c r="WHH57" s="82" t="str">
        <f>IF(ISNUMBER(outYear),WHH37+WHH42+#REF!+#REF!,"")</f>
        <v/>
      </c>
      <c r="WHI57" s="82" t="str">
        <f>IF(ISNUMBER(outYear),WHI37+WHI42+#REF!+#REF!,"")</f>
        <v/>
      </c>
      <c r="WHJ57" s="82" t="str">
        <f>IF(ISNUMBER(outYear),WHJ37+WHJ42+#REF!+#REF!,"")</f>
        <v/>
      </c>
      <c r="WHK57" s="82" t="str">
        <f>IF(ISNUMBER(outYear),WHK37+WHK42+#REF!+#REF!,"")</f>
        <v/>
      </c>
      <c r="WHL57" s="82" t="str">
        <f>IF(ISNUMBER(outYear),WHL37+WHL42+#REF!+#REF!,"")</f>
        <v/>
      </c>
      <c r="WHM57" s="82" t="str">
        <f>IF(ISNUMBER(outYear),WHM37+WHM42+#REF!+#REF!,"")</f>
        <v/>
      </c>
      <c r="WHN57" s="82" t="str">
        <f>IF(ISNUMBER(outYear),WHN37+WHN42+#REF!+#REF!,"")</f>
        <v/>
      </c>
      <c r="WHO57" s="82" t="str">
        <f>IF(ISNUMBER(outYear),WHO37+WHO42+#REF!+#REF!,"")</f>
        <v/>
      </c>
      <c r="WHP57" s="82" t="str">
        <f>IF(ISNUMBER(outYear),WHP37+WHP42+#REF!+#REF!,"")</f>
        <v/>
      </c>
      <c r="WHQ57" s="82" t="str">
        <f>IF(ISNUMBER(outYear),WHQ37+WHQ42+#REF!+#REF!,"")</f>
        <v/>
      </c>
      <c r="WHR57" s="82" t="str">
        <f>IF(ISNUMBER(outYear),WHR37+WHR42+#REF!+#REF!,"")</f>
        <v/>
      </c>
      <c r="WHS57" s="82" t="str">
        <f>IF(ISNUMBER(outYear),WHS37+WHS42+#REF!+#REF!,"")</f>
        <v/>
      </c>
      <c r="WHT57" s="82" t="str">
        <f>IF(ISNUMBER(outYear),WHT37+WHT42+#REF!+#REF!,"")</f>
        <v/>
      </c>
      <c r="WHU57" s="82" t="str">
        <f>IF(ISNUMBER(outYear),WHU37+WHU42+#REF!+#REF!,"")</f>
        <v/>
      </c>
      <c r="WHV57" s="82" t="str">
        <f>IF(ISNUMBER(outYear),WHV37+WHV42+#REF!+#REF!,"")</f>
        <v/>
      </c>
      <c r="WHW57" s="82" t="str">
        <f>IF(ISNUMBER(outYear),WHW37+WHW42+#REF!+#REF!,"")</f>
        <v/>
      </c>
      <c r="WHX57" s="82" t="str">
        <f>IF(ISNUMBER(outYear),WHX37+WHX42+#REF!+#REF!,"")</f>
        <v/>
      </c>
      <c r="WHY57" s="82" t="str">
        <f>IF(ISNUMBER(outYear),WHY37+WHY42+#REF!+#REF!,"")</f>
        <v/>
      </c>
      <c r="WHZ57" s="82" t="str">
        <f>IF(ISNUMBER(outYear),WHZ37+WHZ42+#REF!+#REF!,"")</f>
        <v/>
      </c>
      <c r="WIA57" s="82" t="str">
        <f>IF(ISNUMBER(outYear),WIA37+WIA42+#REF!+#REF!,"")</f>
        <v/>
      </c>
      <c r="WIB57" s="82" t="str">
        <f>IF(ISNUMBER(outYear),WIB37+WIB42+#REF!+#REF!,"")</f>
        <v/>
      </c>
      <c r="WIC57" s="82" t="str">
        <f>IF(ISNUMBER(outYear),WIC37+WIC42+#REF!+#REF!,"")</f>
        <v/>
      </c>
      <c r="WID57" s="82" t="str">
        <f>IF(ISNUMBER(outYear),WID37+WID42+#REF!+#REF!,"")</f>
        <v/>
      </c>
      <c r="WIE57" s="82" t="str">
        <f>IF(ISNUMBER(outYear),WIE37+WIE42+#REF!+#REF!,"")</f>
        <v/>
      </c>
      <c r="WIF57" s="82" t="str">
        <f>IF(ISNUMBER(outYear),WIF37+WIF42+#REF!+#REF!,"")</f>
        <v/>
      </c>
      <c r="WIG57" s="82" t="str">
        <f>IF(ISNUMBER(outYear),WIG37+WIG42+#REF!+#REF!,"")</f>
        <v/>
      </c>
      <c r="WIH57" s="82" t="str">
        <f>IF(ISNUMBER(outYear),WIH37+WIH42+#REF!+#REF!,"")</f>
        <v/>
      </c>
      <c r="WII57" s="82" t="str">
        <f>IF(ISNUMBER(outYear),WII37+WII42+#REF!+#REF!,"")</f>
        <v/>
      </c>
      <c r="WIJ57" s="82" t="str">
        <f>IF(ISNUMBER(outYear),WIJ37+WIJ42+#REF!+#REF!,"")</f>
        <v/>
      </c>
      <c r="WIK57" s="82" t="str">
        <f>IF(ISNUMBER(outYear),WIK37+WIK42+#REF!+#REF!,"")</f>
        <v/>
      </c>
      <c r="WIL57" s="82" t="str">
        <f>IF(ISNUMBER(outYear),WIL37+WIL42+#REF!+#REF!,"")</f>
        <v/>
      </c>
      <c r="WIM57" s="82" t="str">
        <f>IF(ISNUMBER(outYear),WIM37+WIM42+#REF!+#REF!,"")</f>
        <v/>
      </c>
      <c r="WIN57" s="82" t="str">
        <f>IF(ISNUMBER(outYear),WIN37+WIN42+#REF!+#REF!,"")</f>
        <v/>
      </c>
      <c r="WIO57" s="82" t="str">
        <f>IF(ISNUMBER(outYear),WIO37+WIO42+#REF!+#REF!,"")</f>
        <v/>
      </c>
      <c r="WIP57" s="82" t="str">
        <f>IF(ISNUMBER(outYear),WIP37+WIP42+#REF!+#REF!,"")</f>
        <v/>
      </c>
      <c r="WIQ57" s="82" t="str">
        <f>IF(ISNUMBER(outYear),WIQ37+WIQ42+#REF!+#REF!,"")</f>
        <v/>
      </c>
      <c r="WIR57" s="82" t="str">
        <f>IF(ISNUMBER(outYear),WIR37+WIR42+#REF!+#REF!,"")</f>
        <v/>
      </c>
      <c r="WIS57" s="82" t="str">
        <f>IF(ISNUMBER(outYear),WIS37+WIS42+#REF!+#REF!,"")</f>
        <v/>
      </c>
      <c r="WIT57" s="82" t="str">
        <f>IF(ISNUMBER(outYear),WIT37+WIT42+#REF!+#REF!,"")</f>
        <v/>
      </c>
      <c r="WIU57" s="82" t="str">
        <f>IF(ISNUMBER(outYear),WIU37+WIU42+#REF!+#REF!,"")</f>
        <v/>
      </c>
      <c r="WIV57" s="82" t="str">
        <f>IF(ISNUMBER(outYear),WIV37+WIV42+#REF!+#REF!,"")</f>
        <v/>
      </c>
      <c r="WIW57" s="82" t="str">
        <f>IF(ISNUMBER(outYear),WIW37+WIW42+#REF!+#REF!,"")</f>
        <v/>
      </c>
      <c r="WIX57" s="82" t="str">
        <f>IF(ISNUMBER(outYear),WIX37+WIX42+#REF!+#REF!,"")</f>
        <v/>
      </c>
      <c r="WIY57" s="82" t="str">
        <f>IF(ISNUMBER(outYear),WIY37+WIY42+#REF!+#REF!,"")</f>
        <v/>
      </c>
      <c r="WIZ57" s="82" t="str">
        <f>IF(ISNUMBER(outYear),WIZ37+WIZ42+#REF!+#REF!,"")</f>
        <v/>
      </c>
      <c r="WJA57" s="82" t="str">
        <f>IF(ISNUMBER(outYear),WJA37+WJA42+#REF!+#REF!,"")</f>
        <v/>
      </c>
      <c r="WJB57" s="82" t="str">
        <f>IF(ISNUMBER(outYear),WJB37+WJB42+#REF!+#REF!,"")</f>
        <v/>
      </c>
      <c r="WJC57" s="82" t="str">
        <f>IF(ISNUMBER(outYear),WJC37+WJC42+#REF!+#REF!,"")</f>
        <v/>
      </c>
      <c r="WJD57" s="82" t="str">
        <f>IF(ISNUMBER(outYear),WJD37+WJD42+#REF!+#REF!,"")</f>
        <v/>
      </c>
      <c r="WJE57" s="82" t="str">
        <f>IF(ISNUMBER(outYear),WJE37+WJE42+#REF!+#REF!,"")</f>
        <v/>
      </c>
      <c r="WJF57" s="82" t="str">
        <f>IF(ISNUMBER(outYear),WJF37+WJF42+#REF!+#REF!,"")</f>
        <v/>
      </c>
      <c r="WJG57" s="82" t="str">
        <f>IF(ISNUMBER(outYear),WJG37+WJG42+#REF!+#REF!,"")</f>
        <v/>
      </c>
      <c r="WJH57" s="82" t="str">
        <f>IF(ISNUMBER(outYear),WJH37+WJH42+#REF!+#REF!,"")</f>
        <v/>
      </c>
      <c r="WJI57" s="82" t="str">
        <f>IF(ISNUMBER(outYear),WJI37+WJI42+#REF!+#REF!,"")</f>
        <v/>
      </c>
      <c r="WJJ57" s="82" t="str">
        <f>IF(ISNUMBER(outYear),WJJ37+WJJ42+#REF!+#REF!,"")</f>
        <v/>
      </c>
      <c r="WJK57" s="82" t="str">
        <f>IF(ISNUMBER(outYear),WJK37+WJK42+#REF!+#REF!,"")</f>
        <v/>
      </c>
      <c r="WJL57" s="82" t="str">
        <f>IF(ISNUMBER(outYear),WJL37+WJL42+#REF!+#REF!,"")</f>
        <v/>
      </c>
      <c r="WJM57" s="82" t="str">
        <f>IF(ISNUMBER(outYear),WJM37+WJM42+#REF!+#REF!,"")</f>
        <v/>
      </c>
      <c r="WJN57" s="82" t="str">
        <f>IF(ISNUMBER(outYear),WJN37+WJN42+#REF!+#REF!,"")</f>
        <v/>
      </c>
      <c r="WJO57" s="82" t="str">
        <f>IF(ISNUMBER(outYear),WJO37+WJO42+#REF!+#REF!,"")</f>
        <v/>
      </c>
      <c r="WJP57" s="82" t="str">
        <f>IF(ISNUMBER(outYear),WJP37+WJP42+#REF!+#REF!,"")</f>
        <v/>
      </c>
      <c r="WJQ57" s="82" t="str">
        <f>IF(ISNUMBER(outYear),WJQ37+WJQ42+#REF!+#REF!,"")</f>
        <v/>
      </c>
      <c r="WJR57" s="82" t="str">
        <f>IF(ISNUMBER(outYear),WJR37+WJR42+#REF!+#REF!,"")</f>
        <v/>
      </c>
      <c r="WJS57" s="82" t="str">
        <f>IF(ISNUMBER(outYear),WJS37+WJS42+#REF!+#REF!,"")</f>
        <v/>
      </c>
      <c r="WJT57" s="82" t="str">
        <f>IF(ISNUMBER(outYear),WJT37+WJT42+#REF!+#REF!,"")</f>
        <v/>
      </c>
      <c r="WJU57" s="82" t="str">
        <f>IF(ISNUMBER(outYear),WJU37+WJU42+#REF!+#REF!,"")</f>
        <v/>
      </c>
      <c r="WJV57" s="82" t="str">
        <f>IF(ISNUMBER(outYear),WJV37+WJV42+#REF!+#REF!,"")</f>
        <v/>
      </c>
      <c r="WJW57" s="82" t="str">
        <f>IF(ISNUMBER(outYear),WJW37+WJW42+#REF!+#REF!,"")</f>
        <v/>
      </c>
      <c r="WJX57" s="82" t="str">
        <f>IF(ISNUMBER(outYear),WJX37+WJX42+#REF!+#REF!,"")</f>
        <v/>
      </c>
      <c r="WJY57" s="82" t="str">
        <f>IF(ISNUMBER(outYear),WJY37+WJY42+#REF!+#REF!,"")</f>
        <v/>
      </c>
      <c r="WJZ57" s="82" t="str">
        <f>IF(ISNUMBER(outYear),WJZ37+WJZ42+#REF!+#REF!,"")</f>
        <v/>
      </c>
      <c r="WKA57" s="82" t="str">
        <f>IF(ISNUMBER(outYear),WKA37+WKA42+#REF!+#REF!,"")</f>
        <v/>
      </c>
      <c r="WKB57" s="82" t="str">
        <f>IF(ISNUMBER(outYear),WKB37+WKB42+#REF!+#REF!,"")</f>
        <v/>
      </c>
      <c r="WKC57" s="82" t="str">
        <f>IF(ISNUMBER(outYear),WKC37+WKC42+#REF!+#REF!,"")</f>
        <v/>
      </c>
      <c r="WKD57" s="82" t="str">
        <f>IF(ISNUMBER(outYear),WKD37+WKD42+#REF!+#REF!,"")</f>
        <v/>
      </c>
      <c r="WKE57" s="82" t="str">
        <f>IF(ISNUMBER(outYear),WKE37+WKE42+#REF!+#REF!,"")</f>
        <v/>
      </c>
      <c r="WKF57" s="82" t="str">
        <f>IF(ISNUMBER(outYear),WKF37+WKF42+#REF!+#REF!,"")</f>
        <v/>
      </c>
      <c r="WKG57" s="82" t="str">
        <f>IF(ISNUMBER(outYear),WKG37+WKG42+#REF!+#REF!,"")</f>
        <v/>
      </c>
      <c r="WKH57" s="82" t="str">
        <f>IF(ISNUMBER(outYear),WKH37+WKH42+#REF!+#REF!,"")</f>
        <v/>
      </c>
      <c r="WKI57" s="82" t="str">
        <f>IF(ISNUMBER(outYear),WKI37+WKI42+#REF!+#REF!,"")</f>
        <v/>
      </c>
      <c r="WKJ57" s="82" t="str">
        <f>IF(ISNUMBER(outYear),WKJ37+WKJ42+#REF!+#REF!,"")</f>
        <v/>
      </c>
      <c r="WKK57" s="82" t="str">
        <f>IF(ISNUMBER(outYear),WKK37+WKK42+#REF!+#REF!,"")</f>
        <v/>
      </c>
      <c r="WKL57" s="82" t="str">
        <f>IF(ISNUMBER(outYear),WKL37+WKL42+#REF!+#REF!,"")</f>
        <v/>
      </c>
      <c r="WKM57" s="82" t="str">
        <f>IF(ISNUMBER(outYear),WKM37+WKM42+#REF!+#REF!,"")</f>
        <v/>
      </c>
      <c r="WKN57" s="82" t="str">
        <f>IF(ISNUMBER(outYear),WKN37+WKN42+#REF!+#REF!,"")</f>
        <v/>
      </c>
      <c r="WKO57" s="82" t="str">
        <f>IF(ISNUMBER(outYear),WKO37+WKO42+#REF!+#REF!,"")</f>
        <v/>
      </c>
      <c r="WKP57" s="82" t="str">
        <f>IF(ISNUMBER(outYear),WKP37+WKP42+#REF!+#REF!,"")</f>
        <v/>
      </c>
      <c r="WKQ57" s="82" t="str">
        <f>IF(ISNUMBER(outYear),WKQ37+WKQ42+#REF!+#REF!,"")</f>
        <v/>
      </c>
      <c r="WKR57" s="82" t="str">
        <f>IF(ISNUMBER(outYear),WKR37+WKR42+#REF!+#REF!,"")</f>
        <v/>
      </c>
      <c r="WKS57" s="82" t="str">
        <f>IF(ISNUMBER(outYear),WKS37+WKS42+#REF!+#REF!,"")</f>
        <v/>
      </c>
      <c r="WKT57" s="82" t="str">
        <f>IF(ISNUMBER(outYear),WKT37+WKT42+#REF!+#REF!,"")</f>
        <v/>
      </c>
      <c r="WKU57" s="82" t="str">
        <f>IF(ISNUMBER(outYear),WKU37+WKU42+#REF!+#REF!,"")</f>
        <v/>
      </c>
      <c r="WKV57" s="82" t="str">
        <f>IF(ISNUMBER(outYear),WKV37+WKV42+#REF!+#REF!,"")</f>
        <v/>
      </c>
      <c r="WKW57" s="82" t="str">
        <f>IF(ISNUMBER(outYear),WKW37+WKW42+#REF!+#REF!,"")</f>
        <v/>
      </c>
      <c r="WKX57" s="82" t="str">
        <f>IF(ISNUMBER(outYear),WKX37+WKX42+#REF!+#REF!,"")</f>
        <v/>
      </c>
      <c r="WKY57" s="82" t="str">
        <f>IF(ISNUMBER(outYear),WKY37+WKY42+#REF!+#REF!,"")</f>
        <v/>
      </c>
      <c r="WKZ57" s="82" t="str">
        <f>IF(ISNUMBER(outYear),WKZ37+WKZ42+#REF!+#REF!,"")</f>
        <v/>
      </c>
      <c r="WLA57" s="82" t="str">
        <f>IF(ISNUMBER(outYear),WLA37+WLA42+#REF!+#REF!,"")</f>
        <v/>
      </c>
      <c r="WLB57" s="82" t="str">
        <f>IF(ISNUMBER(outYear),WLB37+WLB42+#REF!+#REF!,"")</f>
        <v/>
      </c>
      <c r="WLC57" s="82" t="str">
        <f>IF(ISNUMBER(outYear),WLC37+WLC42+#REF!+#REF!,"")</f>
        <v/>
      </c>
      <c r="WLD57" s="82" t="str">
        <f>IF(ISNUMBER(outYear),WLD37+WLD42+#REF!+#REF!,"")</f>
        <v/>
      </c>
      <c r="WLE57" s="82" t="str">
        <f>IF(ISNUMBER(outYear),WLE37+WLE42+#REF!+#REF!,"")</f>
        <v/>
      </c>
      <c r="WLF57" s="82" t="str">
        <f>IF(ISNUMBER(outYear),WLF37+WLF42+#REF!+#REF!,"")</f>
        <v/>
      </c>
      <c r="WLG57" s="82" t="str">
        <f>IF(ISNUMBER(outYear),WLG37+WLG42+#REF!+#REF!,"")</f>
        <v/>
      </c>
      <c r="WLH57" s="82" t="str">
        <f>IF(ISNUMBER(outYear),WLH37+WLH42+#REF!+#REF!,"")</f>
        <v/>
      </c>
      <c r="WLI57" s="82" t="str">
        <f>IF(ISNUMBER(outYear),WLI37+WLI42+#REF!+#REF!,"")</f>
        <v/>
      </c>
      <c r="WLJ57" s="82" t="str">
        <f>IF(ISNUMBER(outYear),WLJ37+WLJ42+#REF!+#REF!,"")</f>
        <v/>
      </c>
      <c r="WLK57" s="82" t="str">
        <f>IF(ISNUMBER(outYear),WLK37+WLK42+#REF!+#REF!,"")</f>
        <v/>
      </c>
      <c r="WLL57" s="82" t="str">
        <f>IF(ISNUMBER(outYear),WLL37+WLL42+#REF!+#REF!,"")</f>
        <v/>
      </c>
      <c r="WLM57" s="82" t="str">
        <f>IF(ISNUMBER(outYear),WLM37+WLM42+#REF!+#REF!,"")</f>
        <v/>
      </c>
      <c r="WLN57" s="82" t="str">
        <f>IF(ISNUMBER(outYear),WLN37+WLN42+#REF!+#REF!,"")</f>
        <v/>
      </c>
      <c r="WLO57" s="82" t="str">
        <f>IF(ISNUMBER(outYear),WLO37+WLO42+#REF!+#REF!,"")</f>
        <v/>
      </c>
      <c r="WLP57" s="82" t="str">
        <f>IF(ISNUMBER(outYear),WLP37+WLP42+#REF!+#REF!,"")</f>
        <v/>
      </c>
      <c r="WLQ57" s="82" t="str">
        <f>IF(ISNUMBER(outYear),WLQ37+WLQ42+#REF!+#REF!,"")</f>
        <v/>
      </c>
      <c r="WLR57" s="82" t="str">
        <f>IF(ISNUMBER(outYear),WLR37+WLR42+#REF!+#REF!,"")</f>
        <v/>
      </c>
      <c r="WLS57" s="82" t="str">
        <f>IF(ISNUMBER(outYear),WLS37+WLS42+#REF!+#REF!,"")</f>
        <v/>
      </c>
      <c r="WLT57" s="82" t="str">
        <f>IF(ISNUMBER(outYear),WLT37+WLT42+#REF!+#REF!,"")</f>
        <v/>
      </c>
      <c r="WLU57" s="82" t="str">
        <f>IF(ISNUMBER(outYear),WLU37+WLU42+#REF!+#REF!,"")</f>
        <v/>
      </c>
      <c r="WLV57" s="82" t="str">
        <f>IF(ISNUMBER(outYear),WLV37+WLV42+#REF!+#REF!,"")</f>
        <v/>
      </c>
      <c r="WLW57" s="82" t="str">
        <f>IF(ISNUMBER(outYear),WLW37+WLW42+#REF!+#REF!,"")</f>
        <v/>
      </c>
      <c r="WLX57" s="82" t="str">
        <f>IF(ISNUMBER(outYear),WLX37+WLX42+#REF!+#REF!,"")</f>
        <v/>
      </c>
      <c r="WLY57" s="82" t="str">
        <f>IF(ISNUMBER(outYear),WLY37+WLY42+#REF!+#REF!,"")</f>
        <v/>
      </c>
      <c r="WLZ57" s="82" t="str">
        <f>IF(ISNUMBER(outYear),WLZ37+WLZ42+#REF!+#REF!,"")</f>
        <v/>
      </c>
      <c r="WMA57" s="82" t="str">
        <f>IF(ISNUMBER(outYear),WMA37+WMA42+#REF!+#REF!,"")</f>
        <v/>
      </c>
      <c r="WMB57" s="82" t="str">
        <f>IF(ISNUMBER(outYear),WMB37+WMB42+#REF!+#REF!,"")</f>
        <v/>
      </c>
      <c r="WMC57" s="82" t="str">
        <f>IF(ISNUMBER(outYear),WMC37+WMC42+#REF!+#REF!,"")</f>
        <v/>
      </c>
      <c r="WMD57" s="82" t="str">
        <f>IF(ISNUMBER(outYear),WMD37+WMD42+#REF!+#REF!,"")</f>
        <v/>
      </c>
      <c r="WME57" s="82" t="str">
        <f>IF(ISNUMBER(outYear),WME37+WME42+#REF!+#REF!,"")</f>
        <v/>
      </c>
      <c r="WMF57" s="82" t="str">
        <f>IF(ISNUMBER(outYear),WMF37+WMF42+#REF!+#REF!,"")</f>
        <v/>
      </c>
      <c r="WMG57" s="82" t="str">
        <f>IF(ISNUMBER(outYear),WMG37+WMG42+#REF!+#REF!,"")</f>
        <v/>
      </c>
      <c r="WMH57" s="82" t="str">
        <f>IF(ISNUMBER(outYear),WMH37+WMH42+#REF!+#REF!,"")</f>
        <v/>
      </c>
      <c r="WMI57" s="82" t="str">
        <f>IF(ISNUMBER(outYear),WMI37+WMI42+#REF!+#REF!,"")</f>
        <v/>
      </c>
      <c r="WMJ57" s="82" t="str">
        <f>IF(ISNUMBER(outYear),WMJ37+WMJ42+#REF!+#REF!,"")</f>
        <v/>
      </c>
      <c r="WMK57" s="82" t="str">
        <f>IF(ISNUMBER(outYear),WMK37+WMK42+#REF!+#REF!,"")</f>
        <v/>
      </c>
      <c r="WML57" s="82" t="str">
        <f>IF(ISNUMBER(outYear),WML37+WML42+#REF!+#REF!,"")</f>
        <v/>
      </c>
      <c r="WMM57" s="82" t="str">
        <f>IF(ISNUMBER(outYear),WMM37+WMM42+#REF!+#REF!,"")</f>
        <v/>
      </c>
      <c r="WMN57" s="82" t="str">
        <f>IF(ISNUMBER(outYear),WMN37+WMN42+#REF!+#REF!,"")</f>
        <v/>
      </c>
      <c r="WMO57" s="82" t="str">
        <f>IF(ISNUMBER(outYear),WMO37+WMO42+#REF!+#REF!,"")</f>
        <v/>
      </c>
      <c r="WMP57" s="82" t="str">
        <f>IF(ISNUMBER(outYear),WMP37+WMP42+#REF!+#REF!,"")</f>
        <v/>
      </c>
      <c r="WMQ57" s="82" t="str">
        <f>IF(ISNUMBER(outYear),WMQ37+WMQ42+#REF!+#REF!,"")</f>
        <v/>
      </c>
      <c r="WMR57" s="82" t="str">
        <f>IF(ISNUMBER(outYear),WMR37+WMR42+#REF!+#REF!,"")</f>
        <v/>
      </c>
      <c r="WMS57" s="82" t="str">
        <f>IF(ISNUMBER(outYear),WMS37+WMS42+#REF!+#REF!,"")</f>
        <v/>
      </c>
      <c r="WMT57" s="82" t="str">
        <f>IF(ISNUMBER(outYear),WMT37+WMT42+#REF!+#REF!,"")</f>
        <v/>
      </c>
      <c r="WMU57" s="82" t="str">
        <f>IF(ISNUMBER(outYear),WMU37+WMU42+#REF!+#REF!,"")</f>
        <v/>
      </c>
      <c r="WMV57" s="82" t="str">
        <f>IF(ISNUMBER(outYear),WMV37+WMV42+#REF!+#REF!,"")</f>
        <v/>
      </c>
      <c r="WMW57" s="82" t="str">
        <f>IF(ISNUMBER(outYear),WMW37+WMW42+#REF!+#REF!,"")</f>
        <v/>
      </c>
      <c r="WMX57" s="82" t="str">
        <f>IF(ISNUMBER(outYear),WMX37+WMX42+#REF!+#REF!,"")</f>
        <v/>
      </c>
      <c r="WMY57" s="82" t="str">
        <f>IF(ISNUMBER(outYear),WMY37+WMY42+#REF!+#REF!,"")</f>
        <v/>
      </c>
      <c r="WMZ57" s="82" t="str">
        <f>IF(ISNUMBER(outYear),WMZ37+WMZ42+#REF!+#REF!,"")</f>
        <v/>
      </c>
      <c r="WNA57" s="82" t="str">
        <f>IF(ISNUMBER(outYear),WNA37+WNA42+#REF!+#REF!,"")</f>
        <v/>
      </c>
      <c r="WNB57" s="82" t="str">
        <f>IF(ISNUMBER(outYear),WNB37+WNB42+#REF!+#REF!,"")</f>
        <v/>
      </c>
      <c r="WNC57" s="82" t="str">
        <f>IF(ISNUMBER(outYear),WNC37+WNC42+#REF!+#REF!,"")</f>
        <v/>
      </c>
      <c r="WND57" s="82" t="str">
        <f>IF(ISNUMBER(outYear),WND37+WND42+#REF!+#REF!,"")</f>
        <v/>
      </c>
      <c r="WNE57" s="82" t="str">
        <f>IF(ISNUMBER(outYear),WNE37+WNE42+#REF!+#REF!,"")</f>
        <v/>
      </c>
      <c r="WNF57" s="82" t="str">
        <f>IF(ISNUMBER(outYear),WNF37+WNF42+#REF!+#REF!,"")</f>
        <v/>
      </c>
      <c r="WNG57" s="82" t="str">
        <f>IF(ISNUMBER(outYear),WNG37+WNG42+#REF!+#REF!,"")</f>
        <v/>
      </c>
      <c r="WNH57" s="82" t="str">
        <f>IF(ISNUMBER(outYear),WNH37+WNH42+#REF!+#REF!,"")</f>
        <v/>
      </c>
      <c r="WNI57" s="82" t="str">
        <f>IF(ISNUMBER(outYear),WNI37+WNI42+#REF!+#REF!,"")</f>
        <v/>
      </c>
      <c r="WNJ57" s="82" t="str">
        <f>IF(ISNUMBER(outYear),WNJ37+WNJ42+#REF!+#REF!,"")</f>
        <v/>
      </c>
      <c r="WNK57" s="82" t="str">
        <f>IF(ISNUMBER(outYear),WNK37+WNK42+#REF!+#REF!,"")</f>
        <v/>
      </c>
      <c r="WNL57" s="82" t="str">
        <f>IF(ISNUMBER(outYear),WNL37+WNL42+#REF!+#REF!,"")</f>
        <v/>
      </c>
      <c r="WNM57" s="82" t="str">
        <f>IF(ISNUMBER(outYear),WNM37+WNM42+#REF!+#REF!,"")</f>
        <v/>
      </c>
      <c r="WNN57" s="82" t="str">
        <f>IF(ISNUMBER(outYear),WNN37+WNN42+#REF!+#REF!,"")</f>
        <v/>
      </c>
      <c r="WNO57" s="82" t="str">
        <f>IF(ISNUMBER(outYear),WNO37+WNO42+#REF!+#REF!,"")</f>
        <v/>
      </c>
      <c r="WNP57" s="82" t="str">
        <f>IF(ISNUMBER(outYear),WNP37+WNP42+#REF!+#REF!,"")</f>
        <v/>
      </c>
      <c r="WNQ57" s="82" t="str">
        <f>IF(ISNUMBER(outYear),WNQ37+WNQ42+#REF!+#REF!,"")</f>
        <v/>
      </c>
      <c r="WNR57" s="82" t="str">
        <f>IF(ISNUMBER(outYear),WNR37+WNR42+#REF!+#REF!,"")</f>
        <v/>
      </c>
      <c r="WNS57" s="82" t="str">
        <f>IF(ISNUMBER(outYear),WNS37+WNS42+#REF!+#REF!,"")</f>
        <v/>
      </c>
      <c r="WNT57" s="82" t="str">
        <f>IF(ISNUMBER(outYear),WNT37+WNT42+#REF!+#REF!,"")</f>
        <v/>
      </c>
      <c r="WNU57" s="82" t="str">
        <f>IF(ISNUMBER(outYear),WNU37+WNU42+#REF!+#REF!,"")</f>
        <v/>
      </c>
      <c r="WNV57" s="82" t="str">
        <f>IF(ISNUMBER(outYear),WNV37+WNV42+#REF!+#REF!,"")</f>
        <v/>
      </c>
      <c r="WNW57" s="82" t="str">
        <f>IF(ISNUMBER(outYear),WNW37+WNW42+#REF!+#REF!,"")</f>
        <v/>
      </c>
      <c r="WNX57" s="82" t="str">
        <f>IF(ISNUMBER(outYear),WNX37+WNX42+#REF!+#REF!,"")</f>
        <v/>
      </c>
      <c r="WNY57" s="82" t="str">
        <f>IF(ISNUMBER(outYear),WNY37+WNY42+#REF!+#REF!,"")</f>
        <v/>
      </c>
      <c r="WNZ57" s="82" t="str">
        <f>IF(ISNUMBER(outYear),WNZ37+WNZ42+#REF!+#REF!,"")</f>
        <v/>
      </c>
      <c r="WOA57" s="82" t="str">
        <f>IF(ISNUMBER(outYear),WOA37+WOA42+#REF!+#REF!,"")</f>
        <v/>
      </c>
      <c r="WOB57" s="82" t="str">
        <f>IF(ISNUMBER(outYear),WOB37+WOB42+#REF!+#REF!,"")</f>
        <v/>
      </c>
      <c r="WOC57" s="82" t="str">
        <f>IF(ISNUMBER(outYear),WOC37+WOC42+#REF!+#REF!,"")</f>
        <v/>
      </c>
      <c r="WOD57" s="82" t="str">
        <f>IF(ISNUMBER(outYear),WOD37+WOD42+#REF!+#REF!,"")</f>
        <v/>
      </c>
      <c r="WOE57" s="82" t="str">
        <f>IF(ISNUMBER(outYear),WOE37+WOE42+#REF!+#REF!,"")</f>
        <v/>
      </c>
      <c r="WOF57" s="82" t="str">
        <f>IF(ISNUMBER(outYear),WOF37+WOF42+#REF!+#REF!,"")</f>
        <v/>
      </c>
      <c r="WOG57" s="82" t="str">
        <f>IF(ISNUMBER(outYear),WOG37+WOG42+#REF!+#REF!,"")</f>
        <v/>
      </c>
      <c r="WOH57" s="82" t="str">
        <f>IF(ISNUMBER(outYear),WOH37+WOH42+#REF!+#REF!,"")</f>
        <v/>
      </c>
      <c r="WOI57" s="82" t="str">
        <f>IF(ISNUMBER(outYear),WOI37+WOI42+#REF!+#REF!,"")</f>
        <v/>
      </c>
      <c r="WOJ57" s="82" t="str">
        <f>IF(ISNUMBER(outYear),WOJ37+WOJ42+#REF!+#REF!,"")</f>
        <v/>
      </c>
      <c r="WOK57" s="82" t="str">
        <f>IF(ISNUMBER(outYear),WOK37+WOK42+#REF!+#REF!,"")</f>
        <v/>
      </c>
      <c r="WOL57" s="82" t="str">
        <f>IF(ISNUMBER(outYear),WOL37+WOL42+#REF!+#REF!,"")</f>
        <v/>
      </c>
      <c r="WOM57" s="82" t="str">
        <f>IF(ISNUMBER(outYear),WOM37+WOM42+#REF!+#REF!,"")</f>
        <v/>
      </c>
      <c r="WON57" s="82" t="str">
        <f>IF(ISNUMBER(outYear),WON37+WON42+#REF!+#REF!,"")</f>
        <v/>
      </c>
      <c r="WOO57" s="82" t="str">
        <f>IF(ISNUMBER(outYear),WOO37+WOO42+#REF!+#REF!,"")</f>
        <v/>
      </c>
      <c r="WOP57" s="82" t="str">
        <f>IF(ISNUMBER(outYear),WOP37+WOP42+#REF!+#REF!,"")</f>
        <v/>
      </c>
      <c r="WOQ57" s="82" t="str">
        <f>IF(ISNUMBER(outYear),WOQ37+WOQ42+#REF!+#REF!,"")</f>
        <v/>
      </c>
      <c r="WOR57" s="82" t="str">
        <f>IF(ISNUMBER(outYear),WOR37+WOR42+#REF!+#REF!,"")</f>
        <v/>
      </c>
      <c r="WOS57" s="82" t="str">
        <f>IF(ISNUMBER(outYear),WOS37+WOS42+#REF!+#REF!,"")</f>
        <v/>
      </c>
      <c r="WOT57" s="82" t="str">
        <f>IF(ISNUMBER(outYear),WOT37+WOT42+#REF!+#REF!,"")</f>
        <v/>
      </c>
      <c r="WOU57" s="82" t="str">
        <f>IF(ISNUMBER(outYear),WOU37+WOU42+#REF!+#REF!,"")</f>
        <v/>
      </c>
      <c r="WOV57" s="82" t="str">
        <f>IF(ISNUMBER(outYear),WOV37+WOV42+#REF!+#REF!,"")</f>
        <v/>
      </c>
      <c r="WOW57" s="82" t="str">
        <f>IF(ISNUMBER(outYear),WOW37+WOW42+#REF!+#REF!,"")</f>
        <v/>
      </c>
      <c r="WOX57" s="82" t="str">
        <f>IF(ISNUMBER(outYear),WOX37+WOX42+#REF!+#REF!,"")</f>
        <v/>
      </c>
      <c r="WOY57" s="82" t="str">
        <f>IF(ISNUMBER(outYear),WOY37+WOY42+#REF!+#REF!,"")</f>
        <v/>
      </c>
      <c r="WOZ57" s="82" t="str">
        <f>IF(ISNUMBER(outYear),WOZ37+WOZ42+#REF!+#REF!,"")</f>
        <v/>
      </c>
      <c r="WPA57" s="82" t="str">
        <f>IF(ISNUMBER(outYear),WPA37+WPA42+#REF!+#REF!,"")</f>
        <v/>
      </c>
      <c r="WPB57" s="82" t="str">
        <f>IF(ISNUMBER(outYear),WPB37+WPB42+#REF!+#REF!,"")</f>
        <v/>
      </c>
      <c r="WPC57" s="82" t="str">
        <f>IF(ISNUMBER(outYear),WPC37+WPC42+#REF!+#REF!,"")</f>
        <v/>
      </c>
      <c r="WPD57" s="82" t="str">
        <f>IF(ISNUMBER(outYear),WPD37+WPD42+#REF!+#REF!,"")</f>
        <v/>
      </c>
      <c r="WPE57" s="82" t="str">
        <f>IF(ISNUMBER(outYear),WPE37+WPE42+#REF!+#REF!,"")</f>
        <v/>
      </c>
      <c r="WPF57" s="82" t="str">
        <f>IF(ISNUMBER(outYear),WPF37+WPF42+#REF!+#REF!,"")</f>
        <v/>
      </c>
      <c r="WPG57" s="82" t="str">
        <f>IF(ISNUMBER(outYear),WPG37+WPG42+#REF!+#REF!,"")</f>
        <v/>
      </c>
      <c r="WPH57" s="82" t="str">
        <f>IF(ISNUMBER(outYear),WPH37+WPH42+#REF!+#REF!,"")</f>
        <v/>
      </c>
      <c r="WPI57" s="82" t="str">
        <f>IF(ISNUMBER(outYear),WPI37+WPI42+#REF!+#REF!,"")</f>
        <v/>
      </c>
      <c r="WPJ57" s="82" t="str">
        <f>IF(ISNUMBER(outYear),WPJ37+WPJ42+#REF!+#REF!,"")</f>
        <v/>
      </c>
      <c r="WPK57" s="82" t="str">
        <f>IF(ISNUMBER(outYear),WPK37+WPK42+#REF!+#REF!,"")</f>
        <v/>
      </c>
      <c r="WPL57" s="82" t="str">
        <f>IF(ISNUMBER(outYear),WPL37+WPL42+#REF!+#REF!,"")</f>
        <v/>
      </c>
      <c r="WPM57" s="82" t="str">
        <f>IF(ISNUMBER(outYear),WPM37+WPM42+#REF!+#REF!,"")</f>
        <v/>
      </c>
      <c r="WPN57" s="82" t="str">
        <f>IF(ISNUMBER(outYear),WPN37+WPN42+#REF!+#REF!,"")</f>
        <v/>
      </c>
      <c r="WPO57" s="82" t="str">
        <f>IF(ISNUMBER(outYear),WPO37+WPO42+#REF!+#REF!,"")</f>
        <v/>
      </c>
      <c r="WPP57" s="82" t="str">
        <f>IF(ISNUMBER(outYear),WPP37+WPP42+#REF!+#REF!,"")</f>
        <v/>
      </c>
      <c r="WPQ57" s="82" t="str">
        <f>IF(ISNUMBER(outYear),WPQ37+WPQ42+#REF!+#REF!,"")</f>
        <v/>
      </c>
      <c r="WPR57" s="82" t="str">
        <f>IF(ISNUMBER(outYear),WPR37+WPR42+#REF!+#REF!,"")</f>
        <v/>
      </c>
      <c r="WPS57" s="82" t="str">
        <f>IF(ISNUMBER(outYear),WPS37+WPS42+#REF!+#REF!,"")</f>
        <v/>
      </c>
      <c r="WPT57" s="82" t="str">
        <f>IF(ISNUMBER(outYear),WPT37+WPT42+#REF!+#REF!,"")</f>
        <v/>
      </c>
      <c r="WPU57" s="82" t="str">
        <f>IF(ISNUMBER(outYear),WPU37+WPU42+#REF!+#REF!,"")</f>
        <v/>
      </c>
      <c r="WPV57" s="82" t="str">
        <f>IF(ISNUMBER(outYear),WPV37+WPV42+#REF!+#REF!,"")</f>
        <v/>
      </c>
      <c r="WPW57" s="82" t="str">
        <f>IF(ISNUMBER(outYear),WPW37+WPW42+#REF!+#REF!,"")</f>
        <v/>
      </c>
      <c r="WPX57" s="82" t="str">
        <f>IF(ISNUMBER(outYear),WPX37+WPX42+#REF!+#REF!,"")</f>
        <v/>
      </c>
      <c r="WPY57" s="82" t="str">
        <f>IF(ISNUMBER(outYear),WPY37+WPY42+#REF!+#REF!,"")</f>
        <v/>
      </c>
      <c r="WPZ57" s="82" t="str">
        <f>IF(ISNUMBER(outYear),WPZ37+WPZ42+#REF!+#REF!,"")</f>
        <v/>
      </c>
      <c r="WQA57" s="82" t="str">
        <f>IF(ISNUMBER(outYear),WQA37+WQA42+#REF!+#REF!,"")</f>
        <v/>
      </c>
      <c r="WQB57" s="82" t="str">
        <f>IF(ISNUMBER(outYear),WQB37+WQB42+#REF!+#REF!,"")</f>
        <v/>
      </c>
      <c r="WQC57" s="82" t="str">
        <f>IF(ISNUMBER(outYear),WQC37+WQC42+#REF!+#REF!,"")</f>
        <v/>
      </c>
      <c r="WQD57" s="82" t="str">
        <f>IF(ISNUMBER(outYear),WQD37+WQD42+#REF!+#REF!,"")</f>
        <v/>
      </c>
      <c r="WQE57" s="82" t="str">
        <f>IF(ISNUMBER(outYear),WQE37+WQE42+#REF!+#REF!,"")</f>
        <v/>
      </c>
      <c r="WQF57" s="82" t="str">
        <f>IF(ISNUMBER(outYear),WQF37+WQF42+#REF!+#REF!,"")</f>
        <v/>
      </c>
      <c r="WQG57" s="82" t="str">
        <f>IF(ISNUMBER(outYear),WQG37+WQG42+#REF!+#REF!,"")</f>
        <v/>
      </c>
      <c r="WQH57" s="82" t="str">
        <f>IF(ISNUMBER(outYear),WQH37+WQH42+#REF!+#REF!,"")</f>
        <v/>
      </c>
      <c r="WQI57" s="82" t="str">
        <f>IF(ISNUMBER(outYear),WQI37+WQI42+#REF!+#REF!,"")</f>
        <v/>
      </c>
      <c r="WQJ57" s="82" t="str">
        <f>IF(ISNUMBER(outYear),WQJ37+WQJ42+#REF!+#REF!,"")</f>
        <v/>
      </c>
      <c r="WQK57" s="82" t="str">
        <f>IF(ISNUMBER(outYear),WQK37+WQK42+#REF!+#REF!,"")</f>
        <v/>
      </c>
      <c r="WQL57" s="82" t="str">
        <f>IF(ISNUMBER(outYear),WQL37+WQL42+#REF!+#REF!,"")</f>
        <v/>
      </c>
      <c r="WQM57" s="82" t="str">
        <f>IF(ISNUMBER(outYear),WQM37+WQM42+#REF!+#REF!,"")</f>
        <v/>
      </c>
      <c r="WQN57" s="82" t="str">
        <f>IF(ISNUMBER(outYear),WQN37+WQN42+#REF!+#REF!,"")</f>
        <v/>
      </c>
      <c r="WQO57" s="82" t="str">
        <f>IF(ISNUMBER(outYear),WQO37+WQO42+#REF!+#REF!,"")</f>
        <v/>
      </c>
      <c r="WQP57" s="82" t="str">
        <f>IF(ISNUMBER(outYear),WQP37+WQP42+#REF!+#REF!,"")</f>
        <v/>
      </c>
      <c r="WQQ57" s="82" t="str">
        <f>IF(ISNUMBER(outYear),WQQ37+WQQ42+#REF!+#REF!,"")</f>
        <v/>
      </c>
      <c r="WQR57" s="82" t="str">
        <f>IF(ISNUMBER(outYear),WQR37+WQR42+#REF!+#REF!,"")</f>
        <v/>
      </c>
      <c r="WQS57" s="82" t="str">
        <f>IF(ISNUMBER(outYear),WQS37+WQS42+#REF!+#REF!,"")</f>
        <v/>
      </c>
      <c r="WQT57" s="82" t="str">
        <f>IF(ISNUMBER(outYear),WQT37+WQT42+#REF!+#REF!,"")</f>
        <v/>
      </c>
      <c r="WQU57" s="82" t="str">
        <f>IF(ISNUMBER(outYear),WQU37+WQU42+#REF!+#REF!,"")</f>
        <v/>
      </c>
      <c r="WQV57" s="82" t="str">
        <f>IF(ISNUMBER(outYear),WQV37+WQV42+#REF!+#REF!,"")</f>
        <v/>
      </c>
      <c r="WQW57" s="82" t="str">
        <f>IF(ISNUMBER(outYear),WQW37+WQW42+#REF!+#REF!,"")</f>
        <v/>
      </c>
      <c r="WQX57" s="82" t="str">
        <f>IF(ISNUMBER(outYear),WQX37+WQX42+#REF!+#REF!,"")</f>
        <v/>
      </c>
      <c r="WQY57" s="82" t="str">
        <f>IF(ISNUMBER(outYear),WQY37+WQY42+#REF!+#REF!,"")</f>
        <v/>
      </c>
      <c r="WQZ57" s="82" t="str">
        <f>IF(ISNUMBER(outYear),WQZ37+WQZ42+#REF!+#REF!,"")</f>
        <v/>
      </c>
      <c r="WRA57" s="82" t="str">
        <f>IF(ISNUMBER(outYear),WRA37+WRA42+#REF!+#REF!,"")</f>
        <v/>
      </c>
      <c r="WRB57" s="82" t="str">
        <f>IF(ISNUMBER(outYear),WRB37+WRB42+#REF!+#REF!,"")</f>
        <v/>
      </c>
      <c r="WRC57" s="82" t="str">
        <f>IF(ISNUMBER(outYear),WRC37+WRC42+#REF!+#REF!,"")</f>
        <v/>
      </c>
      <c r="WRD57" s="82" t="str">
        <f>IF(ISNUMBER(outYear),WRD37+WRD42+#REF!+#REF!,"")</f>
        <v/>
      </c>
      <c r="WRE57" s="82" t="str">
        <f>IF(ISNUMBER(outYear),WRE37+WRE42+#REF!+#REF!,"")</f>
        <v/>
      </c>
      <c r="WRF57" s="82" t="str">
        <f>IF(ISNUMBER(outYear),WRF37+WRF42+#REF!+#REF!,"")</f>
        <v/>
      </c>
      <c r="WRG57" s="82" t="str">
        <f>IF(ISNUMBER(outYear),WRG37+WRG42+#REF!+#REF!,"")</f>
        <v/>
      </c>
      <c r="WRH57" s="82" t="str">
        <f>IF(ISNUMBER(outYear),WRH37+WRH42+#REF!+#REF!,"")</f>
        <v/>
      </c>
      <c r="WRI57" s="82" t="str">
        <f>IF(ISNUMBER(outYear),WRI37+WRI42+#REF!+#REF!,"")</f>
        <v/>
      </c>
      <c r="WRJ57" s="82" t="str">
        <f>IF(ISNUMBER(outYear),WRJ37+WRJ42+#REF!+#REF!,"")</f>
        <v/>
      </c>
      <c r="WRK57" s="82" t="str">
        <f>IF(ISNUMBER(outYear),WRK37+WRK42+#REF!+#REF!,"")</f>
        <v/>
      </c>
      <c r="WRL57" s="82" t="str">
        <f>IF(ISNUMBER(outYear),WRL37+WRL42+#REF!+#REF!,"")</f>
        <v/>
      </c>
      <c r="WRM57" s="82" t="str">
        <f>IF(ISNUMBER(outYear),WRM37+WRM42+#REF!+#REF!,"")</f>
        <v/>
      </c>
      <c r="WRN57" s="82" t="str">
        <f>IF(ISNUMBER(outYear),WRN37+WRN42+#REF!+#REF!,"")</f>
        <v/>
      </c>
      <c r="WRO57" s="82" t="str">
        <f>IF(ISNUMBER(outYear),WRO37+WRO42+#REF!+#REF!,"")</f>
        <v/>
      </c>
      <c r="WRP57" s="82" t="str">
        <f>IF(ISNUMBER(outYear),WRP37+WRP42+#REF!+#REF!,"")</f>
        <v/>
      </c>
      <c r="WRQ57" s="82" t="str">
        <f>IF(ISNUMBER(outYear),WRQ37+WRQ42+#REF!+#REF!,"")</f>
        <v/>
      </c>
      <c r="WRR57" s="82" t="str">
        <f>IF(ISNUMBER(outYear),WRR37+WRR42+#REF!+#REF!,"")</f>
        <v/>
      </c>
      <c r="WRS57" s="82" t="str">
        <f>IF(ISNUMBER(outYear),WRS37+WRS42+#REF!+#REF!,"")</f>
        <v/>
      </c>
      <c r="WRT57" s="82" t="str">
        <f>IF(ISNUMBER(outYear),WRT37+WRT42+#REF!+#REF!,"")</f>
        <v/>
      </c>
      <c r="WRU57" s="82" t="str">
        <f>IF(ISNUMBER(outYear),WRU37+WRU42+#REF!+#REF!,"")</f>
        <v/>
      </c>
      <c r="WRV57" s="82" t="str">
        <f>IF(ISNUMBER(outYear),WRV37+WRV42+#REF!+#REF!,"")</f>
        <v/>
      </c>
      <c r="WRW57" s="82" t="str">
        <f>IF(ISNUMBER(outYear),WRW37+WRW42+#REF!+#REF!,"")</f>
        <v/>
      </c>
      <c r="WRX57" s="82" t="str">
        <f>IF(ISNUMBER(outYear),WRX37+WRX42+#REF!+#REF!,"")</f>
        <v/>
      </c>
      <c r="WRY57" s="82" t="str">
        <f>IF(ISNUMBER(outYear),WRY37+WRY42+#REF!+#REF!,"")</f>
        <v/>
      </c>
      <c r="WRZ57" s="82" t="str">
        <f>IF(ISNUMBER(outYear),WRZ37+WRZ42+#REF!+#REF!,"")</f>
        <v/>
      </c>
      <c r="WSA57" s="82" t="str">
        <f>IF(ISNUMBER(outYear),WSA37+WSA42+#REF!+#REF!,"")</f>
        <v/>
      </c>
      <c r="WSB57" s="82" t="str">
        <f>IF(ISNUMBER(outYear),WSB37+WSB42+#REF!+#REF!,"")</f>
        <v/>
      </c>
      <c r="WSC57" s="82" t="str">
        <f>IF(ISNUMBER(outYear),WSC37+WSC42+#REF!+#REF!,"")</f>
        <v/>
      </c>
      <c r="WSD57" s="82" t="str">
        <f>IF(ISNUMBER(outYear),WSD37+WSD42+#REF!+#REF!,"")</f>
        <v/>
      </c>
      <c r="WSE57" s="82" t="str">
        <f>IF(ISNUMBER(outYear),WSE37+WSE42+#REF!+#REF!,"")</f>
        <v/>
      </c>
      <c r="WSF57" s="82" t="str">
        <f>IF(ISNUMBER(outYear),WSF37+WSF42+#REF!+#REF!,"")</f>
        <v/>
      </c>
      <c r="WSG57" s="82" t="str">
        <f>IF(ISNUMBER(outYear),WSG37+WSG42+#REF!+#REF!,"")</f>
        <v/>
      </c>
      <c r="WSH57" s="82" t="str">
        <f>IF(ISNUMBER(outYear),WSH37+WSH42+#REF!+#REF!,"")</f>
        <v/>
      </c>
      <c r="WSI57" s="82" t="str">
        <f>IF(ISNUMBER(outYear),WSI37+WSI42+#REF!+#REF!,"")</f>
        <v/>
      </c>
      <c r="WSJ57" s="82" t="str">
        <f>IF(ISNUMBER(outYear),WSJ37+WSJ42+#REF!+#REF!,"")</f>
        <v/>
      </c>
      <c r="WSK57" s="82" t="str">
        <f>IF(ISNUMBER(outYear),WSK37+WSK42+#REF!+#REF!,"")</f>
        <v/>
      </c>
      <c r="WSL57" s="82" t="str">
        <f>IF(ISNUMBER(outYear),WSL37+WSL42+#REF!+#REF!,"")</f>
        <v/>
      </c>
      <c r="WSM57" s="82" t="str">
        <f>IF(ISNUMBER(outYear),WSM37+WSM42+#REF!+#REF!,"")</f>
        <v/>
      </c>
      <c r="WSN57" s="82" t="str">
        <f>IF(ISNUMBER(outYear),WSN37+WSN42+#REF!+#REF!,"")</f>
        <v/>
      </c>
      <c r="WSO57" s="82" t="str">
        <f>IF(ISNUMBER(outYear),WSO37+WSO42+#REF!+#REF!,"")</f>
        <v/>
      </c>
      <c r="WSP57" s="82" t="str">
        <f>IF(ISNUMBER(outYear),WSP37+WSP42+#REF!+#REF!,"")</f>
        <v/>
      </c>
      <c r="WSQ57" s="82" t="str">
        <f>IF(ISNUMBER(outYear),WSQ37+WSQ42+#REF!+#REF!,"")</f>
        <v/>
      </c>
      <c r="WSR57" s="82" t="str">
        <f>IF(ISNUMBER(outYear),WSR37+WSR42+#REF!+#REF!,"")</f>
        <v/>
      </c>
      <c r="WSS57" s="82" t="str">
        <f>IF(ISNUMBER(outYear),WSS37+WSS42+#REF!+#REF!,"")</f>
        <v/>
      </c>
      <c r="WST57" s="82" t="str">
        <f>IF(ISNUMBER(outYear),WST37+WST42+#REF!+#REF!,"")</f>
        <v/>
      </c>
      <c r="WSU57" s="82" t="str">
        <f>IF(ISNUMBER(outYear),WSU37+WSU42+#REF!+#REF!,"")</f>
        <v/>
      </c>
      <c r="WSV57" s="82" t="str">
        <f>IF(ISNUMBER(outYear),WSV37+WSV42+#REF!+#REF!,"")</f>
        <v/>
      </c>
      <c r="WSW57" s="82" t="str">
        <f>IF(ISNUMBER(outYear),WSW37+WSW42+#REF!+#REF!,"")</f>
        <v/>
      </c>
      <c r="WSX57" s="82" t="str">
        <f>IF(ISNUMBER(outYear),WSX37+WSX42+#REF!+#REF!,"")</f>
        <v/>
      </c>
      <c r="WSY57" s="82" t="str">
        <f>IF(ISNUMBER(outYear),WSY37+WSY42+#REF!+#REF!,"")</f>
        <v/>
      </c>
      <c r="WSZ57" s="82" t="str">
        <f>IF(ISNUMBER(outYear),WSZ37+WSZ42+#REF!+#REF!,"")</f>
        <v/>
      </c>
      <c r="WTA57" s="82" t="str">
        <f>IF(ISNUMBER(outYear),WTA37+WTA42+#REF!+#REF!,"")</f>
        <v/>
      </c>
      <c r="WTB57" s="82" t="str">
        <f>IF(ISNUMBER(outYear),WTB37+WTB42+#REF!+#REF!,"")</f>
        <v/>
      </c>
      <c r="WTC57" s="82" t="str">
        <f>IF(ISNUMBER(outYear),WTC37+WTC42+#REF!+#REF!,"")</f>
        <v/>
      </c>
      <c r="WTD57" s="82" t="str">
        <f>IF(ISNUMBER(outYear),WTD37+WTD42+#REF!+#REF!,"")</f>
        <v/>
      </c>
      <c r="WTE57" s="82" t="str">
        <f>IF(ISNUMBER(outYear),WTE37+WTE42+#REF!+#REF!,"")</f>
        <v/>
      </c>
      <c r="WTF57" s="82" t="str">
        <f>IF(ISNUMBER(outYear),WTF37+WTF42+#REF!+#REF!,"")</f>
        <v/>
      </c>
      <c r="WTG57" s="82" t="str">
        <f>IF(ISNUMBER(outYear),WTG37+WTG42+#REF!+#REF!,"")</f>
        <v/>
      </c>
      <c r="WTH57" s="82" t="str">
        <f>IF(ISNUMBER(outYear),WTH37+WTH42+#REF!+#REF!,"")</f>
        <v/>
      </c>
      <c r="WTI57" s="82" t="str">
        <f>IF(ISNUMBER(outYear),WTI37+WTI42+#REF!+#REF!,"")</f>
        <v/>
      </c>
      <c r="WTJ57" s="82" t="str">
        <f>IF(ISNUMBER(outYear),WTJ37+WTJ42+#REF!+#REF!,"")</f>
        <v/>
      </c>
      <c r="WTK57" s="82" t="str">
        <f>IF(ISNUMBER(outYear),WTK37+WTK42+#REF!+#REF!,"")</f>
        <v/>
      </c>
      <c r="WTL57" s="82" t="str">
        <f>IF(ISNUMBER(outYear),WTL37+WTL42+#REF!+#REF!,"")</f>
        <v/>
      </c>
      <c r="WTM57" s="82" t="str">
        <f>IF(ISNUMBER(outYear),WTM37+WTM42+#REF!+#REF!,"")</f>
        <v/>
      </c>
      <c r="WTN57" s="82" t="str">
        <f>IF(ISNUMBER(outYear),WTN37+WTN42+#REF!+#REF!,"")</f>
        <v/>
      </c>
      <c r="WTO57" s="82" t="str">
        <f>IF(ISNUMBER(outYear),WTO37+WTO42+#REF!+#REF!,"")</f>
        <v/>
      </c>
      <c r="WTP57" s="82" t="str">
        <f>IF(ISNUMBER(outYear),WTP37+WTP42+#REF!+#REF!,"")</f>
        <v/>
      </c>
      <c r="WTQ57" s="82" t="str">
        <f>IF(ISNUMBER(outYear),WTQ37+WTQ42+#REF!+#REF!,"")</f>
        <v/>
      </c>
      <c r="WTR57" s="82" t="str">
        <f>IF(ISNUMBER(outYear),WTR37+WTR42+#REF!+#REF!,"")</f>
        <v/>
      </c>
      <c r="WTS57" s="82" t="str">
        <f>IF(ISNUMBER(outYear),WTS37+WTS42+#REF!+#REF!,"")</f>
        <v/>
      </c>
      <c r="WTT57" s="82" t="str">
        <f>IF(ISNUMBER(outYear),WTT37+WTT42+#REF!+#REF!,"")</f>
        <v/>
      </c>
      <c r="WTU57" s="82" t="str">
        <f>IF(ISNUMBER(outYear),WTU37+WTU42+#REF!+#REF!,"")</f>
        <v/>
      </c>
      <c r="WTV57" s="82" t="str">
        <f>IF(ISNUMBER(outYear),WTV37+WTV42+#REF!+#REF!,"")</f>
        <v/>
      </c>
      <c r="WTW57" s="82" t="str">
        <f>IF(ISNUMBER(outYear),WTW37+WTW42+#REF!+#REF!,"")</f>
        <v/>
      </c>
      <c r="WTX57" s="82" t="str">
        <f>IF(ISNUMBER(outYear),WTX37+WTX42+#REF!+#REF!,"")</f>
        <v/>
      </c>
      <c r="WTY57" s="82" t="str">
        <f>IF(ISNUMBER(outYear),WTY37+WTY42+#REF!+#REF!,"")</f>
        <v/>
      </c>
      <c r="WTZ57" s="82" t="str">
        <f>IF(ISNUMBER(outYear),WTZ37+WTZ42+#REF!+#REF!,"")</f>
        <v/>
      </c>
      <c r="WUA57" s="82" t="str">
        <f>IF(ISNUMBER(outYear),WUA37+WUA42+#REF!+#REF!,"")</f>
        <v/>
      </c>
      <c r="WUB57" s="82" t="str">
        <f>IF(ISNUMBER(outYear),WUB37+WUB42+#REF!+#REF!,"")</f>
        <v/>
      </c>
      <c r="WUC57" s="82" t="str">
        <f>IF(ISNUMBER(outYear),WUC37+WUC42+#REF!+#REF!,"")</f>
        <v/>
      </c>
      <c r="WUD57" s="82" t="str">
        <f>IF(ISNUMBER(outYear),WUD37+WUD42+#REF!+#REF!,"")</f>
        <v/>
      </c>
      <c r="WUE57" s="82" t="str">
        <f>IF(ISNUMBER(outYear),WUE37+WUE42+#REF!+#REF!,"")</f>
        <v/>
      </c>
      <c r="WUF57" s="82" t="str">
        <f>IF(ISNUMBER(outYear),WUF37+WUF42+#REF!+#REF!,"")</f>
        <v/>
      </c>
      <c r="WUG57" s="82" t="str">
        <f>IF(ISNUMBER(outYear),WUG37+WUG42+#REF!+#REF!,"")</f>
        <v/>
      </c>
      <c r="WUH57" s="82" t="str">
        <f>IF(ISNUMBER(outYear),WUH37+WUH42+#REF!+#REF!,"")</f>
        <v/>
      </c>
      <c r="WUI57" s="82" t="str">
        <f>IF(ISNUMBER(outYear),WUI37+WUI42+#REF!+#REF!,"")</f>
        <v/>
      </c>
      <c r="WUJ57" s="82" t="str">
        <f>IF(ISNUMBER(outYear),WUJ37+WUJ42+#REF!+#REF!,"")</f>
        <v/>
      </c>
      <c r="WUK57" s="82" t="str">
        <f>IF(ISNUMBER(outYear),WUK37+WUK42+#REF!+#REF!,"")</f>
        <v/>
      </c>
      <c r="WUL57" s="82" t="str">
        <f>IF(ISNUMBER(outYear),WUL37+WUL42+#REF!+#REF!,"")</f>
        <v/>
      </c>
      <c r="WUM57" s="82" t="str">
        <f>IF(ISNUMBER(outYear),WUM37+WUM42+#REF!+#REF!,"")</f>
        <v/>
      </c>
      <c r="WUN57" s="82" t="str">
        <f>IF(ISNUMBER(outYear),WUN37+WUN42+#REF!+#REF!,"")</f>
        <v/>
      </c>
      <c r="WUO57" s="82" t="str">
        <f>IF(ISNUMBER(outYear),WUO37+WUO42+#REF!+#REF!,"")</f>
        <v/>
      </c>
      <c r="WUP57" s="82" t="str">
        <f>IF(ISNUMBER(outYear),WUP37+WUP42+#REF!+#REF!,"")</f>
        <v/>
      </c>
      <c r="WUQ57" s="82" t="str">
        <f>IF(ISNUMBER(outYear),WUQ37+WUQ42+#REF!+#REF!,"")</f>
        <v/>
      </c>
      <c r="WUR57" s="82" t="str">
        <f>IF(ISNUMBER(outYear),WUR37+WUR42+#REF!+#REF!,"")</f>
        <v/>
      </c>
      <c r="WUS57" s="82" t="str">
        <f>IF(ISNUMBER(outYear),WUS37+WUS42+#REF!+#REF!,"")</f>
        <v/>
      </c>
      <c r="WUT57" s="82" t="str">
        <f>IF(ISNUMBER(outYear),WUT37+WUT42+#REF!+#REF!,"")</f>
        <v/>
      </c>
      <c r="WUU57" s="82" t="str">
        <f>IF(ISNUMBER(outYear),WUU37+WUU42+#REF!+#REF!,"")</f>
        <v/>
      </c>
      <c r="WUV57" s="82" t="str">
        <f>IF(ISNUMBER(outYear),WUV37+WUV42+#REF!+#REF!,"")</f>
        <v/>
      </c>
      <c r="WUW57" s="82" t="str">
        <f>IF(ISNUMBER(outYear),WUW37+WUW42+#REF!+#REF!,"")</f>
        <v/>
      </c>
      <c r="WUX57" s="82" t="str">
        <f>IF(ISNUMBER(outYear),WUX37+WUX42+#REF!+#REF!,"")</f>
        <v/>
      </c>
      <c r="WUY57" s="82" t="str">
        <f>IF(ISNUMBER(outYear),WUY37+WUY42+#REF!+#REF!,"")</f>
        <v/>
      </c>
      <c r="WUZ57" s="82" t="str">
        <f>IF(ISNUMBER(outYear),WUZ37+WUZ42+#REF!+#REF!,"")</f>
        <v/>
      </c>
      <c r="WVA57" s="82" t="str">
        <f>IF(ISNUMBER(outYear),WVA37+WVA42+#REF!+#REF!,"")</f>
        <v/>
      </c>
      <c r="WVB57" s="82" t="str">
        <f>IF(ISNUMBER(outYear),WVB37+WVB42+#REF!+#REF!,"")</f>
        <v/>
      </c>
      <c r="WVC57" s="82" t="str">
        <f>IF(ISNUMBER(outYear),WVC37+WVC42+#REF!+#REF!,"")</f>
        <v/>
      </c>
      <c r="WVD57" s="82" t="str">
        <f>IF(ISNUMBER(outYear),WVD37+WVD42+#REF!+#REF!,"")</f>
        <v/>
      </c>
      <c r="WVE57" s="82" t="str">
        <f>IF(ISNUMBER(outYear),WVE37+WVE42+#REF!+#REF!,"")</f>
        <v/>
      </c>
      <c r="WVF57" s="82" t="str">
        <f>IF(ISNUMBER(outYear),WVF37+WVF42+#REF!+#REF!,"")</f>
        <v/>
      </c>
      <c r="WVG57" s="82" t="str">
        <f>IF(ISNUMBER(outYear),WVG37+WVG42+#REF!+#REF!,"")</f>
        <v/>
      </c>
      <c r="WVH57" s="82" t="str">
        <f>IF(ISNUMBER(outYear),WVH37+WVH42+#REF!+#REF!,"")</f>
        <v/>
      </c>
      <c r="WVI57" s="82" t="str">
        <f>IF(ISNUMBER(outYear),WVI37+WVI42+#REF!+#REF!,"")</f>
        <v/>
      </c>
      <c r="WVJ57" s="82" t="str">
        <f>IF(ISNUMBER(outYear),WVJ37+WVJ42+#REF!+#REF!,"")</f>
        <v/>
      </c>
      <c r="WVK57" s="82" t="str">
        <f>IF(ISNUMBER(outYear),WVK37+WVK42+#REF!+#REF!,"")</f>
        <v/>
      </c>
      <c r="WVL57" s="82" t="str">
        <f>IF(ISNUMBER(outYear),WVL37+WVL42+#REF!+#REF!,"")</f>
        <v/>
      </c>
      <c r="WVM57" s="82" t="str">
        <f>IF(ISNUMBER(outYear),WVM37+WVM42+#REF!+#REF!,"")</f>
        <v/>
      </c>
      <c r="WVN57" s="82" t="str">
        <f>IF(ISNUMBER(outYear),WVN37+WVN42+#REF!+#REF!,"")</f>
        <v/>
      </c>
      <c r="WVO57" s="82" t="str">
        <f>IF(ISNUMBER(outYear),WVO37+WVO42+#REF!+#REF!,"")</f>
        <v/>
      </c>
      <c r="WVP57" s="82" t="str">
        <f>IF(ISNUMBER(outYear),WVP37+WVP42+#REF!+#REF!,"")</f>
        <v/>
      </c>
      <c r="WVQ57" s="82" t="str">
        <f>IF(ISNUMBER(outYear),WVQ37+WVQ42+#REF!+#REF!,"")</f>
        <v/>
      </c>
      <c r="WVR57" s="82" t="str">
        <f>IF(ISNUMBER(outYear),WVR37+WVR42+#REF!+#REF!,"")</f>
        <v/>
      </c>
      <c r="WVS57" s="82" t="str">
        <f>IF(ISNUMBER(outYear),WVS37+WVS42+#REF!+#REF!,"")</f>
        <v/>
      </c>
      <c r="WVT57" s="82" t="str">
        <f>IF(ISNUMBER(outYear),WVT37+WVT42+#REF!+#REF!,"")</f>
        <v/>
      </c>
      <c r="WVU57" s="82" t="str">
        <f>IF(ISNUMBER(outYear),WVU37+WVU42+#REF!+#REF!,"")</f>
        <v/>
      </c>
      <c r="WVV57" s="82" t="str">
        <f>IF(ISNUMBER(outYear),WVV37+WVV42+#REF!+#REF!,"")</f>
        <v/>
      </c>
      <c r="WVW57" s="82" t="str">
        <f>IF(ISNUMBER(outYear),WVW37+WVW42+#REF!+#REF!,"")</f>
        <v/>
      </c>
      <c r="WVX57" s="82" t="str">
        <f>IF(ISNUMBER(outYear),WVX37+WVX42+#REF!+#REF!,"")</f>
        <v/>
      </c>
      <c r="WVY57" s="82" t="str">
        <f>IF(ISNUMBER(outYear),WVY37+WVY42+#REF!+#REF!,"")</f>
        <v/>
      </c>
      <c r="WVZ57" s="82" t="str">
        <f>IF(ISNUMBER(outYear),WVZ37+WVZ42+#REF!+#REF!,"")</f>
        <v/>
      </c>
      <c r="WWA57" s="82" t="str">
        <f>IF(ISNUMBER(outYear),WWA37+WWA42+#REF!+#REF!,"")</f>
        <v/>
      </c>
      <c r="WWB57" s="82" t="str">
        <f>IF(ISNUMBER(outYear),WWB37+WWB42+#REF!+#REF!,"")</f>
        <v/>
      </c>
      <c r="WWC57" s="82" t="str">
        <f>IF(ISNUMBER(outYear),WWC37+WWC42+#REF!+#REF!,"")</f>
        <v/>
      </c>
      <c r="WWD57" s="82" t="str">
        <f>IF(ISNUMBER(outYear),WWD37+WWD42+#REF!+#REF!,"")</f>
        <v/>
      </c>
      <c r="WWE57" s="82" t="str">
        <f>IF(ISNUMBER(outYear),WWE37+WWE42+#REF!+#REF!,"")</f>
        <v/>
      </c>
      <c r="WWF57" s="82" t="str">
        <f>IF(ISNUMBER(outYear),WWF37+WWF42+#REF!+#REF!,"")</f>
        <v/>
      </c>
      <c r="WWG57" s="82" t="str">
        <f>IF(ISNUMBER(outYear),WWG37+WWG42+#REF!+#REF!,"")</f>
        <v/>
      </c>
      <c r="WWH57" s="82" t="str">
        <f>IF(ISNUMBER(outYear),WWH37+WWH42+#REF!+#REF!,"")</f>
        <v/>
      </c>
      <c r="WWI57" s="82" t="str">
        <f>IF(ISNUMBER(outYear),WWI37+WWI42+#REF!+#REF!,"")</f>
        <v/>
      </c>
      <c r="WWJ57" s="82" t="str">
        <f>IF(ISNUMBER(outYear),WWJ37+WWJ42+#REF!+#REF!,"")</f>
        <v/>
      </c>
      <c r="WWK57" s="82" t="str">
        <f>IF(ISNUMBER(outYear),WWK37+WWK42+#REF!+#REF!,"")</f>
        <v/>
      </c>
      <c r="WWL57" s="82" t="str">
        <f>IF(ISNUMBER(outYear),WWL37+WWL42+#REF!+#REF!,"")</f>
        <v/>
      </c>
      <c r="WWM57" s="82" t="str">
        <f>IF(ISNUMBER(outYear),WWM37+WWM42+#REF!+#REF!,"")</f>
        <v/>
      </c>
      <c r="WWN57" s="82" t="str">
        <f>IF(ISNUMBER(outYear),WWN37+WWN42+#REF!+#REF!,"")</f>
        <v/>
      </c>
      <c r="WWO57" s="82" t="str">
        <f>IF(ISNUMBER(outYear),WWO37+WWO42+#REF!+#REF!,"")</f>
        <v/>
      </c>
      <c r="WWP57" s="82" t="str">
        <f>IF(ISNUMBER(outYear),WWP37+WWP42+#REF!+#REF!,"")</f>
        <v/>
      </c>
      <c r="WWQ57" s="82" t="str">
        <f>IF(ISNUMBER(outYear),WWQ37+WWQ42+#REF!+#REF!,"")</f>
        <v/>
      </c>
      <c r="WWR57" s="82" t="str">
        <f>IF(ISNUMBER(outYear),WWR37+WWR42+#REF!+#REF!,"")</f>
        <v/>
      </c>
      <c r="WWS57" s="82" t="str">
        <f>IF(ISNUMBER(outYear),WWS37+WWS42+#REF!+#REF!,"")</f>
        <v/>
      </c>
      <c r="WWT57" s="82" t="str">
        <f>IF(ISNUMBER(outYear),WWT37+WWT42+#REF!+#REF!,"")</f>
        <v/>
      </c>
      <c r="WWU57" s="82" t="str">
        <f>IF(ISNUMBER(outYear),WWU37+WWU42+#REF!+#REF!,"")</f>
        <v/>
      </c>
      <c r="WWV57" s="82" t="str">
        <f>IF(ISNUMBER(outYear),WWV37+WWV42+#REF!+#REF!,"")</f>
        <v/>
      </c>
      <c r="WWW57" s="82" t="str">
        <f>IF(ISNUMBER(outYear),WWW37+WWW42+#REF!+#REF!,"")</f>
        <v/>
      </c>
      <c r="WWX57" s="82" t="str">
        <f>IF(ISNUMBER(outYear),WWX37+WWX42+#REF!+#REF!,"")</f>
        <v/>
      </c>
      <c r="WWY57" s="82" t="str">
        <f>IF(ISNUMBER(outYear),WWY37+WWY42+#REF!+#REF!,"")</f>
        <v/>
      </c>
      <c r="WWZ57" s="82" t="str">
        <f>IF(ISNUMBER(outYear),WWZ37+WWZ42+#REF!+#REF!,"")</f>
        <v/>
      </c>
      <c r="WXA57" s="82" t="str">
        <f>IF(ISNUMBER(outYear),WXA37+WXA42+#REF!+#REF!,"")</f>
        <v/>
      </c>
      <c r="WXB57" s="82" t="str">
        <f>IF(ISNUMBER(outYear),WXB37+WXB42+#REF!+#REF!,"")</f>
        <v/>
      </c>
      <c r="WXC57" s="82" t="str">
        <f>IF(ISNUMBER(outYear),WXC37+WXC42+#REF!+#REF!,"")</f>
        <v/>
      </c>
      <c r="WXD57" s="82" t="str">
        <f>IF(ISNUMBER(outYear),WXD37+WXD42+#REF!+#REF!,"")</f>
        <v/>
      </c>
      <c r="WXE57" s="82" t="str">
        <f>IF(ISNUMBER(outYear),WXE37+WXE42+#REF!+#REF!,"")</f>
        <v/>
      </c>
      <c r="WXF57" s="82" t="str">
        <f>IF(ISNUMBER(outYear),WXF37+WXF42+#REF!+#REF!,"")</f>
        <v/>
      </c>
      <c r="WXG57" s="82" t="str">
        <f>IF(ISNUMBER(outYear),WXG37+WXG42+#REF!+#REF!,"")</f>
        <v/>
      </c>
      <c r="WXH57" s="82" t="str">
        <f>IF(ISNUMBER(outYear),WXH37+WXH42+#REF!+#REF!,"")</f>
        <v/>
      </c>
      <c r="WXI57" s="82" t="str">
        <f>IF(ISNUMBER(outYear),WXI37+WXI42+#REF!+#REF!,"")</f>
        <v/>
      </c>
      <c r="WXJ57" s="82" t="str">
        <f>IF(ISNUMBER(outYear),WXJ37+WXJ42+#REF!+#REF!,"")</f>
        <v/>
      </c>
      <c r="WXK57" s="82" t="str">
        <f>IF(ISNUMBER(outYear),WXK37+WXK42+#REF!+#REF!,"")</f>
        <v/>
      </c>
      <c r="WXL57" s="82" t="str">
        <f>IF(ISNUMBER(outYear),WXL37+WXL42+#REF!+#REF!,"")</f>
        <v/>
      </c>
      <c r="WXM57" s="82" t="str">
        <f>IF(ISNUMBER(outYear),WXM37+WXM42+#REF!+#REF!,"")</f>
        <v/>
      </c>
      <c r="WXN57" s="82" t="str">
        <f>IF(ISNUMBER(outYear),WXN37+WXN42+#REF!+#REF!,"")</f>
        <v/>
      </c>
      <c r="WXO57" s="82" t="str">
        <f>IF(ISNUMBER(outYear),WXO37+WXO42+#REF!+#REF!,"")</f>
        <v/>
      </c>
      <c r="WXP57" s="82" t="str">
        <f>IF(ISNUMBER(outYear),WXP37+WXP42+#REF!+#REF!,"")</f>
        <v/>
      </c>
      <c r="WXQ57" s="82" t="str">
        <f>IF(ISNUMBER(outYear),WXQ37+WXQ42+#REF!+#REF!,"")</f>
        <v/>
      </c>
      <c r="WXR57" s="82" t="str">
        <f>IF(ISNUMBER(outYear),WXR37+WXR42+#REF!+#REF!,"")</f>
        <v/>
      </c>
      <c r="WXS57" s="82" t="str">
        <f>IF(ISNUMBER(outYear),WXS37+WXS42+#REF!+#REF!,"")</f>
        <v/>
      </c>
      <c r="WXT57" s="82" t="str">
        <f>IF(ISNUMBER(outYear),WXT37+WXT42+#REF!+#REF!,"")</f>
        <v/>
      </c>
      <c r="WXU57" s="82" t="str">
        <f>IF(ISNUMBER(outYear),WXU37+WXU42+#REF!+#REF!,"")</f>
        <v/>
      </c>
      <c r="WXV57" s="82" t="str">
        <f>IF(ISNUMBER(outYear),WXV37+WXV42+#REF!+#REF!,"")</f>
        <v/>
      </c>
      <c r="WXW57" s="82" t="str">
        <f>IF(ISNUMBER(outYear),WXW37+WXW42+#REF!+#REF!,"")</f>
        <v/>
      </c>
      <c r="WXX57" s="82" t="str">
        <f>IF(ISNUMBER(outYear),WXX37+WXX42+#REF!+#REF!,"")</f>
        <v/>
      </c>
      <c r="WXY57" s="82" t="str">
        <f>IF(ISNUMBER(outYear),WXY37+WXY42+#REF!+#REF!,"")</f>
        <v/>
      </c>
      <c r="WXZ57" s="82" t="str">
        <f>IF(ISNUMBER(outYear),WXZ37+WXZ42+#REF!+#REF!,"")</f>
        <v/>
      </c>
      <c r="WYA57" s="82" t="str">
        <f>IF(ISNUMBER(outYear),WYA37+WYA42+#REF!+#REF!,"")</f>
        <v/>
      </c>
      <c r="WYB57" s="82" t="str">
        <f>IF(ISNUMBER(outYear),WYB37+WYB42+#REF!+#REF!,"")</f>
        <v/>
      </c>
      <c r="WYC57" s="82" t="str">
        <f>IF(ISNUMBER(outYear),WYC37+WYC42+#REF!+#REF!,"")</f>
        <v/>
      </c>
      <c r="WYD57" s="82" t="str">
        <f>IF(ISNUMBER(outYear),WYD37+WYD42+#REF!+#REF!,"")</f>
        <v/>
      </c>
      <c r="WYE57" s="82" t="str">
        <f>IF(ISNUMBER(outYear),WYE37+WYE42+#REF!+#REF!,"")</f>
        <v/>
      </c>
      <c r="WYF57" s="82" t="str">
        <f>IF(ISNUMBER(outYear),WYF37+WYF42+#REF!+#REF!,"")</f>
        <v/>
      </c>
      <c r="WYG57" s="82" t="str">
        <f>IF(ISNUMBER(outYear),WYG37+WYG42+#REF!+#REF!,"")</f>
        <v/>
      </c>
      <c r="WYH57" s="82" t="str">
        <f>IF(ISNUMBER(outYear),WYH37+WYH42+#REF!+#REF!,"")</f>
        <v/>
      </c>
      <c r="WYI57" s="82" t="str">
        <f>IF(ISNUMBER(outYear),WYI37+WYI42+#REF!+#REF!,"")</f>
        <v/>
      </c>
      <c r="WYJ57" s="82" t="str">
        <f>IF(ISNUMBER(outYear),WYJ37+WYJ42+#REF!+#REF!,"")</f>
        <v/>
      </c>
      <c r="WYK57" s="82" t="str">
        <f>IF(ISNUMBER(outYear),WYK37+WYK42+#REF!+#REF!,"")</f>
        <v/>
      </c>
      <c r="WYL57" s="82" t="str">
        <f>IF(ISNUMBER(outYear),WYL37+WYL42+#REF!+#REF!,"")</f>
        <v/>
      </c>
      <c r="WYM57" s="82" t="str">
        <f>IF(ISNUMBER(outYear),WYM37+WYM42+#REF!+#REF!,"")</f>
        <v/>
      </c>
      <c r="WYN57" s="82" t="str">
        <f>IF(ISNUMBER(outYear),WYN37+WYN42+#REF!+#REF!,"")</f>
        <v/>
      </c>
      <c r="WYO57" s="82" t="str">
        <f>IF(ISNUMBER(outYear),WYO37+WYO42+#REF!+#REF!,"")</f>
        <v/>
      </c>
      <c r="WYP57" s="82" t="str">
        <f>IF(ISNUMBER(outYear),WYP37+WYP42+#REF!+#REF!,"")</f>
        <v/>
      </c>
      <c r="WYQ57" s="82" t="str">
        <f>IF(ISNUMBER(outYear),WYQ37+WYQ42+#REF!+#REF!,"")</f>
        <v/>
      </c>
      <c r="WYR57" s="82" t="str">
        <f>IF(ISNUMBER(outYear),WYR37+WYR42+#REF!+#REF!,"")</f>
        <v/>
      </c>
      <c r="WYS57" s="82" t="str">
        <f>IF(ISNUMBER(outYear),WYS37+WYS42+#REF!+#REF!,"")</f>
        <v/>
      </c>
      <c r="WYT57" s="82" t="str">
        <f>IF(ISNUMBER(outYear),WYT37+WYT42+#REF!+#REF!,"")</f>
        <v/>
      </c>
      <c r="WYU57" s="82" t="str">
        <f>IF(ISNUMBER(outYear),WYU37+WYU42+#REF!+#REF!,"")</f>
        <v/>
      </c>
      <c r="WYV57" s="82" t="str">
        <f>IF(ISNUMBER(outYear),WYV37+WYV42+#REF!+#REF!,"")</f>
        <v/>
      </c>
      <c r="WYW57" s="82" t="str">
        <f>IF(ISNUMBER(outYear),WYW37+WYW42+#REF!+#REF!,"")</f>
        <v/>
      </c>
      <c r="WYX57" s="82" t="str">
        <f>IF(ISNUMBER(outYear),WYX37+WYX42+#REF!+#REF!,"")</f>
        <v/>
      </c>
      <c r="WYY57" s="82" t="str">
        <f>IF(ISNUMBER(outYear),WYY37+WYY42+#REF!+#REF!,"")</f>
        <v/>
      </c>
      <c r="WYZ57" s="82" t="str">
        <f>IF(ISNUMBER(outYear),WYZ37+WYZ42+#REF!+#REF!,"")</f>
        <v/>
      </c>
      <c r="WZA57" s="82" t="str">
        <f>IF(ISNUMBER(outYear),WZA37+WZA42+#REF!+#REF!,"")</f>
        <v/>
      </c>
      <c r="WZB57" s="82" t="str">
        <f>IF(ISNUMBER(outYear),WZB37+WZB42+#REF!+#REF!,"")</f>
        <v/>
      </c>
      <c r="WZC57" s="82" t="str">
        <f>IF(ISNUMBER(outYear),WZC37+WZC42+#REF!+#REF!,"")</f>
        <v/>
      </c>
      <c r="WZD57" s="82" t="str">
        <f>IF(ISNUMBER(outYear),WZD37+WZD42+#REF!+#REF!,"")</f>
        <v/>
      </c>
      <c r="WZE57" s="82" t="str">
        <f>IF(ISNUMBER(outYear),WZE37+WZE42+#REF!+#REF!,"")</f>
        <v/>
      </c>
      <c r="WZF57" s="82" t="str">
        <f>IF(ISNUMBER(outYear),WZF37+WZF42+#REF!+#REF!,"")</f>
        <v/>
      </c>
      <c r="WZG57" s="82" t="str">
        <f>IF(ISNUMBER(outYear),WZG37+WZG42+#REF!+#REF!,"")</f>
        <v/>
      </c>
      <c r="WZH57" s="82" t="str">
        <f>IF(ISNUMBER(outYear),WZH37+WZH42+#REF!+#REF!,"")</f>
        <v/>
      </c>
      <c r="WZI57" s="82" t="str">
        <f>IF(ISNUMBER(outYear),WZI37+WZI42+#REF!+#REF!,"")</f>
        <v/>
      </c>
      <c r="WZJ57" s="82" t="str">
        <f>IF(ISNUMBER(outYear),WZJ37+WZJ42+#REF!+#REF!,"")</f>
        <v/>
      </c>
      <c r="WZK57" s="82" t="str">
        <f>IF(ISNUMBER(outYear),WZK37+WZK42+#REF!+#REF!,"")</f>
        <v/>
      </c>
      <c r="WZL57" s="82" t="str">
        <f>IF(ISNUMBER(outYear),WZL37+WZL42+#REF!+#REF!,"")</f>
        <v/>
      </c>
      <c r="WZM57" s="82" t="str">
        <f>IF(ISNUMBER(outYear),WZM37+WZM42+#REF!+#REF!,"")</f>
        <v/>
      </c>
      <c r="WZN57" s="82" t="str">
        <f>IF(ISNUMBER(outYear),WZN37+WZN42+#REF!+#REF!,"")</f>
        <v/>
      </c>
      <c r="WZO57" s="82" t="str">
        <f>IF(ISNUMBER(outYear),WZO37+WZO42+#REF!+#REF!,"")</f>
        <v/>
      </c>
      <c r="WZP57" s="82" t="str">
        <f>IF(ISNUMBER(outYear),WZP37+WZP42+#REF!+#REF!,"")</f>
        <v/>
      </c>
      <c r="WZQ57" s="82" t="str">
        <f>IF(ISNUMBER(outYear),WZQ37+WZQ42+#REF!+#REF!,"")</f>
        <v/>
      </c>
      <c r="WZR57" s="82" t="str">
        <f>IF(ISNUMBER(outYear),WZR37+WZR42+#REF!+#REF!,"")</f>
        <v/>
      </c>
      <c r="WZS57" s="82" t="str">
        <f>IF(ISNUMBER(outYear),WZS37+WZS42+#REF!+#REF!,"")</f>
        <v/>
      </c>
      <c r="WZT57" s="82" t="str">
        <f>IF(ISNUMBER(outYear),WZT37+WZT42+#REF!+#REF!,"")</f>
        <v/>
      </c>
      <c r="WZU57" s="82" t="str">
        <f>IF(ISNUMBER(outYear),WZU37+WZU42+#REF!+#REF!,"")</f>
        <v/>
      </c>
      <c r="WZV57" s="82" t="str">
        <f>IF(ISNUMBER(outYear),WZV37+WZV42+#REF!+#REF!,"")</f>
        <v/>
      </c>
      <c r="WZW57" s="82" t="str">
        <f>IF(ISNUMBER(outYear),WZW37+WZW42+#REF!+#REF!,"")</f>
        <v/>
      </c>
      <c r="WZX57" s="82" t="str">
        <f>IF(ISNUMBER(outYear),WZX37+WZX42+#REF!+#REF!,"")</f>
        <v/>
      </c>
      <c r="WZY57" s="82" t="str">
        <f>IF(ISNUMBER(outYear),WZY37+WZY42+#REF!+#REF!,"")</f>
        <v/>
      </c>
      <c r="WZZ57" s="82" t="str">
        <f>IF(ISNUMBER(outYear),WZZ37+WZZ42+#REF!+#REF!,"")</f>
        <v/>
      </c>
      <c r="XAA57" s="82" t="str">
        <f>IF(ISNUMBER(outYear),XAA37+XAA42+#REF!+#REF!,"")</f>
        <v/>
      </c>
      <c r="XAB57" s="82" t="str">
        <f>IF(ISNUMBER(outYear),XAB37+XAB42+#REF!+#REF!,"")</f>
        <v/>
      </c>
      <c r="XAC57" s="82" t="str">
        <f>IF(ISNUMBER(outYear),XAC37+XAC42+#REF!+#REF!,"")</f>
        <v/>
      </c>
      <c r="XAD57" s="82" t="str">
        <f>IF(ISNUMBER(outYear),XAD37+XAD42+#REF!+#REF!,"")</f>
        <v/>
      </c>
      <c r="XAE57" s="82" t="str">
        <f>IF(ISNUMBER(outYear),XAE37+XAE42+#REF!+#REF!,"")</f>
        <v/>
      </c>
      <c r="XAF57" s="82" t="str">
        <f>IF(ISNUMBER(outYear),XAF37+XAF42+#REF!+#REF!,"")</f>
        <v/>
      </c>
      <c r="XAG57" s="82" t="str">
        <f>IF(ISNUMBER(outYear),XAG37+XAG42+#REF!+#REF!,"")</f>
        <v/>
      </c>
      <c r="XAH57" s="82" t="str">
        <f>IF(ISNUMBER(outYear),XAH37+XAH42+#REF!+#REF!,"")</f>
        <v/>
      </c>
      <c r="XAI57" s="82" t="str">
        <f>IF(ISNUMBER(outYear),XAI37+XAI42+#REF!+#REF!,"")</f>
        <v/>
      </c>
      <c r="XAJ57" s="82" t="str">
        <f>IF(ISNUMBER(outYear),XAJ37+XAJ42+#REF!+#REF!,"")</f>
        <v/>
      </c>
      <c r="XAK57" s="82" t="str">
        <f>IF(ISNUMBER(outYear),XAK37+XAK42+#REF!+#REF!,"")</f>
        <v/>
      </c>
      <c r="XAL57" s="82" t="str">
        <f>IF(ISNUMBER(outYear),XAL37+XAL42+#REF!+#REF!,"")</f>
        <v/>
      </c>
      <c r="XAM57" s="82" t="str">
        <f>IF(ISNUMBER(outYear),XAM37+XAM42+#REF!+#REF!,"")</f>
        <v/>
      </c>
      <c r="XAN57" s="82" t="str">
        <f>IF(ISNUMBER(outYear),XAN37+XAN42+#REF!+#REF!,"")</f>
        <v/>
      </c>
      <c r="XAO57" s="82" t="str">
        <f>IF(ISNUMBER(outYear),XAO37+XAO42+#REF!+#REF!,"")</f>
        <v/>
      </c>
      <c r="XAP57" s="82" t="str">
        <f>IF(ISNUMBER(outYear),XAP37+XAP42+#REF!+#REF!,"")</f>
        <v/>
      </c>
      <c r="XAQ57" s="82" t="str">
        <f>IF(ISNUMBER(outYear),XAQ37+XAQ42+#REF!+#REF!,"")</f>
        <v/>
      </c>
      <c r="XAR57" s="82" t="str">
        <f>IF(ISNUMBER(outYear),XAR37+XAR42+#REF!+#REF!,"")</f>
        <v/>
      </c>
      <c r="XAS57" s="82" t="str">
        <f>IF(ISNUMBER(outYear),XAS37+XAS42+#REF!+#REF!,"")</f>
        <v/>
      </c>
      <c r="XAT57" s="82" t="str">
        <f>IF(ISNUMBER(outYear),XAT37+XAT42+#REF!+#REF!,"")</f>
        <v/>
      </c>
      <c r="XAU57" s="82" t="str">
        <f>IF(ISNUMBER(outYear),XAU37+XAU42+#REF!+#REF!,"")</f>
        <v/>
      </c>
      <c r="XAV57" s="82" t="str">
        <f>IF(ISNUMBER(outYear),XAV37+XAV42+#REF!+#REF!,"")</f>
        <v/>
      </c>
      <c r="XAW57" s="82" t="str">
        <f>IF(ISNUMBER(outYear),XAW37+XAW42+#REF!+#REF!,"")</f>
        <v/>
      </c>
      <c r="XAX57" s="82" t="str">
        <f>IF(ISNUMBER(outYear),XAX37+XAX42+#REF!+#REF!,"")</f>
        <v/>
      </c>
      <c r="XAY57" s="82" t="str">
        <f>IF(ISNUMBER(outYear),XAY37+XAY42+#REF!+#REF!,"")</f>
        <v/>
      </c>
      <c r="XAZ57" s="82" t="str">
        <f>IF(ISNUMBER(outYear),XAZ37+XAZ42+#REF!+#REF!,"")</f>
        <v/>
      </c>
      <c r="XBA57" s="82" t="str">
        <f>IF(ISNUMBER(outYear),XBA37+XBA42+#REF!+#REF!,"")</f>
        <v/>
      </c>
      <c r="XBB57" s="82" t="str">
        <f>IF(ISNUMBER(outYear),XBB37+XBB42+#REF!+#REF!,"")</f>
        <v/>
      </c>
      <c r="XBC57" s="82" t="str">
        <f>IF(ISNUMBER(outYear),XBC37+XBC42+#REF!+#REF!,"")</f>
        <v/>
      </c>
      <c r="XBD57" s="82" t="str">
        <f>IF(ISNUMBER(outYear),XBD37+XBD42+#REF!+#REF!,"")</f>
        <v/>
      </c>
      <c r="XBE57" s="82" t="str">
        <f>IF(ISNUMBER(outYear),XBE37+XBE42+#REF!+#REF!,"")</f>
        <v/>
      </c>
      <c r="XBF57" s="82" t="str">
        <f>IF(ISNUMBER(outYear),XBF37+XBF42+#REF!+#REF!,"")</f>
        <v/>
      </c>
      <c r="XBG57" s="82" t="str">
        <f>IF(ISNUMBER(outYear),XBG37+XBG42+#REF!+#REF!,"")</f>
        <v/>
      </c>
      <c r="XBH57" s="82" t="str">
        <f>IF(ISNUMBER(outYear),XBH37+XBH42+#REF!+#REF!,"")</f>
        <v/>
      </c>
      <c r="XBI57" s="82" t="str">
        <f>IF(ISNUMBER(outYear),XBI37+XBI42+#REF!+#REF!,"")</f>
        <v/>
      </c>
      <c r="XBJ57" s="82" t="str">
        <f>IF(ISNUMBER(outYear),XBJ37+XBJ42+#REF!+#REF!,"")</f>
        <v/>
      </c>
      <c r="XBK57" s="82" t="str">
        <f>IF(ISNUMBER(outYear),XBK37+XBK42+#REF!+#REF!,"")</f>
        <v/>
      </c>
      <c r="XBL57" s="82" t="str">
        <f>IF(ISNUMBER(outYear),XBL37+XBL42+#REF!+#REF!,"")</f>
        <v/>
      </c>
      <c r="XBM57" s="82" t="str">
        <f>IF(ISNUMBER(outYear),XBM37+XBM42+#REF!+#REF!,"")</f>
        <v/>
      </c>
      <c r="XBN57" s="82" t="str">
        <f>IF(ISNUMBER(outYear),XBN37+XBN42+#REF!+#REF!,"")</f>
        <v/>
      </c>
      <c r="XBO57" s="82" t="str">
        <f>IF(ISNUMBER(outYear),XBO37+XBO42+#REF!+#REF!,"")</f>
        <v/>
      </c>
      <c r="XBP57" s="82" t="str">
        <f>IF(ISNUMBER(outYear),XBP37+XBP42+#REF!+#REF!,"")</f>
        <v/>
      </c>
      <c r="XBQ57" s="82" t="str">
        <f>IF(ISNUMBER(outYear),XBQ37+XBQ42+#REF!+#REF!,"")</f>
        <v/>
      </c>
      <c r="XBR57" s="82" t="str">
        <f>IF(ISNUMBER(outYear),XBR37+XBR42+#REF!+#REF!,"")</f>
        <v/>
      </c>
      <c r="XBS57" s="82" t="str">
        <f>IF(ISNUMBER(outYear),XBS37+XBS42+#REF!+#REF!,"")</f>
        <v/>
      </c>
      <c r="XBT57" s="82" t="str">
        <f>IF(ISNUMBER(outYear),XBT37+XBT42+#REF!+#REF!,"")</f>
        <v/>
      </c>
      <c r="XBU57" s="82" t="str">
        <f>IF(ISNUMBER(outYear),XBU37+XBU42+#REF!+#REF!,"")</f>
        <v/>
      </c>
      <c r="XBV57" s="82" t="str">
        <f>IF(ISNUMBER(outYear),XBV37+XBV42+#REF!+#REF!,"")</f>
        <v/>
      </c>
      <c r="XBW57" s="82" t="str">
        <f>IF(ISNUMBER(outYear),XBW37+XBW42+#REF!+#REF!,"")</f>
        <v/>
      </c>
      <c r="XBX57" s="82" t="str">
        <f>IF(ISNUMBER(outYear),XBX37+XBX42+#REF!+#REF!,"")</f>
        <v/>
      </c>
      <c r="XBY57" s="82" t="str">
        <f>IF(ISNUMBER(outYear),XBY37+XBY42+#REF!+#REF!,"")</f>
        <v/>
      </c>
      <c r="XBZ57" s="82" t="str">
        <f>IF(ISNUMBER(outYear),XBZ37+XBZ42+#REF!+#REF!,"")</f>
        <v/>
      </c>
      <c r="XCA57" s="82" t="str">
        <f>IF(ISNUMBER(outYear),XCA37+XCA42+#REF!+#REF!,"")</f>
        <v/>
      </c>
      <c r="XCB57" s="82" t="str">
        <f>IF(ISNUMBER(outYear),XCB37+XCB42+#REF!+#REF!,"")</f>
        <v/>
      </c>
      <c r="XCC57" s="82" t="str">
        <f>IF(ISNUMBER(outYear),XCC37+XCC42+#REF!+#REF!,"")</f>
        <v/>
      </c>
      <c r="XCD57" s="82" t="str">
        <f>IF(ISNUMBER(outYear),XCD37+XCD42+#REF!+#REF!,"")</f>
        <v/>
      </c>
      <c r="XCE57" s="82" t="str">
        <f>IF(ISNUMBER(outYear),XCE37+XCE42+#REF!+#REF!,"")</f>
        <v/>
      </c>
      <c r="XCF57" s="82" t="str">
        <f>IF(ISNUMBER(outYear),XCF37+XCF42+#REF!+#REF!,"")</f>
        <v/>
      </c>
      <c r="XCG57" s="82" t="str">
        <f>IF(ISNUMBER(outYear),XCG37+XCG42+#REF!+#REF!,"")</f>
        <v/>
      </c>
      <c r="XCH57" s="82" t="str">
        <f>IF(ISNUMBER(outYear),XCH37+XCH42+#REF!+#REF!,"")</f>
        <v/>
      </c>
      <c r="XCI57" s="82" t="str">
        <f>IF(ISNUMBER(outYear),XCI37+XCI42+#REF!+#REF!,"")</f>
        <v/>
      </c>
      <c r="XCJ57" s="82" t="str">
        <f>IF(ISNUMBER(outYear),XCJ37+XCJ42+#REF!+#REF!,"")</f>
        <v/>
      </c>
      <c r="XCK57" s="82" t="str">
        <f>IF(ISNUMBER(outYear),XCK37+XCK42+#REF!+#REF!,"")</f>
        <v/>
      </c>
      <c r="XCL57" s="82" t="str">
        <f>IF(ISNUMBER(outYear),XCL37+XCL42+#REF!+#REF!,"")</f>
        <v/>
      </c>
      <c r="XCM57" s="82" t="str">
        <f>IF(ISNUMBER(outYear),XCM37+XCM42+#REF!+#REF!,"")</f>
        <v/>
      </c>
      <c r="XCN57" s="82" t="str">
        <f>IF(ISNUMBER(outYear),XCN37+XCN42+#REF!+#REF!,"")</f>
        <v/>
      </c>
      <c r="XCO57" s="82" t="str">
        <f>IF(ISNUMBER(outYear),XCO37+XCO42+#REF!+#REF!,"")</f>
        <v/>
      </c>
      <c r="XCP57" s="82" t="str">
        <f>IF(ISNUMBER(outYear),XCP37+XCP42+#REF!+#REF!,"")</f>
        <v/>
      </c>
      <c r="XCQ57" s="82" t="str">
        <f>IF(ISNUMBER(outYear),XCQ37+XCQ42+#REF!+#REF!,"")</f>
        <v/>
      </c>
      <c r="XCR57" s="82" t="str">
        <f>IF(ISNUMBER(outYear),XCR37+XCR42+#REF!+#REF!,"")</f>
        <v/>
      </c>
      <c r="XCS57" s="82" t="str">
        <f>IF(ISNUMBER(outYear),XCS37+XCS42+#REF!+#REF!,"")</f>
        <v/>
      </c>
      <c r="XCT57" s="82" t="str">
        <f>IF(ISNUMBER(outYear),XCT37+XCT42+#REF!+#REF!,"")</f>
        <v/>
      </c>
      <c r="XCU57" s="82" t="str">
        <f>IF(ISNUMBER(outYear),XCU37+XCU42+#REF!+#REF!,"")</f>
        <v/>
      </c>
      <c r="XCV57" s="82" t="str">
        <f>IF(ISNUMBER(outYear),XCV37+XCV42+#REF!+#REF!,"")</f>
        <v/>
      </c>
      <c r="XCW57" s="82" t="str">
        <f>IF(ISNUMBER(outYear),XCW37+XCW42+#REF!+#REF!,"")</f>
        <v/>
      </c>
      <c r="XCX57" s="82" t="str">
        <f>IF(ISNUMBER(outYear),XCX37+XCX42+#REF!+#REF!,"")</f>
        <v/>
      </c>
      <c r="XCY57" s="82" t="str">
        <f>IF(ISNUMBER(outYear),XCY37+XCY42+#REF!+#REF!,"")</f>
        <v/>
      </c>
      <c r="XCZ57" s="82" t="str">
        <f>IF(ISNUMBER(outYear),XCZ37+XCZ42+#REF!+#REF!,"")</f>
        <v/>
      </c>
      <c r="XDA57" s="82" t="str">
        <f>IF(ISNUMBER(outYear),XDA37+XDA42+#REF!+#REF!,"")</f>
        <v/>
      </c>
      <c r="XDB57" s="82" t="str">
        <f>IF(ISNUMBER(outYear),XDB37+XDB42+#REF!+#REF!,"")</f>
        <v/>
      </c>
      <c r="XDC57" s="82" t="str">
        <f>IF(ISNUMBER(outYear),XDC37+XDC42+#REF!+#REF!,"")</f>
        <v/>
      </c>
      <c r="XDD57" s="82" t="str">
        <f>IF(ISNUMBER(outYear),XDD37+XDD42+#REF!+#REF!,"")</f>
        <v/>
      </c>
      <c r="XDE57" s="82" t="str">
        <f>IF(ISNUMBER(outYear),XDE37+XDE42+#REF!+#REF!,"")</f>
        <v/>
      </c>
      <c r="XDF57" s="82" t="str">
        <f>IF(ISNUMBER(outYear),XDF37+XDF42+#REF!+#REF!,"")</f>
        <v/>
      </c>
      <c r="XDG57" s="82" t="str">
        <f>IF(ISNUMBER(outYear),XDG37+XDG42+#REF!+#REF!,"")</f>
        <v/>
      </c>
      <c r="XDH57" s="82" t="str">
        <f>IF(ISNUMBER(outYear),XDH37+XDH42+#REF!+#REF!,"")</f>
        <v/>
      </c>
      <c r="XDI57" s="82" t="str">
        <f>IF(ISNUMBER(outYear),XDI37+XDI42+#REF!+#REF!,"")</f>
        <v/>
      </c>
      <c r="XDJ57" s="82" t="str">
        <f>IF(ISNUMBER(outYear),XDJ37+XDJ42+#REF!+#REF!,"")</f>
        <v/>
      </c>
      <c r="XDK57" s="82" t="str">
        <f>IF(ISNUMBER(outYear),XDK37+XDK42+#REF!+#REF!,"")</f>
        <v/>
      </c>
      <c r="XDL57" s="82" t="str">
        <f>IF(ISNUMBER(outYear),XDL37+XDL42+#REF!+#REF!,"")</f>
        <v/>
      </c>
      <c r="XDM57" s="82" t="str">
        <f>IF(ISNUMBER(outYear),XDM37+XDM42+#REF!+#REF!,"")</f>
        <v/>
      </c>
      <c r="XDN57" s="82" t="str">
        <f>IF(ISNUMBER(outYear),XDN37+XDN42+#REF!+#REF!,"")</f>
        <v/>
      </c>
      <c r="XDO57" s="82" t="str">
        <f>IF(ISNUMBER(outYear),XDO37+XDO42+#REF!+#REF!,"")</f>
        <v/>
      </c>
      <c r="XDP57" s="82" t="str">
        <f>IF(ISNUMBER(outYear),XDP37+XDP42+#REF!+#REF!,"")</f>
        <v/>
      </c>
      <c r="XDQ57" s="82" t="str">
        <f>IF(ISNUMBER(outYear),XDQ37+XDQ42+#REF!+#REF!,"")</f>
        <v/>
      </c>
      <c r="XDR57" s="82" t="str">
        <f>IF(ISNUMBER(outYear),XDR37+XDR42+#REF!+#REF!,"")</f>
        <v/>
      </c>
      <c r="XDS57" s="82" t="str">
        <f>IF(ISNUMBER(outYear),XDS37+XDS42+#REF!+#REF!,"")</f>
        <v/>
      </c>
      <c r="XDT57" s="82" t="str">
        <f>IF(ISNUMBER(outYear),XDT37+XDT42+#REF!+#REF!,"")</f>
        <v/>
      </c>
      <c r="XDU57" s="82" t="str">
        <f>IF(ISNUMBER(outYear),XDU37+XDU42+#REF!+#REF!,"")</f>
        <v/>
      </c>
      <c r="XDV57" s="82" t="str">
        <f>IF(ISNUMBER(outYear),XDV37+XDV42+#REF!+#REF!,"")</f>
        <v/>
      </c>
      <c r="XDW57" s="82" t="str">
        <f>IF(ISNUMBER(outYear),XDW37+XDW42+#REF!+#REF!,"")</f>
        <v/>
      </c>
      <c r="XDX57" s="82" t="str">
        <f>IF(ISNUMBER(outYear),XDX37+XDX42+#REF!+#REF!,"")</f>
        <v/>
      </c>
      <c r="XDY57" s="82" t="str">
        <f>IF(ISNUMBER(outYear),XDY37+XDY42+#REF!+#REF!,"")</f>
        <v/>
      </c>
      <c r="XDZ57" s="82" t="str">
        <f>IF(ISNUMBER(outYear),XDZ37+XDZ42+#REF!+#REF!,"")</f>
        <v/>
      </c>
      <c r="XEA57" s="82" t="str">
        <f>IF(ISNUMBER(outYear),XEA37+XEA42+#REF!+#REF!,"")</f>
        <v/>
      </c>
      <c r="XEB57" s="82" t="str">
        <f>IF(ISNUMBER(outYear),XEB37+XEB42+#REF!+#REF!,"")</f>
        <v/>
      </c>
      <c r="XEC57" s="82" t="str">
        <f>IF(ISNUMBER(outYear),XEC37+XEC42+#REF!+#REF!,"")</f>
        <v/>
      </c>
      <c r="XED57" s="82" t="str">
        <f>IF(ISNUMBER(outYear),XED37+XED42+#REF!+#REF!,"")</f>
        <v/>
      </c>
      <c r="XEE57" s="82" t="str">
        <f>IF(ISNUMBER(outYear),XEE37+XEE42+#REF!+#REF!,"")</f>
        <v/>
      </c>
      <c r="XEF57" s="82" t="str">
        <f>IF(ISNUMBER(outYear),XEF37+XEF42+#REF!+#REF!,"")</f>
        <v/>
      </c>
      <c r="XEG57" s="82" t="str">
        <f>IF(ISNUMBER(outYear),XEG37+XEG42+#REF!+#REF!,"")</f>
        <v/>
      </c>
      <c r="XEH57" s="82" t="str">
        <f>IF(ISNUMBER(outYear),XEH37+XEH42+#REF!+#REF!,"")</f>
        <v/>
      </c>
      <c r="XEI57" s="82" t="str">
        <f>IF(ISNUMBER(outYear),XEI37+XEI42+#REF!+#REF!,"")</f>
        <v/>
      </c>
      <c r="XEJ57" s="82" t="str">
        <f>IF(ISNUMBER(outYear),XEJ37+XEJ42+#REF!+#REF!,"")</f>
        <v/>
      </c>
      <c r="XEK57" s="82" t="str">
        <f>IF(ISNUMBER(outYear),XEK37+XEK42+#REF!+#REF!,"")</f>
        <v/>
      </c>
      <c r="XEL57" s="82" t="str">
        <f>IF(ISNUMBER(outYear),XEL37+XEL42+#REF!+#REF!,"")</f>
        <v/>
      </c>
      <c r="XEM57" s="82" t="str">
        <f>IF(ISNUMBER(outYear),XEM37+XEM42+#REF!+#REF!,"")</f>
        <v/>
      </c>
      <c r="XEN57" s="82" t="str">
        <f>IF(ISNUMBER(outYear),XEN37+XEN42+#REF!+#REF!,"")</f>
        <v/>
      </c>
      <c r="XEO57" s="82" t="str">
        <f>IF(ISNUMBER(outYear),XEO37+XEO42+#REF!+#REF!,"")</f>
        <v/>
      </c>
      <c r="XEP57" s="82" t="str">
        <f>IF(ISNUMBER(outYear),XEP37+XEP42+#REF!+#REF!,"")</f>
        <v/>
      </c>
      <c r="XEQ57" s="82" t="str">
        <f>IF(ISNUMBER(outYear),XEQ37+XEQ42+#REF!+#REF!,"")</f>
        <v/>
      </c>
      <c r="XER57" s="82" t="str">
        <f>IF(ISNUMBER(outYear),XER37+XER42+#REF!+#REF!,"")</f>
        <v/>
      </c>
      <c r="XES57" s="82" t="str">
        <f>IF(ISNUMBER(outYear),XES37+XES42+#REF!+#REF!,"")</f>
        <v/>
      </c>
      <c r="XET57" s="82" t="str">
        <f>IF(ISNUMBER(outYear),XET37+XET42+#REF!+#REF!,"")</f>
        <v/>
      </c>
      <c r="XEU57" s="82" t="str">
        <f>IF(ISNUMBER(outYear),XEU37+XEU42+#REF!+#REF!,"")</f>
        <v/>
      </c>
      <c r="XEV57" s="82" t="str">
        <f>IF(ISNUMBER(outYear),XEV37+XEV42+#REF!+#REF!,"")</f>
        <v/>
      </c>
      <c r="XEW57" s="82" t="str">
        <f>IF(ISNUMBER(outYear),XEW37+XEW42+#REF!+#REF!,"")</f>
        <v/>
      </c>
      <c r="XEX57" s="82" t="str">
        <f>IF(ISNUMBER(outYear),XEX37+XEX42+#REF!+#REF!,"")</f>
        <v/>
      </c>
      <c r="XEY57" s="82" t="str">
        <f>IF(ISNUMBER(outYear),XEY37+XEY42+#REF!+#REF!,"")</f>
        <v/>
      </c>
      <c r="XEZ57" s="82" t="str">
        <f>IF(ISNUMBER(outYear),XEZ37+XEZ42+#REF!+#REF!,"")</f>
        <v/>
      </c>
      <c r="XFA57" s="82" t="str">
        <f>IF(ISNUMBER(outYear),XFA37+XFA42+#REF!+#REF!,"")</f>
        <v/>
      </c>
      <c r="XFB57" s="82" t="str">
        <f>IF(ISNUMBER(outYear),XFB37+XFB42+#REF!+#REF!,"")</f>
        <v/>
      </c>
      <c r="XFC57" s="82" t="str">
        <f>IF(ISNUMBER(outYear),XFC37+XFC42+#REF!+#REF!,"")</f>
        <v/>
      </c>
      <c r="XFD57" s="82" t="str">
        <f>IF(ISNUMBER(outYear),XFD37+XFD42+#REF!+#REF!,"")</f>
        <v/>
      </c>
    </row>
    <row r="58" spans="1:16384" s="83" customFormat="1">
      <c r="A58" s="57" t="s">
        <v>29</v>
      </c>
      <c r="B58" s="81"/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  <c r="AA58" s="82"/>
      <c r="AB58" s="82"/>
      <c r="AC58" s="82"/>
      <c r="AD58" s="82"/>
      <c r="AE58" s="82"/>
      <c r="AF58" s="82"/>
      <c r="AG58" s="82"/>
      <c r="AH58" s="82"/>
      <c r="AI58" s="82"/>
      <c r="AJ58" s="82"/>
      <c r="AK58" s="82"/>
      <c r="AL58" s="82"/>
      <c r="AM58" s="82"/>
      <c r="AN58" s="82"/>
      <c r="AO58" s="82"/>
      <c r="AP58" s="82"/>
      <c r="AQ58" s="82"/>
      <c r="AR58" s="82"/>
      <c r="AS58" s="82"/>
      <c r="AT58" s="82"/>
      <c r="AU58" s="82"/>
      <c r="AV58" s="82"/>
      <c r="AW58" s="82"/>
      <c r="AX58" s="82"/>
      <c r="AY58" s="82"/>
      <c r="AZ58" s="82"/>
      <c r="BA58" s="82"/>
      <c r="BB58" s="82"/>
      <c r="BC58" s="82"/>
      <c r="BD58" s="82"/>
      <c r="BE58" s="82"/>
      <c r="BF58" s="82"/>
      <c r="BG58" s="82"/>
      <c r="BH58" s="82"/>
      <c r="BI58" s="82"/>
      <c r="BJ58" s="82"/>
      <c r="BK58" s="82"/>
      <c r="BL58" s="82"/>
      <c r="BM58" s="82"/>
      <c r="BN58" s="82"/>
      <c r="BO58" s="82"/>
      <c r="BP58" s="82"/>
      <c r="BQ58" s="82"/>
      <c r="BR58" s="82"/>
      <c r="BS58" s="82"/>
      <c r="BT58" s="82"/>
      <c r="BU58" s="82"/>
      <c r="BV58" s="82"/>
      <c r="BW58" s="82"/>
      <c r="BX58" s="82"/>
      <c r="BY58" s="82"/>
      <c r="BZ58" s="82"/>
      <c r="CA58" s="82"/>
      <c r="CB58" s="82"/>
      <c r="CC58" s="82"/>
      <c r="CD58" s="82"/>
      <c r="CE58" s="82"/>
      <c r="CF58" s="82"/>
      <c r="CG58" s="82"/>
      <c r="CH58" s="82"/>
      <c r="CI58" s="82"/>
      <c r="CJ58" s="82"/>
      <c r="CK58" s="82"/>
      <c r="CL58" s="82"/>
      <c r="CM58" s="82"/>
      <c r="CN58" s="82"/>
      <c r="CO58" s="82"/>
      <c r="CP58" s="82"/>
      <c r="CQ58" s="82"/>
      <c r="CR58" s="82"/>
      <c r="CS58" s="82"/>
      <c r="CT58" s="82"/>
      <c r="CU58" s="82"/>
      <c r="CV58" s="82"/>
      <c r="CW58" s="82"/>
      <c r="CX58" s="82"/>
    </row>
    <row r="59" spans="1:16384" s="83" customFormat="1">
      <c r="A59" s="63" t="s">
        <v>31</v>
      </c>
      <c r="B59" s="81"/>
      <c r="C59" s="82">
        <f t="shared" ref="C59:AH59" si="28">C18</f>
        <v>4501.5129999999999</v>
      </c>
      <c r="D59" s="82">
        <f t="shared" si="28"/>
        <v>4614.0508250000003</v>
      </c>
      <c r="E59" s="82">
        <f t="shared" si="28"/>
        <v>4729.4020956249997</v>
      </c>
      <c r="F59" s="82">
        <f t="shared" si="28"/>
        <v>4847.637148015624</v>
      </c>
      <c r="G59" s="82">
        <f t="shared" si="28"/>
        <v>4968.828076716014</v>
      </c>
      <c r="H59" s="82">
        <f t="shared" si="28"/>
        <v>5093.0487786339145</v>
      </c>
      <c r="I59" s="82">
        <f t="shared" si="28"/>
        <v>5220.3749980997627</v>
      </c>
      <c r="J59" s="82">
        <f t="shared" si="28"/>
        <v>5350.8843730522567</v>
      </c>
      <c r="K59" s="82">
        <f t="shared" si="28"/>
        <v>5484.6564823785611</v>
      </c>
      <c r="L59" s="82">
        <f t="shared" si="28"/>
        <v>80621.772894438021</v>
      </c>
      <c r="M59" s="82">
        <f t="shared" si="28"/>
        <v>5762.317216798976</v>
      </c>
      <c r="N59" s="82">
        <f t="shared" si="28"/>
        <v>5906.3751472189497</v>
      </c>
      <c r="O59" s="82">
        <f t="shared" si="28"/>
        <v>6054.034525899423</v>
      </c>
      <c r="P59" s="82">
        <f t="shared" si="28"/>
        <v>6205.385389046909</v>
      </c>
      <c r="Q59" s="82">
        <f t="shared" si="28"/>
        <v>6360.5200237730824</v>
      </c>
      <c r="R59" s="82">
        <f t="shared" si="28"/>
        <v>6519.5330243674089</v>
      </c>
      <c r="S59" s="82">
        <f t="shared" si="28"/>
        <v>6682.5213499765923</v>
      </c>
      <c r="T59" s="82">
        <f t="shared" si="28"/>
        <v>6849.5843837260081</v>
      </c>
      <c r="U59" s="82">
        <f t="shared" si="28"/>
        <v>7020.823993319158</v>
      </c>
      <c r="V59" s="82">
        <f t="shared" si="28"/>
        <v>7196.3445931521355</v>
      </c>
      <c r="W59" s="82">
        <f t="shared" si="28"/>
        <v>7376.2532079809389</v>
      </c>
      <c r="X59" s="82">
        <f t="shared" si="28"/>
        <v>7560.6595381804627</v>
      </c>
      <c r="Y59" s="82">
        <f t="shared" si="28"/>
        <v>7749.6760266349738</v>
      </c>
      <c r="Z59" s="82">
        <f t="shared" si="28"/>
        <v>7943.4179273008485</v>
      </c>
      <c r="AA59" s="82">
        <f t="shared" si="28"/>
        <v>8142.0033754833667</v>
      </c>
      <c r="AB59" s="82" t="str">
        <f t="shared" si="28"/>
        <v/>
      </c>
      <c r="AC59" s="82" t="str">
        <f t="shared" si="28"/>
        <v/>
      </c>
      <c r="AD59" s="82" t="str">
        <f t="shared" si="28"/>
        <v/>
      </c>
      <c r="AE59" s="82" t="str">
        <f t="shared" si="28"/>
        <v/>
      </c>
      <c r="AF59" s="82" t="str">
        <f t="shared" si="28"/>
        <v/>
      </c>
      <c r="AG59" s="82" t="str">
        <f t="shared" si="28"/>
        <v/>
      </c>
      <c r="AH59" s="82" t="str">
        <f t="shared" si="28"/>
        <v/>
      </c>
      <c r="AI59" s="82" t="str">
        <f t="shared" ref="AI59:BN59" si="29">AI18</f>
        <v/>
      </c>
      <c r="AJ59" s="82" t="str">
        <f t="shared" si="29"/>
        <v/>
      </c>
      <c r="AK59" s="82" t="str">
        <f t="shared" si="29"/>
        <v/>
      </c>
      <c r="AL59" s="82" t="str">
        <f t="shared" si="29"/>
        <v/>
      </c>
      <c r="AM59" s="82" t="str">
        <f t="shared" si="29"/>
        <v/>
      </c>
      <c r="AN59" s="82" t="str">
        <f t="shared" si="29"/>
        <v/>
      </c>
      <c r="AO59" s="82" t="str">
        <f t="shared" si="29"/>
        <v/>
      </c>
      <c r="AP59" s="82" t="str">
        <f t="shared" si="29"/>
        <v/>
      </c>
      <c r="AQ59" s="82" t="str">
        <f t="shared" si="29"/>
        <v/>
      </c>
      <c r="AR59" s="82" t="str">
        <f t="shared" si="29"/>
        <v/>
      </c>
      <c r="AS59" s="82" t="str">
        <f t="shared" si="29"/>
        <v/>
      </c>
      <c r="AT59" s="82" t="str">
        <f t="shared" si="29"/>
        <v/>
      </c>
      <c r="AU59" s="82" t="str">
        <f t="shared" si="29"/>
        <v/>
      </c>
      <c r="AV59" s="82" t="str">
        <f t="shared" si="29"/>
        <v/>
      </c>
      <c r="AW59" s="82" t="str">
        <f t="shared" si="29"/>
        <v/>
      </c>
      <c r="AX59" s="82" t="str">
        <f t="shared" si="29"/>
        <v/>
      </c>
      <c r="AY59" s="82" t="str">
        <f t="shared" si="29"/>
        <v/>
      </c>
      <c r="AZ59" s="82" t="str">
        <f t="shared" si="29"/>
        <v/>
      </c>
      <c r="BA59" s="82" t="str">
        <f t="shared" si="29"/>
        <v/>
      </c>
      <c r="BB59" s="82" t="str">
        <f t="shared" si="29"/>
        <v/>
      </c>
      <c r="BC59" s="82" t="str">
        <f t="shared" si="29"/>
        <v/>
      </c>
      <c r="BD59" s="82" t="str">
        <f t="shared" si="29"/>
        <v/>
      </c>
      <c r="BE59" s="82" t="str">
        <f t="shared" si="29"/>
        <v/>
      </c>
      <c r="BF59" s="82" t="str">
        <f t="shared" si="29"/>
        <v/>
      </c>
      <c r="BG59" s="82" t="str">
        <f t="shared" si="29"/>
        <v/>
      </c>
      <c r="BH59" s="82" t="str">
        <f t="shared" si="29"/>
        <v/>
      </c>
      <c r="BI59" s="82" t="str">
        <f t="shared" si="29"/>
        <v/>
      </c>
      <c r="BJ59" s="82" t="str">
        <f t="shared" si="29"/>
        <v/>
      </c>
      <c r="BK59" s="82" t="str">
        <f t="shared" si="29"/>
        <v/>
      </c>
      <c r="BL59" s="82" t="str">
        <f t="shared" si="29"/>
        <v/>
      </c>
      <c r="BM59" s="82" t="str">
        <f t="shared" si="29"/>
        <v/>
      </c>
      <c r="BN59" s="82" t="str">
        <f t="shared" si="29"/>
        <v/>
      </c>
      <c r="BO59" s="82" t="str">
        <f t="shared" ref="BO59:CX59" si="30">BO18</f>
        <v/>
      </c>
      <c r="BP59" s="82" t="str">
        <f t="shared" si="30"/>
        <v/>
      </c>
      <c r="BQ59" s="82" t="str">
        <f t="shared" si="30"/>
        <v/>
      </c>
      <c r="BR59" s="82" t="str">
        <f t="shared" si="30"/>
        <v/>
      </c>
      <c r="BS59" s="82" t="str">
        <f t="shared" si="30"/>
        <v/>
      </c>
      <c r="BT59" s="82" t="str">
        <f t="shared" si="30"/>
        <v/>
      </c>
      <c r="BU59" s="82" t="str">
        <f t="shared" si="30"/>
        <v/>
      </c>
      <c r="BV59" s="82" t="str">
        <f t="shared" si="30"/>
        <v/>
      </c>
      <c r="BW59" s="82" t="str">
        <f t="shared" si="30"/>
        <v/>
      </c>
      <c r="BX59" s="82" t="str">
        <f t="shared" si="30"/>
        <v/>
      </c>
      <c r="BY59" s="82" t="str">
        <f t="shared" si="30"/>
        <v/>
      </c>
      <c r="BZ59" s="82" t="str">
        <f t="shared" si="30"/>
        <v/>
      </c>
      <c r="CA59" s="82" t="str">
        <f t="shared" si="30"/>
        <v/>
      </c>
      <c r="CB59" s="82" t="str">
        <f t="shared" si="30"/>
        <v/>
      </c>
      <c r="CC59" s="82" t="str">
        <f t="shared" si="30"/>
        <v/>
      </c>
      <c r="CD59" s="82" t="str">
        <f t="shared" si="30"/>
        <v/>
      </c>
      <c r="CE59" s="82" t="str">
        <f t="shared" si="30"/>
        <v/>
      </c>
      <c r="CF59" s="82" t="str">
        <f t="shared" si="30"/>
        <v/>
      </c>
      <c r="CG59" s="82" t="str">
        <f t="shared" si="30"/>
        <v/>
      </c>
      <c r="CH59" s="82" t="str">
        <f t="shared" si="30"/>
        <v/>
      </c>
      <c r="CI59" s="82" t="str">
        <f t="shared" si="30"/>
        <v/>
      </c>
      <c r="CJ59" s="82" t="str">
        <f t="shared" si="30"/>
        <v/>
      </c>
      <c r="CK59" s="82" t="str">
        <f t="shared" si="30"/>
        <v/>
      </c>
      <c r="CL59" s="82" t="str">
        <f t="shared" si="30"/>
        <v/>
      </c>
      <c r="CM59" s="82" t="str">
        <f t="shared" si="30"/>
        <v/>
      </c>
      <c r="CN59" s="82" t="str">
        <f t="shared" si="30"/>
        <v/>
      </c>
      <c r="CO59" s="82" t="str">
        <f t="shared" si="30"/>
        <v/>
      </c>
      <c r="CP59" s="82" t="str">
        <f t="shared" si="30"/>
        <v/>
      </c>
      <c r="CQ59" s="82" t="str">
        <f t="shared" si="30"/>
        <v/>
      </c>
      <c r="CR59" s="82" t="str">
        <f t="shared" si="30"/>
        <v/>
      </c>
      <c r="CS59" s="82" t="str">
        <f t="shared" si="30"/>
        <v/>
      </c>
      <c r="CT59" s="82" t="str">
        <f t="shared" si="30"/>
        <v/>
      </c>
      <c r="CU59" s="82" t="str">
        <f t="shared" si="30"/>
        <v/>
      </c>
      <c r="CV59" s="82" t="str">
        <f t="shared" si="30"/>
        <v/>
      </c>
      <c r="CW59" s="82" t="str">
        <f t="shared" si="30"/>
        <v/>
      </c>
      <c r="CX59" s="82" t="str">
        <f t="shared" si="30"/>
        <v/>
      </c>
    </row>
    <row r="60" spans="1:16384" s="83" customFormat="1">
      <c r="A60" s="63" t="s">
        <v>126</v>
      </c>
      <c r="B60" s="81"/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  <c r="BD60" s="82"/>
      <c r="BE60" s="82"/>
      <c r="BF60" s="82"/>
      <c r="BG60" s="82"/>
      <c r="BH60" s="82"/>
      <c r="BI60" s="82"/>
      <c r="BJ60" s="82"/>
      <c r="BK60" s="82"/>
      <c r="BL60" s="82"/>
      <c r="BM60" s="82"/>
      <c r="BN60" s="82"/>
      <c r="BO60" s="82"/>
      <c r="BP60" s="82"/>
      <c r="BQ60" s="82"/>
      <c r="BR60" s="82"/>
      <c r="BS60" s="82"/>
      <c r="BT60" s="82"/>
      <c r="BU60" s="82"/>
      <c r="BV60" s="82"/>
      <c r="BW60" s="82"/>
      <c r="BX60" s="82"/>
      <c r="BY60" s="82"/>
      <c r="BZ60" s="82"/>
      <c r="CA60" s="82"/>
      <c r="CB60" s="82"/>
      <c r="CC60" s="82"/>
      <c r="CD60" s="82"/>
      <c r="CE60" s="82"/>
      <c r="CF60" s="82"/>
      <c r="CG60" s="82"/>
      <c r="CH60" s="82"/>
      <c r="CI60" s="82"/>
      <c r="CJ60" s="82"/>
      <c r="CK60" s="82"/>
      <c r="CL60" s="82"/>
      <c r="CM60" s="82"/>
      <c r="CN60" s="82"/>
      <c r="CO60" s="82"/>
      <c r="CP60" s="82"/>
      <c r="CQ60" s="82"/>
      <c r="CR60" s="82"/>
      <c r="CS60" s="82"/>
      <c r="CT60" s="82"/>
      <c r="CU60" s="82"/>
      <c r="CV60" s="82"/>
      <c r="CW60" s="82"/>
      <c r="CX60" s="82"/>
    </row>
    <row r="61" spans="1:16384" s="84" customFormat="1">
      <c r="A61" s="64" t="s">
        <v>37</v>
      </c>
      <c r="B61" s="76"/>
      <c r="C61" s="76">
        <f>'Inputs and Outputs'!C81</f>
        <v>0.2</v>
      </c>
      <c r="D61" s="76">
        <f>'Inputs and Outputs'!D81</f>
        <v>0.32</v>
      </c>
      <c r="E61" s="76">
        <f>'Inputs and Outputs'!E81</f>
        <v>0.192</v>
      </c>
      <c r="F61" s="76">
        <f>'Inputs and Outputs'!F81</f>
        <v>0.1152</v>
      </c>
      <c r="G61" s="76">
        <f>'Inputs and Outputs'!G81</f>
        <v>0.1152</v>
      </c>
      <c r="H61" s="76">
        <f>'Inputs and Outputs'!H81</f>
        <v>5.7599999999999998E-2</v>
      </c>
      <c r="I61" s="76">
        <f>'Inputs and Outputs'!I81</f>
        <v>0</v>
      </c>
      <c r="J61" s="76">
        <f>'Inputs and Outputs'!J81</f>
        <v>0</v>
      </c>
      <c r="K61" s="76">
        <f>'Inputs and Outputs'!K81</f>
        <v>0</v>
      </c>
      <c r="L61" s="76">
        <f>'Inputs and Outputs'!L81</f>
        <v>0</v>
      </c>
      <c r="M61" s="76">
        <f>'Inputs and Outputs'!M81</f>
        <v>0</v>
      </c>
      <c r="N61" s="76">
        <f>'Inputs and Outputs'!N81</f>
        <v>0</v>
      </c>
      <c r="O61" s="76">
        <f>'Inputs and Outputs'!O81</f>
        <v>0</v>
      </c>
      <c r="P61" s="76">
        <f>'Inputs and Outputs'!P81</f>
        <v>0</v>
      </c>
      <c r="Q61" s="76">
        <f>'Inputs and Outputs'!Q81</f>
        <v>0</v>
      </c>
      <c r="R61" s="76">
        <f>'Inputs and Outputs'!R81</f>
        <v>0</v>
      </c>
      <c r="S61" s="76">
        <f>'Inputs and Outputs'!S81</f>
        <v>0</v>
      </c>
      <c r="T61" s="76">
        <f>'Inputs and Outputs'!T81</f>
        <v>0</v>
      </c>
      <c r="U61" s="76">
        <f>'Inputs and Outputs'!U81</f>
        <v>0</v>
      </c>
      <c r="V61" s="76">
        <f>'Inputs and Outputs'!V81</f>
        <v>0</v>
      </c>
      <c r="W61" s="76">
        <f>'Inputs and Outputs'!W81</f>
        <v>0</v>
      </c>
      <c r="X61" s="76">
        <f>'Inputs and Outputs'!X81</f>
        <v>0</v>
      </c>
      <c r="Y61" s="76">
        <f>'Inputs and Outputs'!Y81</f>
        <v>0</v>
      </c>
      <c r="Z61" s="76">
        <f>'Inputs and Outputs'!Z81</f>
        <v>0</v>
      </c>
      <c r="AA61" s="76">
        <f>'Inputs and Outputs'!AA81</f>
        <v>0</v>
      </c>
      <c r="AB61" s="76" t="str">
        <f>'Inputs and Outputs'!AB81</f>
        <v/>
      </c>
      <c r="AC61" s="76" t="str">
        <f>'Inputs and Outputs'!AC81</f>
        <v/>
      </c>
      <c r="AD61" s="76" t="str">
        <f>'Inputs and Outputs'!AD81</f>
        <v/>
      </c>
      <c r="AE61" s="76" t="str">
        <f>'Inputs and Outputs'!AE81</f>
        <v/>
      </c>
      <c r="AF61" s="76" t="str">
        <f>'Inputs and Outputs'!AF81</f>
        <v/>
      </c>
      <c r="AG61" s="76" t="str">
        <f>'Inputs and Outputs'!AG81</f>
        <v/>
      </c>
      <c r="AH61" s="76" t="str">
        <f>'Inputs and Outputs'!AH81</f>
        <v/>
      </c>
      <c r="AI61" s="76" t="str">
        <f>'Inputs and Outputs'!AI81</f>
        <v/>
      </c>
      <c r="AJ61" s="76" t="str">
        <f>'Inputs and Outputs'!AJ81</f>
        <v/>
      </c>
      <c r="AK61" s="76" t="str">
        <f>'Inputs and Outputs'!AK81</f>
        <v/>
      </c>
      <c r="AL61" s="76" t="str">
        <f>'Inputs and Outputs'!AL81</f>
        <v/>
      </c>
      <c r="AM61" s="76" t="str">
        <f>'Inputs and Outputs'!AM81</f>
        <v/>
      </c>
      <c r="AN61" s="76" t="str">
        <f>'Inputs and Outputs'!AN81</f>
        <v/>
      </c>
      <c r="AO61" s="76" t="str">
        <f>'Inputs and Outputs'!AO81</f>
        <v/>
      </c>
      <c r="AP61" s="76" t="str">
        <f>'Inputs and Outputs'!AP81</f>
        <v/>
      </c>
      <c r="AQ61" s="76" t="str">
        <f>'Inputs and Outputs'!AQ81</f>
        <v/>
      </c>
      <c r="AR61" s="76" t="str">
        <f>'Inputs and Outputs'!AR81</f>
        <v/>
      </c>
      <c r="AS61" s="76" t="str">
        <f>'Inputs and Outputs'!AS81</f>
        <v/>
      </c>
      <c r="AT61" s="76" t="str">
        <f>'Inputs and Outputs'!AT81</f>
        <v/>
      </c>
      <c r="AU61" s="76" t="str">
        <f>'Inputs and Outputs'!AU81</f>
        <v/>
      </c>
      <c r="AV61" s="76" t="str">
        <f>'Inputs and Outputs'!AV81</f>
        <v/>
      </c>
      <c r="AW61" s="76" t="str">
        <f>'Inputs and Outputs'!AW81</f>
        <v/>
      </c>
      <c r="AX61" s="76" t="str">
        <f>'Inputs and Outputs'!AX81</f>
        <v/>
      </c>
      <c r="AY61" s="76" t="str">
        <f>'Inputs and Outputs'!AY81</f>
        <v/>
      </c>
      <c r="AZ61" s="76" t="str">
        <f>'Inputs and Outputs'!AZ81</f>
        <v/>
      </c>
      <c r="BA61" s="76" t="str">
        <f>'Inputs and Outputs'!BA81</f>
        <v/>
      </c>
      <c r="BB61" s="76" t="str">
        <f>'Inputs and Outputs'!BB81</f>
        <v/>
      </c>
      <c r="BC61" s="76" t="str">
        <f>'Inputs and Outputs'!BC81</f>
        <v/>
      </c>
      <c r="BD61" s="76" t="str">
        <f>'Inputs and Outputs'!BD81</f>
        <v/>
      </c>
      <c r="BE61" s="76" t="str">
        <f>'Inputs and Outputs'!BE81</f>
        <v/>
      </c>
      <c r="BF61" s="76" t="str">
        <f>'Inputs and Outputs'!BF81</f>
        <v/>
      </c>
      <c r="BG61" s="76" t="str">
        <f>'Inputs and Outputs'!BG81</f>
        <v/>
      </c>
      <c r="BH61" s="76" t="str">
        <f>'Inputs and Outputs'!BH81</f>
        <v/>
      </c>
      <c r="BI61" s="76" t="str">
        <f>'Inputs and Outputs'!BI81</f>
        <v/>
      </c>
      <c r="BJ61" s="76" t="str">
        <f>'Inputs and Outputs'!BJ81</f>
        <v/>
      </c>
      <c r="BK61" s="76" t="str">
        <f>'Inputs and Outputs'!BK81</f>
        <v/>
      </c>
      <c r="BL61" s="76" t="str">
        <f>'Inputs and Outputs'!BL81</f>
        <v/>
      </c>
      <c r="BM61" s="76" t="str">
        <f>'Inputs and Outputs'!BM81</f>
        <v/>
      </c>
      <c r="BN61" s="76" t="str">
        <f>'Inputs and Outputs'!BN81</f>
        <v/>
      </c>
      <c r="BO61" s="76" t="str">
        <f>'Inputs and Outputs'!BO81</f>
        <v/>
      </c>
      <c r="BP61" s="76" t="str">
        <f>'Inputs and Outputs'!BP81</f>
        <v/>
      </c>
      <c r="BQ61" s="76" t="str">
        <f>'Inputs and Outputs'!BQ81</f>
        <v/>
      </c>
      <c r="BR61" s="76" t="str">
        <f>'Inputs and Outputs'!BR81</f>
        <v/>
      </c>
      <c r="BS61" s="76" t="str">
        <f>'Inputs and Outputs'!BS81</f>
        <v/>
      </c>
      <c r="BT61" s="76" t="str">
        <f>'Inputs and Outputs'!BT81</f>
        <v/>
      </c>
      <c r="BU61" s="76" t="str">
        <f>'Inputs and Outputs'!BU81</f>
        <v/>
      </c>
      <c r="BV61" s="76" t="str">
        <f>'Inputs and Outputs'!BV81</f>
        <v/>
      </c>
      <c r="BW61" s="76" t="str">
        <f>'Inputs and Outputs'!BW81</f>
        <v/>
      </c>
      <c r="BX61" s="76" t="str">
        <f>'Inputs and Outputs'!BX81</f>
        <v/>
      </c>
      <c r="BY61" s="76" t="str">
        <f>'Inputs and Outputs'!BY81</f>
        <v/>
      </c>
      <c r="BZ61" s="76" t="str">
        <f>'Inputs and Outputs'!BZ81</f>
        <v/>
      </c>
      <c r="CA61" s="76" t="str">
        <f>'Inputs and Outputs'!CA81</f>
        <v/>
      </c>
      <c r="CB61" s="76" t="str">
        <f>'Inputs and Outputs'!CB81</f>
        <v/>
      </c>
      <c r="CC61" s="76" t="str">
        <f>'Inputs and Outputs'!CC81</f>
        <v/>
      </c>
      <c r="CD61" s="76" t="str">
        <f>'Inputs and Outputs'!CD81</f>
        <v/>
      </c>
      <c r="CE61" s="76" t="str">
        <f>'Inputs and Outputs'!CE81</f>
        <v/>
      </c>
      <c r="CF61" s="76" t="str">
        <f>'Inputs and Outputs'!CF81</f>
        <v/>
      </c>
      <c r="CG61" s="76" t="str">
        <f>'Inputs and Outputs'!CG81</f>
        <v/>
      </c>
      <c r="CH61" s="76" t="str">
        <f>'Inputs and Outputs'!CH81</f>
        <v/>
      </c>
      <c r="CI61" s="76" t="str">
        <f>'Inputs and Outputs'!CI81</f>
        <v/>
      </c>
      <c r="CJ61" s="76" t="str">
        <f>'Inputs and Outputs'!CJ81</f>
        <v/>
      </c>
      <c r="CK61" s="76" t="str">
        <f>'Inputs and Outputs'!CK81</f>
        <v/>
      </c>
      <c r="CL61" s="76" t="str">
        <f>'Inputs and Outputs'!CL81</f>
        <v/>
      </c>
      <c r="CM61" s="76" t="str">
        <f>'Inputs and Outputs'!CM81</f>
        <v/>
      </c>
      <c r="CN61" s="76" t="str">
        <f>'Inputs and Outputs'!CN81</f>
        <v/>
      </c>
      <c r="CO61" s="76" t="str">
        <f>'Inputs and Outputs'!CO81</f>
        <v/>
      </c>
      <c r="CP61" s="76" t="str">
        <f>'Inputs and Outputs'!CP81</f>
        <v/>
      </c>
      <c r="CQ61" s="76" t="str">
        <f>'Inputs and Outputs'!CQ81</f>
        <v/>
      </c>
      <c r="CR61" s="76" t="str">
        <f>'Inputs and Outputs'!CR81</f>
        <v/>
      </c>
      <c r="CS61" s="76" t="str">
        <f>'Inputs and Outputs'!CS81</f>
        <v/>
      </c>
      <c r="CT61" s="76" t="str">
        <f>'Inputs and Outputs'!CT81</f>
        <v/>
      </c>
      <c r="CU61" s="76" t="str">
        <f>'Inputs and Outputs'!CU81</f>
        <v/>
      </c>
      <c r="CV61" s="76" t="str">
        <f>'Inputs and Outputs'!CV81</f>
        <v/>
      </c>
      <c r="CW61" s="76" t="str">
        <f>'Inputs and Outputs'!CW81</f>
        <v/>
      </c>
      <c r="CX61" s="76" t="str">
        <f>'Inputs and Outputs'!CX81</f>
        <v/>
      </c>
    </row>
    <row r="62" spans="1:16384" s="84" customFormat="1">
      <c r="A62" s="64" t="s">
        <v>146</v>
      </c>
      <c r="B62" s="82">
        <f>IF(ISNUMBER(outYear),IF(FederalDepreciation="N/A",0,($B$73-IF(itc_fed_percent_deprbas_fed="Yes",0.5*MIN(itc_fed_percent/100*$B$73,itc_fed_percent_maxvalue),0))),"")</f>
        <v>376310.3</v>
      </c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  <c r="BC62" s="76"/>
      <c r="BD62" s="76"/>
      <c r="BE62" s="76"/>
      <c r="BF62" s="76"/>
      <c r="BG62" s="76"/>
      <c r="BH62" s="76"/>
      <c r="BI62" s="76"/>
      <c r="BJ62" s="76"/>
      <c r="BK62" s="76"/>
      <c r="BL62" s="76"/>
      <c r="BM62" s="76"/>
      <c r="BN62" s="76"/>
      <c r="BO62" s="76"/>
      <c r="BP62" s="76"/>
      <c r="BQ62" s="76"/>
      <c r="BR62" s="76"/>
      <c r="BS62" s="76"/>
      <c r="BT62" s="76"/>
      <c r="BU62" s="76"/>
      <c r="BV62" s="76"/>
      <c r="BW62" s="76"/>
      <c r="BX62" s="76"/>
      <c r="BY62" s="76"/>
      <c r="BZ62" s="76"/>
      <c r="CA62" s="76"/>
      <c r="CB62" s="76"/>
      <c r="CC62" s="76"/>
      <c r="CD62" s="76"/>
      <c r="CE62" s="76"/>
      <c r="CF62" s="76"/>
      <c r="CG62" s="76"/>
      <c r="CH62" s="76"/>
      <c r="CI62" s="76"/>
      <c r="CJ62" s="76"/>
      <c r="CK62" s="76"/>
      <c r="CL62" s="76"/>
      <c r="CM62" s="76"/>
      <c r="CN62" s="76"/>
      <c r="CO62" s="76"/>
      <c r="CP62" s="76"/>
      <c r="CQ62" s="76"/>
      <c r="CR62" s="76"/>
      <c r="CS62" s="76"/>
      <c r="CT62" s="76"/>
      <c r="CU62" s="76"/>
      <c r="CV62" s="76"/>
      <c r="CW62" s="76"/>
      <c r="CX62" s="76"/>
    </row>
    <row r="63" spans="1:16384" s="84" customFormat="1">
      <c r="A63" s="64" t="s">
        <v>38</v>
      </c>
      <c r="B63" s="82">
        <f>$B$62*(1-BonusFraction)</f>
        <v>188155.15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  <c r="BF63" s="76"/>
      <c r="BG63" s="76"/>
      <c r="BH63" s="76"/>
      <c r="BI63" s="76"/>
      <c r="BJ63" s="76"/>
      <c r="BK63" s="76"/>
      <c r="BL63" s="76"/>
      <c r="BM63" s="76"/>
      <c r="BN63" s="76"/>
      <c r="BO63" s="76"/>
      <c r="BP63" s="76"/>
      <c r="BQ63" s="76"/>
      <c r="BR63" s="76"/>
      <c r="BS63" s="76"/>
      <c r="BT63" s="76"/>
      <c r="BU63" s="76"/>
      <c r="BV63" s="76"/>
      <c r="BW63" s="76"/>
      <c r="BX63" s="76"/>
      <c r="BY63" s="76"/>
      <c r="BZ63" s="76"/>
      <c r="CA63" s="76"/>
      <c r="CB63" s="76"/>
      <c r="CC63" s="76"/>
      <c r="CD63" s="76"/>
      <c r="CE63" s="76"/>
      <c r="CF63" s="76"/>
      <c r="CG63" s="76"/>
      <c r="CH63" s="76"/>
      <c r="CI63" s="76"/>
      <c r="CJ63" s="76"/>
      <c r="CK63" s="76"/>
      <c r="CL63" s="76"/>
      <c r="CM63" s="76"/>
      <c r="CN63" s="76"/>
      <c r="CO63" s="76"/>
      <c r="CP63" s="76"/>
      <c r="CQ63" s="76"/>
      <c r="CR63" s="76"/>
      <c r="CS63" s="76"/>
      <c r="CT63" s="76"/>
      <c r="CU63" s="76"/>
      <c r="CV63" s="76"/>
      <c r="CW63" s="76"/>
      <c r="CX63" s="76"/>
    </row>
    <row r="64" spans="1:16384" s="75" customFormat="1">
      <c r="A64" s="64" t="s">
        <v>0</v>
      </c>
      <c r="B64" s="81"/>
      <c r="C64" s="82">
        <f>IF(ISNUMBER(outYear),$B$63*C61 + $B$62*BonusFraction,"")</f>
        <v>225786.18</v>
      </c>
      <c r="D64" s="82">
        <f t="shared" ref="D64:AI64" si="31">IF(ISNUMBER(outYear),$B$63*D61,"")</f>
        <v>60209.648000000001</v>
      </c>
      <c r="E64" s="82">
        <f t="shared" si="31"/>
        <v>36125.788800000002</v>
      </c>
      <c r="F64" s="82">
        <f t="shared" si="31"/>
        <v>21675.473279999998</v>
      </c>
      <c r="G64" s="82">
        <f t="shared" si="31"/>
        <v>21675.473279999998</v>
      </c>
      <c r="H64" s="82">
        <f t="shared" si="31"/>
        <v>10837.736639999999</v>
      </c>
      <c r="I64" s="82">
        <f t="shared" si="31"/>
        <v>0</v>
      </c>
      <c r="J64" s="82">
        <f t="shared" si="31"/>
        <v>0</v>
      </c>
      <c r="K64" s="82">
        <f t="shared" si="31"/>
        <v>0</v>
      </c>
      <c r="L64" s="82">
        <f t="shared" si="31"/>
        <v>0</v>
      </c>
      <c r="M64" s="82">
        <f t="shared" si="31"/>
        <v>0</v>
      </c>
      <c r="N64" s="82">
        <f t="shared" si="31"/>
        <v>0</v>
      </c>
      <c r="O64" s="82">
        <f t="shared" si="31"/>
        <v>0</v>
      </c>
      <c r="P64" s="82">
        <f t="shared" si="31"/>
        <v>0</v>
      </c>
      <c r="Q64" s="82">
        <f t="shared" si="31"/>
        <v>0</v>
      </c>
      <c r="R64" s="82">
        <f t="shared" si="31"/>
        <v>0</v>
      </c>
      <c r="S64" s="82">
        <f t="shared" si="31"/>
        <v>0</v>
      </c>
      <c r="T64" s="82">
        <f t="shared" si="31"/>
        <v>0</v>
      </c>
      <c r="U64" s="82">
        <f t="shared" si="31"/>
        <v>0</v>
      </c>
      <c r="V64" s="82">
        <f t="shared" si="31"/>
        <v>0</v>
      </c>
      <c r="W64" s="82">
        <f t="shared" si="31"/>
        <v>0</v>
      </c>
      <c r="X64" s="82">
        <f t="shared" si="31"/>
        <v>0</v>
      </c>
      <c r="Y64" s="82">
        <f t="shared" si="31"/>
        <v>0</v>
      </c>
      <c r="Z64" s="82">
        <f t="shared" si="31"/>
        <v>0</v>
      </c>
      <c r="AA64" s="82">
        <f t="shared" si="31"/>
        <v>0</v>
      </c>
      <c r="AB64" s="82" t="str">
        <f t="shared" si="31"/>
        <v/>
      </c>
      <c r="AC64" s="82" t="str">
        <f t="shared" si="31"/>
        <v/>
      </c>
      <c r="AD64" s="82" t="str">
        <f t="shared" si="31"/>
        <v/>
      </c>
      <c r="AE64" s="82" t="str">
        <f t="shared" si="31"/>
        <v/>
      </c>
      <c r="AF64" s="82" t="str">
        <f t="shared" si="31"/>
        <v/>
      </c>
      <c r="AG64" s="82" t="str">
        <f t="shared" si="31"/>
        <v/>
      </c>
      <c r="AH64" s="82" t="str">
        <f t="shared" si="31"/>
        <v/>
      </c>
      <c r="AI64" s="82" t="str">
        <f t="shared" si="31"/>
        <v/>
      </c>
      <c r="AJ64" s="82" t="str">
        <f t="shared" ref="AJ64:BO64" si="32">IF(ISNUMBER(outYear),$B$63*AJ61,"")</f>
        <v/>
      </c>
      <c r="AK64" s="82" t="str">
        <f t="shared" si="32"/>
        <v/>
      </c>
      <c r="AL64" s="82" t="str">
        <f t="shared" si="32"/>
        <v/>
      </c>
      <c r="AM64" s="82" t="str">
        <f t="shared" si="32"/>
        <v/>
      </c>
      <c r="AN64" s="82" t="str">
        <f t="shared" si="32"/>
        <v/>
      </c>
      <c r="AO64" s="82" t="str">
        <f t="shared" si="32"/>
        <v/>
      </c>
      <c r="AP64" s="82" t="str">
        <f t="shared" si="32"/>
        <v/>
      </c>
      <c r="AQ64" s="82" t="str">
        <f t="shared" si="32"/>
        <v/>
      </c>
      <c r="AR64" s="82" t="str">
        <f t="shared" si="32"/>
        <v/>
      </c>
      <c r="AS64" s="82" t="str">
        <f t="shared" si="32"/>
        <v/>
      </c>
      <c r="AT64" s="82" t="str">
        <f t="shared" si="32"/>
        <v/>
      </c>
      <c r="AU64" s="82" t="str">
        <f t="shared" si="32"/>
        <v/>
      </c>
      <c r="AV64" s="82" t="str">
        <f t="shared" si="32"/>
        <v/>
      </c>
      <c r="AW64" s="82" t="str">
        <f t="shared" si="32"/>
        <v/>
      </c>
      <c r="AX64" s="82" t="str">
        <f t="shared" si="32"/>
        <v/>
      </c>
      <c r="AY64" s="82" t="str">
        <f t="shared" si="32"/>
        <v/>
      </c>
      <c r="AZ64" s="82" t="str">
        <f t="shared" si="32"/>
        <v/>
      </c>
      <c r="BA64" s="82" t="str">
        <f t="shared" si="32"/>
        <v/>
      </c>
      <c r="BB64" s="82" t="str">
        <f t="shared" si="32"/>
        <v/>
      </c>
      <c r="BC64" s="82" t="str">
        <f t="shared" si="32"/>
        <v/>
      </c>
      <c r="BD64" s="82" t="str">
        <f t="shared" si="32"/>
        <v/>
      </c>
      <c r="BE64" s="82" t="str">
        <f t="shared" si="32"/>
        <v/>
      </c>
      <c r="BF64" s="82" t="str">
        <f t="shared" si="32"/>
        <v/>
      </c>
      <c r="BG64" s="82" t="str">
        <f t="shared" si="32"/>
        <v/>
      </c>
      <c r="BH64" s="82" t="str">
        <f t="shared" si="32"/>
        <v/>
      </c>
      <c r="BI64" s="82" t="str">
        <f t="shared" si="32"/>
        <v/>
      </c>
      <c r="BJ64" s="82" t="str">
        <f t="shared" si="32"/>
        <v/>
      </c>
      <c r="BK64" s="82" t="str">
        <f t="shared" si="32"/>
        <v/>
      </c>
      <c r="BL64" s="82" t="str">
        <f t="shared" si="32"/>
        <v/>
      </c>
      <c r="BM64" s="82" t="str">
        <f t="shared" si="32"/>
        <v/>
      </c>
      <c r="BN64" s="82" t="str">
        <f t="shared" si="32"/>
        <v/>
      </c>
      <c r="BO64" s="82" t="str">
        <f t="shared" si="32"/>
        <v/>
      </c>
      <c r="BP64" s="82" t="str">
        <f t="shared" ref="BP64:CX64" si="33">IF(ISNUMBER(outYear),$B$63*BP61,"")</f>
        <v/>
      </c>
      <c r="BQ64" s="82" t="str">
        <f t="shared" si="33"/>
        <v/>
      </c>
      <c r="BR64" s="82" t="str">
        <f t="shared" si="33"/>
        <v/>
      </c>
      <c r="BS64" s="82" t="str">
        <f t="shared" si="33"/>
        <v/>
      </c>
      <c r="BT64" s="82" t="str">
        <f t="shared" si="33"/>
        <v/>
      </c>
      <c r="BU64" s="82" t="str">
        <f t="shared" si="33"/>
        <v/>
      </c>
      <c r="BV64" s="82" t="str">
        <f t="shared" si="33"/>
        <v/>
      </c>
      <c r="BW64" s="82" t="str">
        <f t="shared" si="33"/>
        <v/>
      </c>
      <c r="BX64" s="82" t="str">
        <f t="shared" si="33"/>
        <v/>
      </c>
      <c r="BY64" s="82" t="str">
        <f t="shared" si="33"/>
        <v/>
      </c>
      <c r="BZ64" s="82" t="str">
        <f t="shared" si="33"/>
        <v/>
      </c>
      <c r="CA64" s="82" t="str">
        <f t="shared" si="33"/>
        <v/>
      </c>
      <c r="CB64" s="82" t="str">
        <f t="shared" si="33"/>
        <v/>
      </c>
      <c r="CC64" s="82" t="str">
        <f t="shared" si="33"/>
        <v/>
      </c>
      <c r="CD64" s="82" t="str">
        <f t="shared" si="33"/>
        <v/>
      </c>
      <c r="CE64" s="82" t="str">
        <f t="shared" si="33"/>
        <v/>
      </c>
      <c r="CF64" s="82" t="str">
        <f t="shared" si="33"/>
        <v/>
      </c>
      <c r="CG64" s="82" t="str">
        <f t="shared" si="33"/>
        <v/>
      </c>
      <c r="CH64" s="82" t="str">
        <f t="shared" si="33"/>
        <v/>
      </c>
      <c r="CI64" s="82" t="str">
        <f t="shared" si="33"/>
        <v/>
      </c>
      <c r="CJ64" s="82" t="str">
        <f t="shared" si="33"/>
        <v/>
      </c>
      <c r="CK64" s="82" t="str">
        <f t="shared" si="33"/>
        <v/>
      </c>
      <c r="CL64" s="82" t="str">
        <f t="shared" si="33"/>
        <v/>
      </c>
      <c r="CM64" s="82" t="str">
        <f t="shared" si="33"/>
        <v/>
      </c>
      <c r="CN64" s="82" t="str">
        <f t="shared" si="33"/>
        <v/>
      </c>
      <c r="CO64" s="82" t="str">
        <f t="shared" si="33"/>
        <v/>
      </c>
      <c r="CP64" s="82" t="str">
        <f t="shared" si="33"/>
        <v/>
      </c>
      <c r="CQ64" s="82" t="str">
        <f t="shared" si="33"/>
        <v/>
      </c>
      <c r="CR64" s="82" t="str">
        <f t="shared" si="33"/>
        <v/>
      </c>
      <c r="CS64" s="82" t="str">
        <f t="shared" si="33"/>
        <v/>
      </c>
      <c r="CT64" s="82" t="str">
        <f t="shared" si="33"/>
        <v/>
      </c>
      <c r="CU64" s="82" t="str">
        <f t="shared" si="33"/>
        <v/>
      </c>
      <c r="CV64" s="82" t="str">
        <f t="shared" si="33"/>
        <v/>
      </c>
      <c r="CW64" s="82" t="str">
        <f t="shared" si="33"/>
        <v/>
      </c>
      <c r="CX64" s="82" t="str">
        <f t="shared" si="33"/>
        <v/>
      </c>
    </row>
    <row r="65" spans="1:102" s="75" customFormat="1">
      <c r="A65" s="63" t="s">
        <v>127</v>
      </c>
      <c r="B65" s="81"/>
      <c r="C65" s="82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2"/>
      <c r="O65" s="82"/>
      <c r="P65" s="82"/>
      <c r="Q65" s="82"/>
      <c r="R65" s="82"/>
      <c r="S65" s="82"/>
      <c r="T65" s="82"/>
      <c r="U65" s="82"/>
      <c r="V65" s="82"/>
      <c r="W65" s="82"/>
      <c r="X65" s="82"/>
      <c r="Y65" s="82"/>
      <c r="Z65" s="82"/>
      <c r="AA65" s="82"/>
      <c r="AB65" s="82"/>
      <c r="AC65" s="82"/>
      <c r="AD65" s="82"/>
      <c r="AE65" s="82"/>
      <c r="AF65" s="82"/>
      <c r="AG65" s="82"/>
      <c r="AH65" s="82"/>
      <c r="AI65" s="82"/>
      <c r="AJ65" s="82"/>
      <c r="AK65" s="82"/>
      <c r="AL65" s="82"/>
      <c r="AM65" s="82"/>
      <c r="AN65" s="82"/>
      <c r="AO65" s="82"/>
      <c r="AP65" s="82"/>
      <c r="AQ65" s="82"/>
      <c r="AR65" s="82"/>
      <c r="AS65" s="82"/>
      <c r="AT65" s="82"/>
      <c r="AU65" s="82"/>
      <c r="AV65" s="82"/>
      <c r="AW65" s="82"/>
      <c r="AX65" s="82"/>
      <c r="AY65" s="82"/>
      <c r="AZ65" s="82"/>
      <c r="BA65" s="82"/>
      <c r="BB65" s="82"/>
      <c r="BC65" s="82"/>
      <c r="BD65" s="82"/>
      <c r="BE65" s="82"/>
      <c r="BF65" s="82"/>
      <c r="BG65" s="82"/>
      <c r="BH65" s="82"/>
      <c r="BI65" s="82"/>
      <c r="BJ65" s="82"/>
      <c r="BK65" s="82"/>
      <c r="BL65" s="82"/>
      <c r="BM65" s="82"/>
      <c r="BN65" s="82"/>
      <c r="BO65" s="82"/>
      <c r="BP65" s="82"/>
      <c r="BQ65" s="82"/>
      <c r="BR65" s="82"/>
      <c r="BS65" s="82"/>
      <c r="BT65" s="82"/>
      <c r="BU65" s="82"/>
      <c r="BV65" s="82"/>
      <c r="BW65" s="82"/>
      <c r="BX65" s="82"/>
      <c r="BY65" s="82"/>
      <c r="BZ65" s="82"/>
      <c r="CA65" s="82"/>
      <c r="CB65" s="82"/>
      <c r="CC65" s="82"/>
      <c r="CD65" s="82"/>
      <c r="CE65" s="82"/>
      <c r="CF65" s="82"/>
      <c r="CG65" s="82"/>
      <c r="CH65" s="82"/>
      <c r="CI65" s="82"/>
      <c r="CJ65" s="82"/>
      <c r="CK65" s="82"/>
      <c r="CL65" s="82"/>
      <c r="CM65" s="82"/>
      <c r="CN65" s="82"/>
      <c r="CO65" s="82"/>
      <c r="CP65" s="82"/>
      <c r="CQ65" s="82"/>
      <c r="CR65" s="82"/>
      <c r="CS65" s="82"/>
      <c r="CT65" s="82"/>
      <c r="CU65" s="82"/>
      <c r="CV65" s="82"/>
      <c r="CW65" s="82"/>
      <c r="CX65" s="82"/>
    </row>
    <row r="66" spans="1:102" s="75" customFormat="1">
      <c r="A66" s="64" t="s">
        <v>37</v>
      </c>
      <c r="B66" s="81"/>
      <c r="C66" s="76">
        <f>'Inputs and Outputs'!C82</f>
        <v>0.2</v>
      </c>
      <c r="D66" s="76">
        <f>'Inputs and Outputs'!D82</f>
        <v>0.32</v>
      </c>
      <c r="E66" s="76">
        <f>'Inputs and Outputs'!E82</f>
        <v>0.192</v>
      </c>
      <c r="F66" s="76">
        <f>'Inputs and Outputs'!F82</f>
        <v>0.1152</v>
      </c>
      <c r="G66" s="76">
        <f>'Inputs and Outputs'!G82</f>
        <v>0.1152</v>
      </c>
      <c r="H66" s="76">
        <f>'Inputs and Outputs'!H82</f>
        <v>5.7599999999999998E-2</v>
      </c>
      <c r="I66" s="76">
        <f>'Inputs and Outputs'!I82</f>
        <v>0</v>
      </c>
      <c r="J66" s="76">
        <f>'Inputs and Outputs'!J82</f>
        <v>0</v>
      </c>
      <c r="K66" s="76">
        <f>'Inputs and Outputs'!K82</f>
        <v>0</v>
      </c>
      <c r="L66" s="76">
        <f>'Inputs and Outputs'!L82</f>
        <v>0</v>
      </c>
      <c r="M66" s="76">
        <f>'Inputs and Outputs'!M82</f>
        <v>0</v>
      </c>
      <c r="N66" s="76">
        <f>'Inputs and Outputs'!N82</f>
        <v>0</v>
      </c>
      <c r="O66" s="76">
        <f>'Inputs and Outputs'!O82</f>
        <v>0</v>
      </c>
      <c r="P66" s="76">
        <f>'Inputs and Outputs'!P82</f>
        <v>0</v>
      </c>
      <c r="Q66" s="76">
        <f>'Inputs and Outputs'!Q82</f>
        <v>0</v>
      </c>
      <c r="R66" s="76">
        <f>'Inputs and Outputs'!R82</f>
        <v>0</v>
      </c>
      <c r="S66" s="76">
        <f>'Inputs and Outputs'!S82</f>
        <v>0</v>
      </c>
      <c r="T66" s="76">
        <f>'Inputs and Outputs'!T82</f>
        <v>0</v>
      </c>
      <c r="U66" s="76">
        <f>'Inputs and Outputs'!U82</f>
        <v>0</v>
      </c>
      <c r="V66" s="76">
        <f>'Inputs and Outputs'!V82</f>
        <v>0</v>
      </c>
      <c r="W66" s="76">
        <f>'Inputs and Outputs'!W82</f>
        <v>0</v>
      </c>
      <c r="X66" s="76">
        <f>'Inputs and Outputs'!X82</f>
        <v>0</v>
      </c>
      <c r="Y66" s="76">
        <f>'Inputs and Outputs'!Y82</f>
        <v>0</v>
      </c>
      <c r="Z66" s="76">
        <f>'Inputs and Outputs'!Z82</f>
        <v>0</v>
      </c>
      <c r="AA66" s="76">
        <f>'Inputs and Outputs'!AA82</f>
        <v>0</v>
      </c>
      <c r="AB66" s="76" t="str">
        <f>'Inputs and Outputs'!AB82</f>
        <v/>
      </c>
      <c r="AC66" s="76" t="str">
        <f>'Inputs and Outputs'!AC82</f>
        <v/>
      </c>
      <c r="AD66" s="76" t="str">
        <f>'Inputs and Outputs'!AD82</f>
        <v/>
      </c>
      <c r="AE66" s="76" t="str">
        <f>'Inputs and Outputs'!AE82</f>
        <v/>
      </c>
      <c r="AF66" s="76" t="str">
        <f>'Inputs and Outputs'!AF82</f>
        <v/>
      </c>
      <c r="AG66" s="76" t="str">
        <f>'Inputs and Outputs'!AG82</f>
        <v/>
      </c>
      <c r="AH66" s="76" t="str">
        <f>'Inputs and Outputs'!AH82</f>
        <v/>
      </c>
      <c r="AI66" s="76" t="str">
        <f>'Inputs and Outputs'!AI82</f>
        <v/>
      </c>
      <c r="AJ66" s="76" t="str">
        <f>'Inputs and Outputs'!AJ82</f>
        <v/>
      </c>
      <c r="AK66" s="76" t="str">
        <f>'Inputs and Outputs'!AK82</f>
        <v/>
      </c>
      <c r="AL66" s="76" t="str">
        <f>'Inputs and Outputs'!AL82</f>
        <v/>
      </c>
      <c r="AM66" s="76" t="str">
        <f>'Inputs and Outputs'!AM82</f>
        <v/>
      </c>
      <c r="AN66" s="76" t="str">
        <f>'Inputs and Outputs'!AN82</f>
        <v/>
      </c>
      <c r="AO66" s="76" t="str">
        <f>'Inputs and Outputs'!AO82</f>
        <v/>
      </c>
      <c r="AP66" s="76" t="str">
        <f>'Inputs and Outputs'!AP82</f>
        <v/>
      </c>
      <c r="AQ66" s="76" t="str">
        <f>'Inputs and Outputs'!AQ82</f>
        <v/>
      </c>
      <c r="AR66" s="76" t="str">
        <f>'Inputs and Outputs'!AR82</f>
        <v/>
      </c>
      <c r="AS66" s="76" t="str">
        <f>'Inputs and Outputs'!AS82</f>
        <v/>
      </c>
      <c r="AT66" s="76" t="str">
        <f>'Inputs and Outputs'!AT82</f>
        <v/>
      </c>
      <c r="AU66" s="76" t="str">
        <f>'Inputs and Outputs'!AU82</f>
        <v/>
      </c>
      <c r="AV66" s="76" t="str">
        <f>'Inputs and Outputs'!AV82</f>
        <v/>
      </c>
      <c r="AW66" s="76" t="str">
        <f>'Inputs and Outputs'!AW82</f>
        <v/>
      </c>
      <c r="AX66" s="76" t="str">
        <f>'Inputs and Outputs'!AX82</f>
        <v/>
      </c>
      <c r="AY66" s="76" t="str">
        <f>'Inputs and Outputs'!AY82</f>
        <v/>
      </c>
      <c r="AZ66" s="76" t="str">
        <f>'Inputs and Outputs'!AZ82</f>
        <v/>
      </c>
      <c r="BA66" s="76" t="str">
        <f>'Inputs and Outputs'!BA82</f>
        <v/>
      </c>
      <c r="BB66" s="76" t="str">
        <f>'Inputs and Outputs'!BB82</f>
        <v/>
      </c>
      <c r="BC66" s="76" t="str">
        <f>'Inputs and Outputs'!BC82</f>
        <v/>
      </c>
      <c r="BD66" s="76" t="str">
        <f>'Inputs and Outputs'!BD82</f>
        <v/>
      </c>
      <c r="BE66" s="76" t="str">
        <f>'Inputs and Outputs'!BE82</f>
        <v/>
      </c>
      <c r="BF66" s="76" t="str">
        <f>'Inputs and Outputs'!BF82</f>
        <v/>
      </c>
      <c r="BG66" s="76" t="str">
        <f>'Inputs and Outputs'!BG82</f>
        <v/>
      </c>
      <c r="BH66" s="76" t="str">
        <f>'Inputs and Outputs'!BH82</f>
        <v/>
      </c>
      <c r="BI66" s="76" t="str">
        <f>'Inputs and Outputs'!BI82</f>
        <v/>
      </c>
      <c r="BJ66" s="76" t="str">
        <f>'Inputs and Outputs'!BJ82</f>
        <v/>
      </c>
      <c r="BK66" s="76" t="str">
        <f>'Inputs and Outputs'!BK82</f>
        <v/>
      </c>
      <c r="BL66" s="76" t="str">
        <f>'Inputs and Outputs'!BL82</f>
        <v/>
      </c>
      <c r="BM66" s="76" t="str">
        <f>'Inputs and Outputs'!BM82</f>
        <v/>
      </c>
      <c r="BN66" s="76" t="str">
        <f>'Inputs and Outputs'!BN82</f>
        <v/>
      </c>
      <c r="BO66" s="76" t="str">
        <f>'Inputs and Outputs'!BO82</f>
        <v/>
      </c>
      <c r="BP66" s="76" t="str">
        <f>'Inputs and Outputs'!BP82</f>
        <v/>
      </c>
      <c r="BQ66" s="76" t="str">
        <f>'Inputs and Outputs'!BQ82</f>
        <v/>
      </c>
      <c r="BR66" s="76" t="str">
        <f>'Inputs and Outputs'!BR82</f>
        <v/>
      </c>
      <c r="BS66" s="76" t="str">
        <f>'Inputs and Outputs'!BS82</f>
        <v/>
      </c>
      <c r="BT66" s="76" t="str">
        <f>'Inputs and Outputs'!BT82</f>
        <v/>
      </c>
      <c r="BU66" s="76" t="str">
        <f>'Inputs and Outputs'!BU82</f>
        <v/>
      </c>
      <c r="BV66" s="76" t="str">
        <f>'Inputs and Outputs'!BV82</f>
        <v/>
      </c>
      <c r="BW66" s="76" t="str">
        <f>'Inputs and Outputs'!BW82</f>
        <v/>
      </c>
      <c r="BX66" s="76" t="str">
        <f>'Inputs and Outputs'!BX82</f>
        <v/>
      </c>
      <c r="BY66" s="76" t="str">
        <f>'Inputs and Outputs'!BY82</f>
        <v/>
      </c>
      <c r="BZ66" s="76" t="str">
        <f>'Inputs and Outputs'!BZ82</f>
        <v/>
      </c>
      <c r="CA66" s="76" t="str">
        <f>'Inputs and Outputs'!CA82</f>
        <v/>
      </c>
      <c r="CB66" s="76" t="str">
        <f>'Inputs and Outputs'!CB82</f>
        <v/>
      </c>
      <c r="CC66" s="76" t="str">
        <f>'Inputs and Outputs'!CC82</f>
        <v/>
      </c>
      <c r="CD66" s="76" t="str">
        <f>'Inputs and Outputs'!CD82</f>
        <v/>
      </c>
      <c r="CE66" s="76" t="str">
        <f>'Inputs and Outputs'!CE82</f>
        <v/>
      </c>
      <c r="CF66" s="76" t="str">
        <f>'Inputs and Outputs'!CF82</f>
        <v/>
      </c>
      <c r="CG66" s="76" t="str">
        <f>'Inputs and Outputs'!CG82</f>
        <v/>
      </c>
      <c r="CH66" s="76" t="str">
        <f>'Inputs and Outputs'!CH82</f>
        <v/>
      </c>
      <c r="CI66" s="76" t="str">
        <f>'Inputs and Outputs'!CI82</f>
        <v/>
      </c>
      <c r="CJ66" s="76" t="str">
        <f>'Inputs and Outputs'!CJ82</f>
        <v/>
      </c>
      <c r="CK66" s="76" t="str">
        <f>'Inputs and Outputs'!CK82</f>
        <v/>
      </c>
      <c r="CL66" s="76" t="str">
        <f>'Inputs and Outputs'!CL82</f>
        <v/>
      </c>
      <c r="CM66" s="76" t="str">
        <f>'Inputs and Outputs'!CM82</f>
        <v/>
      </c>
      <c r="CN66" s="76" t="str">
        <f>'Inputs and Outputs'!CN82</f>
        <v/>
      </c>
      <c r="CO66" s="76" t="str">
        <f>'Inputs and Outputs'!CO82</f>
        <v/>
      </c>
      <c r="CP66" s="76" t="str">
        <f>'Inputs and Outputs'!CP82</f>
        <v/>
      </c>
      <c r="CQ66" s="76" t="str">
        <f>'Inputs and Outputs'!CQ82</f>
        <v/>
      </c>
      <c r="CR66" s="76" t="str">
        <f>'Inputs and Outputs'!CR82</f>
        <v/>
      </c>
      <c r="CS66" s="76" t="str">
        <f>'Inputs and Outputs'!CS82</f>
        <v/>
      </c>
      <c r="CT66" s="76" t="str">
        <f>'Inputs and Outputs'!CT82</f>
        <v/>
      </c>
      <c r="CU66" s="76" t="str">
        <f>'Inputs and Outputs'!CU82</f>
        <v/>
      </c>
      <c r="CV66" s="76" t="str">
        <f>'Inputs and Outputs'!CV82</f>
        <v/>
      </c>
      <c r="CW66" s="76" t="str">
        <f>'Inputs and Outputs'!CW82</f>
        <v/>
      </c>
      <c r="CX66" s="76" t="str">
        <f>'Inputs and Outputs'!CX82</f>
        <v/>
      </c>
    </row>
    <row r="67" spans="1:102" s="75" customFormat="1">
      <c r="A67" s="64" t="s">
        <v>146</v>
      </c>
      <c r="B67" s="82">
        <f>IF(ISNUMBER(outYear),IF(FederalDepreciation="N/A",0,($B$75-IF(batt_itc_fed_percent_deprbas_fed="Yes",0.5*MIN(batt_itc_fed_percent/100*$B$75,batt_itc_fed_percent_maxvalue),0))),"")</f>
        <v>85000</v>
      </c>
      <c r="C67" s="82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82"/>
      <c r="O67" s="82"/>
      <c r="P67" s="82"/>
      <c r="Q67" s="82"/>
      <c r="R67" s="82"/>
      <c r="S67" s="82"/>
      <c r="T67" s="82"/>
      <c r="U67" s="82"/>
      <c r="V67" s="82"/>
      <c r="W67" s="82"/>
      <c r="X67" s="82"/>
      <c r="Y67" s="82"/>
      <c r="Z67" s="82"/>
      <c r="AA67" s="82"/>
      <c r="AB67" s="82"/>
      <c r="AC67" s="82"/>
      <c r="AD67" s="82"/>
      <c r="AE67" s="82"/>
      <c r="AF67" s="82"/>
      <c r="AG67" s="82"/>
      <c r="AH67" s="82"/>
      <c r="AI67" s="82"/>
      <c r="AJ67" s="82"/>
      <c r="AK67" s="82"/>
      <c r="AL67" s="82"/>
      <c r="AM67" s="82"/>
      <c r="AN67" s="82"/>
      <c r="AO67" s="82"/>
      <c r="AP67" s="82"/>
      <c r="AQ67" s="82"/>
      <c r="AR67" s="82"/>
      <c r="AS67" s="82"/>
      <c r="AT67" s="82"/>
      <c r="AU67" s="82"/>
      <c r="AV67" s="82"/>
      <c r="AW67" s="82"/>
      <c r="AX67" s="82"/>
      <c r="AY67" s="82"/>
      <c r="AZ67" s="82"/>
      <c r="BA67" s="82"/>
      <c r="BB67" s="82"/>
      <c r="BC67" s="82"/>
      <c r="BD67" s="82"/>
      <c r="BE67" s="82"/>
      <c r="BF67" s="82"/>
      <c r="BG67" s="82"/>
      <c r="BH67" s="82"/>
      <c r="BI67" s="82"/>
      <c r="BJ67" s="82"/>
      <c r="BK67" s="82"/>
      <c r="BL67" s="82"/>
      <c r="BM67" s="82"/>
      <c r="BN67" s="82"/>
      <c r="BO67" s="82"/>
      <c r="BP67" s="82"/>
      <c r="BQ67" s="82"/>
      <c r="BR67" s="82"/>
      <c r="BS67" s="82"/>
      <c r="BT67" s="82"/>
      <c r="BU67" s="82"/>
      <c r="BV67" s="82"/>
      <c r="BW67" s="82"/>
      <c r="BX67" s="82"/>
      <c r="BY67" s="82"/>
      <c r="BZ67" s="82"/>
      <c r="CA67" s="82"/>
      <c r="CB67" s="82"/>
      <c r="CC67" s="82"/>
      <c r="CD67" s="82"/>
      <c r="CE67" s="82"/>
      <c r="CF67" s="82"/>
      <c r="CG67" s="82"/>
      <c r="CH67" s="82"/>
      <c r="CI67" s="82"/>
      <c r="CJ67" s="82"/>
      <c r="CK67" s="82"/>
      <c r="CL67" s="82"/>
      <c r="CM67" s="82"/>
      <c r="CN67" s="82"/>
      <c r="CO67" s="82"/>
      <c r="CP67" s="82"/>
      <c r="CQ67" s="82"/>
      <c r="CR67" s="82"/>
      <c r="CS67" s="82"/>
      <c r="CT67" s="82"/>
      <c r="CU67" s="82"/>
      <c r="CV67" s="82"/>
      <c r="CW67" s="82"/>
      <c r="CX67" s="82"/>
    </row>
    <row r="68" spans="1:102" s="75" customFormat="1">
      <c r="A68" s="64" t="s">
        <v>38</v>
      </c>
      <c r="B68" s="82">
        <f>B67*(1-BatteryBonusFraction)</f>
        <v>42500</v>
      </c>
      <c r="C68" s="82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2"/>
      <c r="O68" s="82"/>
      <c r="P68" s="82"/>
      <c r="Q68" s="82"/>
      <c r="R68" s="82"/>
      <c r="S68" s="82"/>
      <c r="T68" s="82"/>
      <c r="U68" s="82"/>
      <c r="V68" s="82"/>
      <c r="W68" s="82"/>
      <c r="X68" s="82"/>
      <c r="Y68" s="82"/>
      <c r="Z68" s="82"/>
      <c r="AA68" s="82"/>
      <c r="AB68" s="82"/>
      <c r="AC68" s="82"/>
      <c r="AD68" s="82"/>
      <c r="AE68" s="82"/>
      <c r="AF68" s="82"/>
      <c r="AG68" s="82"/>
      <c r="AH68" s="82"/>
      <c r="AI68" s="82"/>
      <c r="AJ68" s="82"/>
      <c r="AK68" s="82"/>
      <c r="AL68" s="82"/>
      <c r="AM68" s="82"/>
      <c r="AN68" s="82"/>
      <c r="AO68" s="82"/>
      <c r="AP68" s="82"/>
      <c r="AQ68" s="82"/>
      <c r="AR68" s="82"/>
      <c r="AS68" s="82"/>
      <c r="AT68" s="82"/>
      <c r="AU68" s="82"/>
      <c r="AV68" s="82"/>
      <c r="AW68" s="82"/>
      <c r="AX68" s="82"/>
      <c r="AY68" s="82"/>
      <c r="AZ68" s="82"/>
      <c r="BA68" s="82"/>
      <c r="BB68" s="82"/>
      <c r="BC68" s="82"/>
      <c r="BD68" s="82"/>
      <c r="BE68" s="82"/>
      <c r="BF68" s="82"/>
      <c r="BG68" s="82"/>
      <c r="BH68" s="82"/>
      <c r="BI68" s="82"/>
      <c r="BJ68" s="82"/>
      <c r="BK68" s="82"/>
      <c r="BL68" s="82"/>
      <c r="BM68" s="82"/>
      <c r="BN68" s="82"/>
      <c r="BO68" s="82"/>
      <c r="BP68" s="82"/>
      <c r="BQ68" s="82"/>
      <c r="BR68" s="82"/>
      <c r="BS68" s="82"/>
      <c r="BT68" s="82"/>
      <c r="BU68" s="82"/>
      <c r="BV68" s="82"/>
      <c r="BW68" s="82"/>
      <c r="BX68" s="82"/>
      <c r="BY68" s="82"/>
      <c r="BZ68" s="82"/>
      <c r="CA68" s="82"/>
      <c r="CB68" s="82"/>
      <c r="CC68" s="82"/>
      <c r="CD68" s="82"/>
      <c r="CE68" s="82"/>
      <c r="CF68" s="82"/>
      <c r="CG68" s="82"/>
      <c r="CH68" s="82"/>
      <c r="CI68" s="82"/>
      <c r="CJ68" s="82"/>
      <c r="CK68" s="82"/>
      <c r="CL68" s="82"/>
      <c r="CM68" s="82"/>
      <c r="CN68" s="82"/>
      <c r="CO68" s="82"/>
      <c r="CP68" s="82"/>
      <c r="CQ68" s="82"/>
      <c r="CR68" s="82"/>
      <c r="CS68" s="82"/>
      <c r="CT68" s="82"/>
      <c r="CU68" s="82"/>
      <c r="CV68" s="82"/>
      <c r="CW68" s="82"/>
      <c r="CX68" s="82"/>
    </row>
    <row r="69" spans="1:102" s="75" customFormat="1">
      <c r="A69" s="64" t="s">
        <v>0</v>
      </c>
      <c r="B69" s="81"/>
      <c r="C69" s="82">
        <f>IF(ISNUMBER(outYear),$B$68*C66 + $B$67*BatteryBonusFraction,"")</f>
        <v>51000</v>
      </c>
      <c r="D69" s="82">
        <f t="shared" ref="D69:AI69" si="34">IF(ISNUMBER(outYear),$B$68*D66,"")</f>
        <v>13600</v>
      </c>
      <c r="E69" s="82">
        <f t="shared" si="34"/>
        <v>8160</v>
      </c>
      <c r="F69" s="82">
        <f t="shared" si="34"/>
        <v>4896</v>
      </c>
      <c r="G69" s="82">
        <f t="shared" si="34"/>
        <v>4896</v>
      </c>
      <c r="H69" s="82">
        <f t="shared" si="34"/>
        <v>2448</v>
      </c>
      <c r="I69" s="82">
        <f t="shared" si="34"/>
        <v>0</v>
      </c>
      <c r="J69" s="82">
        <f t="shared" si="34"/>
        <v>0</v>
      </c>
      <c r="K69" s="82">
        <f t="shared" si="34"/>
        <v>0</v>
      </c>
      <c r="L69" s="82">
        <f t="shared" si="34"/>
        <v>0</v>
      </c>
      <c r="M69" s="82">
        <f t="shared" si="34"/>
        <v>0</v>
      </c>
      <c r="N69" s="82">
        <f t="shared" si="34"/>
        <v>0</v>
      </c>
      <c r="O69" s="82">
        <f t="shared" si="34"/>
        <v>0</v>
      </c>
      <c r="P69" s="82">
        <f t="shared" si="34"/>
        <v>0</v>
      </c>
      <c r="Q69" s="82">
        <f t="shared" si="34"/>
        <v>0</v>
      </c>
      <c r="R69" s="82">
        <f t="shared" si="34"/>
        <v>0</v>
      </c>
      <c r="S69" s="82">
        <f t="shared" si="34"/>
        <v>0</v>
      </c>
      <c r="T69" s="82">
        <f t="shared" si="34"/>
        <v>0</v>
      </c>
      <c r="U69" s="82">
        <f t="shared" si="34"/>
        <v>0</v>
      </c>
      <c r="V69" s="82">
        <f t="shared" si="34"/>
        <v>0</v>
      </c>
      <c r="W69" s="82">
        <f t="shared" si="34"/>
        <v>0</v>
      </c>
      <c r="X69" s="82">
        <f t="shared" si="34"/>
        <v>0</v>
      </c>
      <c r="Y69" s="82">
        <f t="shared" si="34"/>
        <v>0</v>
      </c>
      <c r="Z69" s="82">
        <f t="shared" si="34"/>
        <v>0</v>
      </c>
      <c r="AA69" s="82">
        <f t="shared" si="34"/>
        <v>0</v>
      </c>
      <c r="AB69" s="82" t="str">
        <f t="shared" si="34"/>
        <v/>
      </c>
      <c r="AC69" s="82" t="str">
        <f t="shared" si="34"/>
        <v/>
      </c>
      <c r="AD69" s="82" t="str">
        <f t="shared" si="34"/>
        <v/>
      </c>
      <c r="AE69" s="82" t="str">
        <f t="shared" si="34"/>
        <v/>
      </c>
      <c r="AF69" s="82" t="str">
        <f t="shared" si="34"/>
        <v/>
      </c>
      <c r="AG69" s="82" t="str">
        <f t="shared" si="34"/>
        <v/>
      </c>
      <c r="AH69" s="82" t="str">
        <f t="shared" si="34"/>
        <v/>
      </c>
      <c r="AI69" s="82" t="str">
        <f t="shared" si="34"/>
        <v/>
      </c>
      <c r="AJ69" s="82" t="str">
        <f t="shared" ref="AJ69:BO69" si="35">IF(ISNUMBER(outYear),$B$68*AJ66,"")</f>
        <v/>
      </c>
      <c r="AK69" s="82" t="str">
        <f t="shared" si="35"/>
        <v/>
      </c>
      <c r="AL69" s="82" t="str">
        <f t="shared" si="35"/>
        <v/>
      </c>
      <c r="AM69" s="82" t="str">
        <f t="shared" si="35"/>
        <v/>
      </c>
      <c r="AN69" s="82" t="str">
        <f t="shared" si="35"/>
        <v/>
      </c>
      <c r="AO69" s="82" t="str">
        <f t="shared" si="35"/>
        <v/>
      </c>
      <c r="AP69" s="82" t="str">
        <f t="shared" si="35"/>
        <v/>
      </c>
      <c r="AQ69" s="82" t="str">
        <f t="shared" si="35"/>
        <v/>
      </c>
      <c r="AR69" s="82" t="str">
        <f t="shared" si="35"/>
        <v/>
      </c>
      <c r="AS69" s="82" t="str">
        <f t="shared" si="35"/>
        <v/>
      </c>
      <c r="AT69" s="82" t="str">
        <f t="shared" si="35"/>
        <v/>
      </c>
      <c r="AU69" s="82" t="str">
        <f t="shared" si="35"/>
        <v/>
      </c>
      <c r="AV69" s="82" t="str">
        <f t="shared" si="35"/>
        <v/>
      </c>
      <c r="AW69" s="82" t="str">
        <f t="shared" si="35"/>
        <v/>
      </c>
      <c r="AX69" s="82" t="str">
        <f t="shared" si="35"/>
        <v/>
      </c>
      <c r="AY69" s="82" t="str">
        <f t="shared" si="35"/>
        <v/>
      </c>
      <c r="AZ69" s="82" t="str">
        <f t="shared" si="35"/>
        <v/>
      </c>
      <c r="BA69" s="82" t="str">
        <f t="shared" si="35"/>
        <v/>
      </c>
      <c r="BB69" s="82" t="str">
        <f t="shared" si="35"/>
        <v/>
      </c>
      <c r="BC69" s="82" t="str">
        <f t="shared" si="35"/>
        <v/>
      </c>
      <c r="BD69" s="82" t="str">
        <f t="shared" si="35"/>
        <v/>
      </c>
      <c r="BE69" s="82" t="str">
        <f t="shared" si="35"/>
        <v/>
      </c>
      <c r="BF69" s="82" t="str">
        <f t="shared" si="35"/>
        <v/>
      </c>
      <c r="BG69" s="82" t="str">
        <f t="shared" si="35"/>
        <v/>
      </c>
      <c r="BH69" s="82" t="str">
        <f t="shared" si="35"/>
        <v/>
      </c>
      <c r="BI69" s="82" t="str">
        <f t="shared" si="35"/>
        <v/>
      </c>
      <c r="BJ69" s="82" t="str">
        <f t="shared" si="35"/>
        <v/>
      </c>
      <c r="BK69" s="82" t="str">
        <f t="shared" si="35"/>
        <v/>
      </c>
      <c r="BL69" s="82" t="str">
        <f t="shared" si="35"/>
        <v/>
      </c>
      <c r="BM69" s="82" t="str">
        <f t="shared" si="35"/>
        <v/>
      </c>
      <c r="BN69" s="82" t="str">
        <f t="shared" si="35"/>
        <v/>
      </c>
      <c r="BO69" s="82" t="str">
        <f t="shared" si="35"/>
        <v/>
      </c>
      <c r="BP69" s="82" t="str">
        <f t="shared" ref="BP69:CX69" si="36">IF(ISNUMBER(outYear),$B$68*BP66,"")</f>
        <v/>
      </c>
      <c r="BQ69" s="82" t="str">
        <f t="shared" si="36"/>
        <v/>
      </c>
      <c r="BR69" s="82" t="str">
        <f t="shared" si="36"/>
        <v/>
      </c>
      <c r="BS69" s="82" t="str">
        <f t="shared" si="36"/>
        <v/>
      </c>
      <c r="BT69" s="82" t="str">
        <f t="shared" si="36"/>
        <v/>
      </c>
      <c r="BU69" s="82" t="str">
        <f t="shared" si="36"/>
        <v/>
      </c>
      <c r="BV69" s="82" t="str">
        <f t="shared" si="36"/>
        <v/>
      </c>
      <c r="BW69" s="82" t="str">
        <f t="shared" si="36"/>
        <v/>
      </c>
      <c r="BX69" s="82" t="str">
        <f t="shared" si="36"/>
        <v/>
      </c>
      <c r="BY69" s="82" t="str">
        <f t="shared" si="36"/>
        <v/>
      </c>
      <c r="BZ69" s="82" t="str">
        <f t="shared" si="36"/>
        <v/>
      </c>
      <c r="CA69" s="82" t="str">
        <f t="shared" si="36"/>
        <v/>
      </c>
      <c r="CB69" s="82" t="str">
        <f t="shared" si="36"/>
        <v/>
      </c>
      <c r="CC69" s="82" t="str">
        <f t="shared" si="36"/>
        <v/>
      </c>
      <c r="CD69" s="82" t="str">
        <f t="shared" si="36"/>
        <v/>
      </c>
      <c r="CE69" s="82" t="str">
        <f t="shared" si="36"/>
        <v/>
      </c>
      <c r="CF69" s="82" t="str">
        <f t="shared" si="36"/>
        <v/>
      </c>
      <c r="CG69" s="82" t="str">
        <f t="shared" si="36"/>
        <v/>
      </c>
      <c r="CH69" s="82" t="str">
        <f t="shared" si="36"/>
        <v/>
      </c>
      <c r="CI69" s="82" t="str">
        <f t="shared" si="36"/>
        <v/>
      </c>
      <c r="CJ69" s="82" t="str">
        <f t="shared" si="36"/>
        <v/>
      </c>
      <c r="CK69" s="82" t="str">
        <f t="shared" si="36"/>
        <v/>
      </c>
      <c r="CL69" s="82" t="str">
        <f t="shared" si="36"/>
        <v/>
      </c>
      <c r="CM69" s="82" t="str">
        <f t="shared" si="36"/>
        <v/>
      </c>
      <c r="CN69" s="82" t="str">
        <f t="shared" si="36"/>
        <v/>
      </c>
      <c r="CO69" s="82" t="str">
        <f t="shared" si="36"/>
        <v/>
      </c>
      <c r="CP69" s="82" t="str">
        <f t="shared" si="36"/>
        <v/>
      </c>
      <c r="CQ69" s="82" t="str">
        <f t="shared" si="36"/>
        <v/>
      </c>
      <c r="CR69" s="82" t="str">
        <f t="shared" si="36"/>
        <v/>
      </c>
      <c r="CS69" s="82" t="str">
        <f t="shared" si="36"/>
        <v/>
      </c>
      <c r="CT69" s="82" t="str">
        <f t="shared" si="36"/>
        <v/>
      </c>
      <c r="CU69" s="82" t="str">
        <f t="shared" si="36"/>
        <v/>
      </c>
      <c r="CV69" s="82" t="str">
        <f t="shared" si="36"/>
        <v/>
      </c>
      <c r="CW69" s="82" t="str">
        <f t="shared" si="36"/>
        <v/>
      </c>
      <c r="CX69" s="82" t="str">
        <f t="shared" si="36"/>
        <v/>
      </c>
    </row>
    <row r="70" spans="1:102">
      <c r="A70" s="63" t="s">
        <v>32</v>
      </c>
      <c r="B70" s="16"/>
      <c r="C70" s="82">
        <f t="shared" ref="C70:AH70" si="37">IF(ISNUMBER(outYear),SUM(C59,C64,C69),"")</f>
        <v>281287.69299999997</v>
      </c>
      <c r="D70" s="82">
        <f t="shared" si="37"/>
        <v>78423.698824999999</v>
      </c>
      <c r="E70" s="82">
        <f t="shared" si="37"/>
        <v>49015.190895625004</v>
      </c>
      <c r="F70" s="82">
        <f t="shared" si="37"/>
        <v>31419.110428015621</v>
      </c>
      <c r="G70" s="82">
        <f t="shared" si="37"/>
        <v>31540.301356716012</v>
      </c>
      <c r="H70" s="82">
        <f t="shared" si="37"/>
        <v>18378.785418633914</v>
      </c>
      <c r="I70" s="82">
        <f t="shared" si="37"/>
        <v>5220.3749980997627</v>
      </c>
      <c r="J70" s="82">
        <f t="shared" si="37"/>
        <v>5350.8843730522567</v>
      </c>
      <c r="K70" s="82">
        <f t="shared" si="37"/>
        <v>5484.6564823785611</v>
      </c>
      <c r="L70" s="82">
        <f t="shared" si="37"/>
        <v>80621.772894438021</v>
      </c>
      <c r="M70" s="82">
        <f t="shared" si="37"/>
        <v>5762.317216798976</v>
      </c>
      <c r="N70" s="82">
        <f t="shared" si="37"/>
        <v>5906.3751472189497</v>
      </c>
      <c r="O70" s="82">
        <f t="shared" si="37"/>
        <v>6054.034525899423</v>
      </c>
      <c r="P70" s="82">
        <f t="shared" si="37"/>
        <v>6205.385389046909</v>
      </c>
      <c r="Q70" s="82">
        <f t="shared" si="37"/>
        <v>6360.5200237730824</v>
      </c>
      <c r="R70" s="82">
        <f t="shared" si="37"/>
        <v>6519.5330243674089</v>
      </c>
      <c r="S70" s="82">
        <f t="shared" si="37"/>
        <v>6682.5213499765923</v>
      </c>
      <c r="T70" s="82">
        <f t="shared" si="37"/>
        <v>6849.5843837260081</v>
      </c>
      <c r="U70" s="82">
        <f t="shared" si="37"/>
        <v>7020.823993319158</v>
      </c>
      <c r="V70" s="82">
        <f t="shared" si="37"/>
        <v>7196.3445931521355</v>
      </c>
      <c r="W70" s="82">
        <f t="shared" si="37"/>
        <v>7376.2532079809389</v>
      </c>
      <c r="X70" s="82">
        <f t="shared" si="37"/>
        <v>7560.6595381804627</v>
      </c>
      <c r="Y70" s="82">
        <f t="shared" si="37"/>
        <v>7749.6760266349738</v>
      </c>
      <c r="Z70" s="82">
        <f t="shared" si="37"/>
        <v>7943.4179273008485</v>
      </c>
      <c r="AA70" s="82">
        <f t="shared" si="37"/>
        <v>8142.0033754833667</v>
      </c>
      <c r="AB70" s="82" t="str">
        <f t="shared" si="37"/>
        <v/>
      </c>
      <c r="AC70" s="82" t="str">
        <f t="shared" si="37"/>
        <v/>
      </c>
      <c r="AD70" s="82" t="str">
        <f t="shared" si="37"/>
        <v/>
      </c>
      <c r="AE70" s="82" t="str">
        <f t="shared" si="37"/>
        <v/>
      </c>
      <c r="AF70" s="82" t="str">
        <f t="shared" si="37"/>
        <v/>
      </c>
      <c r="AG70" s="82" t="str">
        <f t="shared" si="37"/>
        <v/>
      </c>
      <c r="AH70" s="82" t="str">
        <f t="shared" si="37"/>
        <v/>
      </c>
      <c r="AI70" s="82" t="str">
        <f t="shared" ref="AI70:BN70" si="38">IF(ISNUMBER(outYear),SUM(AI59,AI64,AI69),"")</f>
        <v/>
      </c>
      <c r="AJ70" s="82" t="str">
        <f t="shared" si="38"/>
        <v/>
      </c>
      <c r="AK70" s="82" t="str">
        <f t="shared" si="38"/>
        <v/>
      </c>
      <c r="AL70" s="82" t="str">
        <f t="shared" si="38"/>
        <v/>
      </c>
      <c r="AM70" s="82" t="str">
        <f t="shared" si="38"/>
        <v/>
      </c>
      <c r="AN70" s="82" t="str">
        <f t="shared" si="38"/>
        <v/>
      </c>
      <c r="AO70" s="82" t="str">
        <f t="shared" si="38"/>
        <v/>
      </c>
      <c r="AP70" s="82" t="str">
        <f t="shared" si="38"/>
        <v/>
      </c>
      <c r="AQ70" s="82" t="str">
        <f t="shared" si="38"/>
        <v/>
      </c>
      <c r="AR70" s="82" t="str">
        <f t="shared" si="38"/>
        <v/>
      </c>
      <c r="AS70" s="82" t="str">
        <f t="shared" si="38"/>
        <v/>
      </c>
      <c r="AT70" s="82" t="str">
        <f t="shared" si="38"/>
        <v/>
      </c>
      <c r="AU70" s="82" t="str">
        <f t="shared" si="38"/>
        <v/>
      </c>
      <c r="AV70" s="82" t="str">
        <f t="shared" si="38"/>
        <v/>
      </c>
      <c r="AW70" s="82" t="str">
        <f t="shared" si="38"/>
        <v/>
      </c>
      <c r="AX70" s="82" t="str">
        <f t="shared" si="38"/>
        <v/>
      </c>
      <c r="AY70" s="82" t="str">
        <f t="shared" si="38"/>
        <v/>
      </c>
      <c r="AZ70" s="82" t="str">
        <f t="shared" si="38"/>
        <v/>
      </c>
      <c r="BA70" s="82" t="str">
        <f t="shared" si="38"/>
        <v/>
      </c>
      <c r="BB70" s="82" t="str">
        <f t="shared" si="38"/>
        <v/>
      </c>
      <c r="BC70" s="82" t="str">
        <f t="shared" si="38"/>
        <v/>
      </c>
      <c r="BD70" s="82" t="str">
        <f t="shared" si="38"/>
        <v/>
      </c>
      <c r="BE70" s="82" t="str">
        <f t="shared" si="38"/>
        <v/>
      </c>
      <c r="BF70" s="82" t="str">
        <f t="shared" si="38"/>
        <v/>
      </c>
      <c r="BG70" s="82" t="str">
        <f t="shared" si="38"/>
        <v/>
      </c>
      <c r="BH70" s="82" t="str">
        <f t="shared" si="38"/>
        <v/>
      </c>
      <c r="BI70" s="82" t="str">
        <f t="shared" si="38"/>
        <v/>
      </c>
      <c r="BJ70" s="82" t="str">
        <f t="shared" si="38"/>
        <v/>
      </c>
      <c r="BK70" s="82" t="str">
        <f t="shared" si="38"/>
        <v/>
      </c>
      <c r="BL70" s="82" t="str">
        <f t="shared" si="38"/>
        <v/>
      </c>
      <c r="BM70" s="82" t="str">
        <f t="shared" si="38"/>
        <v/>
      </c>
      <c r="BN70" s="82" t="str">
        <f t="shared" si="38"/>
        <v/>
      </c>
      <c r="BO70" s="82" t="str">
        <f t="shared" ref="BO70:CT70" si="39">IF(ISNUMBER(outYear),SUM(BO59,BO64,BO69),"")</f>
        <v/>
      </c>
      <c r="BP70" s="82" t="str">
        <f t="shared" si="39"/>
        <v/>
      </c>
      <c r="BQ70" s="82" t="str">
        <f t="shared" si="39"/>
        <v/>
      </c>
      <c r="BR70" s="82" t="str">
        <f t="shared" si="39"/>
        <v/>
      </c>
      <c r="BS70" s="82" t="str">
        <f t="shared" si="39"/>
        <v/>
      </c>
      <c r="BT70" s="82" t="str">
        <f t="shared" si="39"/>
        <v/>
      </c>
      <c r="BU70" s="82" t="str">
        <f t="shared" si="39"/>
        <v/>
      </c>
      <c r="BV70" s="82" t="str">
        <f t="shared" si="39"/>
        <v/>
      </c>
      <c r="BW70" s="82" t="str">
        <f t="shared" si="39"/>
        <v/>
      </c>
      <c r="BX70" s="82" t="str">
        <f t="shared" si="39"/>
        <v/>
      </c>
      <c r="BY70" s="82" t="str">
        <f t="shared" si="39"/>
        <v/>
      </c>
      <c r="BZ70" s="82" t="str">
        <f t="shared" si="39"/>
        <v/>
      </c>
      <c r="CA70" s="82" t="str">
        <f t="shared" si="39"/>
        <v/>
      </c>
      <c r="CB70" s="82" t="str">
        <f t="shared" si="39"/>
        <v/>
      </c>
      <c r="CC70" s="82" t="str">
        <f t="shared" si="39"/>
        <v/>
      </c>
      <c r="CD70" s="82" t="str">
        <f t="shared" si="39"/>
        <v/>
      </c>
      <c r="CE70" s="82" t="str">
        <f t="shared" si="39"/>
        <v/>
      </c>
      <c r="CF70" s="82" t="str">
        <f t="shared" si="39"/>
        <v/>
      </c>
      <c r="CG70" s="82" t="str">
        <f t="shared" si="39"/>
        <v/>
      </c>
      <c r="CH70" s="82" t="str">
        <f t="shared" si="39"/>
        <v/>
      </c>
      <c r="CI70" s="82" t="str">
        <f t="shared" si="39"/>
        <v/>
      </c>
      <c r="CJ70" s="82" t="str">
        <f t="shared" si="39"/>
        <v/>
      </c>
      <c r="CK70" s="82" t="str">
        <f t="shared" si="39"/>
        <v/>
      </c>
      <c r="CL70" s="82" t="str">
        <f t="shared" si="39"/>
        <v/>
      </c>
      <c r="CM70" s="82" t="str">
        <f t="shared" si="39"/>
        <v/>
      </c>
      <c r="CN70" s="82" t="str">
        <f t="shared" si="39"/>
        <v/>
      </c>
      <c r="CO70" s="82" t="str">
        <f t="shared" si="39"/>
        <v/>
      </c>
      <c r="CP70" s="82" t="str">
        <f t="shared" si="39"/>
        <v/>
      </c>
      <c r="CQ70" s="82" t="str">
        <f t="shared" si="39"/>
        <v/>
      </c>
      <c r="CR70" s="82" t="str">
        <f t="shared" si="39"/>
        <v/>
      </c>
      <c r="CS70" s="82" t="str">
        <f t="shared" si="39"/>
        <v/>
      </c>
      <c r="CT70" s="82" t="str">
        <f t="shared" si="39"/>
        <v/>
      </c>
      <c r="CU70" s="82" t="str">
        <f t="shared" ref="CU70:CX70" si="40">IF(ISNUMBER(outYear),SUM(CU59,CU64,CU69),"")</f>
        <v/>
      </c>
      <c r="CV70" s="82" t="str">
        <f t="shared" si="40"/>
        <v/>
      </c>
      <c r="CW70" s="82" t="str">
        <f t="shared" si="40"/>
        <v/>
      </c>
      <c r="CX70" s="82" t="str">
        <f t="shared" si="40"/>
        <v/>
      </c>
    </row>
    <row r="71" spans="1:102">
      <c r="A71" s="58" t="s">
        <v>77</v>
      </c>
      <c r="B71" s="16"/>
      <c r="C71" s="77">
        <f t="shared" ref="C71:AH71" si="41">IF(ISNUMBER(outYear),C57-C70,"")</f>
        <v>-281287.69299999997</v>
      </c>
      <c r="D71" s="77">
        <f t="shared" si="41"/>
        <v>-78423.698824999999</v>
      </c>
      <c r="E71" s="77">
        <f t="shared" si="41"/>
        <v>-49015.190895625004</v>
      </c>
      <c r="F71" s="77">
        <f t="shared" si="41"/>
        <v>-31419.110428015621</v>
      </c>
      <c r="G71" s="77">
        <f t="shared" si="41"/>
        <v>-31540.301356716012</v>
      </c>
      <c r="H71" s="77">
        <f t="shared" si="41"/>
        <v>-18378.785418633914</v>
      </c>
      <c r="I71" s="77">
        <f t="shared" si="41"/>
        <v>-5220.3749980997627</v>
      </c>
      <c r="J71" s="77">
        <f t="shared" si="41"/>
        <v>-5350.8843730522567</v>
      </c>
      <c r="K71" s="77">
        <f t="shared" si="41"/>
        <v>-5484.6564823785611</v>
      </c>
      <c r="L71" s="77">
        <f t="shared" si="41"/>
        <v>-80621.772894438021</v>
      </c>
      <c r="M71" s="77">
        <f t="shared" si="41"/>
        <v>-5762.317216798976</v>
      </c>
      <c r="N71" s="77">
        <f t="shared" si="41"/>
        <v>-5906.3751472189497</v>
      </c>
      <c r="O71" s="77">
        <f t="shared" si="41"/>
        <v>-6054.034525899423</v>
      </c>
      <c r="P71" s="77">
        <f t="shared" si="41"/>
        <v>-6205.385389046909</v>
      </c>
      <c r="Q71" s="77">
        <f t="shared" si="41"/>
        <v>-6360.5200237730824</v>
      </c>
      <c r="R71" s="77">
        <f t="shared" si="41"/>
        <v>-6519.5330243674089</v>
      </c>
      <c r="S71" s="77">
        <f t="shared" si="41"/>
        <v>-6682.5213499765923</v>
      </c>
      <c r="T71" s="77">
        <f t="shared" si="41"/>
        <v>-6849.5843837260081</v>
      </c>
      <c r="U71" s="77">
        <f t="shared" si="41"/>
        <v>-7020.823993319158</v>
      </c>
      <c r="V71" s="77">
        <f t="shared" si="41"/>
        <v>-7196.3445931521355</v>
      </c>
      <c r="W71" s="77">
        <f t="shared" si="41"/>
        <v>-7376.2532079809389</v>
      </c>
      <c r="X71" s="77">
        <f t="shared" si="41"/>
        <v>-7560.6595381804627</v>
      </c>
      <c r="Y71" s="77">
        <f t="shared" si="41"/>
        <v>-7749.6760266349738</v>
      </c>
      <c r="Z71" s="77">
        <f t="shared" si="41"/>
        <v>-7943.4179273008485</v>
      </c>
      <c r="AA71" s="77">
        <f t="shared" si="41"/>
        <v>-8142.0033754833667</v>
      </c>
      <c r="AB71" s="77" t="str">
        <f t="shared" si="41"/>
        <v/>
      </c>
      <c r="AC71" s="77" t="str">
        <f t="shared" si="41"/>
        <v/>
      </c>
      <c r="AD71" s="77" t="str">
        <f t="shared" si="41"/>
        <v/>
      </c>
      <c r="AE71" s="77" t="str">
        <f t="shared" si="41"/>
        <v/>
      </c>
      <c r="AF71" s="77" t="str">
        <f t="shared" si="41"/>
        <v/>
      </c>
      <c r="AG71" s="77" t="str">
        <f t="shared" si="41"/>
        <v/>
      </c>
      <c r="AH71" s="77" t="str">
        <f t="shared" si="41"/>
        <v/>
      </c>
      <c r="AI71" s="77" t="str">
        <f t="shared" ref="AI71:BN71" si="42">IF(ISNUMBER(outYear),AI57-AI70,"")</f>
        <v/>
      </c>
      <c r="AJ71" s="77" t="str">
        <f t="shared" si="42"/>
        <v/>
      </c>
      <c r="AK71" s="77" t="str">
        <f t="shared" si="42"/>
        <v/>
      </c>
      <c r="AL71" s="77" t="str">
        <f t="shared" si="42"/>
        <v/>
      </c>
      <c r="AM71" s="77" t="str">
        <f t="shared" si="42"/>
        <v/>
      </c>
      <c r="AN71" s="77" t="str">
        <f t="shared" si="42"/>
        <v/>
      </c>
      <c r="AO71" s="77" t="str">
        <f t="shared" si="42"/>
        <v/>
      </c>
      <c r="AP71" s="77" t="str">
        <f t="shared" si="42"/>
        <v/>
      </c>
      <c r="AQ71" s="77" t="str">
        <f t="shared" si="42"/>
        <v/>
      </c>
      <c r="AR71" s="77" t="str">
        <f t="shared" si="42"/>
        <v/>
      </c>
      <c r="AS71" s="77" t="str">
        <f t="shared" si="42"/>
        <v/>
      </c>
      <c r="AT71" s="77" t="str">
        <f t="shared" si="42"/>
        <v/>
      </c>
      <c r="AU71" s="77" t="str">
        <f t="shared" si="42"/>
        <v/>
      </c>
      <c r="AV71" s="77" t="str">
        <f t="shared" si="42"/>
        <v/>
      </c>
      <c r="AW71" s="77" t="str">
        <f t="shared" si="42"/>
        <v/>
      </c>
      <c r="AX71" s="77" t="str">
        <f t="shared" si="42"/>
        <v/>
      </c>
      <c r="AY71" s="77" t="str">
        <f t="shared" si="42"/>
        <v/>
      </c>
      <c r="AZ71" s="77" t="str">
        <f t="shared" si="42"/>
        <v/>
      </c>
      <c r="BA71" s="77" t="str">
        <f t="shared" si="42"/>
        <v/>
      </c>
      <c r="BB71" s="77" t="str">
        <f t="shared" si="42"/>
        <v/>
      </c>
      <c r="BC71" s="77" t="str">
        <f t="shared" si="42"/>
        <v/>
      </c>
      <c r="BD71" s="77" t="str">
        <f t="shared" si="42"/>
        <v/>
      </c>
      <c r="BE71" s="77" t="str">
        <f t="shared" si="42"/>
        <v/>
      </c>
      <c r="BF71" s="77" t="str">
        <f t="shared" si="42"/>
        <v/>
      </c>
      <c r="BG71" s="77" t="str">
        <f t="shared" si="42"/>
        <v/>
      </c>
      <c r="BH71" s="77" t="str">
        <f t="shared" si="42"/>
        <v/>
      </c>
      <c r="BI71" s="77" t="str">
        <f t="shared" si="42"/>
        <v/>
      </c>
      <c r="BJ71" s="77" t="str">
        <f t="shared" si="42"/>
        <v/>
      </c>
      <c r="BK71" s="77" t="str">
        <f t="shared" si="42"/>
        <v/>
      </c>
      <c r="BL71" s="77" t="str">
        <f t="shared" si="42"/>
        <v/>
      </c>
      <c r="BM71" s="77" t="str">
        <f t="shared" si="42"/>
        <v/>
      </c>
      <c r="BN71" s="77" t="str">
        <f t="shared" si="42"/>
        <v/>
      </c>
      <c r="BO71" s="77" t="str">
        <f t="shared" ref="BO71:CT71" si="43">IF(ISNUMBER(outYear),BO57-BO70,"")</f>
        <v/>
      </c>
      <c r="BP71" s="77" t="str">
        <f t="shared" si="43"/>
        <v/>
      </c>
      <c r="BQ71" s="77" t="str">
        <f t="shared" si="43"/>
        <v/>
      </c>
      <c r="BR71" s="77" t="str">
        <f t="shared" si="43"/>
        <v/>
      </c>
      <c r="BS71" s="77" t="str">
        <f t="shared" si="43"/>
        <v/>
      </c>
      <c r="BT71" s="77" t="str">
        <f t="shared" si="43"/>
        <v/>
      </c>
      <c r="BU71" s="77" t="str">
        <f t="shared" si="43"/>
        <v/>
      </c>
      <c r="BV71" s="77" t="str">
        <f t="shared" si="43"/>
        <v/>
      </c>
      <c r="BW71" s="77" t="str">
        <f t="shared" si="43"/>
        <v/>
      </c>
      <c r="BX71" s="77" t="str">
        <f t="shared" si="43"/>
        <v/>
      </c>
      <c r="BY71" s="77" t="str">
        <f t="shared" si="43"/>
        <v/>
      </c>
      <c r="BZ71" s="77" t="str">
        <f t="shared" si="43"/>
        <v/>
      </c>
      <c r="CA71" s="77" t="str">
        <f t="shared" si="43"/>
        <v/>
      </c>
      <c r="CB71" s="77" t="str">
        <f t="shared" si="43"/>
        <v/>
      </c>
      <c r="CC71" s="77" t="str">
        <f t="shared" si="43"/>
        <v/>
      </c>
      <c r="CD71" s="77" t="str">
        <f t="shared" si="43"/>
        <v/>
      </c>
      <c r="CE71" s="77" t="str">
        <f t="shared" si="43"/>
        <v/>
      </c>
      <c r="CF71" s="77" t="str">
        <f t="shared" si="43"/>
        <v/>
      </c>
      <c r="CG71" s="77" t="str">
        <f t="shared" si="43"/>
        <v/>
      </c>
      <c r="CH71" s="77" t="str">
        <f t="shared" si="43"/>
        <v/>
      </c>
      <c r="CI71" s="77" t="str">
        <f t="shared" si="43"/>
        <v/>
      </c>
      <c r="CJ71" s="77" t="str">
        <f t="shared" si="43"/>
        <v/>
      </c>
      <c r="CK71" s="77" t="str">
        <f t="shared" si="43"/>
        <v/>
      </c>
      <c r="CL71" s="77" t="str">
        <f t="shared" si="43"/>
        <v/>
      </c>
      <c r="CM71" s="77" t="str">
        <f t="shared" si="43"/>
        <v/>
      </c>
      <c r="CN71" s="77" t="str">
        <f t="shared" si="43"/>
        <v/>
      </c>
      <c r="CO71" s="77" t="str">
        <f t="shared" si="43"/>
        <v/>
      </c>
      <c r="CP71" s="77" t="str">
        <f t="shared" si="43"/>
        <v/>
      </c>
      <c r="CQ71" s="77" t="str">
        <f t="shared" si="43"/>
        <v/>
      </c>
      <c r="CR71" s="77" t="str">
        <f t="shared" si="43"/>
        <v/>
      </c>
      <c r="CS71" s="77" t="str">
        <f t="shared" si="43"/>
        <v/>
      </c>
      <c r="CT71" s="77" t="str">
        <f t="shared" si="43"/>
        <v/>
      </c>
      <c r="CU71" s="77" t="str">
        <f t="shared" ref="CU71:CX71" si="44">IF(ISNUMBER(outYear),CU57-CU70,"")</f>
        <v/>
      </c>
      <c r="CV71" s="77" t="str">
        <f t="shared" si="44"/>
        <v/>
      </c>
      <c r="CW71" s="77" t="str">
        <f t="shared" si="44"/>
        <v/>
      </c>
      <c r="CX71" s="77" t="str">
        <f t="shared" si="44"/>
        <v/>
      </c>
    </row>
    <row r="72" spans="1:102">
      <c r="A72" s="66" t="s">
        <v>8</v>
      </c>
      <c r="B72" s="16"/>
      <c r="C72" s="77">
        <f t="shared" ref="C72:AH72" si="45">IF(ISNUMBER(outYear),+C71*federal_tax_rate/100,"")</f>
        <v>-104076.44640999999</v>
      </c>
      <c r="D72" s="77">
        <f t="shared" si="45"/>
        <v>-29016.76856525</v>
      </c>
      <c r="E72" s="77">
        <f t="shared" si="45"/>
        <v>-18135.620631381251</v>
      </c>
      <c r="F72" s="77">
        <f t="shared" si="45"/>
        <v>-11625.07085836578</v>
      </c>
      <c r="G72" s="77">
        <f t="shared" si="45"/>
        <v>-11669.911501984925</v>
      </c>
      <c r="H72" s="77">
        <f t="shared" si="45"/>
        <v>-6800.1506048945475</v>
      </c>
      <c r="I72" s="77">
        <f t="shared" si="45"/>
        <v>-1931.5387492969123</v>
      </c>
      <c r="J72" s="77">
        <f t="shared" si="45"/>
        <v>-1979.827218029335</v>
      </c>
      <c r="K72" s="77">
        <f t="shared" si="45"/>
        <v>-2029.3228984800676</v>
      </c>
      <c r="L72" s="77">
        <f t="shared" si="45"/>
        <v>-29830.055970942067</v>
      </c>
      <c r="M72" s="77">
        <f t="shared" si="45"/>
        <v>-2132.0573702156212</v>
      </c>
      <c r="N72" s="77">
        <f t="shared" si="45"/>
        <v>-2185.3588044710114</v>
      </c>
      <c r="O72" s="77">
        <f t="shared" si="45"/>
        <v>-2239.9927745827863</v>
      </c>
      <c r="P72" s="77">
        <f t="shared" si="45"/>
        <v>-2295.992593947356</v>
      </c>
      <c r="Q72" s="77">
        <f t="shared" si="45"/>
        <v>-2353.3924087960404</v>
      </c>
      <c r="R72" s="77">
        <f t="shared" si="45"/>
        <v>-2412.2272190159415</v>
      </c>
      <c r="S72" s="77">
        <f t="shared" si="45"/>
        <v>-2472.5328994913389</v>
      </c>
      <c r="T72" s="77">
        <f t="shared" si="45"/>
        <v>-2534.3462219786229</v>
      </c>
      <c r="U72" s="77">
        <f t="shared" si="45"/>
        <v>-2597.7048775280882</v>
      </c>
      <c r="V72" s="77">
        <f t="shared" si="45"/>
        <v>-2662.6474994662899</v>
      </c>
      <c r="W72" s="77">
        <f t="shared" si="45"/>
        <v>-2729.2136869529472</v>
      </c>
      <c r="X72" s="77">
        <f t="shared" si="45"/>
        <v>-2797.4440291267715</v>
      </c>
      <c r="Y72" s="77">
        <f t="shared" si="45"/>
        <v>-2867.3801298549406</v>
      </c>
      <c r="Z72" s="77">
        <f t="shared" si="45"/>
        <v>-2939.064633101314</v>
      </c>
      <c r="AA72" s="77">
        <f t="shared" si="45"/>
        <v>-3012.5412489288456</v>
      </c>
      <c r="AB72" s="77" t="str">
        <f t="shared" si="45"/>
        <v/>
      </c>
      <c r="AC72" s="77" t="str">
        <f t="shared" si="45"/>
        <v/>
      </c>
      <c r="AD72" s="77" t="str">
        <f t="shared" si="45"/>
        <v/>
      </c>
      <c r="AE72" s="77" t="str">
        <f t="shared" si="45"/>
        <v/>
      </c>
      <c r="AF72" s="77" t="str">
        <f t="shared" si="45"/>
        <v/>
      </c>
      <c r="AG72" s="77" t="str">
        <f t="shared" si="45"/>
        <v/>
      </c>
      <c r="AH72" s="77" t="str">
        <f t="shared" si="45"/>
        <v/>
      </c>
      <c r="AI72" s="77" t="str">
        <f t="shared" ref="AI72:BN72" si="46">IF(ISNUMBER(outYear),+AI71*federal_tax_rate/100,"")</f>
        <v/>
      </c>
      <c r="AJ72" s="77" t="str">
        <f t="shared" si="46"/>
        <v/>
      </c>
      <c r="AK72" s="77" t="str">
        <f t="shared" si="46"/>
        <v/>
      </c>
      <c r="AL72" s="77" t="str">
        <f t="shared" si="46"/>
        <v/>
      </c>
      <c r="AM72" s="77" t="str">
        <f t="shared" si="46"/>
        <v/>
      </c>
      <c r="AN72" s="77" t="str">
        <f t="shared" si="46"/>
        <v/>
      </c>
      <c r="AO72" s="77" t="str">
        <f t="shared" si="46"/>
        <v/>
      </c>
      <c r="AP72" s="77" t="str">
        <f t="shared" si="46"/>
        <v/>
      </c>
      <c r="AQ72" s="77" t="str">
        <f t="shared" si="46"/>
        <v/>
      </c>
      <c r="AR72" s="77" t="str">
        <f t="shared" si="46"/>
        <v/>
      </c>
      <c r="AS72" s="77" t="str">
        <f t="shared" si="46"/>
        <v/>
      </c>
      <c r="AT72" s="77" t="str">
        <f t="shared" si="46"/>
        <v/>
      </c>
      <c r="AU72" s="77" t="str">
        <f t="shared" si="46"/>
        <v/>
      </c>
      <c r="AV72" s="77" t="str">
        <f t="shared" si="46"/>
        <v/>
      </c>
      <c r="AW72" s="77" t="str">
        <f t="shared" si="46"/>
        <v/>
      </c>
      <c r="AX72" s="77" t="str">
        <f t="shared" si="46"/>
        <v/>
      </c>
      <c r="AY72" s="77" t="str">
        <f t="shared" si="46"/>
        <v/>
      </c>
      <c r="AZ72" s="77" t="str">
        <f t="shared" si="46"/>
        <v/>
      </c>
      <c r="BA72" s="77" t="str">
        <f t="shared" si="46"/>
        <v/>
      </c>
      <c r="BB72" s="77" t="str">
        <f t="shared" si="46"/>
        <v/>
      </c>
      <c r="BC72" s="77" t="str">
        <f t="shared" si="46"/>
        <v/>
      </c>
      <c r="BD72" s="77" t="str">
        <f t="shared" si="46"/>
        <v/>
      </c>
      <c r="BE72" s="77" t="str">
        <f t="shared" si="46"/>
        <v/>
      </c>
      <c r="BF72" s="77" t="str">
        <f t="shared" si="46"/>
        <v/>
      </c>
      <c r="BG72" s="77" t="str">
        <f t="shared" si="46"/>
        <v/>
      </c>
      <c r="BH72" s="77" t="str">
        <f t="shared" si="46"/>
        <v/>
      </c>
      <c r="BI72" s="77" t="str">
        <f t="shared" si="46"/>
        <v/>
      </c>
      <c r="BJ72" s="77" t="str">
        <f t="shared" si="46"/>
        <v/>
      </c>
      <c r="BK72" s="77" t="str">
        <f t="shared" si="46"/>
        <v/>
      </c>
      <c r="BL72" s="77" t="str">
        <f t="shared" si="46"/>
        <v/>
      </c>
      <c r="BM72" s="77" t="str">
        <f t="shared" si="46"/>
        <v/>
      </c>
      <c r="BN72" s="77" t="str">
        <f t="shared" si="46"/>
        <v/>
      </c>
      <c r="BO72" s="77" t="str">
        <f t="shared" ref="BO72:CT72" si="47">IF(ISNUMBER(outYear),+BO71*federal_tax_rate/100,"")</f>
        <v/>
      </c>
      <c r="BP72" s="77" t="str">
        <f t="shared" si="47"/>
        <v/>
      </c>
      <c r="BQ72" s="77" t="str">
        <f t="shared" si="47"/>
        <v/>
      </c>
      <c r="BR72" s="77" t="str">
        <f t="shared" si="47"/>
        <v/>
      </c>
      <c r="BS72" s="77" t="str">
        <f t="shared" si="47"/>
        <v/>
      </c>
      <c r="BT72" s="77" t="str">
        <f t="shared" si="47"/>
        <v/>
      </c>
      <c r="BU72" s="77" t="str">
        <f t="shared" si="47"/>
        <v/>
      </c>
      <c r="BV72" s="77" t="str">
        <f t="shared" si="47"/>
        <v/>
      </c>
      <c r="BW72" s="77" t="str">
        <f t="shared" si="47"/>
        <v/>
      </c>
      <c r="BX72" s="77" t="str">
        <f t="shared" si="47"/>
        <v/>
      </c>
      <c r="BY72" s="77" t="str">
        <f t="shared" si="47"/>
        <v/>
      </c>
      <c r="BZ72" s="77" t="str">
        <f t="shared" si="47"/>
        <v/>
      </c>
      <c r="CA72" s="77" t="str">
        <f t="shared" si="47"/>
        <v/>
      </c>
      <c r="CB72" s="77" t="str">
        <f t="shared" si="47"/>
        <v/>
      </c>
      <c r="CC72" s="77" t="str">
        <f t="shared" si="47"/>
        <v/>
      </c>
      <c r="CD72" s="77" t="str">
        <f t="shared" si="47"/>
        <v/>
      </c>
      <c r="CE72" s="77" t="str">
        <f t="shared" si="47"/>
        <v/>
      </c>
      <c r="CF72" s="77" t="str">
        <f t="shared" si="47"/>
        <v/>
      </c>
      <c r="CG72" s="77" t="str">
        <f t="shared" si="47"/>
        <v/>
      </c>
      <c r="CH72" s="77" t="str">
        <f t="shared" si="47"/>
        <v/>
      </c>
      <c r="CI72" s="77" t="str">
        <f t="shared" si="47"/>
        <v/>
      </c>
      <c r="CJ72" s="77" t="str">
        <f t="shared" si="47"/>
        <v/>
      </c>
      <c r="CK72" s="77" t="str">
        <f t="shared" si="47"/>
        <v/>
      </c>
      <c r="CL72" s="77" t="str">
        <f t="shared" si="47"/>
        <v/>
      </c>
      <c r="CM72" s="77" t="str">
        <f t="shared" si="47"/>
        <v/>
      </c>
      <c r="CN72" s="77" t="str">
        <f t="shared" si="47"/>
        <v/>
      </c>
      <c r="CO72" s="77" t="str">
        <f t="shared" si="47"/>
        <v/>
      </c>
      <c r="CP72" s="77" t="str">
        <f t="shared" si="47"/>
        <v/>
      </c>
      <c r="CQ72" s="77" t="str">
        <f t="shared" si="47"/>
        <v/>
      </c>
      <c r="CR72" s="77" t="str">
        <f t="shared" si="47"/>
        <v/>
      </c>
      <c r="CS72" s="77" t="str">
        <f t="shared" si="47"/>
        <v/>
      </c>
      <c r="CT72" s="77" t="str">
        <f t="shared" si="47"/>
        <v/>
      </c>
      <c r="CU72" s="77" t="str">
        <f t="shared" ref="CU72:CX72" si="48">IF(ISNUMBER(outYear),+CU71*federal_tax_rate/100,"")</f>
        <v/>
      </c>
      <c r="CV72" s="77" t="str">
        <f t="shared" si="48"/>
        <v/>
      </c>
      <c r="CW72" s="77" t="str">
        <f t="shared" si="48"/>
        <v/>
      </c>
      <c r="CX72" s="77" t="str">
        <f t="shared" si="48"/>
        <v/>
      </c>
    </row>
    <row r="73" spans="1:102">
      <c r="A73" s="58" t="s">
        <v>128</v>
      </c>
      <c r="B73" s="77">
        <f>IF(ISNUMBER(outYear),pv_installed_cost-IF(ibi_sta_percent_deprbas_fed="Yes",B35,0)-IF(ibi_uti_percent_deprbas_fed="Yes",B36,0)-IF(cbi_fed_deprbas_fed="Yes",B39,0)-IF(cbi_sta_deprbas_fed="Yes",B40,0)-IF(cbi_uti_deprbas_fed="Yes",B41,0),"")</f>
        <v>442718</v>
      </c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  <c r="AM73" s="77"/>
      <c r="AN73" s="77"/>
      <c r="AO73" s="77"/>
      <c r="AP73" s="77"/>
      <c r="AQ73" s="77"/>
      <c r="AR73" s="77"/>
      <c r="AS73" s="77"/>
      <c r="AT73" s="77"/>
      <c r="AU73" s="77"/>
      <c r="AV73" s="77"/>
      <c r="AW73" s="77"/>
      <c r="AX73" s="77"/>
      <c r="AY73" s="77"/>
      <c r="AZ73" s="77"/>
      <c r="BA73" s="77"/>
      <c r="BB73" s="77"/>
      <c r="BC73" s="77"/>
      <c r="BD73" s="77"/>
      <c r="BE73" s="77"/>
      <c r="BF73" s="77"/>
      <c r="BG73" s="77"/>
      <c r="BH73" s="77"/>
      <c r="BI73" s="77"/>
      <c r="BJ73" s="77"/>
      <c r="BK73" s="77"/>
      <c r="BL73" s="77"/>
      <c r="BM73" s="77"/>
      <c r="BN73" s="77"/>
      <c r="BO73" s="77"/>
      <c r="BP73" s="77"/>
      <c r="BQ73" s="77"/>
      <c r="BR73" s="77"/>
      <c r="BS73" s="77"/>
      <c r="BT73" s="77"/>
      <c r="BU73" s="77"/>
      <c r="BV73" s="77"/>
      <c r="BW73" s="77"/>
      <c r="BX73" s="77"/>
      <c r="BY73" s="77"/>
      <c r="BZ73" s="77"/>
      <c r="CA73" s="77"/>
      <c r="CB73" s="77"/>
      <c r="CC73" s="77"/>
      <c r="CD73" s="77"/>
      <c r="CE73" s="77"/>
      <c r="CF73" s="77"/>
      <c r="CG73" s="77"/>
      <c r="CH73" s="77"/>
      <c r="CI73" s="77"/>
      <c r="CJ73" s="77"/>
      <c r="CK73" s="77"/>
      <c r="CL73" s="77"/>
      <c r="CM73" s="77"/>
      <c r="CN73" s="77"/>
      <c r="CO73" s="77"/>
      <c r="CP73" s="77"/>
      <c r="CQ73" s="77"/>
      <c r="CR73" s="77"/>
      <c r="CS73" s="77"/>
      <c r="CT73" s="77"/>
      <c r="CU73" s="77"/>
      <c r="CV73" s="77"/>
      <c r="CW73" s="77"/>
      <c r="CX73" s="77"/>
    </row>
    <row r="74" spans="1:102">
      <c r="A74" s="58" t="s">
        <v>129</v>
      </c>
      <c r="B74" s="16"/>
      <c r="C74" s="77">
        <f>IF(ISNUMBER(outYear),MIN(itc_fed_percent/100*$B$73,itc_fed_percent_maxvalue),"")</f>
        <v>132815.4</v>
      </c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  <c r="AW74" s="77"/>
      <c r="AX74" s="77"/>
      <c r="AY74" s="77"/>
      <c r="AZ74" s="77"/>
      <c r="BA74" s="77"/>
      <c r="BB74" s="77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77"/>
      <c r="BN74" s="77"/>
      <c r="BO74" s="77"/>
      <c r="BP74" s="77"/>
      <c r="BQ74" s="77"/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77"/>
      <c r="CE74" s="77"/>
      <c r="CF74" s="77"/>
      <c r="CG74" s="77"/>
      <c r="CH74" s="77"/>
      <c r="CI74" s="77"/>
      <c r="CJ74" s="77"/>
      <c r="CK74" s="77"/>
      <c r="CL74" s="77"/>
      <c r="CM74" s="77"/>
      <c r="CN74" s="77"/>
      <c r="CO74" s="77"/>
      <c r="CP74" s="77"/>
      <c r="CQ74" s="77"/>
      <c r="CR74" s="77"/>
      <c r="CS74" s="77"/>
      <c r="CT74" s="77"/>
      <c r="CU74" s="77"/>
      <c r="CV74" s="77"/>
      <c r="CW74" s="77"/>
      <c r="CX74" s="77"/>
    </row>
    <row r="75" spans="1:102">
      <c r="A75" s="58" t="s">
        <v>130</v>
      </c>
      <c r="B75" s="16">
        <f>IF(ISNUMBER(outYear),battery_installed_cost-IF(batt_ibi_sta_percent_deprbas_fed="Yes",B44,0)-IF(batt_ibi_uti_percent_deprbas_fed="Yes",B45,0)-IF(batt_cbi_fed_deprbas_fed="Yes",B48,0)-IF(batt_cbi_sta_deprbas_fed="Yes",B49,0)-IF(batt_cbi_uti_deprbas_fed="Yes",B50,0),"")</f>
        <v>100000</v>
      </c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  <c r="AI75" s="77"/>
      <c r="AJ75" s="77"/>
      <c r="AK75" s="77"/>
      <c r="AL75" s="77"/>
      <c r="AM75" s="77"/>
      <c r="AN75" s="77"/>
      <c r="AO75" s="77"/>
      <c r="AP75" s="77"/>
      <c r="AQ75" s="77"/>
      <c r="AR75" s="77"/>
      <c r="AS75" s="77"/>
      <c r="AT75" s="77"/>
      <c r="AU75" s="77"/>
      <c r="AV75" s="77"/>
      <c r="AW75" s="77"/>
      <c r="AX75" s="77"/>
      <c r="AY75" s="77"/>
      <c r="AZ75" s="77"/>
      <c r="BA75" s="77"/>
      <c r="BB75" s="77"/>
      <c r="BC75" s="77"/>
      <c r="BD75" s="77"/>
      <c r="BE75" s="77"/>
      <c r="BF75" s="77"/>
      <c r="BG75" s="77"/>
      <c r="BH75" s="77"/>
      <c r="BI75" s="77"/>
      <c r="BJ75" s="77"/>
      <c r="BK75" s="77"/>
      <c r="BL75" s="77"/>
      <c r="BM75" s="77"/>
      <c r="BN75" s="77"/>
      <c r="BO75" s="77"/>
      <c r="BP75" s="77"/>
      <c r="BQ75" s="77"/>
      <c r="BR75" s="77"/>
      <c r="BS75" s="77"/>
      <c r="BT75" s="77"/>
      <c r="BU75" s="77"/>
      <c r="BV75" s="77"/>
      <c r="BW75" s="77"/>
      <c r="BX75" s="77"/>
      <c r="BY75" s="77"/>
      <c r="BZ75" s="77"/>
      <c r="CA75" s="77"/>
      <c r="CB75" s="77"/>
      <c r="CC75" s="77"/>
      <c r="CD75" s="77"/>
      <c r="CE75" s="77"/>
      <c r="CF75" s="77"/>
      <c r="CG75" s="77"/>
      <c r="CH75" s="77"/>
      <c r="CI75" s="77"/>
      <c r="CJ75" s="77"/>
      <c r="CK75" s="77"/>
      <c r="CL75" s="77"/>
      <c r="CM75" s="77"/>
      <c r="CN75" s="77"/>
      <c r="CO75" s="77"/>
      <c r="CP75" s="77"/>
      <c r="CQ75" s="77"/>
      <c r="CR75" s="77"/>
      <c r="CS75" s="77"/>
      <c r="CT75" s="77"/>
      <c r="CU75" s="77"/>
      <c r="CV75" s="77"/>
      <c r="CW75" s="77"/>
      <c r="CX75" s="77"/>
    </row>
    <row r="76" spans="1:102">
      <c r="A76" s="58" t="s">
        <v>131</v>
      </c>
      <c r="B76" s="16"/>
      <c r="C76" s="82">
        <f>IF(ISNUMBER(outYear),MIN(batt_itc_fed_percent/100*$B$75,batt_itc_fed_percent_maxvalue),"")</f>
        <v>30000</v>
      </c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77"/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  <c r="AW76" s="77"/>
      <c r="AX76" s="77"/>
      <c r="AY76" s="77"/>
      <c r="AZ76" s="77"/>
      <c r="BA76" s="77"/>
      <c r="BB76" s="77"/>
      <c r="BC76" s="77"/>
      <c r="BD76" s="77"/>
      <c r="BE76" s="77"/>
      <c r="BF76" s="77"/>
      <c r="BG76" s="77"/>
      <c r="BH76" s="77"/>
      <c r="BI76" s="77"/>
      <c r="BJ76" s="77"/>
      <c r="BK76" s="77"/>
      <c r="BL76" s="77"/>
      <c r="BM76" s="77"/>
      <c r="BN76" s="77"/>
      <c r="BO76" s="77"/>
      <c r="BP76" s="77"/>
      <c r="BQ76" s="77"/>
      <c r="BR76" s="77"/>
      <c r="BS76" s="77"/>
      <c r="BT76" s="77"/>
      <c r="BU76" s="77"/>
      <c r="BV76" s="77"/>
      <c r="BW76" s="77"/>
      <c r="BX76" s="77"/>
      <c r="BY76" s="77"/>
      <c r="BZ76" s="77"/>
      <c r="CA76" s="77"/>
      <c r="CB76" s="77"/>
      <c r="CC76" s="77"/>
      <c r="CD76" s="77"/>
      <c r="CE76" s="77"/>
      <c r="CF76" s="77"/>
      <c r="CG76" s="77"/>
      <c r="CH76" s="77"/>
      <c r="CI76" s="77"/>
      <c r="CJ76" s="77"/>
      <c r="CK76" s="77"/>
      <c r="CL76" s="77"/>
      <c r="CM76" s="77"/>
      <c r="CN76" s="77"/>
      <c r="CO76" s="77"/>
      <c r="CP76" s="77"/>
      <c r="CQ76" s="77"/>
      <c r="CR76" s="77"/>
      <c r="CS76" s="77"/>
      <c r="CT76" s="77"/>
      <c r="CU76" s="77"/>
      <c r="CV76" s="77"/>
      <c r="CW76" s="77"/>
      <c r="CX76" s="77"/>
    </row>
    <row r="77" spans="1:102">
      <c r="A77" s="68" t="s">
        <v>36</v>
      </c>
      <c r="B77" s="67"/>
      <c r="C77" s="78">
        <f t="shared" ref="C77:AH77" si="49">IF(ISNUMBER(outYear),-C72+C74+C76,"")</f>
        <v>266891.84641</v>
      </c>
      <c r="D77" s="78">
        <f t="shared" si="49"/>
        <v>29016.76856525</v>
      </c>
      <c r="E77" s="78">
        <f t="shared" si="49"/>
        <v>18135.620631381251</v>
      </c>
      <c r="F77" s="78">
        <f t="shared" si="49"/>
        <v>11625.07085836578</v>
      </c>
      <c r="G77" s="78">
        <f t="shared" si="49"/>
        <v>11669.911501984925</v>
      </c>
      <c r="H77" s="78">
        <f t="shared" si="49"/>
        <v>6800.1506048945475</v>
      </c>
      <c r="I77" s="78">
        <f t="shared" si="49"/>
        <v>1931.5387492969123</v>
      </c>
      <c r="J77" s="78">
        <f t="shared" si="49"/>
        <v>1979.827218029335</v>
      </c>
      <c r="K77" s="78">
        <f t="shared" si="49"/>
        <v>2029.3228984800676</v>
      </c>
      <c r="L77" s="78">
        <f t="shared" si="49"/>
        <v>29830.055970942067</v>
      </c>
      <c r="M77" s="78">
        <f t="shared" si="49"/>
        <v>2132.0573702156212</v>
      </c>
      <c r="N77" s="78">
        <f t="shared" si="49"/>
        <v>2185.3588044710114</v>
      </c>
      <c r="O77" s="78">
        <f t="shared" si="49"/>
        <v>2239.9927745827863</v>
      </c>
      <c r="P77" s="78">
        <f t="shared" si="49"/>
        <v>2295.992593947356</v>
      </c>
      <c r="Q77" s="78">
        <f t="shared" si="49"/>
        <v>2353.3924087960404</v>
      </c>
      <c r="R77" s="78">
        <f t="shared" si="49"/>
        <v>2412.2272190159415</v>
      </c>
      <c r="S77" s="78">
        <f t="shared" si="49"/>
        <v>2472.5328994913389</v>
      </c>
      <c r="T77" s="78">
        <f t="shared" si="49"/>
        <v>2534.3462219786229</v>
      </c>
      <c r="U77" s="78">
        <f t="shared" si="49"/>
        <v>2597.7048775280882</v>
      </c>
      <c r="V77" s="78">
        <f t="shared" si="49"/>
        <v>2662.6474994662899</v>
      </c>
      <c r="W77" s="78">
        <f t="shared" si="49"/>
        <v>2729.2136869529472</v>
      </c>
      <c r="X77" s="78">
        <f t="shared" si="49"/>
        <v>2797.4440291267715</v>
      </c>
      <c r="Y77" s="78">
        <f t="shared" si="49"/>
        <v>2867.3801298549406</v>
      </c>
      <c r="Z77" s="78">
        <f t="shared" si="49"/>
        <v>2939.064633101314</v>
      </c>
      <c r="AA77" s="78">
        <f t="shared" si="49"/>
        <v>3012.5412489288456</v>
      </c>
      <c r="AB77" s="78" t="str">
        <f t="shared" si="49"/>
        <v/>
      </c>
      <c r="AC77" s="78" t="str">
        <f t="shared" si="49"/>
        <v/>
      </c>
      <c r="AD77" s="78" t="str">
        <f t="shared" si="49"/>
        <v/>
      </c>
      <c r="AE77" s="78" t="str">
        <f t="shared" si="49"/>
        <v/>
      </c>
      <c r="AF77" s="78" t="str">
        <f t="shared" si="49"/>
        <v/>
      </c>
      <c r="AG77" s="78" t="str">
        <f t="shared" si="49"/>
        <v/>
      </c>
      <c r="AH77" s="78" t="str">
        <f t="shared" si="49"/>
        <v/>
      </c>
      <c r="AI77" s="78" t="str">
        <f t="shared" ref="AI77:BN77" si="50">IF(ISNUMBER(outYear),-AI72+AI74+AI76,"")</f>
        <v/>
      </c>
      <c r="AJ77" s="78" t="str">
        <f t="shared" si="50"/>
        <v/>
      </c>
      <c r="AK77" s="78" t="str">
        <f t="shared" si="50"/>
        <v/>
      </c>
      <c r="AL77" s="78" t="str">
        <f t="shared" si="50"/>
        <v/>
      </c>
      <c r="AM77" s="78" t="str">
        <f t="shared" si="50"/>
        <v/>
      </c>
      <c r="AN77" s="78" t="str">
        <f t="shared" si="50"/>
        <v/>
      </c>
      <c r="AO77" s="78" t="str">
        <f t="shared" si="50"/>
        <v/>
      </c>
      <c r="AP77" s="78" t="str">
        <f t="shared" si="50"/>
        <v/>
      </c>
      <c r="AQ77" s="78" t="str">
        <f t="shared" si="50"/>
        <v/>
      </c>
      <c r="AR77" s="78" t="str">
        <f t="shared" si="50"/>
        <v/>
      </c>
      <c r="AS77" s="78" t="str">
        <f t="shared" si="50"/>
        <v/>
      </c>
      <c r="AT77" s="78" t="str">
        <f t="shared" si="50"/>
        <v/>
      </c>
      <c r="AU77" s="78" t="str">
        <f t="shared" si="50"/>
        <v/>
      </c>
      <c r="AV77" s="78" t="str">
        <f t="shared" si="50"/>
        <v/>
      </c>
      <c r="AW77" s="78" t="str">
        <f t="shared" si="50"/>
        <v/>
      </c>
      <c r="AX77" s="78" t="str">
        <f t="shared" si="50"/>
        <v/>
      </c>
      <c r="AY77" s="78" t="str">
        <f t="shared" si="50"/>
        <v/>
      </c>
      <c r="AZ77" s="78" t="str">
        <f t="shared" si="50"/>
        <v/>
      </c>
      <c r="BA77" s="78" t="str">
        <f t="shared" si="50"/>
        <v/>
      </c>
      <c r="BB77" s="78" t="str">
        <f t="shared" si="50"/>
        <v/>
      </c>
      <c r="BC77" s="78" t="str">
        <f t="shared" si="50"/>
        <v/>
      </c>
      <c r="BD77" s="78" t="str">
        <f t="shared" si="50"/>
        <v/>
      </c>
      <c r="BE77" s="78" t="str">
        <f t="shared" si="50"/>
        <v/>
      </c>
      <c r="BF77" s="78" t="str">
        <f t="shared" si="50"/>
        <v/>
      </c>
      <c r="BG77" s="78" t="str">
        <f t="shared" si="50"/>
        <v/>
      </c>
      <c r="BH77" s="78" t="str">
        <f t="shared" si="50"/>
        <v/>
      </c>
      <c r="BI77" s="78" t="str">
        <f t="shared" si="50"/>
        <v/>
      </c>
      <c r="BJ77" s="78" t="str">
        <f t="shared" si="50"/>
        <v/>
      </c>
      <c r="BK77" s="78" t="str">
        <f t="shared" si="50"/>
        <v/>
      </c>
      <c r="BL77" s="78" t="str">
        <f t="shared" si="50"/>
        <v/>
      </c>
      <c r="BM77" s="78" t="str">
        <f t="shared" si="50"/>
        <v/>
      </c>
      <c r="BN77" s="78" t="str">
        <f t="shared" si="50"/>
        <v/>
      </c>
      <c r="BO77" s="78" t="str">
        <f t="shared" ref="BO77:CT77" si="51">IF(ISNUMBER(outYear),-BO72+BO74+BO76,"")</f>
        <v/>
      </c>
      <c r="BP77" s="78" t="str">
        <f t="shared" si="51"/>
        <v/>
      </c>
      <c r="BQ77" s="78" t="str">
        <f t="shared" si="51"/>
        <v/>
      </c>
      <c r="BR77" s="78" t="str">
        <f t="shared" si="51"/>
        <v/>
      </c>
      <c r="BS77" s="78" t="str">
        <f t="shared" si="51"/>
        <v/>
      </c>
      <c r="BT77" s="78" t="str">
        <f t="shared" si="51"/>
        <v/>
      </c>
      <c r="BU77" s="78" t="str">
        <f t="shared" si="51"/>
        <v/>
      </c>
      <c r="BV77" s="78" t="str">
        <f t="shared" si="51"/>
        <v/>
      </c>
      <c r="BW77" s="78" t="str">
        <f t="shared" si="51"/>
        <v/>
      </c>
      <c r="BX77" s="78" t="str">
        <f t="shared" si="51"/>
        <v/>
      </c>
      <c r="BY77" s="78" t="str">
        <f t="shared" si="51"/>
        <v/>
      </c>
      <c r="BZ77" s="78" t="str">
        <f t="shared" si="51"/>
        <v/>
      </c>
      <c r="CA77" s="78" t="str">
        <f t="shared" si="51"/>
        <v/>
      </c>
      <c r="CB77" s="78" t="str">
        <f t="shared" si="51"/>
        <v/>
      </c>
      <c r="CC77" s="78" t="str">
        <f t="shared" si="51"/>
        <v/>
      </c>
      <c r="CD77" s="78" t="str">
        <f t="shared" si="51"/>
        <v/>
      </c>
      <c r="CE77" s="78" t="str">
        <f t="shared" si="51"/>
        <v/>
      </c>
      <c r="CF77" s="78" t="str">
        <f t="shared" si="51"/>
        <v/>
      </c>
      <c r="CG77" s="78" t="str">
        <f t="shared" si="51"/>
        <v/>
      </c>
      <c r="CH77" s="78" t="str">
        <f t="shared" si="51"/>
        <v/>
      </c>
      <c r="CI77" s="78" t="str">
        <f t="shared" si="51"/>
        <v/>
      </c>
      <c r="CJ77" s="78" t="str">
        <f t="shared" si="51"/>
        <v/>
      </c>
      <c r="CK77" s="78" t="str">
        <f t="shared" si="51"/>
        <v/>
      </c>
      <c r="CL77" s="78" t="str">
        <f t="shared" si="51"/>
        <v/>
      </c>
      <c r="CM77" s="78" t="str">
        <f t="shared" si="51"/>
        <v/>
      </c>
      <c r="CN77" s="78" t="str">
        <f t="shared" si="51"/>
        <v/>
      </c>
      <c r="CO77" s="78" t="str">
        <f t="shared" si="51"/>
        <v/>
      </c>
      <c r="CP77" s="78" t="str">
        <f t="shared" si="51"/>
        <v/>
      </c>
      <c r="CQ77" s="78" t="str">
        <f t="shared" si="51"/>
        <v/>
      </c>
      <c r="CR77" s="78" t="str">
        <f t="shared" si="51"/>
        <v/>
      </c>
      <c r="CS77" s="78" t="str">
        <f t="shared" si="51"/>
        <v/>
      </c>
      <c r="CT77" s="78" t="str">
        <f t="shared" si="51"/>
        <v/>
      </c>
      <c r="CU77" s="78" t="str">
        <f t="shared" ref="CU77:CX77" si="52">IF(ISNUMBER(outYear),-CU72+CU74+CU76,"")</f>
        <v/>
      </c>
      <c r="CV77" s="78" t="str">
        <f t="shared" si="52"/>
        <v/>
      </c>
      <c r="CW77" s="78" t="str">
        <f t="shared" si="52"/>
        <v/>
      </c>
      <c r="CX77" s="78" t="str">
        <f t="shared" si="52"/>
        <v/>
      </c>
    </row>
    <row r="78" spans="1:102">
      <c r="A78" s="58"/>
      <c r="B78" s="16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</row>
    <row r="79" spans="1:102">
      <c r="A79" s="66"/>
      <c r="B79" s="16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7"/>
      <c r="BQ79" s="17"/>
      <c r="BR79" s="17"/>
      <c r="BS79" s="17"/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17"/>
      <c r="CF79" s="17"/>
      <c r="CG79" s="17"/>
      <c r="CH79" s="17"/>
      <c r="CI79" s="17"/>
      <c r="CJ79" s="17"/>
      <c r="CK79" s="17"/>
      <c r="CL79" s="17"/>
      <c r="CM79" s="17"/>
      <c r="CN79" s="17"/>
      <c r="CO79" s="17"/>
      <c r="CP79" s="17"/>
      <c r="CQ79" s="17"/>
      <c r="CR79" s="17"/>
      <c r="CS79" s="17"/>
      <c r="CT79" s="17"/>
      <c r="CU79" s="17"/>
      <c r="CV79" s="17"/>
      <c r="CW79" s="17"/>
      <c r="CX79" s="17"/>
    </row>
    <row r="80" spans="1:102">
      <c r="A80" s="57" t="s">
        <v>39</v>
      </c>
      <c r="B80" s="77">
        <f>B23+B54-total_installed_cost</f>
        <v>-532718</v>
      </c>
      <c r="C80" s="77">
        <f t="shared" ref="C80:AH80" si="53">IF(ISNUMBER(outYear),(C31+C54+C77),"")</f>
        <v>262390.33341000002</v>
      </c>
      <c r="D80" s="77">
        <f t="shared" si="53"/>
        <v>24402.717740250002</v>
      </c>
      <c r="E80" s="77">
        <f t="shared" si="53"/>
        <v>13406.218535756252</v>
      </c>
      <c r="F80" s="77">
        <f t="shared" si="53"/>
        <v>6777.4337103501557</v>
      </c>
      <c r="G80" s="77">
        <f t="shared" si="53"/>
        <v>6701.083425268911</v>
      </c>
      <c r="H80" s="77">
        <f t="shared" si="53"/>
        <v>1707.1018262606331</v>
      </c>
      <c r="I80" s="77">
        <f t="shared" si="53"/>
        <v>-3288.8362488028506</v>
      </c>
      <c r="J80" s="77">
        <f t="shared" si="53"/>
        <v>-3371.0571550229215</v>
      </c>
      <c r="K80" s="77">
        <f t="shared" si="53"/>
        <v>-3455.3335838984935</v>
      </c>
      <c r="L80" s="77">
        <f t="shared" si="53"/>
        <v>-50791.716923495958</v>
      </c>
      <c r="M80" s="77">
        <f t="shared" si="53"/>
        <v>-3630.2598465833548</v>
      </c>
      <c r="N80" s="77">
        <f t="shared" si="53"/>
        <v>-3721.0163427479383</v>
      </c>
      <c r="O80" s="77">
        <f t="shared" si="53"/>
        <v>-3814.0417513166367</v>
      </c>
      <c r="P80" s="77">
        <f t="shared" si="53"/>
        <v>-3909.392795099553</v>
      </c>
      <c r="Q80" s="77">
        <f t="shared" si="53"/>
        <v>-4007.127614977042</v>
      </c>
      <c r="R80" s="77">
        <f t="shared" si="53"/>
        <v>-4107.3058053514669</v>
      </c>
      <c r="S80" s="77">
        <f t="shared" si="53"/>
        <v>-4209.9884504852535</v>
      </c>
      <c r="T80" s="77">
        <f t="shared" si="53"/>
        <v>-4315.2381617473857</v>
      </c>
      <c r="U80" s="77">
        <f t="shared" si="53"/>
        <v>-4423.1191157910698</v>
      </c>
      <c r="V80" s="77">
        <f t="shared" si="53"/>
        <v>-4533.6970936858452</v>
      </c>
      <c r="W80" s="77">
        <f t="shared" si="53"/>
        <v>-4647.0395210279912</v>
      </c>
      <c r="X80" s="77">
        <f t="shared" si="53"/>
        <v>-4763.2155090536908</v>
      </c>
      <c r="Y80" s="77">
        <f t="shared" si="53"/>
        <v>-4882.2958967800332</v>
      </c>
      <c r="Z80" s="77">
        <f t="shared" si="53"/>
        <v>-5004.3532941995345</v>
      </c>
      <c r="AA80" s="77">
        <f t="shared" si="53"/>
        <v>-5129.4621265545211</v>
      </c>
      <c r="AB80" s="77" t="str">
        <f t="shared" si="53"/>
        <v/>
      </c>
      <c r="AC80" s="77" t="str">
        <f t="shared" si="53"/>
        <v/>
      </c>
      <c r="AD80" s="77" t="str">
        <f t="shared" si="53"/>
        <v/>
      </c>
      <c r="AE80" s="77" t="str">
        <f t="shared" si="53"/>
        <v/>
      </c>
      <c r="AF80" s="77" t="str">
        <f t="shared" si="53"/>
        <v/>
      </c>
      <c r="AG80" s="77" t="str">
        <f t="shared" si="53"/>
        <v/>
      </c>
      <c r="AH80" s="77" t="str">
        <f t="shared" si="53"/>
        <v/>
      </c>
      <c r="AI80" s="77" t="str">
        <f t="shared" ref="AI80:BN80" si="54">IF(ISNUMBER(outYear),(AI31+AI54+AI77),"")</f>
        <v/>
      </c>
      <c r="AJ80" s="77" t="str">
        <f t="shared" si="54"/>
        <v/>
      </c>
      <c r="AK80" s="77" t="str">
        <f t="shared" si="54"/>
        <v/>
      </c>
      <c r="AL80" s="77" t="str">
        <f t="shared" si="54"/>
        <v/>
      </c>
      <c r="AM80" s="77" t="str">
        <f t="shared" si="54"/>
        <v/>
      </c>
      <c r="AN80" s="77" t="str">
        <f t="shared" si="54"/>
        <v/>
      </c>
      <c r="AO80" s="77" t="str">
        <f t="shared" si="54"/>
        <v/>
      </c>
      <c r="AP80" s="77" t="str">
        <f t="shared" si="54"/>
        <v/>
      </c>
      <c r="AQ80" s="77" t="str">
        <f t="shared" si="54"/>
        <v/>
      </c>
      <c r="AR80" s="77" t="str">
        <f t="shared" si="54"/>
        <v/>
      </c>
      <c r="AS80" s="77" t="str">
        <f t="shared" si="54"/>
        <v/>
      </c>
      <c r="AT80" s="77" t="str">
        <f t="shared" si="54"/>
        <v/>
      </c>
      <c r="AU80" s="77" t="str">
        <f t="shared" si="54"/>
        <v/>
      </c>
      <c r="AV80" s="77" t="str">
        <f t="shared" si="54"/>
        <v/>
      </c>
      <c r="AW80" s="77" t="str">
        <f t="shared" si="54"/>
        <v/>
      </c>
      <c r="AX80" s="77" t="str">
        <f t="shared" si="54"/>
        <v/>
      </c>
      <c r="AY80" s="77" t="str">
        <f t="shared" si="54"/>
        <v/>
      </c>
      <c r="AZ80" s="77" t="str">
        <f t="shared" si="54"/>
        <v/>
      </c>
      <c r="BA80" s="77" t="str">
        <f t="shared" si="54"/>
        <v/>
      </c>
      <c r="BB80" s="77" t="str">
        <f t="shared" si="54"/>
        <v/>
      </c>
      <c r="BC80" s="77" t="str">
        <f t="shared" si="54"/>
        <v/>
      </c>
      <c r="BD80" s="77" t="str">
        <f t="shared" si="54"/>
        <v/>
      </c>
      <c r="BE80" s="77" t="str">
        <f t="shared" si="54"/>
        <v/>
      </c>
      <c r="BF80" s="77" t="str">
        <f t="shared" si="54"/>
        <v/>
      </c>
      <c r="BG80" s="77" t="str">
        <f t="shared" si="54"/>
        <v/>
      </c>
      <c r="BH80" s="77" t="str">
        <f t="shared" si="54"/>
        <v/>
      </c>
      <c r="BI80" s="77" t="str">
        <f t="shared" si="54"/>
        <v/>
      </c>
      <c r="BJ80" s="77" t="str">
        <f t="shared" si="54"/>
        <v/>
      </c>
      <c r="BK80" s="77" t="str">
        <f t="shared" si="54"/>
        <v/>
      </c>
      <c r="BL80" s="77" t="str">
        <f t="shared" si="54"/>
        <v/>
      </c>
      <c r="BM80" s="77" t="str">
        <f t="shared" si="54"/>
        <v/>
      </c>
      <c r="BN80" s="77" t="str">
        <f t="shared" si="54"/>
        <v/>
      </c>
      <c r="BO80" s="77" t="str">
        <f t="shared" ref="BO80:CX80" si="55">IF(ISNUMBER(outYear),(BO31+BO54+BO77),"")</f>
        <v/>
      </c>
      <c r="BP80" s="77" t="str">
        <f t="shared" si="55"/>
        <v/>
      </c>
      <c r="BQ80" s="77" t="str">
        <f t="shared" si="55"/>
        <v/>
      </c>
      <c r="BR80" s="77" t="str">
        <f t="shared" si="55"/>
        <v/>
      </c>
      <c r="BS80" s="77" t="str">
        <f t="shared" si="55"/>
        <v/>
      </c>
      <c r="BT80" s="77" t="str">
        <f t="shared" si="55"/>
        <v/>
      </c>
      <c r="BU80" s="77" t="str">
        <f t="shared" si="55"/>
        <v/>
      </c>
      <c r="BV80" s="77" t="str">
        <f t="shared" si="55"/>
        <v/>
      </c>
      <c r="BW80" s="77" t="str">
        <f t="shared" si="55"/>
        <v/>
      </c>
      <c r="BX80" s="77" t="str">
        <f t="shared" si="55"/>
        <v/>
      </c>
      <c r="BY80" s="77" t="str">
        <f t="shared" si="55"/>
        <v/>
      </c>
      <c r="BZ80" s="77" t="str">
        <f t="shared" si="55"/>
        <v/>
      </c>
      <c r="CA80" s="77" t="str">
        <f t="shared" si="55"/>
        <v/>
      </c>
      <c r="CB80" s="77" t="str">
        <f t="shared" si="55"/>
        <v/>
      </c>
      <c r="CC80" s="77" t="str">
        <f t="shared" si="55"/>
        <v/>
      </c>
      <c r="CD80" s="77" t="str">
        <f t="shared" si="55"/>
        <v/>
      </c>
      <c r="CE80" s="77" t="str">
        <f t="shared" si="55"/>
        <v/>
      </c>
      <c r="CF80" s="77" t="str">
        <f t="shared" si="55"/>
        <v/>
      </c>
      <c r="CG80" s="77" t="str">
        <f t="shared" si="55"/>
        <v/>
      </c>
      <c r="CH80" s="77" t="str">
        <f t="shared" si="55"/>
        <v/>
      </c>
      <c r="CI80" s="77" t="str">
        <f t="shared" si="55"/>
        <v/>
      </c>
      <c r="CJ80" s="77" t="str">
        <f t="shared" si="55"/>
        <v/>
      </c>
      <c r="CK80" s="77" t="str">
        <f t="shared" si="55"/>
        <v/>
      </c>
      <c r="CL80" s="77" t="str">
        <f t="shared" si="55"/>
        <v/>
      </c>
      <c r="CM80" s="77" t="str">
        <f t="shared" si="55"/>
        <v/>
      </c>
      <c r="CN80" s="77" t="str">
        <f t="shared" si="55"/>
        <v/>
      </c>
      <c r="CO80" s="77" t="str">
        <f t="shared" si="55"/>
        <v/>
      </c>
      <c r="CP80" s="77" t="str">
        <f t="shared" si="55"/>
        <v/>
      </c>
      <c r="CQ80" s="77" t="str">
        <f t="shared" si="55"/>
        <v/>
      </c>
      <c r="CR80" s="77" t="str">
        <f t="shared" si="55"/>
        <v/>
      </c>
      <c r="CS80" s="77" t="str">
        <f t="shared" si="55"/>
        <v/>
      </c>
      <c r="CT80" s="77" t="str">
        <f t="shared" si="55"/>
        <v/>
      </c>
      <c r="CU80" s="77" t="str">
        <f t="shared" si="55"/>
        <v/>
      </c>
      <c r="CV80" s="77" t="str">
        <f t="shared" si="55"/>
        <v/>
      </c>
      <c r="CW80" s="77" t="str">
        <f t="shared" si="55"/>
        <v/>
      </c>
      <c r="CX80" s="77" t="str">
        <f t="shared" si="55"/>
        <v/>
      </c>
    </row>
    <row r="81" spans="1:255">
      <c r="A81" s="57" t="s">
        <v>78</v>
      </c>
      <c r="B81" s="79">
        <v>0</v>
      </c>
      <c r="C81" s="79">
        <f>IF(ISNUMBER(outYear),IF(FederalDepreciation="N/A",'Cash Flow'!C8,'Cash Flow'!C8*(1-federal_tax_rate/100)),"")</f>
        <v>34566.230671875011</v>
      </c>
      <c r="D81" s="79">
        <f>IF(ISNUMBER(outYear),IF(FederalDepreciation="N/A",'Cash Flow'!D8,'Cash Flow'!D8*(1-federal_tax_rate/100)),"")</f>
        <v>35572.616074960046</v>
      </c>
      <c r="E81" s="79">
        <f>IF(ISNUMBER(outYear),IF(FederalDepreciation="N/A",'Cash Flow'!E8,'Cash Flow'!E8*(1-federal_tax_rate/100)),"")</f>
        <v>36608.446675799256</v>
      </c>
      <c r="F81" s="79">
        <f>IF(ISNUMBER(outYear),IF(FederalDepreciation="N/A",'Cash Flow'!F8,'Cash Flow'!F8*(1-federal_tax_rate/100)),"")</f>
        <v>37674.587729261351</v>
      </c>
      <c r="G81" s="79">
        <f>IF(ISNUMBER(outYear),IF(FederalDepreciation="N/A",'Cash Flow'!G8,'Cash Flow'!G8*(1-federal_tax_rate/100)),"")</f>
        <v>38771.930012033095</v>
      </c>
      <c r="H81" s="79">
        <f>IF(ISNUMBER(outYear),IF(FederalDepreciation="N/A",'Cash Flow'!H8,'Cash Flow'!H8*(1-federal_tax_rate/100)),"")</f>
        <v>39901.390577878738</v>
      </c>
      <c r="I81" s="79">
        <f>IF(ISNUMBER(outYear),IF(FederalDepreciation="N/A",'Cash Flow'!I8,'Cash Flow'!I8*(1-federal_tax_rate/100)),"")</f>
        <v>41063.913535311855</v>
      </c>
      <c r="J81" s="79">
        <f>IF(ISNUMBER(outYear),IF(FederalDepreciation="N/A",'Cash Flow'!J8,'Cash Flow'!J8*(1-federal_tax_rate/100)),"")</f>
        <v>42260.470848346864</v>
      </c>
      <c r="K81" s="79">
        <f>IF(ISNUMBER(outYear),IF(FederalDepreciation="N/A",'Cash Flow'!K8,'Cash Flow'!K8*(1-federal_tax_rate/100)),"")</f>
        <v>43492.063161016937</v>
      </c>
      <c r="L81" s="79">
        <f>IF(ISNUMBER(outYear),IF(FederalDepreciation="N/A",'Cash Flow'!L8,'Cash Flow'!L8*(1-federal_tax_rate/100)),"")</f>
        <v>44759.720646364724</v>
      </c>
      <c r="M81" s="79">
        <f>IF(ISNUMBER(outYear),IF(FederalDepreciation="N/A",'Cash Flow'!M8,'Cash Flow'!M8*(1-federal_tax_rate/100)),"")</f>
        <v>46064.503880635195</v>
      </c>
      <c r="N81" s="79">
        <f>IF(ISNUMBER(outYear),IF(FederalDepreciation="N/A",'Cash Flow'!N8,'Cash Flow'!N8*(1-federal_tax_rate/100)),"")</f>
        <v>47407.504743418918</v>
      </c>
      <c r="O81" s="79">
        <f>IF(ISNUMBER(outYear),IF(FederalDepreciation="N/A",'Cash Flow'!O8,'Cash Flow'!O8*(1-federal_tax_rate/100)),"")</f>
        <v>48789.847344518952</v>
      </c>
      <c r="P81" s="79">
        <f>IF(ISNUMBER(outYear),IF(FederalDepreciation="N/A",'Cash Flow'!P8,'Cash Flow'!P8*(1-federal_tax_rate/100)),"")</f>
        <v>50212.688978337319</v>
      </c>
      <c r="Q81" s="79">
        <f>IF(ISNUMBER(outYear),IF(FederalDepreciation="N/A",'Cash Flow'!Q8,'Cash Flow'!Q8*(1-federal_tax_rate/100)),"")</f>
        <v>51677.22110659656</v>
      </c>
      <c r="R81" s="79">
        <f>IF(ISNUMBER(outYear),IF(FederalDepreciation="N/A",'Cash Flow'!R8,'Cash Flow'!R8*(1-federal_tax_rate/100)),"")</f>
        <v>53184.670370245905</v>
      </c>
      <c r="S81" s="79">
        <f>IF(ISNUMBER(outYear),IF(FederalDepreciation="N/A",'Cash Flow'!S8,'Cash Flow'!S8*(1-federal_tax_rate/100)),"")</f>
        <v>54736.299631412716</v>
      </c>
      <c r="T81" s="79">
        <f>IF(ISNUMBER(outYear),IF(FederalDepreciation="N/A",'Cash Flow'!T8,'Cash Flow'!T8*(1-federal_tax_rate/100)),"")</f>
        <v>56333.409046301604</v>
      </c>
      <c r="U81" s="79">
        <f>IF(ISNUMBER(outYear),IF(FederalDepreciation="N/A",'Cash Flow'!U8,'Cash Flow'!U8*(1-federal_tax_rate/100)),"")</f>
        <v>57977.33716995507</v>
      </c>
      <c r="V81" s="79">
        <f>IF(ISNUMBER(outYear),IF(FederalDepreciation="N/A",'Cash Flow'!V8,'Cash Flow'!V8*(1-federal_tax_rate/100)),"")</f>
        <v>59669.462093830007</v>
      </c>
      <c r="W81" s="79">
        <f>IF(ISNUMBER(outYear),IF(FederalDepreciation="N/A",'Cash Flow'!W8,'Cash Flow'!W8*(1-federal_tax_rate/100)),"")</f>
        <v>61411.202617162795</v>
      </c>
      <c r="X81" s="79">
        <f>IF(ISNUMBER(outYear),IF(FederalDepreciation="N/A",'Cash Flow'!X8,'Cash Flow'!X8*(1-federal_tax_rate/100)),"")</f>
        <v>63204.019453131725</v>
      </c>
      <c r="Y81" s="79">
        <f>IF(ISNUMBER(outYear),IF(FederalDepreciation="N/A",'Cash Flow'!Y8,'Cash Flow'!Y8*(1-federal_tax_rate/100)),"")</f>
        <v>65049.416470850541</v>
      </c>
      <c r="Z81" s="79">
        <f>IF(ISNUMBER(outYear),IF(FederalDepreciation="N/A",'Cash Flow'!Z8,'Cash Flow'!Z8*(1-federal_tax_rate/100)),"")</f>
        <v>66948.941974262445</v>
      </c>
      <c r="AA81" s="79">
        <f>IF(ISNUMBER(outYear),IF(FederalDepreciation="N/A",'Cash Flow'!AA8,'Cash Flow'!AA8*(1-federal_tax_rate/100)),"")</f>
        <v>68904.190019029673</v>
      </c>
      <c r="AB81" s="79" t="str">
        <f>IF(ISNUMBER(outYear),IF(FederalDepreciation="N/A",'Cash Flow'!AB8,'Cash Flow'!AB8*(1-federal_tax_rate/100)),"")</f>
        <v/>
      </c>
      <c r="AC81" s="79" t="str">
        <f>IF(ISNUMBER(outYear),IF(FederalDepreciation="N/A",'Cash Flow'!AC8,'Cash Flow'!AC8*(1-federal_tax_rate/100)),"")</f>
        <v/>
      </c>
      <c r="AD81" s="79" t="str">
        <f>IF(ISNUMBER(outYear),IF(FederalDepreciation="N/A",'Cash Flow'!AD8,'Cash Flow'!AD8*(1-federal_tax_rate/100)),"")</f>
        <v/>
      </c>
      <c r="AE81" s="79" t="str">
        <f>IF(ISNUMBER(outYear),IF(FederalDepreciation="N/A",'Cash Flow'!AE8,'Cash Flow'!AE8*(1-federal_tax_rate/100)),"")</f>
        <v/>
      </c>
      <c r="AF81" s="79" t="str">
        <f>IF(ISNUMBER(outYear),IF(FederalDepreciation="N/A",'Cash Flow'!AF8,'Cash Flow'!AF8*(1-federal_tax_rate/100)),"")</f>
        <v/>
      </c>
      <c r="AG81" s="79" t="str">
        <f>IF(ISNUMBER(outYear),IF(FederalDepreciation="N/A",'Cash Flow'!AG8,'Cash Flow'!AG8*(1-federal_tax_rate/100)),"")</f>
        <v/>
      </c>
      <c r="AH81" s="79" t="str">
        <f>IF(ISNUMBER(outYear),IF(FederalDepreciation="N/A",'Cash Flow'!AH8,'Cash Flow'!AH8*(1-federal_tax_rate/100)),"")</f>
        <v/>
      </c>
      <c r="AI81" s="79" t="str">
        <f>IF(ISNUMBER(outYear),IF(FederalDepreciation="N/A",'Cash Flow'!AI8,'Cash Flow'!AI8*(1-federal_tax_rate/100)),"")</f>
        <v/>
      </c>
      <c r="AJ81" s="79" t="str">
        <f>IF(ISNUMBER(outYear),IF(FederalDepreciation="N/A",'Cash Flow'!AJ8,'Cash Flow'!AJ8*(1-federal_tax_rate/100)),"")</f>
        <v/>
      </c>
      <c r="AK81" s="79" t="str">
        <f>IF(ISNUMBER(outYear),IF(FederalDepreciation="N/A",'Cash Flow'!AK8,'Cash Flow'!AK8*(1-federal_tax_rate/100)),"")</f>
        <v/>
      </c>
      <c r="AL81" s="79" t="str">
        <f>IF(ISNUMBER(outYear),IF(FederalDepreciation="N/A",'Cash Flow'!AL8,'Cash Flow'!AL8*(1-federal_tax_rate/100)),"")</f>
        <v/>
      </c>
      <c r="AM81" s="79" t="str">
        <f>IF(ISNUMBER(outYear),IF(FederalDepreciation="N/A",'Cash Flow'!AM8,'Cash Flow'!AM8*(1-federal_tax_rate/100)),"")</f>
        <v/>
      </c>
      <c r="AN81" s="79" t="str">
        <f>IF(ISNUMBER(outYear),IF(FederalDepreciation="N/A",'Cash Flow'!AN8,'Cash Flow'!AN8*(1-federal_tax_rate/100)),"")</f>
        <v/>
      </c>
      <c r="AO81" s="79" t="str">
        <f>IF(ISNUMBER(outYear),IF(FederalDepreciation="N/A",'Cash Flow'!AO8,'Cash Flow'!AO8*(1-federal_tax_rate/100)),"")</f>
        <v/>
      </c>
      <c r="AP81" s="79" t="str">
        <f>IF(ISNUMBER(outYear),IF(FederalDepreciation="N/A",'Cash Flow'!AP8,'Cash Flow'!AP8*(1-federal_tax_rate/100)),"")</f>
        <v/>
      </c>
      <c r="AQ81" s="79" t="str">
        <f>IF(ISNUMBER(outYear),IF(FederalDepreciation="N/A",'Cash Flow'!AQ8,'Cash Flow'!AQ8*(1-federal_tax_rate/100)),"")</f>
        <v/>
      </c>
      <c r="AR81" s="79" t="str">
        <f>IF(ISNUMBER(outYear),IF(FederalDepreciation="N/A",'Cash Flow'!AR8,'Cash Flow'!AR8*(1-federal_tax_rate/100)),"")</f>
        <v/>
      </c>
      <c r="AS81" s="79" t="str">
        <f>IF(ISNUMBER(outYear),IF(FederalDepreciation="N/A",'Cash Flow'!AS8,'Cash Flow'!AS8*(1-federal_tax_rate/100)),"")</f>
        <v/>
      </c>
      <c r="AT81" s="79" t="str">
        <f>IF(ISNUMBER(outYear),IF(FederalDepreciation="N/A",'Cash Flow'!AT8,'Cash Flow'!AT8*(1-federal_tax_rate/100)),"")</f>
        <v/>
      </c>
      <c r="AU81" s="79" t="str">
        <f>IF(ISNUMBER(outYear),IF(FederalDepreciation="N/A",'Cash Flow'!AU8,'Cash Flow'!AU8*(1-federal_tax_rate/100)),"")</f>
        <v/>
      </c>
      <c r="AV81" s="79" t="str">
        <f>IF(ISNUMBER(outYear),IF(FederalDepreciation="N/A",'Cash Flow'!AV8,'Cash Flow'!AV8*(1-federal_tax_rate/100)),"")</f>
        <v/>
      </c>
      <c r="AW81" s="79" t="str">
        <f>IF(ISNUMBER(outYear),IF(FederalDepreciation="N/A",'Cash Flow'!AW8,'Cash Flow'!AW8*(1-federal_tax_rate/100)),"")</f>
        <v/>
      </c>
      <c r="AX81" s="79" t="str">
        <f>IF(ISNUMBER(outYear),IF(FederalDepreciation="N/A",'Cash Flow'!AX8,'Cash Flow'!AX8*(1-federal_tax_rate/100)),"")</f>
        <v/>
      </c>
      <c r="AY81" s="79" t="str">
        <f>IF(ISNUMBER(outYear),IF(FederalDepreciation="N/A",'Cash Flow'!AY8,'Cash Flow'!AY8*(1-federal_tax_rate/100)),"")</f>
        <v/>
      </c>
      <c r="AZ81" s="79" t="str">
        <f>IF(ISNUMBER(outYear),IF(FederalDepreciation="N/A",'Cash Flow'!AZ8,'Cash Flow'!AZ8*(1-federal_tax_rate/100)),"")</f>
        <v/>
      </c>
      <c r="BA81" s="79" t="str">
        <f>IF(ISNUMBER(outYear),IF(FederalDepreciation="N/A",'Cash Flow'!BA8,'Cash Flow'!BA8*(1-federal_tax_rate/100)),"")</f>
        <v/>
      </c>
      <c r="BB81" s="79" t="str">
        <f>IF(ISNUMBER(outYear),IF(FederalDepreciation="N/A",'Cash Flow'!BB8,'Cash Flow'!BB8*(1-federal_tax_rate/100)),"")</f>
        <v/>
      </c>
      <c r="BC81" s="79" t="str">
        <f>IF(ISNUMBER(outYear),IF(FederalDepreciation="N/A",'Cash Flow'!BC8,'Cash Flow'!BC8*(1-federal_tax_rate/100)),"")</f>
        <v/>
      </c>
      <c r="BD81" s="79" t="str">
        <f>IF(ISNUMBER(outYear),IF(FederalDepreciation="N/A",'Cash Flow'!BD8,'Cash Flow'!BD8*(1-federal_tax_rate/100)),"")</f>
        <v/>
      </c>
      <c r="BE81" s="79" t="str">
        <f>IF(ISNUMBER(outYear),IF(FederalDepreciation="N/A",'Cash Flow'!BE8,'Cash Flow'!BE8*(1-federal_tax_rate/100)),"")</f>
        <v/>
      </c>
      <c r="BF81" s="79" t="str">
        <f>IF(ISNUMBER(outYear),IF(FederalDepreciation="N/A",'Cash Flow'!BF8,'Cash Flow'!BF8*(1-federal_tax_rate/100)),"")</f>
        <v/>
      </c>
      <c r="BG81" s="79" t="str">
        <f>IF(ISNUMBER(outYear),IF(FederalDepreciation="N/A",'Cash Flow'!BG8,'Cash Flow'!BG8*(1-federal_tax_rate/100)),"")</f>
        <v/>
      </c>
      <c r="BH81" s="79" t="str">
        <f>IF(ISNUMBER(outYear),IF(FederalDepreciation="N/A",'Cash Flow'!BH8,'Cash Flow'!BH8*(1-federal_tax_rate/100)),"")</f>
        <v/>
      </c>
      <c r="BI81" s="79" t="str">
        <f>IF(ISNUMBER(outYear),IF(FederalDepreciation="N/A",'Cash Flow'!BI8,'Cash Flow'!BI8*(1-federal_tax_rate/100)),"")</f>
        <v/>
      </c>
      <c r="BJ81" s="79" t="str">
        <f>IF(ISNUMBER(outYear),IF(FederalDepreciation="N/A",'Cash Flow'!BJ8,'Cash Flow'!BJ8*(1-federal_tax_rate/100)),"")</f>
        <v/>
      </c>
      <c r="BK81" s="79" t="str">
        <f>IF(ISNUMBER(outYear),IF(FederalDepreciation="N/A",'Cash Flow'!BK8,'Cash Flow'!BK8*(1-federal_tax_rate/100)),"")</f>
        <v/>
      </c>
      <c r="BL81" s="79" t="str">
        <f>IF(ISNUMBER(outYear),IF(FederalDepreciation="N/A",'Cash Flow'!BL8,'Cash Flow'!BL8*(1-federal_tax_rate/100)),"")</f>
        <v/>
      </c>
      <c r="BM81" s="79" t="str">
        <f>IF(ISNUMBER(outYear),IF(FederalDepreciation="N/A",'Cash Flow'!BM8,'Cash Flow'!BM8*(1-federal_tax_rate/100)),"")</f>
        <v/>
      </c>
      <c r="BN81" s="79" t="str">
        <f>IF(ISNUMBER(outYear),IF(FederalDepreciation="N/A",'Cash Flow'!BN8,'Cash Flow'!BN8*(1-federal_tax_rate/100)),"")</f>
        <v/>
      </c>
      <c r="BO81" s="79" t="str">
        <f>IF(ISNUMBER(outYear),IF(FederalDepreciation="N/A",'Cash Flow'!BO8,'Cash Flow'!BO8*(1-federal_tax_rate/100)),"")</f>
        <v/>
      </c>
      <c r="BP81" s="79" t="str">
        <f>IF(ISNUMBER(outYear),IF(FederalDepreciation="N/A",'Cash Flow'!BP8,'Cash Flow'!BP8*(1-federal_tax_rate/100)),"")</f>
        <v/>
      </c>
      <c r="BQ81" s="79" t="str">
        <f>IF(ISNUMBER(outYear),IF(FederalDepreciation="N/A",'Cash Flow'!BQ8,'Cash Flow'!BQ8*(1-federal_tax_rate/100)),"")</f>
        <v/>
      </c>
      <c r="BR81" s="79" t="str">
        <f>IF(ISNUMBER(outYear),IF(FederalDepreciation="N/A",'Cash Flow'!BR8,'Cash Flow'!BR8*(1-federal_tax_rate/100)),"")</f>
        <v/>
      </c>
      <c r="BS81" s="79" t="str">
        <f>IF(ISNUMBER(outYear),IF(FederalDepreciation="N/A",'Cash Flow'!BS8,'Cash Flow'!BS8*(1-federal_tax_rate/100)),"")</f>
        <v/>
      </c>
      <c r="BT81" s="79" t="str">
        <f>IF(ISNUMBER(outYear),IF(FederalDepreciation="N/A",'Cash Flow'!BT8,'Cash Flow'!BT8*(1-federal_tax_rate/100)),"")</f>
        <v/>
      </c>
      <c r="BU81" s="79" t="str">
        <f>IF(ISNUMBER(outYear),IF(FederalDepreciation="N/A",'Cash Flow'!BU8,'Cash Flow'!BU8*(1-federal_tax_rate/100)),"")</f>
        <v/>
      </c>
      <c r="BV81" s="79" t="str">
        <f>IF(ISNUMBER(outYear),IF(FederalDepreciation="N/A",'Cash Flow'!BV8,'Cash Flow'!BV8*(1-federal_tax_rate/100)),"")</f>
        <v/>
      </c>
      <c r="BW81" s="79" t="str">
        <f>IF(ISNUMBER(outYear),IF(FederalDepreciation="N/A",'Cash Flow'!BW8,'Cash Flow'!BW8*(1-federal_tax_rate/100)),"")</f>
        <v/>
      </c>
      <c r="BX81" s="79" t="str">
        <f>IF(ISNUMBER(outYear),IF(FederalDepreciation="N/A",'Cash Flow'!BX8,'Cash Flow'!BX8*(1-federal_tax_rate/100)),"")</f>
        <v/>
      </c>
      <c r="BY81" s="79" t="str">
        <f>IF(ISNUMBER(outYear),IF(FederalDepreciation="N/A",'Cash Flow'!BY8,'Cash Flow'!BY8*(1-federal_tax_rate/100)),"")</f>
        <v/>
      </c>
      <c r="BZ81" s="79" t="str">
        <f>IF(ISNUMBER(outYear),IF(FederalDepreciation="N/A",'Cash Flow'!BZ8,'Cash Flow'!BZ8*(1-federal_tax_rate/100)),"")</f>
        <v/>
      </c>
      <c r="CA81" s="79" t="str">
        <f>IF(ISNUMBER(outYear),IF(FederalDepreciation="N/A",'Cash Flow'!CA8,'Cash Flow'!CA8*(1-federal_tax_rate/100)),"")</f>
        <v/>
      </c>
      <c r="CB81" s="79" t="str">
        <f>IF(ISNUMBER(outYear),IF(FederalDepreciation="N/A",'Cash Flow'!CB8,'Cash Flow'!CB8*(1-federal_tax_rate/100)),"")</f>
        <v/>
      </c>
      <c r="CC81" s="79" t="str">
        <f>IF(ISNUMBER(outYear),IF(FederalDepreciation="N/A",'Cash Flow'!CC8,'Cash Flow'!CC8*(1-federal_tax_rate/100)),"")</f>
        <v/>
      </c>
      <c r="CD81" s="79" t="str">
        <f>IF(ISNUMBER(outYear),IF(FederalDepreciation="N/A",'Cash Flow'!CD8,'Cash Flow'!CD8*(1-federal_tax_rate/100)),"")</f>
        <v/>
      </c>
      <c r="CE81" s="79" t="str">
        <f>IF(ISNUMBER(outYear),IF(FederalDepreciation="N/A",'Cash Flow'!CE8,'Cash Flow'!CE8*(1-federal_tax_rate/100)),"")</f>
        <v/>
      </c>
      <c r="CF81" s="79" t="str">
        <f>IF(ISNUMBER(outYear),IF(FederalDepreciation="N/A",'Cash Flow'!CF8,'Cash Flow'!CF8*(1-federal_tax_rate/100)),"")</f>
        <v/>
      </c>
      <c r="CG81" s="79" t="str">
        <f>IF(ISNUMBER(outYear),IF(FederalDepreciation="N/A",'Cash Flow'!CG8,'Cash Flow'!CG8*(1-federal_tax_rate/100)),"")</f>
        <v/>
      </c>
      <c r="CH81" s="79" t="str">
        <f>IF(ISNUMBER(outYear),IF(FederalDepreciation="N/A",'Cash Flow'!CH8,'Cash Flow'!CH8*(1-federal_tax_rate/100)),"")</f>
        <v/>
      </c>
      <c r="CI81" s="79" t="str">
        <f>IF(ISNUMBER(outYear),IF(FederalDepreciation="N/A",'Cash Flow'!CI8,'Cash Flow'!CI8*(1-federal_tax_rate/100)),"")</f>
        <v/>
      </c>
      <c r="CJ81" s="79" t="str">
        <f>IF(ISNUMBER(outYear),IF(FederalDepreciation="N/A",'Cash Flow'!CJ8,'Cash Flow'!CJ8*(1-federal_tax_rate/100)),"")</f>
        <v/>
      </c>
      <c r="CK81" s="79" t="str">
        <f>IF(ISNUMBER(outYear),IF(FederalDepreciation="N/A",'Cash Flow'!CK8,'Cash Flow'!CK8*(1-federal_tax_rate/100)),"")</f>
        <v/>
      </c>
      <c r="CL81" s="79" t="str">
        <f>IF(ISNUMBER(outYear),IF(FederalDepreciation="N/A",'Cash Flow'!CL8,'Cash Flow'!CL8*(1-federal_tax_rate/100)),"")</f>
        <v/>
      </c>
      <c r="CM81" s="79" t="str">
        <f>IF(ISNUMBER(outYear),IF(FederalDepreciation="N/A",'Cash Flow'!CM8,'Cash Flow'!CM8*(1-federal_tax_rate/100)),"")</f>
        <v/>
      </c>
      <c r="CN81" s="79" t="str">
        <f>IF(ISNUMBER(outYear),IF(FederalDepreciation="N/A",'Cash Flow'!CN8,'Cash Flow'!CN8*(1-federal_tax_rate/100)),"")</f>
        <v/>
      </c>
      <c r="CO81" s="79" t="str">
        <f>IF(ISNUMBER(outYear),IF(FederalDepreciation="N/A",'Cash Flow'!CO8,'Cash Flow'!CO8*(1-federal_tax_rate/100)),"")</f>
        <v/>
      </c>
      <c r="CP81" s="79" t="str">
        <f>IF(ISNUMBER(outYear),IF(FederalDepreciation="N/A",'Cash Flow'!CP8,'Cash Flow'!CP8*(1-federal_tax_rate/100)),"")</f>
        <v/>
      </c>
      <c r="CQ81" s="79" t="str">
        <f>IF(ISNUMBER(outYear),IF(FederalDepreciation="N/A",'Cash Flow'!CQ8,'Cash Flow'!CQ8*(1-federal_tax_rate/100)),"")</f>
        <v/>
      </c>
      <c r="CR81" s="79" t="str">
        <f>IF(ISNUMBER(outYear),IF(FederalDepreciation="N/A",'Cash Flow'!CR8,'Cash Flow'!CR8*(1-federal_tax_rate/100)),"")</f>
        <v/>
      </c>
      <c r="CS81" s="79" t="str">
        <f>IF(ISNUMBER(outYear),IF(FederalDepreciation="N/A",'Cash Flow'!CS8,'Cash Flow'!CS8*(1-federal_tax_rate/100)),"")</f>
        <v/>
      </c>
      <c r="CT81" s="79" t="str">
        <f>IF(ISNUMBER(outYear),IF(FederalDepreciation="N/A",'Cash Flow'!CT8,'Cash Flow'!CT8*(1-federal_tax_rate/100)),"")</f>
        <v/>
      </c>
      <c r="CU81" s="79" t="str">
        <f>IF(ISNUMBER(outYear),IF(FederalDepreciation="N/A",'Cash Flow'!CU8,'Cash Flow'!CU8*(1-federal_tax_rate/100)),"")</f>
        <v/>
      </c>
      <c r="CV81" s="79" t="str">
        <f>IF(ISNUMBER(outYear),IF(FederalDepreciation="N/A",'Cash Flow'!CV8,'Cash Flow'!CV8*(1-federal_tax_rate/100)),"")</f>
        <v/>
      </c>
      <c r="CW81" s="79" t="str">
        <f>IF(ISNUMBER(outYear),IF(FederalDepreciation="N/A",'Cash Flow'!CW8,'Cash Flow'!CW8*(1-federal_tax_rate/100)),"")</f>
        <v/>
      </c>
      <c r="CX81" s="79" t="str">
        <f>IF(ISNUMBER(outYear),IF(FederalDepreciation="N/A",'Cash Flow'!CX8,'Cash Flow'!CX8*(1-federal_tax_rate/100)),"")</f>
        <v/>
      </c>
    </row>
    <row r="82" spans="1:255" s="2" customFormat="1">
      <c r="A82" s="15" t="s">
        <v>40</v>
      </c>
      <c r="B82" s="91">
        <f>IF(ISNUMBER(outYear),+B80+B8,"")</f>
        <v>-532718</v>
      </c>
      <c r="C82" s="91">
        <f t="shared" ref="C82:AH82" si="56">IF(ISNUMBER(outYear),+C80+C81,"")</f>
        <v>296956.56408187503</v>
      </c>
      <c r="D82" s="91">
        <f t="shared" si="56"/>
        <v>59975.333815210048</v>
      </c>
      <c r="E82" s="91">
        <f t="shared" si="56"/>
        <v>50014.665211555504</v>
      </c>
      <c r="F82" s="91">
        <f t="shared" si="56"/>
        <v>44452.021439611504</v>
      </c>
      <c r="G82" s="91">
        <f t="shared" si="56"/>
        <v>45473.013437302005</v>
      </c>
      <c r="H82" s="91">
        <f t="shared" si="56"/>
        <v>41608.492404139368</v>
      </c>
      <c r="I82" s="91">
        <f t="shared" si="56"/>
        <v>37775.077286509004</v>
      </c>
      <c r="J82" s="91">
        <f t="shared" si="56"/>
        <v>38889.413693323942</v>
      </c>
      <c r="K82" s="91">
        <f t="shared" si="56"/>
        <v>40036.729577118444</v>
      </c>
      <c r="L82" s="91">
        <f t="shared" si="56"/>
        <v>-6031.9962771312348</v>
      </c>
      <c r="M82" s="91">
        <f t="shared" si="56"/>
        <v>42434.244034051837</v>
      </c>
      <c r="N82" s="91">
        <f t="shared" si="56"/>
        <v>43686.488400670976</v>
      </c>
      <c r="O82" s="91">
        <f t="shared" si="56"/>
        <v>44975.805593202313</v>
      </c>
      <c r="P82" s="91">
        <f t="shared" si="56"/>
        <v>46303.296183237762</v>
      </c>
      <c r="Q82" s="91">
        <f t="shared" si="56"/>
        <v>47670.093491619518</v>
      </c>
      <c r="R82" s="91">
        <f t="shared" si="56"/>
        <v>49077.364564894437</v>
      </c>
      <c r="S82" s="91">
        <f t="shared" si="56"/>
        <v>50526.311180927463</v>
      </c>
      <c r="T82" s="91">
        <f t="shared" si="56"/>
        <v>52018.170884554216</v>
      </c>
      <c r="U82" s="91">
        <f t="shared" si="56"/>
        <v>53554.218054163997</v>
      </c>
      <c r="V82" s="91">
        <f t="shared" si="56"/>
        <v>55135.765000144165</v>
      </c>
      <c r="W82" s="91">
        <f t="shared" si="56"/>
        <v>56764.163096134806</v>
      </c>
      <c r="X82" s="91">
        <f t="shared" si="56"/>
        <v>58440.803944078034</v>
      </c>
      <c r="Y82" s="91">
        <f t="shared" si="56"/>
        <v>60167.120574070505</v>
      </c>
      <c r="Z82" s="91">
        <f t="shared" si="56"/>
        <v>61944.588680062909</v>
      </c>
      <c r="AA82" s="91">
        <f t="shared" si="56"/>
        <v>63774.727892475152</v>
      </c>
      <c r="AB82" s="91" t="str">
        <f t="shared" si="56"/>
        <v/>
      </c>
      <c r="AC82" s="91" t="str">
        <f t="shared" si="56"/>
        <v/>
      </c>
      <c r="AD82" s="91" t="str">
        <f t="shared" si="56"/>
        <v/>
      </c>
      <c r="AE82" s="91" t="str">
        <f t="shared" si="56"/>
        <v/>
      </c>
      <c r="AF82" s="91" t="str">
        <f t="shared" si="56"/>
        <v/>
      </c>
      <c r="AG82" s="91" t="str">
        <f t="shared" si="56"/>
        <v/>
      </c>
      <c r="AH82" s="91" t="str">
        <f t="shared" si="56"/>
        <v/>
      </c>
      <c r="AI82" s="91" t="str">
        <f t="shared" ref="AI82:BN82" si="57">IF(ISNUMBER(outYear),+AI80+AI81,"")</f>
        <v/>
      </c>
      <c r="AJ82" s="91" t="str">
        <f t="shared" si="57"/>
        <v/>
      </c>
      <c r="AK82" s="91" t="str">
        <f t="shared" si="57"/>
        <v/>
      </c>
      <c r="AL82" s="91" t="str">
        <f t="shared" si="57"/>
        <v/>
      </c>
      <c r="AM82" s="91" t="str">
        <f t="shared" si="57"/>
        <v/>
      </c>
      <c r="AN82" s="91" t="str">
        <f t="shared" si="57"/>
        <v/>
      </c>
      <c r="AO82" s="91" t="str">
        <f t="shared" si="57"/>
        <v/>
      </c>
      <c r="AP82" s="91" t="str">
        <f t="shared" si="57"/>
        <v/>
      </c>
      <c r="AQ82" s="91" t="str">
        <f t="shared" si="57"/>
        <v/>
      </c>
      <c r="AR82" s="91" t="str">
        <f t="shared" si="57"/>
        <v/>
      </c>
      <c r="AS82" s="91" t="str">
        <f t="shared" si="57"/>
        <v/>
      </c>
      <c r="AT82" s="91" t="str">
        <f t="shared" si="57"/>
        <v/>
      </c>
      <c r="AU82" s="91" t="str">
        <f t="shared" si="57"/>
        <v/>
      </c>
      <c r="AV82" s="91" t="str">
        <f t="shared" si="57"/>
        <v/>
      </c>
      <c r="AW82" s="91" t="str">
        <f t="shared" si="57"/>
        <v/>
      </c>
      <c r="AX82" s="91" t="str">
        <f t="shared" si="57"/>
        <v/>
      </c>
      <c r="AY82" s="91" t="str">
        <f t="shared" si="57"/>
        <v/>
      </c>
      <c r="AZ82" s="91" t="str">
        <f t="shared" si="57"/>
        <v/>
      </c>
      <c r="BA82" s="91" t="str">
        <f t="shared" si="57"/>
        <v/>
      </c>
      <c r="BB82" s="91" t="str">
        <f t="shared" si="57"/>
        <v/>
      </c>
      <c r="BC82" s="91" t="str">
        <f t="shared" si="57"/>
        <v/>
      </c>
      <c r="BD82" s="91" t="str">
        <f t="shared" si="57"/>
        <v/>
      </c>
      <c r="BE82" s="91" t="str">
        <f t="shared" si="57"/>
        <v/>
      </c>
      <c r="BF82" s="91" t="str">
        <f t="shared" si="57"/>
        <v/>
      </c>
      <c r="BG82" s="91" t="str">
        <f t="shared" si="57"/>
        <v/>
      </c>
      <c r="BH82" s="91" t="str">
        <f t="shared" si="57"/>
        <v/>
      </c>
      <c r="BI82" s="91" t="str">
        <f t="shared" si="57"/>
        <v/>
      </c>
      <c r="BJ82" s="91" t="str">
        <f t="shared" si="57"/>
        <v/>
      </c>
      <c r="BK82" s="91" t="str">
        <f t="shared" si="57"/>
        <v/>
      </c>
      <c r="BL82" s="91" t="str">
        <f t="shared" si="57"/>
        <v/>
      </c>
      <c r="BM82" s="91" t="str">
        <f t="shared" si="57"/>
        <v/>
      </c>
      <c r="BN82" s="91" t="str">
        <f t="shared" si="57"/>
        <v/>
      </c>
      <c r="BO82" s="91" t="str">
        <f t="shared" ref="BO82:CT82" si="58">IF(ISNUMBER(outYear),+BO80+BO81,"")</f>
        <v/>
      </c>
      <c r="BP82" s="91" t="str">
        <f t="shared" si="58"/>
        <v/>
      </c>
      <c r="BQ82" s="91" t="str">
        <f t="shared" si="58"/>
        <v/>
      </c>
      <c r="BR82" s="91" t="str">
        <f t="shared" si="58"/>
        <v/>
      </c>
      <c r="BS82" s="91" t="str">
        <f t="shared" si="58"/>
        <v/>
      </c>
      <c r="BT82" s="91" t="str">
        <f t="shared" si="58"/>
        <v/>
      </c>
      <c r="BU82" s="91" t="str">
        <f t="shared" si="58"/>
        <v/>
      </c>
      <c r="BV82" s="91" t="str">
        <f t="shared" si="58"/>
        <v/>
      </c>
      <c r="BW82" s="91" t="str">
        <f t="shared" si="58"/>
        <v/>
      </c>
      <c r="BX82" s="91" t="str">
        <f t="shared" si="58"/>
        <v/>
      </c>
      <c r="BY82" s="91" t="str">
        <f t="shared" si="58"/>
        <v/>
      </c>
      <c r="BZ82" s="91" t="str">
        <f t="shared" si="58"/>
        <v/>
      </c>
      <c r="CA82" s="91" t="str">
        <f t="shared" si="58"/>
        <v/>
      </c>
      <c r="CB82" s="91" t="str">
        <f t="shared" si="58"/>
        <v/>
      </c>
      <c r="CC82" s="91" t="str">
        <f t="shared" si="58"/>
        <v/>
      </c>
      <c r="CD82" s="91" t="str">
        <f t="shared" si="58"/>
        <v/>
      </c>
      <c r="CE82" s="91" t="str">
        <f t="shared" si="58"/>
        <v/>
      </c>
      <c r="CF82" s="91" t="str">
        <f t="shared" si="58"/>
        <v/>
      </c>
      <c r="CG82" s="91" t="str">
        <f t="shared" si="58"/>
        <v/>
      </c>
      <c r="CH82" s="91" t="str">
        <f t="shared" si="58"/>
        <v/>
      </c>
      <c r="CI82" s="91" t="str">
        <f t="shared" si="58"/>
        <v/>
      </c>
      <c r="CJ82" s="91" t="str">
        <f t="shared" si="58"/>
        <v/>
      </c>
      <c r="CK82" s="91" t="str">
        <f t="shared" si="58"/>
        <v/>
      </c>
      <c r="CL82" s="91" t="str">
        <f t="shared" si="58"/>
        <v/>
      </c>
      <c r="CM82" s="91" t="str">
        <f t="shared" si="58"/>
        <v/>
      </c>
      <c r="CN82" s="91" t="str">
        <f t="shared" si="58"/>
        <v/>
      </c>
      <c r="CO82" s="91" t="str">
        <f t="shared" si="58"/>
        <v/>
      </c>
      <c r="CP82" s="91" t="str">
        <f t="shared" si="58"/>
        <v/>
      </c>
      <c r="CQ82" s="91" t="str">
        <f t="shared" si="58"/>
        <v/>
      </c>
      <c r="CR82" s="91" t="str">
        <f t="shared" si="58"/>
        <v/>
      </c>
      <c r="CS82" s="91" t="str">
        <f t="shared" si="58"/>
        <v/>
      </c>
      <c r="CT82" s="91" t="str">
        <f t="shared" si="58"/>
        <v/>
      </c>
      <c r="CU82" s="91" t="str">
        <f t="shared" ref="CU82:CX82" si="59">IF(ISNUMBER(outYear),+CU80+CU81,"")</f>
        <v/>
      </c>
      <c r="CV82" s="91" t="str">
        <f t="shared" si="59"/>
        <v/>
      </c>
      <c r="CW82" s="91" t="str">
        <f t="shared" si="59"/>
        <v/>
      </c>
      <c r="CX82" s="91" t="str">
        <f t="shared" si="59"/>
        <v/>
      </c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</row>
    <row r="83" spans="1:255">
      <c r="B83" s="5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</row>
    <row r="84" spans="1:255">
      <c r="A84" s="62" t="s">
        <v>96</v>
      </c>
      <c r="B84" s="73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4"/>
      <c r="AH84" s="74"/>
      <c r="AI84" s="74"/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  <c r="AW84" s="74"/>
      <c r="AX84" s="74"/>
      <c r="AY84" s="74"/>
      <c r="AZ84" s="74"/>
      <c r="BA84" s="74"/>
      <c r="BB84" s="74"/>
      <c r="BC84" s="74"/>
      <c r="BD84" s="74"/>
      <c r="BE84" s="74"/>
      <c r="BF84" s="74"/>
      <c r="BG84" s="74"/>
      <c r="BH84" s="74"/>
      <c r="BI84" s="74"/>
      <c r="BJ84" s="74"/>
      <c r="BK84" s="74"/>
      <c r="BL84" s="74"/>
      <c r="BM84" s="74"/>
      <c r="BN84" s="74"/>
      <c r="BO84" s="74"/>
      <c r="BP84" s="74"/>
      <c r="BQ84" s="74"/>
      <c r="BR84" s="74"/>
      <c r="BS84" s="74"/>
      <c r="BT84" s="74"/>
      <c r="BU84" s="74"/>
      <c r="BV84" s="74"/>
      <c r="BW84" s="74"/>
      <c r="BX84" s="74"/>
      <c r="BY84" s="74"/>
      <c r="BZ84" s="74"/>
      <c r="CA84" s="74"/>
      <c r="CB84" s="74"/>
      <c r="CC84" s="74"/>
      <c r="CD84" s="74"/>
      <c r="CE84" s="74"/>
      <c r="CF84" s="74"/>
      <c r="CG84" s="74"/>
      <c r="CH84" s="74"/>
      <c r="CI84" s="74"/>
      <c r="CJ84" s="74"/>
      <c r="CK84" s="74"/>
      <c r="CL84" s="74"/>
      <c r="CM84" s="74"/>
      <c r="CN84" s="74"/>
      <c r="CO84" s="74"/>
      <c r="CP84" s="74"/>
      <c r="CQ84" s="74"/>
      <c r="CR84" s="74"/>
      <c r="CS84" s="74"/>
      <c r="CT84" s="74"/>
      <c r="CU84" s="74"/>
      <c r="CV84" s="74"/>
      <c r="CW84" s="74"/>
      <c r="CX84" s="71"/>
    </row>
    <row r="85" spans="1:255">
      <c r="A85" t="s">
        <v>98</v>
      </c>
      <c r="B85" s="153">
        <f>IF(ISNUMBER(outYear),-'Inputs and Outputs'!B77,"")</f>
        <v>0</v>
      </c>
      <c r="C85" s="153">
        <f>IF(ISNUMBER(outYear),-'Inputs and Outputs'!C77*(1-federal_tax_rate/100),"")</f>
        <v>-536075.91686250002</v>
      </c>
      <c r="D85" s="153">
        <f>IF(ISNUMBER(outYear),-'Inputs and Outputs'!D77*(1-federal_tax_rate/100),"")</f>
        <v>-552225.20385798276</v>
      </c>
      <c r="E85" s="153">
        <f>IF(ISNUMBER(outYear),-'Inputs and Outputs'!E77*(1-federal_tax_rate/100),"")</f>
        <v>-568860.98812420445</v>
      </c>
      <c r="F85" s="153">
        <f>IF(ISNUMBER(outYear),-'Inputs and Outputs'!F77*(1-federal_tax_rate/100),"")</f>
        <v>-585997.9253914461</v>
      </c>
      <c r="G85" s="153">
        <f>IF(ISNUMBER(outYear),-'Inputs and Outputs'!G77*(1-federal_tax_rate/100),"")</f>
        <v>-603651.11289386358</v>
      </c>
      <c r="H85" s="153">
        <f>IF(ISNUMBER(outYear),-'Inputs and Outputs'!H77*(1-federal_tax_rate/100),"")</f>
        <v>-621836.10266979109</v>
      </c>
      <c r="I85" s="153">
        <f>IF(ISNUMBER(outYear),-'Inputs and Outputs'!I77*(1-federal_tax_rate/100),"")</f>
        <v>-640568.91526271845</v>
      </c>
      <c r="J85" s="153">
        <f>IF(ISNUMBER(outYear),-'Inputs and Outputs'!J77*(1-federal_tax_rate/100),"")</f>
        <v>-659866.05383500794</v>
      </c>
      <c r="K85" s="153">
        <f>IF(ISNUMBER(outYear),-'Inputs and Outputs'!K77*(1-federal_tax_rate/100),"")</f>
        <v>-679744.51870678761</v>
      </c>
      <c r="L85" s="153">
        <f>IF(ISNUMBER(outYear),-'Inputs and Outputs'!L77*(1-federal_tax_rate/100),"")</f>
        <v>-700221.82233282947</v>
      </c>
      <c r="M85" s="153">
        <f>IF(ISNUMBER(outYear),-'Inputs and Outputs'!M77*(1-federal_tax_rate/100),"")</f>
        <v>-721316.00473060599</v>
      </c>
      <c r="N85" s="153">
        <f>IF(ISNUMBER(outYear),-'Inputs and Outputs'!N77*(1-federal_tax_rate/100),"")</f>
        <v>-743045.64937311539</v>
      </c>
      <c r="O85" s="153">
        <f>IF(ISNUMBER(outYear),-'Inputs and Outputs'!O77*(1-federal_tax_rate/100),"")</f>
        <v>-765429.89956048061</v>
      </c>
      <c r="P85" s="153">
        <f>IF(ISNUMBER(outYear),-'Inputs and Outputs'!P77*(1-federal_tax_rate/100),"")</f>
        <v>-788488.47528473998</v>
      </c>
      <c r="Q85" s="153">
        <f>IF(ISNUMBER(outYear),-'Inputs and Outputs'!Q77*(1-federal_tax_rate/100),"")</f>
        <v>-812241.69060269266</v>
      </c>
      <c r="R85" s="153">
        <f>IF(ISNUMBER(outYear),-'Inputs and Outputs'!R77*(1-federal_tax_rate/100),"")</f>
        <v>-836710.47153209895</v>
      </c>
      <c r="S85" s="153">
        <f>IF(ISNUMBER(outYear),-'Inputs and Outputs'!S77*(1-federal_tax_rate/100),"")</f>
        <v>-861916.37448700331</v>
      </c>
      <c r="T85" s="153">
        <f>IF(ISNUMBER(outYear),-'Inputs and Outputs'!T77*(1-federal_tax_rate/100),"")</f>
        <v>-887881.60526842438</v>
      </c>
      <c r="U85" s="153">
        <f>IF(ISNUMBER(outYear),-'Inputs and Outputs'!U77*(1-federal_tax_rate/100),"")</f>
        <v>-914629.03862713557</v>
      </c>
      <c r="V85" s="153">
        <f>IF(ISNUMBER(outYear),-'Inputs and Outputs'!V77*(1-federal_tax_rate/100),"")</f>
        <v>-942182.23841577815</v>
      </c>
      <c r="W85" s="153">
        <f>IF(ISNUMBER(outYear),-'Inputs and Outputs'!W77*(1-federal_tax_rate/100),"")</f>
        <v>-970565.47834805341</v>
      </c>
      <c r="X85" s="153">
        <f>IF(ISNUMBER(outYear),-'Inputs and Outputs'!X77*(1-federal_tax_rate/100),"")</f>
        <v>-999803.76338328852</v>
      </c>
      <c r="Y85" s="153">
        <f>IF(ISNUMBER(outYear),-'Inputs and Outputs'!Y77*(1-federal_tax_rate/100),"")</f>
        <v>-1029922.8517552098</v>
      </c>
      <c r="Z85" s="153">
        <f>IF(ISNUMBER(outYear),-'Inputs and Outputs'!Z77*(1-federal_tax_rate/100),"")</f>
        <v>-1060949.2776643357</v>
      </c>
      <c r="AA85" s="153">
        <f>IF(ISNUMBER(outYear),-'Inputs and Outputs'!AA77*(1-federal_tax_rate/100),"")</f>
        <v>-1092910.3746539741</v>
      </c>
      <c r="AB85" s="153" t="str">
        <f>IF(ISNUMBER(outYear),-'Inputs and Outputs'!AB77*(1-federal_tax_rate/100),"")</f>
        <v/>
      </c>
      <c r="AC85" s="153" t="str">
        <f>IF(ISNUMBER(outYear),-'Inputs and Outputs'!AC77*(1-federal_tax_rate/100),"")</f>
        <v/>
      </c>
      <c r="AD85" s="153" t="str">
        <f>IF(ISNUMBER(outYear),-'Inputs and Outputs'!AD77*(1-federal_tax_rate/100),"")</f>
        <v/>
      </c>
      <c r="AE85" s="153" t="str">
        <f>IF(ISNUMBER(outYear),-'Inputs and Outputs'!AE77*(1-federal_tax_rate/100),"")</f>
        <v/>
      </c>
      <c r="AF85" s="153" t="str">
        <f>IF(ISNUMBER(outYear),-'Inputs and Outputs'!AF77*(1-federal_tax_rate/100),"")</f>
        <v/>
      </c>
      <c r="AG85" s="153" t="str">
        <f>IF(ISNUMBER(outYear),-'Inputs and Outputs'!AG77*(1-federal_tax_rate/100),"")</f>
        <v/>
      </c>
      <c r="AH85" s="153" t="str">
        <f>IF(ISNUMBER(outYear),-'Inputs and Outputs'!AH77*(1-federal_tax_rate/100),"")</f>
        <v/>
      </c>
      <c r="AI85" s="153" t="str">
        <f>IF(ISNUMBER(outYear),-'Inputs and Outputs'!AI77*(1-federal_tax_rate/100),"")</f>
        <v/>
      </c>
      <c r="AJ85" s="153" t="str">
        <f>IF(ISNUMBER(outYear),-'Inputs and Outputs'!AJ77*(1-federal_tax_rate/100),"")</f>
        <v/>
      </c>
      <c r="AK85" s="153" t="str">
        <f>IF(ISNUMBER(outYear),-'Inputs and Outputs'!AK77*(1-federal_tax_rate/100),"")</f>
        <v/>
      </c>
      <c r="AL85" s="153" t="str">
        <f>IF(ISNUMBER(outYear),-'Inputs and Outputs'!AL77*(1-federal_tax_rate/100),"")</f>
        <v/>
      </c>
      <c r="AM85" s="153" t="str">
        <f>IF(ISNUMBER(outYear),-'Inputs and Outputs'!AM77*(1-federal_tax_rate/100),"")</f>
        <v/>
      </c>
      <c r="AN85" s="153" t="str">
        <f>IF(ISNUMBER(outYear),-'Inputs and Outputs'!AN77*(1-federal_tax_rate/100),"")</f>
        <v/>
      </c>
      <c r="AO85" s="153" t="str">
        <f>IF(ISNUMBER(outYear),-'Inputs and Outputs'!AO77*(1-federal_tax_rate/100),"")</f>
        <v/>
      </c>
      <c r="AP85" s="153" t="str">
        <f>IF(ISNUMBER(outYear),-'Inputs and Outputs'!AP77*(1-federal_tax_rate/100),"")</f>
        <v/>
      </c>
      <c r="AQ85" s="153" t="str">
        <f>IF(ISNUMBER(outYear),-'Inputs and Outputs'!AQ77*(1-federal_tax_rate/100),"")</f>
        <v/>
      </c>
      <c r="AR85" s="153" t="str">
        <f>IF(ISNUMBER(outYear),-'Inputs and Outputs'!AR77*(1-federal_tax_rate/100),"")</f>
        <v/>
      </c>
      <c r="AS85" s="153" t="str">
        <f>IF(ISNUMBER(outYear),-'Inputs and Outputs'!AS77*(1-federal_tax_rate/100),"")</f>
        <v/>
      </c>
      <c r="AT85" s="153" t="str">
        <f>IF(ISNUMBER(outYear),-'Inputs and Outputs'!AT77*(1-federal_tax_rate/100),"")</f>
        <v/>
      </c>
      <c r="AU85" s="153" t="str">
        <f>IF(ISNUMBER(outYear),-'Inputs and Outputs'!AU77*(1-federal_tax_rate/100),"")</f>
        <v/>
      </c>
      <c r="AV85" s="153" t="str">
        <f>IF(ISNUMBER(outYear),-'Inputs and Outputs'!AV77*(1-federal_tax_rate/100),"")</f>
        <v/>
      </c>
      <c r="AW85" s="153" t="str">
        <f>IF(ISNUMBER(outYear),-'Inputs and Outputs'!AW77*(1-federal_tax_rate/100),"")</f>
        <v/>
      </c>
      <c r="AX85" s="153" t="str">
        <f>IF(ISNUMBER(outYear),-'Inputs and Outputs'!AX77*(1-federal_tax_rate/100),"")</f>
        <v/>
      </c>
      <c r="AY85" s="153" t="str">
        <f>IF(ISNUMBER(outYear),-'Inputs and Outputs'!AY77*(1-federal_tax_rate/100),"")</f>
        <v/>
      </c>
      <c r="AZ85" s="153" t="str">
        <f>IF(ISNUMBER(outYear),-'Inputs and Outputs'!AZ77*(1-federal_tax_rate/100),"")</f>
        <v/>
      </c>
      <c r="BA85" s="153" t="str">
        <f>IF(ISNUMBER(outYear),-'Inputs and Outputs'!BA77*(1-federal_tax_rate/100),"")</f>
        <v/>
      </c>
      <c r="BB85" s="153" t="str">
        <f>IF(ISNUMBER(outYear),-'Inputs and Outputs'!BB77*(1-federal_tax_rate/100),"")</f>
        <v/>
      </c>
      <c r="BC85" s="153" t="str">
        <f>IF(ISNUMBER(outYear),-'Inputs and Outputs'!BC77*(1-federal_tax_rate/100),"")</f>
        <v/>
      </c>
      <c r="BD85" s="153" t="str">
        <f>IF(ISNUMBER(outYear),-'Inputs and Outputs'!BD77*(1-federal_tax_rate/100),"")</f>
        <v/>
      </c>
      <c r="BE85" s="153" t="str">
        <f>IF(ISNUMBER(outYear),-'Inputs and Outputs'!BE77*(1-federal_tax_rate/100),"")</f>
        <v/>
      </c>
      <c r="BF85" s="153" t="str">
        <f>IF(ISNUMBER(outYear),-'Inputs and Outputs'!BF77*(1-federal_tax_rate/100),"")</f>
        <v/>
      </c>
      <c r="BG85" s="153" t="str">
        <f>IF(ISNUMBER(outYear),-'Inputs and Outputs'!BG77*(1-federal_tax_rate/100),"")</f>
        <v/>
      </c>
      <c r="BH85" s="153" t="str">
        <f>IF(ISNUMBER(outYear),-'Inputs and Outputs'!BH77*(1-federal_tax_rate/100),"")</f>
        <v/>
      </c>
      <c r="BI85" s="153" t="str">
        <f>IF(ISNUMBER(outYear),-'Inputs and Outputs'!BI77*(1-federal_tax_rate/100),"")</f>
        <v/>
      </c>
      <c r="BJ85" s="153" t="str">
        <f>IF(ISNUMBER(outYear),-'Inputs and Outputs'!BJ77*(1-federal_tax_rate/100),"")</f>
        <v/>
      </c>
      <c r="BK85" s="153" t="str">
        <f>IF(ISNUMBER(outYear),-'Inputs and Outputs'!BK77*(1-federal_tax_rate/100),"")</f>
        <v/>
      </c>
      <c r="BL85" s="153" t="str">
        <f>IF(ISNUMBER(outYear),-'Inputs and Outputs'!BL77*(1-federal_tax_rate/100),"")</f>
        <v/>
      </c>
      <c r="BM85" s="153" t="str">
        <f>IF(ISNUMBER(outYear),-'Inputs and Outputs'!BM77*(1-federal_tax_rate/100),"")</f>
        <v/>
      </c>
      <c r="BN85" s="153" t="str">
        <f>IF(ISNUMBER(outYear),-'Inputs and Outputs'!BN77*(1-federal_tax_rate/100),"")</f>
        <v/>
      </c>
      <c r="BO85" s="153" t="str">
        <f>IF(ISNUMBER(outYear),-'Inputs and Outputs'!BO77*(1-federal_tax_rate/100),"")</f>
        <v/>
      </c>
      <c r="BP85" s="153" t="str">
        <f>IF(ISNUMBER(outYear),-'Inputs and Outputs'!BP77*(1-federal_tax_rate/100),"")</f>
        <v/>
      </c>
      <c r="BQ85" s="153" t="str">
        <f>IF(ISNUMBER(outYear),-'Inputs and Outputs'!BQ77*(1-federal_tax_rate/100),"")</f>
        <v/>
      </c>
      <c r="BR85" s="153" t="str">
        <f>IF(ISNUMBER(outYear),-'Inputs and Outputs'!BR77*(1-federal_tax_rate/100),"")</f>
        <v/>
      </c>
      <c r="BS85" s="153" t="str">
        <f>IF(ISNUMBER(outYear),-'Inputs and Outputs'!BS77*(1-federal_tax_rate/100),"")</f>
        <v/>
      </c>
      <c r="BT85" s="153" t="str">
        <f>IF(ISNUMBER(outYear),-'Inputs and Outputs'!BT77*(1-federal_tax_rate/100),"")</f>
        <v/>
      </c>
      <c r="BU85" s="153" t="str">
        <f>IF(ISNUMBER(outYear),-'Inputs and Outputs'!BU77*(1-federal_tax_rate/100),"")</f>
        <v/>
      </c>
      <c r="BV85" s="153" t="str">
        <f>IF(ISNUMBER(outYear),-'Inputs and Outputs'!BV77*(1-federal_tax_rate/100),"")</f>
        <v/>
      </c>
      <c r="BW85" s="153" t="str">
        <f>IF(ISNUMBER(outYear),-'Inputs and Outputs'!BW77*(1-federal_tax_rate/100),"")</f>
        <v/>
      </c>
      <c r="BX85" s="153" t="str">
        <f>IF(ISNUMBER(outYear),-'Inputs and Outputs'!BX77*(1-federal_tax_rate/100),"")</f>
        <v/>
      </c>
      <c r="BY85" s="153" t="str">
        <f>IF(ISNUMBER(outYear),-'Inputs and Outputs'!BY77*(1-federal_tax_rate/100),"")</f>
        <v/>
      </c>
      <c r="BZ85" s="153" t="str">
        <f>IF(ISNUMBER(outYear),-'Inputs and Outputs'!BZ77*(1-federal_tax_rate/100),"")</f>
        <v/>
      </c>
      <c r="CA85" s="153" t="str">
        <f>IF(ISNUMBER(outYear),-'Inputs and Outputs'!CA77*(1-federal_tax_rate/100),"")</f>
        <v/>
      </c>
      <c r="CB85" s="153" t="str">
        <f>IF(ISNUMBER(outYear),-'Inputs and Outputs'!CB77*(1-federal_tax_rate/100),"")</f>
        <v/>
      </c>
      <c r="CC85" s="153" t="str">
        <f>IF(ISNUMBER(outYear),-'Inputs and Outputs'!CC77*(1-federal_tax_rate/100),"")</f>
        <v/>
      </c>
      <c r="CD85" s="153" t="str">
        <f>IF(ISNUMBER(outYear),-'Inputs and Outputs'!CD77*(1-federal_tax_rate/100),"")</f>
        <v/>
      </c>
      <c r="CE85" s="153" t="str">
        <f>IF(ISNUMBER(outYear),-'Inputs and Outputs'!CE77*(1-federal_tax_rate/100),"")</f>
        <v/>
      </c>
      <c r="CF85" s="153" t="str">
        <f>IF(ISNUMBER(outYear),-'Inputs and Outputs'!CF77*(1-federal_tax_rate/100),"")</f>
        <v/>
      </c>
      <c r="CG85" s="153" t="str">
        <f>IF(ISNUMBER(outYear),-'Inputs and Outputs'!CG77*(1-federal_tax_rate/100),"")</f>
        <v/>
      </c>
      <c r="CH85" s="153" t="str">
        <f>IF(ISNUMBER(outYear),-'Inputs and Outputs'!CH77*(1-federal_tax_rate/100),"")</f>
        <v/>
      </c>
      <c r="CI85" s="153" t="str">
        <f>IF(ISNUMBER(outYear),-'Inputs and Outputs'!CI77*(1-federal_tax_rate/100),"")</f>
        <v/>
      </c>
      <c r="CJ85" s="153" t="str">
        <f>IF(ISNUMBER(outYear),-'Inputs and Outputs'!CJ77*(1-federal_tax_rate/100),"")</f>
        <v/>
      </c>
      <c r="CK85" s="153" t="str">
        <f>IF(ISNUMBER(outYear),-'Inputs and Outputs'!CK77*(1-federal_tax_rate/100),"")</f>
        <v/>
      </c>
      <c r="CL85" s="153" t="str">
        <f>IF(ISNUMBER(outYear),-'Inputs and Outputs'!CL77*(1-federal_tax_rate/100),"")</f>
        <v/>
      </c>
      <c r="CM85" s="153" t="str">
        <f>IF(ISNUMBER(outYear),-'Inputs and Outputs'!CM77*(1-federal_tax_rate/100),"")</f>
        <v/>
      </c>
      <c r="CN85" s="153" t="str">
        <f>IF(ISNUMBER(outYear),-'Inputs and Outputs'!CN77*(1-federal_tax_rate/100),"")</f>
        <v/>
      </c>
      <c r="CO85" s="153" t="str">
        <f>IF(ISNUMBER(outYear),-'Inputs and Outputs'!CO77*(1-federal_tax_rate/100),"")</f>
        <v/>
      </c>
      <c r="CP85" s="153" t="str">
        <f>IF(ISNUMBER(outYear),-'Inputs and Outputs'!CP77*(1-federal_tax_rate/100),"")</f>
        <v/>
      </c>
      <c r="CQ85" s="153" t="str">
        <f>IF(ISNUMBER(outYear),-'Inputs and Outputs'!CQ77*(1-federal_tax_rate/100),"")</f>
        <v/>
      </c>
      <c r="CR85" s="153" t="str">
        <f>IF(ISNUMBER(outYear),-'Inputs and Outputs'!CR77*(1-federal_tax_rate/100),"")</f>
        <v/>
      </c>
      <c r="CS85" s="153" t="str">
        <f>IF(ISNUMBER(outYear),-'Inputs and Outputs'!CS77*(1-federal_tax_rate/100),"")</f>
        <v/>
      </c>
      <c r="CT85" s="153" t="str">
        <f>IF(ISNUMBER(outYear),-'Inputs and Outputs'!CT77*(1-federal_tax_rate/100),"")</f>
        <v/>
      </c>
      <c r="CU85" s="153" t="str">
        <f>IF(ISNUMBER(outYear),-'Inputs and Outputs'!CU77*(1-federal_tax_rate/100),"")</f>
        <v/>
      </c>
      <c r="CV85" s="153" t="str">
        <f>IF(ISNUMBER(outYear),-'Inputs and Outputs'!CV77*(1-federal_tax_rate/100),"")</f>
        <v/>
      </c>
      <c r="CW85" s="153" t="str">
        <f>IF(ISNUMBER(outYear),-'Inputs and Outputs'!CW77*(1-federal_tax_rate/100),"")</f>
        <v/>
      </c>
      <c r="CX85" s="153" t="str">
        <f>IF(ISNUMBER(outYear),-'Inputs and Outputs'!CX77*(1-federal_tax_rate/100),"")</f>
        <v/>
      </c>
    </row>
    <row r="86" spans="1:255">
      <c r="A86" t="s">
        <v>97</v>
      </c>
      <c r="B86" s="153">
        <f>IF(ISNUMBER(outYear),B80,"")</f>
        <v>-532718</v>
      </c>
      <c r="C86" s="153">
        <f>IF(ISNUMBER(outYear),C80-('Inputs and Outputs'!C78+'Inputs and Outputs'!C79)*(1-federal_tax_rate/100),"")</f>
        <v>-239119.35278062493</v>
      </c>
      <c r="D86" s="153">
        <f>IF(ISNUMBER(outYear),D80-('Inputs and Outputs'!D78+'Inputs and Outputs'!D79)*(1-federal_tax_rate/100),"")</f>
        <v>-492249.87004277273</v>
      </c>
      <c r="E86" s="153">
        <f>IF(ISNUMBER(outYear),E80-('Inputs and Outputs'!E78+'Inputs and Outputs'!E79)*(1-federal_tax_rate/100),"")</f>
        <v>-518846.32291264902</v>
      </c>
      <c r="F86" s="153">
        <f>IF(ISNUMBER(outYear),F80-('Inputs and Outputs'!F78+'Inputs and Outputs'!F79)*(1-federal_tax_rate/100),"")</f>
        <v>-541545.90395183465</v>
      </c>
      <c r="G86" s="153">
        <f>IF(ISNUMBER(outYear),G80-('Inputs and Outputs'!G78+'Inputs and Outputs'!G79)*(1-federal_tax_rate/100),"")</f>
        <v>-558178.09945656161</v>
      </c>
      <c r="H86" s="153">
        <f>IF(ISNUMBER(outYear),H80-('Inputs and Outputs'!H78+'Inputs and Outputs'!H79)*(1-federal_tax_rate/100),"")</f>
        <v>-580227.61026565172</v>
      </c>
      <c r="I86" s="153">
        <f>IF(ISNUMBER(outYear),I80-('Inputs and Outputs'!I78+'Inputs and Outputs'!I79)*(1-federal_tax_rate/100),"")</f>
        <v>-602793.83797620947</v>
      </c>
      <c r="J86" s="153">
        <f>IF(ISNUMBER(outYear),J80-('Inputs and Outputs'!J78+'Inputs and Outputs'!J79)*(1-federal_tax_rate/100),"")</f>
        <v>-620976.6401416841</v>
      </c>
      <c r="K86" s="153">
        <f>IF(ISNUMBER(outYear),K80-('Inputs and Outputs'!K78+'Inputs and Outputs'!K79)*(1-federal_tax_rate/100),"")</f>
        <v>-639707.7891296692</v>
      </c>
      <c r="L86" s="153">
        <f>IF(ISNUMBER(outYear),L80-('Inputs and Outputs'!L78+'Inputs and Outputs'!L79)*(1-federal_tax_rate/100),"")</f>
        <v>-706253.81860996073</v>
      </c>
      <c r="M86" s="153">
        <f>IF(ISNUMBER(outYear),M80-('Inputs and Outputs'!M78+'Inputs and Outputs'!M79)*(1-federal_tax_rate/100),"")</f>
        <v>-678881.76069655409</v>
      </c>
      <c r="N86" s="153">
        <f>IF(ISNUMBER(outYear),N80-('Inputs and Outputs'!N78+'Inputs and Outputs'!N79)*(1-federal_tax_rate/100),"")</f>
        <v>-699359.16097244446</v>
      </c>
      <c r="O86" s="153">
        <f>IF(ISNUMBER(outYear),O80-('Inputs and Outputs'!O78+'Inputs and Outputs'!O79)*(1-federal_tax_rate/100),"")</f>
        <v>-720454.09396727826</v>
      </c>
      <c r="P86" s="153">
        <f>IF(ISNUMBER(outYear),P80-('Inputs and Outputs'!P78+'Inputs and Outputs'!P79)*(1-federal_tax_rate/100),"")</f>
        <v>-742185.17910150217</v>
      </c>
      <c r="Q86" s="153">
        <f>IF(ISNUMBER(outYear),Q80-('Inputs and Outputs'!Q78+'Inputs and Outputs'!Q79)*(1-federal_tax_rate/100),"")</f>
        <v>-764571.59711107321</v>
      </c>
      <c r="R86" s="153">
        <f>IF(ISNUMBER(outYear),R80-('Inputs and Outputs'!R78+'Inputs and Outputs'!R79)*(1-federal_tax_rate/100),"")</f>
        <v>-787633.1069672046</v>
      </c>
      <c r="S86" s="153">
        <f>IF(ISNUMBER(outYear),S80-('Inputs and Outputs'!S78+'Inputs and Outputs'!S79)*(1-federal_tax_rate/100),"")</f>
        <v>-811390.06330607587</v>
      </c>
      <c r="T86" s="153">
        <f>IF(ISNUMBER(outYear),T80-('Inputs and Outputs'!T78+'Inputs and Outputs'!T79)*(1-federal_tax_rate/100),"")</f>
        <v>-835863.4343838701</v>
      </c>
      <c r="U86" s="153">
        <f>IF(ISNUMBER(outYear),U80-('Inputs and Outputs'!U78+'Inputs and Outputs'!U79)*(1-federal_tax_rate/100),"")</f>
        <v>-861074.8205729716</v>
      </c>
      <c r="V86" s="153">
        <f>IF(ISNUMBER(outYear),V80-('Inputs and Outputs'!V78+'Inputs and Outputs'!V79)*(1-federal_tax_rate/100),"")</f>
        <v>-887046.47341563401</v>
      </c>
      <c r="W86" s="153">
        <f>IF(ISNUMBER(outYear),W80-('Inputs and Outputs'!W78+'Inputs and Outputs'!W79)*(1-federal_tax_rate/100),"")</f>
        <v>-913801.31525191863</v>
      </c>
      <c r="X86" s="153">
        <f>IF(ISNUMBER(outYear),X80-('Inputs and Outputs'!X78+'Inputs and Outputs'!X79)*(1-federal_tax_rate/100),"")</f>
        <v>-941362.95943921048</v>
      </c>
      <c r="Y86" s="153">
        <f>IF(ISNUMBER(outYear),Y80-('Inputs and Outputs'!Y78+'Inputs and Outputs'!Y79)*(1-federal_tax_rate/100),"")</f>
        <v>-969755.73118113924</v>
      </c>
      <c r="Z86" s="153">
        <f>IF(ISNUMBER(outYear),Z80-('Inputs and Outputs'!Z78+'Inputs and Outputs'!Z79)*(1-federal_tax_rate/100),"")</f>
        <v>-999004.68898427277</v>
      </c>
      <c r="AA86" s="153">
        <f>IF(ISNUMBER(outYear),AA80-('Inputs and Outputs'!AA78+'Inputs and Outputs'!AA79)*(1-federal_tax_rate/100),"")</f>
        <v>-1029135.6467614989</v>
      </c>
      <c r="AB86" s="153" t="str">
        <f>IF(ISNUMBER(outYear),AB80-('Inputs and Outputs'!AB78+'Inputs and Outputs'!AB79)*(1-federal_tax_rate/100),"")</f>
        <v/>
      </c>
      <c r="AC86" s="153" t="str">
        <f>IF(ISNUMBER(outYear),AC80-('Inputs and Outputs'!AC78+'Inputs and Outputs'!AC79)*(1-federal_tax_rate/100),"")</f>
        <v/>
      </c>
      <c r="AD86" s="153" t="str">
        <f>IF(ISNUMBER(outYear),AD80-('Inputs and Outputs'!AD78+'Inputs and Outputs'!AD79)*(1-federal_tax_rate/100),"")</f>
        <v/>
      </c>
      <c r="AE86" s="153" t="str">
        <f>IF(ISNUMBER(outYear),AE80-('Inputs and Outputs'!AE78+'Inputs and Outputs'!AE79)*(1-federal_tax_rate/100),"")</f>
        <v/>
      </c>
      <c r="AF86" s="153" t="str">
        <f>IF(ISNUMBER(outYear),AF80-('Inputs and Outputs'!AF78+'Inputs and Outputs'!AF79)*(1-federal_tax_rate/100),"")</f>
        <v/>
      </c>
      <c r="AG86" s="153" t="str">
        <f>IF(ISNUMBER(outYear),AG80-('Inputs and Outputs'!AG78+'Inputs and Outputs'!AG79)*(1-federal_tax_rate/100),"")</f>
        <v/>
      </c>
      <c r="AH86" s="153" t="str">
        <f>IF(ISNUMBER(outYear),AH80-('Inputs and Outputs'!AH78+'Inputs and Outputs'!AH79)*(1-federal_tax_rate/100),"")</f>
        <v/>
      </c>
      <c r="AI86" s="153" t="str">
        <f>IF(ISNUMBER(outYear),AI80-('Inputs and Outputs'!AI78+'Inputs and Outputs'!AI79)*(1-federal_tax_rate/100),"")</f>
        <v/>
      </c>
      <c r="AJ86" s="153" t="str">
        <f>IF(ISNUMBER(outYear),AJ80-('Inputs and Outputs'!AJ78+'Inputs and Outputs'!AJ79)*(1-federal_tax_rate/100),"")</f>
        <v/>
      </c>
      <c r="AK86" s="153" t="str">
        <f>IF(ISNUMBER(outYear),AK80-('Inputs and Outputs'!AK78+'Inputs and Outputs'!AK79)*(1-federal_tax_rate/100),"")</f>
        <v/>
      </c>
      <c r="AL86" s="153" t="str">
        <f>IF(ISNUMBER(outYear),AL80-('Inputs and Outputs'!AL78+'Inputs and Outputs'!AL79)*(1-federal_tax_rate/100),"")</f>
        <v/>
      </c>
      <c r="AM86" s="153" t="str">
        <f>IF(ISNUMBER(outYear),AM80-('Inputs and Outputs'!AM78+'Inputs and Outputs'!AM79)*(1-federal_tax_rate/100),"")</f>
        <v/>
      </c>
      <c r="AN86" s="153" t="str">
        <f>IF(ISNUMBER(outYear),AN80-('Inputs and Outputs'!AN78+'Inputs and Outputs'!AN79)*(1-federal_tax_rate/100),"")</f>
        <v/>
      </c>
      <c r="AO86" s="153" t="str">
        <f>IF(ISNUMBER(outYear),AO80-('Inputs and Outputs'!AO78+'Inputs and Outputs'!AO79)*(1-federal_tax_rate/100),"")</f>
        <v/>
      </c>
      <c r="AP86" s="153" t="str">
        <f>IF(ISNUMBER(outYear),AP80-('Inputs and Outputs'!AP78+'Inputs and Outputs'!AP79)*(1-federal_tax_rate/100),"")</f>
        <v/>
      </c>
      <c r="AQ86" s="153" t="str">
        <f>IF(ISNUMBER(outYear),AQ80-('Inputs and Outputs'!AQ78+'Inputs and Outputs'!AQ79)*(1-federal_tax_rate/100),"")</f>
        <v/>
      </c>
      <c r="AR86" s="153" t="str">
        <f>IF(ISNUMBER(outYear),AR80-('Inputs and Outputs'!AR78+'Inputs and Outputs'!AR79)*(1-federal_tax_rate/100),"")</f>
        <v/>
      </c>
      <c r="AS86" s="153" t="str">
        <f>IF(ISNUMBER(outYear),AS80-('Inputs and Outputs'!AS78+'Inputs and Outputs'!AS79)*(1-federal_tax_rate/100),"")</f>
        <v/>
      </c>
      <c r="AT86" s="153" t="str">
        <f>IF(ISNUMBER(outYear),AT80-('Inputs and Outputs'!AT78+'Inputs and Outputs'!AT79)*(1-federal_tax_rate/100),"")</f>
        <v/>
      </c>
      <c r="AU86" s="153" t="str">
        <f>IF(ISNUMBER(outYear),AU80-('Inputs and Outputs'!AU78+'Inputs and Outputs'!AU79)*(1-federal_tax_rate/100),"")</f>
        <v/>
      </c>
      <c r="AV86" s="153" t="str">
        <f>IF(ISNUMBER(outYear),AV80-('Inputs and Outputs'!AV78+'Inputs and Outputs'!AV79)*(1-federal_tax_rate/100),"")</f>
        <v/>
      </c>
      <c r="AW86" s="153" t="str">
        <f>IF(ISNUMBER(outYear),AW80-('Inputs and Outputs'!AW78+'Inputs and Outputs'!AW79)*(1-federal_tax_rate/100),"")</f>
        <v/>
      </c>
      <c r="AX86" s="153" t="str">
        <f>IF(ISNUMBER(outYear),AX80-('Inputs and Outputs'!AX78+'Inputs and Outputs'!AX79)*(1-federal_tax_rate/100),"")</f>
        <v/>
      </c>
      <c r="AY86" s="153" t="str">
        <f>IF(ISNUMBER(outYear),AY80-('Inputs and Outputs'!AY78+'Inputs and Outputs'!AY79)*(1-federal_tax_rate/100),"")</f>
        <v/>
      </c>
      <c r="AZ86" s="153" t="str">
        <f>IF(ISNUMBER(outYear),AZ80-('Inputs and Outputs'!AZ78+'Inputs and Outputs'!AZ79)*(1-federal_tax_rate/100),"")</f>
        <v/>
      </c>
      <c r="BA86" s="153" t="str">
        <f>IF(ISNUMBER(outYear),BA80-('Inputs and Outputs'!BA78+'Inputs and Outputs'!BA79)*(1-federal_tax_rate/100),"")</f>
        <v/>
      </c>
      <c r="BB86" s="153" t="str">
        <f>IF(ISNUMBER(outYear),BB80-('Inputs and Outputs'!BB78+'Inputs and Outputs'!BB79)*(1-federal_tax_rate/100),"")</f>
        <v/>
      </c>
      <c r="BC86" s="153" t="str">
        <f>IF(ISNUMBER(outYear),BC80-('Inputs and Outputs'!BC78+'Inputs and Outputs'!BC79)*(1-federal_tax_rate/100),"")</f>
        <v/>
      </c>
      <c r="BD86" s="153" t="str">
        <f>IF(ISNUMBER(outYear),BD80-('Inputs and Outputs'!BD78+'Inputs and Outputs'!BD79)*(1-federal_tax_rate/100),"")</f>
        <v/>
      </c>
      <c r="BE86" s="153" t="str">
        <f>IF(ISNUMBER(outYear),BE80-('Inputs and Outputs'!BE78+'Inputs and Outputs'!BE79)*(1-federal_tax_rate/100),"")</f>
        <v/>
      </c>
      <c r="BF86" s="153" t="str">
        <f>IF(ISNUMBER(outYear),BF80-('Inputs and Outputs'!BF78+'Inputs and Outputs'!BF79)*(1-federal_tax_rate/100),"")</f>
        <v/>
      </c>
      <c r="BG86" s="153" t="str">
        <f>IF(ISNUMBER(outYear),BG80-('Inputs and Outputs'!BG78+'Inputs and Outputs'!BG79)*(1-federal_tax_rate/100),"")</f>
        <v/>
      </c>
      <c r="BH86" s="153" t="str">
        <f>IF(ISNUMBER(outYear),BH80-('Inputs and Outputs'!BH78+'Inputs and Outputs'!BH79)*(1-federal_tax_rate/100),"")</f>
        <v/>
      </c>
      <c r="BI86" s="153" t="str">
        <f>IF(ISNUMBER(outYear),BI80-('Inputs and Outputs'!BI78+'Inputs and Outputs'!BI79)*(1-federal_tax_rate/100),"")</f>
        <v/>
      </c>
      <c r="BJ86" s="153" t="str">
        <f>IF(ISNUMBER(outYear),BJ80-('Inputs and Outputs'!BJ78+'Inputs and Outputs'!BJ79)*(1-federal_tax_rate/100),"")</f>
        <v/>
      </c>
      <c r="BK86" s="153" t="str">
        <f>IF(ISNUMBER(outYear),BK80-('Inputs and Outputs'!BK78+'Inputs and Outputs'!BK79)*(1-federal_tax_rate/100),"")</f>
        <v/>
      </c>
      <c r="BL86" s="153" t="str">
        <f>IF(ISNUMBER(outYear),BL80-('Inputs and Outputs'!BL78+'Inputs and Outputs'!BL79)*(1-federal_tax_rate/100),"")</f>
        <v/>
      </c>
      <c r="BM86" s="153" t="str">
        <f>IF(ISNUMBER(outYear),BM80-('Inputs and Outputs'!BM78+'Inputs and Outputs'!BM79)*(1-federal_tax_rate/100),"")</f>
        <v/>
      </c>
      <c r="BN86" s="153" t="str">
        <f>IF(ISNUMBER(outYear),BN80-('Inputs and Outputs'!BN78+'Inputs and Outputs'!BN79)*(1-federal_tax_rate/100),"")</f>
        <v/>
      </c>
      <c r="BO86" s="153" t="str">
        <f>IF(ISNUMBER(outYear),BO80-('Inputs and Outputs'!BO78+'Inputs and Outputs'!BO79)*(1-federal_tax_rate/100),"")</f>
        <v/>
      </c>
      <c r="BP86" s="153" t="str">
        <f>IF(ISNUMBER(outYear),BP80-('Inputs and Outputs'!BP78+'Inputs and Outputs'!BP79)*(1-federal_tax_rate/100),"")</f>
        <v/>
      </c>
      <c r="BQ86" s="153" t="str">
        <f>IF(ISNUMBER(outYear),BQ80-('Inputs and Outputs'!BQ78+'Inputs and Outputs'!BQ79)*(1-federal_tax_rate/100),"")</f>
        <v/>
      </c>
      <c r="BR86" s="153" t="str">
        <f>IF(ISNUMBER(outYear),BR80-('Inputs and Outputs'!BR78+'Inputs and Outputs'!BR79)*(1-federal_tax_rate/100),"")</f>
        <v/>
      </c>
      <c r="BS86" s="153" t="str">
        <f>IF(ISNUMBER(outYear),BS80-('Inputs and Outputs'!BS78+'Inputs and Outputs'!BS79)*(1-federal_tax_rate/100),"")</f>
        <v/>
      </c>
      <c r="BT86" s="153" t="str">
        <f>IF(ISNUMBER(outYear),BT80-('Inputs and Outputs'!BT78+'Inputs and Outputs'!BT79)*(1-federal_tax_rate/100),"")</f>
        <v/>
      </c>
      <c r="BU86" s="153" t="str">
        <f>IF(ISNUMBER(outYear),BU80-('Inputs and Outputs'!BU78+'Inputs and Outputs'!BU79)*(1-federal_tax_rate/100),"")</f>
        <v/>
      </c>
      <c r="BV86" s="153" t="str">
        <f>IF(ISNUMBER(outYear),BV80-('Inputs and Outputs'!BV78+'Inputs and Outputs'!BV79)*(1-federal_tax_rate/100),"")</f>
        <v/>
      </c>
      <c r="BW86" s="153" t="str">
        <f>IF(ISNUMBER(outYear),BW80-('Inputs and Outputs'!BW78+'Inputs and Outputs'!BW79)*(1-federal_tax_rate/100),"")</f>
        <v/>
      </c>
      <c r="BX86" s="153" t="str">
        <f>IF(ISNUMBER(outYear),BX80-('Inputs and Outputs'!BX78+'Inputs and Outputs'!BX79)*(1-federal_tax_rate/100),"")</f>
        <v/>
      </c>
      <c r="BY86" s="153" t="str">
        <f>IF(ISNUMBER(outYear),BY80-('Inputs and Outputs'!BY78+'Inputs and Outputs'!BY79)*(1-federal_tax_rate/100),"")</f>
        <v/>
      </c>
      <c r="BZ86" s="153" t="str">
        <f>IF(ISNUMBER(outYear),BZ80-('Inputs and Outputs'!BZ78+'Inputs and Outputs'!BZ79)*(1-federal_tax_rate/100),"")</f>
        <v/>
      </c>
      <c r="CA86" s="153" t="str">
        <f>IF(ISNUMBER(outYear),CA80-('Inputs and Outputs'!CA78+'Inputs and Outputs'!CA79)*(1-federal_tax_rate/100),"")</f>
        <v/>
      </c>
      <c r="CB86" s="153" t="str">
        <f>IF(ISNUMBER(outYear),CB80-('Inputs and Outputs'!CB78+'Inputs and Outputs'!CB79)*(1-federal_tax_rate/100),"")</f>
        <v/>
      </c>
      <c r="CC86" s="153" t="str">
        <f>IF(ISNUMBER(outYear),CC80-('Inputs and Outputs'!CC78+'Inputs and Outputs'!CC79)*(1-federal_tax_rate/100),"")</f>
        <v/>
      </c>
      <c r="CD86" s="153" t="str">
        <f>IF(ISNUMBER(outYear),CD80-('Inputs and Outputs'!CD78+'Inputs and Outputs'!CD79)*(1-federal_tax_rate/100),"")</f>
        <v/>
      </c>
      <c r="CE86" s="153" t="str">
        <f>IF(ISNUMBER(outYear),CE80-('Inputs and Outputs'!CE78+'Inputs and Outputs'!CE79)*(1-federal_tax_rate/100),"")</f>
        <v/>
      </c>
      <c r="CF86" s="153" t="str">
        <f>IF(ISNUMBER(outYear),CF80-('Inputs and Outputs'!CF78+'Inputs and Outputs'!CF79)*(1-federal_tax_rate/100),"")</f>
        <v/>
      </c>
      <c r="CG86" s="153" t="str">
        <f>IF(ISNUMBER(outYear),CG80-('Inputs and Outputs'!CG78+'Inputs and Outputs'!CG79)*(1-federal_tax_rate/100),"")</f>
        <v/>
      </c>
      <c r="CH86" s="153" t="str">
        <f>IF(ISNUMBER(outYear),CH80-('Inputs and Outputs'!CH78+'Inputs and Outputs'!CH79)*(1-federal_tax_rate/100),"")</f>
        <v/>
      </c>
      <c r="CI86" s="153" t="str">
        <f>IF(ISNUMBER(outYear),CI80-('Inputs and Outputs'!CI78+'Inputs and Outputs'!CI79)*(1-federal_tax_rate/100),"")</f>
        <v/>
      </c>
      <c r="CJ86" s="153" t="str">
        <f>IF(ISNUMBER(outYear),CJ80-('Inputs and Outputs'!CJ78+'Inputs and Outputs'!CJ79)*(1-federal_tax_rate/100),"")</f>
        <v/>
      </c>
      <c r="CK86" s="153" t="str">
        <f>IF(ISNUMBER(outYear),CK80-('Inputs and Outputs'!CK78+'Inputs and Outputs'!CK79)*(1-federal_tax_rate/100),"")</f>
        <v/>
      </c>
      <c r="CL86" s="153" t="str">
        <f>IF(ISNUMBER(outYear),CL80-('Inputs and Outputs'!CL78+'Inputs and Outputs'!CL79)*(1-federal_tax_rate/100),"")</f>
        <v/>
      </c>
      <c r="CM86" s="153" t="str">
        <f>IF(ISNUMBER(outYear),CM80-('Inputs and Outputs'!CM78+'Inputs and Outputs'!CM79)*(1-federal_tax_rate/100),"")</f>
        <v/>
      </c>
      <c r="CN86" s="153" t="str">
        <f>IF(ISNUMBER(outYear),CN80-('Inputs and Outputs'!CN78+'Inputs and Outputs'!CN79)*(1-federal_tax_rate/100),"")</f>
        <v/>
      </c>
      <c r="CO86" s="153" t="str">
        <f>IF(ISNUMBER(outYear),CO80-('Inputs and Outputs'!CO78+'Inputs and Outputs'!CO79)*(1-federal_tax_rate/100),"")</f>
        <v/>
      </c>
      <c r="CP86" s="153" t="str">
        <f>IF(ISNUMBER(outYear),CP80-('Inputs and Outputs'!CP78+'Inputs and Outputs'!CP79)*(1-federal_tax_rate/100),"")</f>
        <v/>
      </c>
      <c r="CQ86" s="153" t="str">
        <f>IF(ISNUMBER(outYear),CQ80-('Inputs and Outputs'!CQ78+'Inputs and Outputs'!CQ79)*(1-federal_tax_rate/100),"")</f>
        <v/>
      </c>
      <c r="CR86" s="153" t="str">
        <f>IF(ISNUMBER(outYear),CR80-('Inputs and Outputs'!CR78+'Inputs and Outputs'!CR79)*(1-federal_tax_rate/100),"")</f>
        <v/>
      </c>
      <c r="CS86" s="153" t="str">
        <f>IF(ISNUMBER(outYear),CS80-('Inputs and Outputs'!CS78+'Inputs and Outputs'!CS79)*(1-federal_tax_rate/100),"")</f>
        <v/>
      </c>
      <c r="CT86" s="153" t="str">
        <f>IF(ISNUMBER(outYear),CT80-('Inputs and Outputs'!CT78+'Inputs and Outputs'!CT79)*(1-federal_tax_rate/100),"")</f>
        <v/>
      </c>
      <c r="CU86" s="153" t="str">
        <f>IF(ISNUMBER(outYear),CU80-('Inputs and Outputs'!CU78+'Inputs and Outputs'!CU79)*(1-federal_tax_rate/100),"")</f>
        <v/>
      </c>
      <c r="CV86" s="153" t="str">
        <f>IF(ISNUMBER(outYear),CV80-('Inputs and Outputs'!CV78+'Inputs and Outputs'!CV79)*(1-federal_tax_rate/100),"")</f>
        <v/>
      </c>
      <c r="CW86" s="153" t="str">
        <f>IF(ISNUMBER(outYear),CW80-('Inputs and Outputs'!CW78+'Inputs and Outputs'!CW79)*(1-federal_tax_rate/100),"")</f>
        <v/>
      </c>
      <c r="CX86" s="153" t="str">
        <f>IF(ISNUMBER(outYear),CX80-('Inputs and Outputs'!CX78+'Inputs and Outputs'!CX79)*(1-federal_tax_rate/100),"")</f>
        <v/>
      </c>
    </row>
    <row r="88" spans="1:255">
      <c r="C88" s="153"/>
    </row>
    <row r="89" spans="1:255">
      <c r="C89" s="153"/>
      <c r="D89" s="153"/>
    </row>
    <row r="91" spans="1:255">
      <c r="B91" s="153"/>
    </row>
  </sheetData>
  <pageMargins left="0.7" right="0.7" top="0.75" bottom="0.75" header="0.3" footer="0.3"/>
  <pageSetup orientation="portrait" horizontalDpi="4294967293" verticalDpi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86</vt:i4>
      </vt:variant>
    </vt:vector>
  </HeadingPairs>
  <TitlesOfParts>
    <vt:vector size="88" baseType="lpstr">
      <vt:lpstr>Inputs and Outputs</vt:lpstr>
      <vt:lpstr>Cash Flow</vt:lpstr>
      <vt:lpstr>analysis_period</vt:lpstr>
      <vt:lpstr>batt_cbi_fed_amount</vt:lpstr>
      <vt:lpstr>batt_cbi_fed_deprbas_fed</vt:lpstr>
      <vt:lpstr>batt_cbi_fed_maxvalue</vt:lpstr>
      <vt:lpstr>batt_cbi_fed_tax_fed</vt:lpstr>
      <vt:lpstr>batt_cbi_sta_amount</vt:lpstr>
      <vt:lpstr>batt_cbi_sta_deprbas_fed</vt:lpstr>
      <vt:lpstr>batt_cbi_sta_maxvalue</vt:lpstr>
      <vt:lpstr>batt_cbi_sta_tax_fed</vt:lpstr>
      <vt:lpstr>batt_cbi_uti_amount</vt:lpstr>
      <vt:lpstr>batt_cbi_uti_deprbas_fed</vt:lpstr>
      <vt:lpstr>batt_cbi_uti_maxvalue</vt:lpstr>
      <vt:lpstr>batt_cbi_uti_tax_fed</vt:lpstr>
      <vt:lpstr>batt_ibi_sta_percent</vt:lpstr>
      <vt:lpstr>batt_ibi_sta_percent_deprbas_fed</vt:lpstr>
      <vt:lpstr>batt_ibi_sta_percent_maxvalue</vt:lpstr>
      <vt:lpstr>batt_ibi_sta_percent_tax_fed</vt:lpstr>
      <vt:lpstr>batt_ibi_uti_percent</vt:lpstr>
      <vt:lpstr>batt_ibi_uti_percent_deprbas_fed</vt:lpstr>
      <vt:lpstr>batt_ibi_uti_percent_maxvalue</vt:lpstr>
      <vt:lpstr>batt_ibi_uti_percent_tax_fed</vt:lpstr>
      <vt:lpstr>batt_itc_fed_percent</vt:lpstr>
      <vt:lpstr>batt_itc_fed_percent_deprbas_fed</vt:lpstr>
      <vt:lpstr>batt_itc_fed_percent_maxvalue</vt:lpstr>
      <vt:lpstr>batt_kw</vt:lpstr>
      <vt:lpstr>batt_kwh</vt:lpstr>
      <vt:lpstr>batt_repl_cost_kw</vt:lpstr>
      <vt:lpstr>batt_repl_cost_kwh</vt:lpstr>
      <vt:lpstr>batt_repl_kw_year</vt:lpstr>
      <vt:lpstr>batt_repl_year_kw</vt:lpstr>
      <vt:lpstr>batt_repl_year_kwh</vt:lpstr>
      <vt:lpstr>battery_installed_cost</vt:lpstr>
      <vt:lpstr>BatteryBonusFraction</vt:lpstr>
      <vt:lpstr>BatteryFederalDepreciation</vt:lpstr>
      <vt:lpstr>BatteryMACRSBonusFraction</vt:lpstr>
      <vt:lpstr>BonusFraction</vt:lpstr>
      <vt:lpstr>CashFlow</vt:lpstr>
      <vt:lpstr>cbi_fed_amount</vt:lpstr>
      <vt:lpstr>cbi_fed_deprbas_fed</vt:lpstr>
      <vt:lpstr>cbi_fed_maxvalue</vt:lpstr>
      <vt:lpstr>cbi_fed_tax_fed</vt:lpstr>
      <vt:lpstr>cbi_sta_amount</vt:lpstr>
      <vt:lpstr>cbi_sta_deprbas_fed</vt:lpstr>
      <vt:lpstr>cbi_sta_maxvalue</vt:lpstr>
      <vt:lpstr>cbi_sta_tax_fed</vt:lpstr>
      <vt:lpstr>cbi_uti_amount</vt:lpstr>
      <vt:lpstr>cbi_uti_deprbas_fed</vt:lpstr>
      <vt:lpstr>cbi_uti_maxvalue</vt:lpstr>
      <vt:lpstr>cbi_uti_tax_fed</vt:lpstr>
      <vt:lpstr>CostFlow</vt:lpstr>
      <vt:lpstr>debt_fraction</vt:lpstr>
      <vt:lpstr>escalation_rate_nominal</vt:lpstr>
      <vt:lpstr>federal_tax_rate</vt:lpstr>
      <vt:lpstr>FederalDepreciation</vt:lpstr>
      <vt:lpstr>ibi_sta_percent</vt:lpstr>
      <vt:lpstr>ibi_sta_percent_deprbas_fed</vt:lpstr>
      <vt:lpstr>ibi_sta_percent_maxvalue</vt:lpstr>
      <vt:lpstr>ibi_sta_percent_tax_fed</vt:lpstr>
      <vt:lpstr>ibi_uti_percent</vt:lpstr>
      <vt:lpstr>ibi_uti_percent_deprbas_fed</vt:lpstr>
      <vt:lpstr>ibi_uti_percent_maxvalue</vt:lpstr>
      <vt:lpstr>ibi_uti_percent_tax_fed</vt:lpstr>
      <vt:lpstr>inflation_rate</vt:lpstr>
      <vt:lpstr>itc_fed_percent</vt:lpstr>
      <vt:lpstr>itc_fed_percent_deprbas_fed</vt:lpstr>
      <vt:lpstr>itc_fed_percent_maxvalue</vt:lpstr>
      <vt:lpstr>loan_rate</vt:lpstr>
      <vt:lpstr>loan_term</vt:lpstr>
      <vt:lpstr>MACRSBonusFraction</vt:lpstr>
      <vt:lpstr>NominalDiscountRate</vt:lpstr>
      <vt:lpstr>O_M_cost_escalation_rate__nominal_____year</vt:lpstr>
      <vt:lpstr>om_capacity</vt:lpstr>
      <vt:lpstr>om_cost_escalation_rate_nominal</vt:lpstr>
      <vt:lpstr>outTotalAdjustedInstalledCosts</vt:lpstr>
      <vt:lpstr>outYear</vt:lpstr>
      <vt:lpstr>outYearZeroCashFlow</vt:lpstr>
      <vt:lpstr>outYearZeroCostFlow</vt:lpstr>
      <vt:lpstr>pbi_combined_amount</vt:lpstr>
      <vt:lpstr>pbi_combined_maxvalue</vt:lpstr>
      <vt:lpstr>pbi_combined_tax_fed</vt:lpstr>
      <vt:lpstr>pbi_combined_term</vt:lpstr>
      <vt:lpstr>pv_degradation</vt:lpstr>
      <vt:lpstr>pv_degradation_rate</vt:lpstr>
      <vt:lpstr>pv_installed_cost</vt:lpstr>
      <vt:lpstr>system_capacity</vt:lpstr>
      <vt:lpstr>total_installed_cost</vt:lpstr>
    </vt:vector>
  </TitlesOfParts>
  <Company>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Microsoft Office User</cp:lastModifiedBy>
  <cp:lastPrinted>2006-11-13T23:17:12Z</cp:lastPrinted>
  <dcterms:created xsi:type="dcterms:W3CDTF">2005-08-17T04:34:40Z</dcterms:created>
  <dcterms:modified xsi:type="dcterms:W3CDTF">2018-04-29T00:40:36Z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_assessed_decline" linkTarget="prop_tax_assessed_decline">
    <vt:lpwstr>#REF!</vt:lpwstr>
  </property>
  <property fmtid="{D5CDD505-2E9C-101B-9397-08002B2CF9AE}" pid="3" name="tax_cost_assessed_percent" linkTarget="prop_tax_cost_assessed_percent">
    <vt:lpwstr>#REF!</vt:lpwstr>
  </property>
</Properties>
</file>